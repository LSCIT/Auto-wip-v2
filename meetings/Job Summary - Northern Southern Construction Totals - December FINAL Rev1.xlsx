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K:\WML\Accounting Manager-WML\2025\Job Summaries\12. December\"/>
    </mc:Choice>
  </mc:AlternateContent>
  <xr:revisionPtr revIDLastSave="0" documentId="13_ncr:1_{20BFE908-6EA8-454B-8BB3-BC4735F6C7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en Jobs" sheetId="1" r:id="rId1"/>
    <sheet name="Closed Jobs" sheetId="2" r:id="rId2"/>
  </sheets>
  <definedNames>
    <definedName name="_xlnm._FilterDatabase" localSheetId="0" hidden="1">'Open Jobs'!$A$9:$T$35</definedName>
    <definedName name="_xlnm.Print_Area" localSheetId="1">'Closed Jobs'!$A$1:$P$176</definedName>
    <definedName name="_xlnm.Print_Area" localSheetId="0">'Open Jobs'!$A$1:$Q$257</definedName>
    <definedName name="_xlnm.Print_Titles" localSheetId="1">'Closed Jobs'!$2:$6</definedName>
    <definedName name="_xlnm.Print_Titles" localSheetId="0">'Open Jobs'!$6:$10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1" i="1" l="1"/>
  <c r="G170" i="1"/>
  <c r="M163" i="2"/>
  <c r="O163" i="2" s="1"/>
  <c r="M162" i="2"/>
  <c r="F162" i="2" s="1"/>
  <c r="I162" i="2" s="1"/>
  <c r="M156" i="2"/>
  <c r="O156" i="2" s="1"/>
  <c r="M155" i="2"/>
  <c r="F155" i="2" s="1"/>
  <c r="I155" i="2" s="1"/>
  <c r="M149" i="2"/>
  <c r="O149" i="2" s="1"/>
  <c r="M148" i="2"/>
  <c r="F148" i="2" s="1"/>
  <c r="I148" i="2" s="1"/>
  <c r="O107" i="2"/>
  <c r="F107" i="2"/>
  <c r="I107" i="2" s="1"/>
  <c r="O106" i="2"/>
  <c r="F106" i="2"/>
  <c r="I106" i="2" s="1"/>
  <c r="G106" i="2" s="1"/>
  <c r="L106" i="2" s="1"/>
  <c r="M68" i="2"/>
  <c r="F68" i="2" s="1"/>
  <c r="I68" i="2" s="1"/>
  <c r="M67" i="2"/>
  <c r="F67" i="2" s="1"/>
  <c r="I67" i="2" s="1"/>
  <c r="M40" i="2"/>
  <c r="F40" i="2" s="1"/>
  <c r="I40" i="2" s="1"/>
  <c r="M39" i="2"/>
  <c r="O39" i="2" s="1"/>
  <c r="M21" i="2"/>
  <c r="O21" i="2" s="1"/>
  <c r="M20" i="2"/>
  <c r="F20" i="2" s="1"/>
  <c r="I20" i="2" s="1"/>
  <c r="F163" i="2" l="1"/>
  <c r="I163" i="2" s="1"/>
  <c r="K163" i="2" s="1"/>
  <c r="O162" i="2"/>
  <c r="G162" i="2"/>
  <c r="L162" i="2" s="1"/>
  <c r="K162" i="2"/>
  <c r="G155" i="2"/>
  <c r="L155" i="2" s="1"/>
  <c r="K155" i="2"/>
  <c r="O155" i="2"/>
  <c r="F156" i="2"/>
  <c r="I156" i="2" s="1"/>
  <c r="O148" i="2"/>
  <c r="G148" i="2"/>
  <c r="F149" i="2"/>
  <c r="I149" i="2" s="1"/>
  <c r="K107" i="2"/>
  <c r="G107" i="2"/>
  <c r="L107" i="2" s="1"/>
  <c r="K106" i="2"/>
  <c r="O67" i="2"/>
  <c r="O68" i="2"/>
  <c r="G67" i="2"/>
  <c r="L67" i="2" s="1"/>
  <c r="K67" i="2"/>
  <c r="K68" i="2"/>
  <c r="G68" i="2"/>
  <c r="L68" i="2" s="1"/>
  <c r="F21" i="2"/>
  <c r="I21" i="2" s="1"/>
  <c r="K21" i="2" s="1"/>
  <c r="K40" i="2"/>
  <c r="G40" i="2"/>
  <c r="L40" i="2" s="1"/>
  <c r="F39" i="2"/>
  <c r="I39" i="2" s="1"/>
  <c r="O40" i="2"/>
  <c r="O20" i="2"/>
  <c r="K20" i="2"/>
  <c r="G20" i="2"/>
  <c r="L20" i="2" s="1"/>
  <c r="G163" i="2" l="1"/>
  <c r="L163" i="2" s="1"/>
  <c r="G156" i="2"/>
  <c r="L156" i="2" s="1"/>
  <c r="K156" i="2"/>
  <c r="G149" i="2"/>
  <c r="L148" i="2"/>
  <c r="J148" i="2"/>
  <c r="K148" i="2" s="1"/>
  <c r="G21" i="2"/>
  <c r="L21" i="2" s="1"/>
  <c r="G39" i="2"/>
  <c r="L39" i="2" s="1"/>
  <c r="K39" i="2"/>
  <c r="L149" i="2" l="1"/>
  <c r="J149" i="2"/>
  <c r="K149" i="2" s="1"/>
  <c r="M29" i="2" l="1"/>
  <c r="M30" i="2"/>
  <c r="M32" i="2"/>
  <c r="M33" i="2"/>
  <c r="M34" i="2"/>
  <c r="M35" i="2"/>
  <c r="M36" i="2"/>
  <c r="M37" i="2"/>
  <c r="M38" i="2"/>
  <c r="M42" i="2"/>
  <c r="M44" i="2"/>
  <c r="M45" i="2"/>
  <c r="M46" i="2"/>
  <c r="M47" i="2"/>
  <c r="M48" i="2"/>
  <c r="M49" i="2"/>
  <c r="M50" i="2"/>
  <c r="M51" i="2"/>
  <c r="M52" i="2"/>
  <c r="M53" i="2"/>
  <c r="M55" i="2"/>
  <c r="M57" i="2"/>
  <c r="M59" i="2"/>
  <c r="M60" i="2"/>
  <c r="M66" i="1" l="1"/>
  <c r="P132" i="2" l="1"/>
  <c r="J132" i="2"/>
  <c r="E132" i="2"/>
  <c r="M113" i="2"/>
  <c r="O113" i="2" s="1"/>
  <c r="M87" i="2"/>
  <c r="O87" i="2" s="1"/>
  <c r="M82" i="2"/>
  <c r="O82" i="2" s="1"/>
  <c r="M74" i="2"/>
  <c r="F74" i="2" s="1"/>
  <c r="I74" i="2" s="1"/>
  <c r="F42" i="2"/>
  <c r="I42" i="2" s="1"/>
  <c r="O37" i="2"/>
  <c r="O33" i="2"/>
  <c r="F113" i="2" l="1"/>
  <c r="I113" i="2" s="1"/>
  <c r="K113" i="2" s="1"/>
  <c r="F87" i="2"/>
  <c r="I87" i="2" s="1"/>
  <c r="F82" i="2"/>
  <c r="I82" i="2" s="1"/>
  <c r="G82" i="2" s="1"/>
  <c r="L82" i="2" s="1"/>
  <c r="G74" i="2"/>
  <c r="L74" i="2" s="1"/>
  <c r="K74" i="2"/>
  <c r="O74" i="2"/>
  <c r="K42" i="2"/>
  <c r="G42" i="2"/>
  <c r="L42" i="2" s="1"/>
  <c r="O42" i="2"/>
  <c r="F37" i="2"/>
  <c r="I37" i="2" s="1"/>
  <c r="K37" i="2" s="1"/>
  <c r="F33" i="2"/>
  <c r="I33" i="2" s="1"/>
  <c r="K33" i="2" s="1"/>
  <c r="M121" i="2"/>
  <c r="O121" i="2" s="1"/>
  <c r="M66" i="2"/>
  <c r="F66" i="2" s="1"/>
  <c r="I66" i="2" s="1"/>
  <c r="M77" i="2"/>
  <c r="F77" i="2" s="1"/>
  <c r="I77" i="2" s="1"/>
  <c r="F53" i="2"/>
  <c r="I53" i="2" s="1"/>
  <c r="O60" i="2"/>
  <c r="O48" i="2"/>
  <c r="O29" i="2"/>
  <c r="O30" i="2"/>
  <c r="M13" i="2"/>
  <c r="O13" i="2" s="1"/>
  <c r="M14" i="2"/>
  <c r="M15" i="2"/>
  <c r="O15" i="2" s="1"/>
  <c r="F121" i="2" l="1"/>
  <c r="I121" i="2" s="1"/>
  <c r="G113" i="2"/>
  <c r="L113" i="2" s="1"/>
  <c r="K87" i="2"/>
  <c r="G87" i="2"/>
  <c r="K82" i="2"/>
  <c r="G37" i="2"/>
  <c r="L37" i="2" s="1"/>
  <c r="G33" i="2"/>
  <c r="L33" i="2" s="1"/>
  <c r="G121" i="2"/>
  <c r="L121" i="2" s="1"/>
  <c r="K121" i="2"/>
  <c r="F60" i="2"/>
  <c r="I60" i="2" s="1"/>
  <c r="G60" i="2" s="1"/>
  <c r="L60" i="2" s="1"/>
  <c r="O77" i="2"/>
  <c r="K77" i="2"/>
  <c r="G77" i="2"/>
  <c r="L77" i="2" s="1"/>
  <c r="O66" i="2"/>
  <c r="K66" i="2"/>
  <c r="G66" i="2"/>
  <c r="L66" i="2" s="1"/>
  <c r="F15" i="2"/>
  <c r="I15" i="2" s="1"/>
  <c r="G15" i="2" s="1"/>
  <c r="L15" i="2" s="1"/>
  <c r="O53" i="2"/>
  <c r="K53" i="2"/>
  <c r="G53" i="2"/>
  <c r="L53" i="2" s="1"/>
  <c r="F29" i="2"/>
  <c r="I29" i="2" s="1"/>
  <c r="G29" i="2" s="1"/>
  <c r="L29" i="2" s="1"/>
  <c r="F48" i="2"/>
  <c r="I48" i="2" s="1"/>
  <c r="F13" i="2"/>
  <c r="I13" i="2" s="1"/>
  <c r="G13" i="2" s="1"/>
  <c r="L13" i="2" s="1"/>
  <c r="F30" i="2"/>
  <c r="I30" i="2" s="1"/>
  <c r="L87" i="2" l="1"/>
  <c r="K60" i="2"/>
  <c r="K15" i="2"/>
  <c r="K29" i="2"/>
  <c r="G48" i="2"/>
  <c r="L48" i="2" s="1"/>
  <c r="K48" i="2"/>
  <c r="K13" i="2"/>
  <c r="G30" i="2"/>
  <c r="L30" i="2" s="1"/>
  <c r="K30" i="2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F198" i="1"/>
  <c r="I198" i="1" s="1"/>
  <c r="G198" i="1" s="1"/>
  <c r="L198" i="1" s="1"/>
  <c r="F185" i="1"/>
  <c r="I185" i="1" s="1"/>
  <c r="K185" i="1" s="1"/>
  <c r="F184" i="1"/>
  <c r="I184" i="1" s="1"/>
  <c r="K184" i="1" s="1"/>
  <c r="F183" i="1"/>
  <c r="I183" i="1" s="1"/>
  <c r="F182" i="1"/>
  <c r="G182" i="1" s="1"/>
  <c r="F164" i="1"/>
  <c r="I164" i="1" s="1"/>
  <c r="F163" i="1"/>
  <c r="I163" i="1" s="1"/>
  <c r="F162" i="1"/>
  <c r="I162" i="1" s="1"/>
  <c r="F161" i="1"/>
  <c r="I161" i="1" s="1"/>
  <c r="F160" i="1"/>
  <c r="I160" i="1" s="1"/>
  <c r="F159" i="1"/>
  <c r="G159" i="1" s="1"/>
  <c r="F158" i="1"/>
  <c r="I158" i="1" s="1"/>
  <c r="G158" i="1" s="1"/>
  <c r="L158" i="1" s="1"/>
  <c r="L157" i="1"/>
  <c r="F157" i="1"/>
  <c r="I157" i="1" s="1"/>
  <c r="K157" i="1" s="1"/>
  <c r="F156" i="1"/>
  <c r="I156" i="1" s="1"/>
  <c r="F155" i="1"/>
  <c r="I155" i="1" s="1"/>
  <c r="L154" i="1"/>
  <c r="F154" i="1"/>
  <c r="I154" i="1" s="1"/>
  <c r="K154" i="1" s="1"/>
  <c r="F153" i="1"/>
  <c r="I153" i="1" s="1"/>
  <c r="F152" i="1"/>
  <c r="I152" i="1" s="1"/>
  <c r="K152" i="1" s="1"/>
  <c r="F151" i="1"/>
  <c r="I151" i="1" s="1"/>
  <c r="G151" i="1" s="1"/>
  <c r="L151" i="1" s="1"/>
  <c r="F150" i="1"/>
  <c r="I150" i="1" s="1"/>
  <c r="F126" i="1"/>
  <c r="I126" i="1" s="1"/>
  <c r="G126" i="1" s="1"/>
  <c r="L126" i="1" s="1"/>
  <c r="F125" i="1"/>
  <c r="I125" i="1" s="1"/>
  <c r="F124" i="1"/>
  <c r="I124" i="1" s="1"/>
  <c r="F123" i="1"/>
  <c r="I123" i="1" s="1"/>
  <c r="F122" i="1"/>
  <c r="I122" i="1" s="1"/>
  <c r="F121" i="1"/>
  <c r="I121" i="1" s="1"/>
  <c r="F120" i="1"/>
  <c r="I120" i="1" s="1"/>
  <c r="F119" i="1"/>
  <c r="I119" i="1" s="1"/>
  <c r="F118" i="1"/>
  <c r="I118" i="1" s="1"/>
  <c r="F117" i="1"/>
  <c r="I117" i="1" s="1"/>
  <c r="F116" i="1"/>
  <c r="I116" i="1" s="1"/>
  <c r="K116" i="1" s="1"/>
  <c r="F115" i="1"/>
  <c r="I115" i="1" s="1"/>
  <c r="F114" i="1"/>
  <c r="I114" i="1" s="1"/>
  <c r="G114" i="1" s="1"/>
  <c r="L114" i="1" s="1"/>
  <c r="F113" i="1"/>
  <c r="I113" i="1" s="1"/>
  <c r="F112" i="1"/>
  <c r="I112" i="1" s="1"/>
  <c r="F111" i="1"/>
  <c r="I111" i="1" s="1"/>
  <c r="K111" i="1" s="1"/>
  <c r="F110" i="1"/>
  <c r="I110" i="1" s="1"/>
  <c r="K110" i="1" s="1"/>
  <c r="F109" i="1"/>
  <c r="I109" i="1" s="1"/>
  <c r="F108" i="1"/>
  <c r="I108" i="1" s="1"/>
  <c r="F107" i="1"/>
  <c r="I107" i="1" s="1"/>
  <c r="F106" i="1"/>
  <c r="I106" i="1" s="1"/>
  <c r="K106" i="1" s="1"/>
  <c r="F105" i="1"/>
  <c r="I105" i="1" s="1"/>
  <c r="F104" i="1"/>
  <c r="I104" i="1" s="1"/>
  <c r="F103" i="1"/>
  <c r="I103" i="1" s="1"/>
  <c r="F102" i="1"/>
  <c r="I102" i="1" s="1"/>
  <c r="F101" i="1"/>
  <c r="I101" i="1" s="1"/>
  <c r="F100" i="1"/>
  <c r="I100" i="1" s="1"/>
  <c r="F99" i="1"/>
  <c r="I99" i="1" s="1"/>
  <c r="G99" i="1" s="1"/>
  <c r="L99" i="1" s="1"/>
  <c r="F98" i="1"/>
  <c r="I98" i="1" s="1"/>
  <c r="F97" i="1"/>
  <c r="I97" i="1" s="1"/>
  <c r="F96" i="1"/>
  <c r="I96" i="1" s="1"/>
  <c r="K96" i="1" s="1"/>
  <c r="F95" i="1"/>
  <c r="I95" i="1" s="1"/>
  <c r="K95" i="1" s="1"/>
  <c r="F94" i="1"/>
  <c r="I94" i="1" s="1"/>
  <c r="G94" i="1" s="1"/>
  <c r="L94" i="1" s="1"/>
  <c r="F81" i="1"/>
  <c r="I81" i="1" s="1"/>
  <c r="F66" i="1"/>
  <c r="I66" i="1" s="1"/>
  <c r="K66" i="1" s="1"/>
  <c r="F65" i="1"/>
  <c r="I65" i="1" s="1"/>
  <c r="F64" i="1"/>
  <c r="I64" i="1" s="1"/>
  <c r="F63" i="1"/>
  <c r="I63" i="1" s="1"/>
  <c r="G63" i="1" s="1"/>
  <c r="L63" i="1" s="1"/>
  <c r="F62" i="1"/>
  <c r="I62" i="1" s="1"/>
  <c r="K62" i="1" s="1"/>
  <c r="F61" i="1"/>
  <c r="I61" i="1" s="1"/>
  <c r="F60" i="1"/>
  <c r="I60" i="1" s="1"/>
  <c r="F59" i="1"/>
  <c r="I59" i="1" s="1"/>
  <c r="K59" i="1" s="1"/>
  <c r="F58" i="1"/>
  <c r="I58" i="1" s="1"/>
  <c r="M57" i="1"/>
  <c r="F56" i="1"/>
  <c r="I56" i="1" s="1"/>
  <c r="G56" i="1" s="1"/>
  <c r="L56" i="1" s="1"/>
  <c r="F55" i="1"/>
  <c r="I55" i="1" s="1"/>
  <c r="F54" i="1"/>
  <c r="I54" i="1" s="1"/>
  <c r="K54" i="1" s="1"/>
  <c r="F53" i="1"/>
  <c r="I53" i="1" s="1"/>
  <c r="F52" i="1"/>
  <c r="I52" i="1" s="1"/>
  <c r="K52" i="1" s="1"/>
  <c r="F51" i="1"/>
  <c r="I51" i="1" s="1"/>
  <c r="K51" i="1" s="1"/>
  <c r="F50" i="1"/>
  <c r="I50" i="1" s="1"/>
  <c r="K50" i="1" s="1"/>
  <c r="F49" i="1"/>
  <c r="I49" i="1" s="1"/>
  <c r="K49" i="1" s="1"/>
  <c r="F48" i="1"/>
  <c r="I48" i="1" s="1"/>
  <c r="L47" i="1"/>
  <c r="F47" i="1"/>
  <c r="I47" i="1" s="1"/>
  <c r="K47" i="1" s="1"/>
  <c r="F46" i="1"/>
  <c r="I46" i="1" s="1"/>
  <c r="F31" i="1"/>
  <c r="I31" i="1" s="1"/>
  <c r="F30" i="1"/>
  <c r="I30" i="1" s="1"/>
  <c r="K30" i="1" s="1"/>
  <c r="F29" i="1"/>
  <c r="I29" i="1" s="1"/>
  <c r="F28" i="1"/>
  <c r="I28" i="1" s="1"/>
  <c r="F27" i="1"/>
  <c r="I27" i="1" s="1"/>
  <c r="K27" i="1" s="1"/>
  <c r="F26" i="1"/>
  <c r="I26" i="1" s="1"/>
  <c r="F25" i="1"/>
  <c r="I25" i="1" s="1"/>
  <c r="F24" i="1"/>
  <c r="I24" i="1" s="1"/>
  <c r="F23" i="1"/>
  <c r="I23" i="1" s="1"/>
  <c r="F22" i="1"/>
  <c r="I22" i="1" s="1"/>
  <c r="F21" i="1"/>
  <c r="I21" i="1" s="1"/>
  <c r="F20" i="1"/>
  <c r="I20" i="1" s="1"/>
  <c r="K20" i="1" s="1"/>
  <c r="F19" i="1"/>
  <c r="I19" i="1" s="1"/>
  <c r="F18" i="1"/>
  <c r="I18" i="1" s="1"/>
  <c r="K18" i="1" s="1"/>
  <c r="F17" i="1"/>
  <c r="I17" i="1" s="1"/>
  <c r="K17" i="1" s="1"/>
  <c r="F16" i="1"/>
  <c r="G16" i="1" s="1"/>
  <c r="L15" i="1"/>
  <c r="I15" i="1"/>
  <c r="K15" i="1" s="1"/>
  <c r="F15" i="1"/>
  <c r="F14" i="1"/>
  <c r="I14" i="1" s="1"/>
  <c r="K14" i="1" s="1"/>
  <c r="F57" i="1" l="1"/>
  <c r="I57" i="1" s="1"/>
  <c r="K57" i="1" s="1"/>
  <c r="K119" i="1"/>
  <c r="G119" i="1"/>
  <c r="L119" i="1" s="1"/>
  <c r="G185" i="1"/>
  <c r="L185" i="1" s="1"/>
  <c r="K198" i="1"/>
  <c r="G183" i="1"/>
  <c r="L183" i="1" s="1"/>
  <c r="K183" i="1"/>
  <c r="L182" i="1"/>
  <c r="I182" i="1"/>
  <c r="K182" i="1" s="1"/>
  <c r="G184" i="1"/>
  <c r="L184" i="1" s="1"/>
  <c r="K100" i="1"/>
  <c r="G100" i="1"/>
  <c r="L100" i="1" s="1"/>
  <c r="K156" i="1"/>
  <c r="G156" i="1"/>
  <c r="L156" i="1" s="1"/>
  <c r="K19" i="1"/>
  <c r="G19" i="1"/>
  <c r="L19" i="1" s="1"/>
  <c r="K23" i="1"/>
  <c r="G23" i="1"/>
  <c r="L23" i="1" s="1"/>
  <c r="K103" i="1"/>
  <c r="G103" i="1"/>
  <c r="L103" i="1" s="1"/>
  <c r="I159" i="1"/>
  <c r="K159" i="1" s="1"/>
  <c r="L159" i="1"/>
  <c r="K46" i="1"/>
  <c r="G46" i="1"/>
  <c r="L46" i="1" s="1"/>
  <c r="K164" i="1"/>
  <c r="G164" i="1"/>
  <c r="L164" i="1" s="1"/>
  <c r="K151" i="1"/>
  <c r="G17" i="1"/>
  <c r="L17" i="1" s="1"/>
  <c r="G110" i="1"/>
  <c r="L110" i="1" s="1"/>
  <c r="G51" i="1"/>
  <c r="L51" i="1" s="1"/>
  <c r="G95" i="1"/>
  <c r="L95" i="1" s="1"/>
  <c r="G14" i="1"/>
  <c r="L14" i="1" s="1"/>
  <c r="G52" i="1"/>
  <c r="L52" i="1" s="1"/>
  <c r="G20" i="1"/>
  <c r="L20" i="1" s="1"/>
  <c r="G54" i="1"/>
  <c r="L54" i="1" s="1"/>
  <c r="G162" i="1"/>
  <c r="L162" i="1" s="1"/>
  <c r="K162" i="1"/>
  <c r="G155" i="1"/>
  <c r="L155" i="1" s="1"/>
  <c r="K155" i="1"/>
  <c r="G160" i="1"/>
  <c r="L160" i="1" s="1"/>
  <c r="K160" i="1"/>
  <c r="G153" i="1"/>
  <c r="L153" i="1" s="1"/>
  <c r="K153" i="1"/>
  <c r="G150" i="1"/>
  <c r="L150" i="1" s="1"/>
  <c r="K150" i="1"/>
  <c r="G161" i="1"/>
  <c r="L161" i="1" s="1"/>
  <c r="K161" i="1"/>
  <c r="K163" i="1"/>
  <c r="G163" i="1"/>
  <c r="L163" i="1" s="1"/>
  <c r="K158" i="1"/>
  <c r="G152" i="1"/>
  <c r="L152" i="1" s="1"/>
  <c r="G123" i="1"/>
  <c r="L123" i="1" s="1"/>
  <c r="K123" i="1"/>
  <c r="K102" i="1"/>
  <c r="G102" i="1"/>
  <c r="L102" i="1" s="1"/>
  <c r="G120" i="1"/>
  <c r="L120" i="1" s="1"/>
  <c r="K120" i="1"/>
  <c r="K113" i="1"/>
  <c r="G113" i="1"/>
  <c r="L113" i="1" s="1"/>
  <c r="G121" i="1"/>
  <c r="L121" i="1" s="1"/>
  <c r="K121" i="1"/>
  <c r="G122" i="1"/>
  <c r="L122" i="1" s="1"/>
  <c r="K122" i="1"/>
  <c r="G101" i="1"/>
  <c r="L101" i="1" s="1"/>
  <c r="K101" i="1"/>
  <c r="K112" i="1"/>
  <c r="G112" i="1"/>
  <c r="L112" i="1" s="1"/>
  <c r="G104" i="1"/>
  <c r="L104" i="1" s="1"/>
  <c r="K104" i="1"/>
  <c r="K115" i="1"/>
  <c r="G115" i="1"/>
  <c r="L115" i="1" s="1"/>
  <c r="K117" i="1"/>
  <c r="G117" i="1"/>
  <c r="L117" i="1" s="1"/>
  <c r="K107" i="1"/>
  <c r="G107" i="1"/>
  <c r="L107" i="1" s="1"/>
  <c r="K97" i="1"/>
  <c r="G97" i="1"/>
  <c r="L97" i="1" s="1"/>
  <c r="G109" i="1"/>
  <c r="L109" i="1" s="1"/>
  <c r="K109" i="1"/>
  <c r="G105" i="1"/>
  <c r="L105" i="1" s="1"/>
  <c r="K105" i="1"/>
  <c r="K125" i="1"/>
  <c r="G125" i="1"/>
  <c r="L125" i="1" s="1"/>
  <c r="K118" i="1"/>
  <c r="G118" i="1"/>
  <c r="L118" i="1" s="1"/>
  <c r="K108" i="1"/>
  <c r="G108" i="1"/>
  <c r="L108" i="1" s="1"/>
  <c r="K98" i="1"/>
  <c r="G98" i="1"/>
  <c r="L98" i="1" s="1"/>
  <c r="K124" i="1"/>
  <c r="G124" i="1"/>
  <c r="L124" i="1" s="1"/>
  <c r="K94" i="1"/>
  <c r="K99" i="1"/>
  <c r="K114" i="1"/>
  <c r="G96" i="1"/>
  <c r="L96" i="1" s="1"/>
  <c r="G106" i="1"/>
  <c r="L106" i="1" s="1"/>
  <c r="G111" i="1"/>
  <c r="L111" i="1" s="1"/>
  <c r="G116" i="1"/>
  <c r="L116" i="1" s="1"/>
  <c r="K126" i="1"/>
  <c r="K81" i="1"/>
  <c r="G81" i="1"/>
  <c r="L81" i="1" s="1"/>
  <c r="K60" i="1"/>
  <c r="G60" i="1"/>
  <c r="L60" i="1" s="1"/>
  <c r="K61" i="1"/>
  <c r="G61" i="1"/>
  <c r="L61" i="1" s="1"/>
  <c r="K53" i="1"/>
  <c r="G53" i="1"/>
  <c r="L53" i="1" s="1"/>
  <c r="K58" i="1"/>
  <c r="G58" i="1"/>
  <c r="L58" i="1" s="1"/>
  <c r="K64" i="1"/>
  <c r="G64" i="1"/>
  <c r="L64" i="1" s="1"/>
  <c r="K55" i="1"/>
  <c r="G55" i="1"/>
  <c r="L55" i="1" s="1"/>
  <c r="K65" i="1"/>
  <c r="G65" i="1"/>
  <c r="L65" i="1" s="1"/>
  <c r="K48" i="1"/>
  <c r="G48" i="1"/>
  <c r="L48" i="1" s="1"/>
  <c r="K56" i="1"/>
  <c r="K63" i="1"/>
  <c r="G50" i="1"/>
  <c r="L50" i="1" s="1"/>
  <c r="G66" i="1"/>
  <c r="L66" i="1" s="1"/>
  <c r="G62" i="1"/>
  <c r="L62" i="1" s="1"/>
  <c r="G49" i="1"/>
  <c r="L49" i="1" s="1"/>
  <c r="G59" i="1"/>
  <c r="L59" i="1" s="1"/>
  <c r="L16" i="1"/>
  <c r="I16" i="1"/>
  <c r="K16" i="1" s="1"/>
  <c r="G22" i="1"/>
  <c r="L22" i="1" s="1"/>
  <c r="K22" i="1"/>
  <c r="K31" i="1"/>
  <c r="G31" i="1"/>
  <c r="L31" i="1" s="1"/>
  <c r="K25" i="1"/>
  <c r="G25" i="1"/>
  <c r="L25" i="1" s="1"/>
  <c r="K26" i="1"/>
  <c r="G26" i="1"/>
  <c r="L26" i="1" s="1"/>
  <c r="K28" i="1"/>
  <c r="G28" i="1"/>
  <c r="L28" i="1" s="1"/>
  <c r="K21" i="1"/>
  <c r="G21" i="1"/>
  <c r="L21" i="1" s="1"/>
  <c r="K24" i="1"/>
  <c r="G24" i="1"/>
  <c r="L24" i="1" s="1"/>
  <c r="G29" i="1"/>
  <c r="L29" i="1" s="1"/>
  <c r="K29" i="1"/>
  <c r="G27" i="1"/>
  <c r="L27" i="1" s="1"/>
  <c r="G18" i="1"/>
  <c r="L18" i="1" s="1"/>
  <c r="G30" i="1"/>
  <c r="L30" i="1" s="1"/>
  <c r="G57" i="1" l="1"/>
  <c r="L57" i="1" s="1"/>
  <c r="H145" i="2"/>
  <c r="H41" i="2"/>
  <c r="M41" i="2" s="1"/>
  <c r="H58" i="2"/>
  <c r="M58" i="2" s="1"/>
  <c r="H56" i="2"/>
  <c r="M56" i="2" s="1"/>
  <c r="H54" i="2"/>
  <c r="M54" i="2" s="1"/>
  <c r="O59" i="1" l="1"/>
  <c r="H18" i="2"/>
  <c r="M172" i="1"/>
  <c r="H172" i="1"/>
  <c r="G172" i="1"/>
  <c r="E172" i="1"/>
  <c r="M173" i="1"/>
  <c r="H173" i="1"/>
  <c r="G173" i="1"/>
  <c r="I173" i="1" s="1"/>
  <c r="K173" i="1" s="1"/>
  <c r="E173" i="1"/>
  <c r="H171" i="1"/>
  <c r="E171" i="1"/>
  <c r="H170" i="1"/>
  <c r="E170" i="1"/>
  <c r="M72" i="1"/>
  <c r="H72" i="1"/>
  <c r="G72" i="1"/>
  <c r="E72" i="1"/>
  <c r="M37" i="1"/>
  <c r="H37" i="1"/>
  <c r="E37" i="1"/>
  <c r="H85" i="2"/>
  <c r="H76" i="2"/>
  <c r="O117" i="1"/>
  <c r="O118" i="1"/>
  <c r="O119" i="1"/>
  <c r="O120" i="1"/>
  <c r="O121" i="1"/>
  <c r="O122" i="1"/>
  <c r="O123" i="1"/>
  <c r="O124" i="1"/>
  <c r="O125" i="1"/>
  <c r="O126" i="1"/>
  <c r="O64" i="1"/>
  <c r="O65" i="1"/>
  <c r="O66" i="1"/>
  <c r="L170" i="1" l="1"/>
  <c r="F173" i="1"/>
  <c r="L172" i="1"/>
  <c r="I172" i="1"/>
  <c r="K172" i="1" s="1"/>
  <c r="I170" i="1"/>
  <c r="L173" i="1"/>
  <c r="F37" i="1"/>
  <c r="I37" i="1" s="1"/>
  <c r="K37" i="1" s="1"/>
  <c r="L72" i="1"/>
  <c r="F72" i="1"/>
  <c r="L171" i="1"/>
  <c r="I171" i="1"/>
  <c r="F172" i="1"/>
  <c r="F171" i="1"/>
  <c r="F170" i="1"/>
  <c r="I72" i="1"/>
  <c r="K72" i="1" s="1"/>
  <c r="O57" i="1"/>
  <c r="O41" i="2"/>
  <c r="K171" i="1" l="1"/>
  <c r="K170" i="1"/>
  <c r="G37" i="1"/>
  <c r="L37" i="1" s="1"/>
  <c r="F41" i="2"/>
  <c r="I41" i="2" s="1"/>
  <c r="K41" i="2" s="1"/>
  <c r="G41" i="2" l="1"/>
  <c r="L41" i="2" s="1"/>
  <c r="O116" i="2"/>
  <c r="F116" i="2"/>
  <c r="I116" i="2" s="1"/>
  <c r="O59" i="2"/>
  <c r="O58" i="2"/>
  <c r="O32" i="2"/>
  <c r="G116" i="2" l="1"/>
  <c r="L116" i="2" s="1"/>
  <c r="K116" i="2"/>
  <c r="F58" i="2"/>
  <c r="I58" i="2" s="1"/>
  <c r="G58" i="2" s="1"/>
  <c r="L58" i="2" s="1"/>
  <c r="F59" i="2"/>
  <c r="I59" i="2" s="1"/>
  <c r="F32" i="2"/>
  <c r="I32" i="2" s="1"/>
  <c r="G32" i="2" s="1"/>
  <c r="L32" i="2" s="1"/>
  <c r="K58" i="2" l="1"/>
  <c r="K59" i="2"/>
  <c r="G59" i="2"/>
  <c r="L59" i="2" s="1"/>
  <c r="K32" i="2"/>
  <c r="O14" i="2" l="1"/>
  <c r="F14" i="2" l="1"/>
  <c r="I14" i="2" s="1"/>
  <c r="K14" i="2" s="1"/>
  <c r="G14" i="2" l="1"/>
  <c r="L14" i="2" s="1"/>
  <c r="H91" i="2"/>
  <c r="H253" i="1" l="1"/>
  <c r="M127" i="2" l="1"/>
  <c r="O127" i="2" s="1"/>
  <c r="M128" i="2"/>
  <c r="O128" i="2" s="1"/>
  <c r="M129" i="2"/>
  <c r="O129" i="2" s="1"/>
  <c r="M130" i="2"/>
  <c r="F130" i="2" s="1"/>
  <c r="I130" i="2" s="1"/>
  <c r="M97" i="2"/>
  <c r="O97" i="2" s="1"/>
  <c r="M84" i="2"/>
  <c r="F84" i="2" s="1"/>
  <c r="I84" i="2" s="1"/>
  <c r="O44" i="2"/>
  <c r="O130" i="2" l="1"/>
  <c r="F128" i="2"/>
  <c r="I128" i="2" s="1"/>
  <c r="K128" i="2" s="1"/>
  <c r="F129" i="2"/>
  <c r="I129" i="2" s="1"/>
  <c r="G129" i="2" s="1"/>
  <c r="L129" i="2" s="1"/>
  <c r="G130" i="2"/>
  <c r="L130" i="2" s="1"/>
  <c r="K130" i="2"/>
  <c r="F127" i="2"/>
  <c r="I127" i="2" s="1"/>
  <c r="F97" i="2"/>
  <c r="I97" i="2" s="1"/>
  <c r="O84" i="2"/>
  <c r="K84" i="2"/>
  <c r="G84" i="2"/>
  <c r="L84" i="2" s="1"/>
  <c r="F44" i="2"/>
  <c r="I44" i="2" s="1"/>
  <c r="K44" i="2" s="1"/>
  <c r="K129" i="2" l="1"/>
  <c r="G128" i="2"/>
  <c r="L128" i="2" s="1"/>
  <c r="K127" i="2"/>
  <c r="G127" i="2"/>
  <c r="L127" i="2" s="1"/>
  <c r="K97" i="2"/>
  <c r="G97" i="2"/>
  <c r="L97" i="2" s="1"/>
  <c r="G44" i="2"/>
  <c r="L44" i="2" s="1"/>
  <c r="M18" i="2" l="1"/>
  <c r="O18" i="2" s="1"/>
  <c r="F18" i="2" l="1"/>
  <c r="I18" i="2" s="1"/>
  <c r="G18" i="2" s="1"/>
  <c r="L18" i="2" s="1"/>
  <c r="K18" i="2" l="1"/>
  <c r="H166" i="1" l="1"/>
  <c r="E33" i="1"/>
  <c r="O185" i="1" l="1"/>
  <c r="O164" i="1"/>
  <c r="H122" i="2"/>
  <c r="H117" i="2"/>
  <c r="H79" i="2"/>
  <c r="H75" i="2"/>
  <c r="H43" i="2"/>
  <c r="M43" i="2" s="1"/>
  <c r="H31" i="2"/>
  <c r="M31" i="2" s="1"/>
  <c r="O63" i="1"/>
  <c r="H16" i="2"/>
  <c r="K237" i="1" l="1"/>
  <c r="K239" i="1" s="1"/>
  <c r="M145" i="2" l="1"/>
  <c r="O145" i="2" s="1"/>
  <c r="F145" i="2" l="1"/>
  <c r="I145" i="2" s="1"/>
  <c r="G145" i="2" s="1"/>
  <c r="M124" i="2" l="1"/>
  <c r="O124" i="2" s="1"/>
  <c r="M76" i="2"/>
  <c r="O76" i="2" s="1"/>
  <c r="O57" i="2"/>
  <c r="O56" i="2"/>
  <c r="O31" i="2"/>
  <c r="M19" i="2"/>
  <c r="F19" i="2" s="1"/>
  <c r="I19" i="2" s="1"/>
  <c r="M16" i="2"/>
  <c r="F16" i="2" s="1"/>
  <c r="I16" i="2" s="1"/>
  <c r="M12" i="2"/>
  <c r="F12" i="2" s="1"/>
  <c r="I12" i="2" s="1"/>
  <c r="P23" i="2"/>
  <c r="J23" i="2"/>
  <c r="H23" i="2"/>
  <c r="E23" i="2"/>
  <c r="F56" i="2" l="1"/>
  <c r="I56" i="2" s="1"/>
  <c r="G56" i="2" s="1"/>
  <c r="L56" i="2" s="1"/>
  <c r="F31" i="2"/>
  <c r="I31" i="2" s="1"/>
  <c r="K31" i="2" s="1"/>
  <c r="F124" i="2"/>
  <c r="I124" i="2" s="1"/>
  <c r="K124" i="2" s="1"/>
  <c r="F76" i="2"/>
  <c r="I76" i="2" s="1"/>
  <c r="G76" i="2" s="1"/>
  <c r="L76" i="2" s="1"/>
  <c r="F57" i="2"/>
  <c r="I57" i="2" s="1"/>
  <c r="K57" i="2" s="1"/>
  <c r="G19" i="2"/>
  <c r="L19" i="2" s="1"/>
  <c r="K19" i="2"/>
  <c r="O19" i="2"/>
  <c r="G16" i="2"/>
  <c r="L16" i="2" s="1"/>
  <c r="K16" i="2"/>
  <c r="O16" i="2"/>
  <c r="K12" i="2"/>
  <c r="G12" i="2"/>
  <c r="O12" i="2"/>
  <c r="K56" i="2" l="1"/>
  <c r="G124" i="2"/>
  <c r="L124" i="2" s="1"/>
  <c r="G57" i="2"/>
  <c r="L57" i="2" s="1"/>
  <c r="G31" i="2"/>
  <c r="L31" i="2" s="1"/>
  <c r="K76" i="2"/>
  <c r="L12" i="2"/>
  <c r="H120" i="2" l="1"/>
  <c r="H83" i="2"/>
  <c r="H28" i="2"/>
  <c r="M28" i="2" s="1"/>
  <c r="O81" i="1"/>
  <c r="O60" i="1"/>
  <c r="O61" i="1"/>
  <c r="O62" i="1"/>
  <c r="O37" i="1" l="1"/>
  <c r="P62" i="2" l="1"/>
  <c r="M125" i="2"/>
  <c r="O125" i="2" s="1"/>
  <c r="M123" i="2"/>
  <c r="O123" i="2" s="1"/>
  <c r="M120" i="2"/>
  <c r="O120" i="2" s="1"/>
  <c r="M118" i="2"/>
  <c r="O118" i="2" s="1"/>
  <c r="M80" i="2"/>
  <c r="O80" i="2" s="1"/>
  <c r="M79" i="2"/>
  <c r="O79" i="2" s="1"/>
  <c r="O55" i="2"/>
  <c r="O52" i="2"/>
  <c r="O28" i="2"/>
  <c r="M27" i="2"/>
  <c r="J62" i="2"/>
  <c r="E62" i="2"/>
  <c r="F118" i="2" l="1"/>
  <c r="I118" i="2" s="1"/>
  <c r="G118" i="2" s="1"/>
  <c r="L118" i="2" s="1"/>
  <c r="F80" i="2"/>
  <c r="I80" i="2" s="1"/>
  <c r="K80" i="2" s="1"/>
  <c r="F120" i="2"/>
  <c r="I120" i="2" s="1"/>
  <c r="K120" i="2" s="1"/>
  <c r="F123" i="2"/>
  <c r="I123" i="2" s="1"/>
  <c r="G123" i="2" s="1"/>
  <c r="L123" i="2" s="1"/>
  <c r="F125" i="2"/>
  <c r="I125" i="2" s="1"/>
  <c r="K125" i="2" s="1"/>
  <c r="F79" i="2"/>
  <c r="I79" i="2" s="1"/>
  <c r="G79" i="2" s="1"/>
  <c r="L79" i="2" s="1"/>
  <c r="G80" i="2"/>
  <c r="L80" i="2" s="1"/>
  <c r="F55" i="2"/>
  <c r="I55" i="2" s="1"/>
  <c r="F52" i="2"/>
  <c r="I52" i="2" s="1"/>
  <c r="F28" i="2"/>
  <c r="I28" i="2" s="1"/>
  <c r="K28" i="2" s="1"/>
  <c r="F27" i="2"/>
  <c r="I27" i="2" s="1"/>
  <c r="K27" i="2" s="1"/>
  <c r="O27" i="2"/>
  <c r="K118" i="2" l="1"/>
  <c r="G120" i="2"/>
  <c r="L120" i="2" s="1"/>
  <c r="K123" i="2"/>
  <c r="G125" i="2"/>
  <c r="L125" i="2" s="1"/>
  <c r="K79" i="2"/>
  <c r="G55" i="2"/>
  <c r="L55" i="2" s="1"/>
  <c r="K55" i="2"/>
  <c r="K52" i="2"/>
  <c r="G52" i="2"/>
  <c r="L52" i="2" s="1"/>
  <c r="G28" i="2"/>
  <c r="L28" i="2" s="1"/>
  <c r="G27" i="2"/>
  <c r="L27" i="2" s="1"/>
  <c r="O184" i="1" l="1"/>
  <c r="H144" i="2"/>
  <c r="E166" i="1"/>
  <c r="O163" i="1"/>
  <c r="H99" i="2"/>
  <c r="O114" i="1"/>
  <c r="O115" i="1"/>
  <c r="O116" i="1"/>
  <c r="H62" i="2"/>
  <c r="O54" i="2" l="1"/>
  <c r="F54" i="2" l="1"/>
  <c r="I54" i="2" s="1"/>
  <c r="K54" i="2" s="1"/>
  <c r="G54" i="2" l="1"/>
  <c r="L54" i="2" s="1"/>
  <c r="M126" i="2"/>
  <c r="F126" i="2" s="1"/>
  <c r="I126" i="2" s="1"/>
  <c r="M117" i="2"/>
  <c r="O117" i="2" s="1"/>
  <c r="M115" i="2"/>
  <c r="F115" i="2" s="1"/>
  <c r="I115" i="2" s="1"/>
  <c r="M78" i="2"/>
  <c r="O78" i="2" s="1"/>
  <c r="O34" i="2" l="1"/>
  <c r="F78" i="2"/>
  <c r="I78" i="2" s="1"/>
  <c r="G78" i="2" s="1"/>
  <c r="L78" i="2" s="1"/>
  <c r="K126" i="2"/>
  <c r="G126" i="2"/>
  <c r="L126" i="2" s="1"/>
  <c r="O126" i="2"/>
  <c r="F117" i="2"/>
  <c r="I117" i="2" s="1"/>
  <c r="K117" i="2" s="1"/>
  <c r="G115" i="2"/>
  <c r="L115" i="2" s="1"/>
  <c r="K115" i="2"/>
  <c r="O115" i="2"/>
  <c r="F34" i="2"/>
  <c r="I34" i="2" s="1"/>
  <c r="K78" i="2" l="1"/>
  <c r="K34" i="2"/>
  <c r="G117" i="2"/>
  <c r="L117" i="2" s="1"/>
  <c r="G34" i="2"/>
  <c r="L34" i="2" l="1"/>
  <c r="O173" i="1"/>
  <c r="G166" i="1" l="1"/>
  <c r="H147" i="2" l="1"/>
  <c r="O112" i="1"/>
  <c r="O113" i="1"/>
  <c r="O98" i="1" l="1"/>
  <c r="M122" i="2" l="1"/>
  <c r="O122" i="2" s="1"/>
  <c r="M119" i="2"/>
  <c r="O119" i="2" s="1"/>
  <c r="M108" i="2"/>
  <c r="F108" i="2" s="1"/>
  <c r="I108" i="2" s="1"/>
  <c r="M91" i="2"/>
  <c r="M85" i="2"/>
  <c r="F85" i="2" s="1"/>
  <c r="I85" i="2" s="1"/>
  <c r="M83" i="2"/>
  <c r="F83" i="2" s="1"/>
  <c r="I83" i="2" s="1"/>
  <c r="O50" i="2"/>
  <c r="O49" i="2"/>
  <c r="O47" i="2"/>
  <c r="O38" i="2"/>
  <c r="O35" i="2" l="1"/>
  <c r="F91" i="2"/>
  <c r="I91" i="2" s="1"/>
  <c r="G91" i="2" s="1"/>
  <c r="L91" i="2" s="1"/>
  <c r="F122" i="2"/>
  <c r="I122" i="2" s="1"/>
  <c r="K122" i="2" s="1"/>
  <c r="F119" i="2"/>
  <c r="I119" i="2" s="1"/>
  <c r="O91" i="2"/>
  <c r="G108" i="2"/>
  <c r="L108" i="2" s="1"/>
  <c r="K108" i="2"/>
  <c r="O108" i="2"/>
  <c r="K85" i="2"/>
  <c r="G85" i="2"/>
  <c r="L85" i="2" s="1"/>
  <c r="O85" i="2"/>
  <c r="G83" i="2"/>
  <c r="L83" i="2" s="1"/>
  <c r="K83" i="2"/>
  <c r="O83" i="2"/>
  <c r="F47" i="2"/>
  <c r="I47" i="2" s="1"/>
  <c r="K47" i="2" s="1"/>
  <c r="F50" i="2"/>
  <c r="I50" i="2" s="1"/>
  <c r="F49" i="2"/>
  <c r="I49" i="2" s="1"/>
  <c r="F38" i="2"/>
  <c r="I38" i="2" s="1"/>
  <c r="K38" i="2" s="1"/>
  <c r="F35" i="2"/>
  <c r="I35" i="2" s="1"/>
  <c r="O162" i="1"/>
  <c r="O111" i="1"/>
  <c r="K91" i="2" l="1"/>
  <c r="G122" i="2"/>
  <c r="L122" i="2" s="1"/>
  <c r="K119" i="2"/>
  <c r="G119" i="2"/>
  <c r="L119" i="2" s="1"/>
  <c r="G47" i="2"/>
  <c r="L47" i="2" s="1"/>
  <c r="G35" i="2"/>
  <c r="K50" i="2"/>
  <c r="G50" i="2"/>
  <c r="L50" i="2" s="1"/>
  <c r="G49" i="2"/>
  <c r="L49" i="2" s="1"/>
  <c r="K49" i="2"/>
  <c r="G38" i="2"/>
  <c r="L38" i="2" s="1"/>
  <c r="K35" i="2"/>
  <c r="L35" i="2" l="1"/>
  <c r="E151" i="2"/>
  <c r="H151" i="2"/>
  <c r="J151" i="2"/>
  <c r="P151" i="2"/>
  <c r="M147" i="2"/>
  <c r="O147" i="2" s="1"/>
  <c r="M143" i="2"/>
  <c r="F143" i="2" s="1"/>
  <c r="I143" i="2" s="1"/>
  <c r="M114" i="2"/>
  <c r="O114" i="2" s="1"/>
  <c r="M99" i="2"/>
  <c r="O99" i="2" s="1"/>
  <c r="O51" i="2"/>
  <c r="O46" i="2"/>
  <c r="M17" i="2"/>
  <c r="O17" i="2" l="1"/>
  <c r="O23" i="2" s="1"/>
  <c r="M23" i="2"/>
  <c r="O143" i="2"/>
  <c r="F147" i="2"/>
  <c r="I147" i="2" s="1"/>
  <c r="K143" i="2"/>
  <c r="G143" i="2"/>
  <c r="F99" i="2"/>
  <c r="I99" i="2" s="1"/>
  <c r="K99" i="2" s="1"/>
  <c r="F114" i="2"/>
  <c r="I114" i="2" s="1"/>
  <c r="K114" i="2" s="1"/>
  <c r="F46" i="2"/>
  <c r="I46" i="2" s="1"/>
  <c r="K46" i="2" s="1"/>
  <c r="F51" i="2"/>
  <c r="I51" i="2" s="1"/>
  <c r="F17" i="2"/>
  <c r="I17" i="2" s="1"/>
  <c r="I23" i="2" s="1"/>
  <c r="L143" i="2" l="1"/>
  <c r="K17" i="2"/>
  <c r="K23" i="2" s="1"/>
  <c r="K147" i="2"/>
  <c r="G147" i="2"/>
  <c r="L147" i="2" s="1"/>
  <c r="G99" i="2"/>
  <c r="L99" i="2" s="1"/>
  <c r="G114" i="2"/>
  <c r="L114" i="2" s="1"/>
  <c r="G46" i="2"/>
  <c r="L46" i="2" s="1"/>
  <c r="K51" i="2"/>
  <c r="G51" i="2"/>
  <c r="L51" i="2" s="1"/>
  <c r="G17" i="2"/>
  <c r="G23" i="2" s="1"/>
  <c r="L17" i="2" l="1"/>
  <c r="L23" i="2" s="1"/>
  <c r="H94" i="2"/>
  <c r="H132" i="2" s="1"/>
  <c r="O109" i="1"/>
  <c r="O110" i="1"/>
  <c r="O58" i="1"/>
  <c r="M112" i="2" l="1"/>
  <c r="O112" i="2" s="1"/>
  <c r="M92" i="2"/>
  <c r="O92" i="2" s="1"/>
  <c r="M90" i="2"/>
  <c r="F90" i="2" s="1"/>
  <c r="I90" i="2" s="1"/>
  <c r="M89" i="2"/>
  <c r="O89" i="2" s="1"/>
  <c r="F89" i="2" l="1"/>
  <c r="I89" i="2" s="1"/>
  <c r="G89" i="2" s="1"/>
  <c r="L89" i="2" s="1"/>
  <c r="F92" i="2"/>
  <c r="I92" i="2" s="1"/>
  <c r="K92" i="2" s="1"/>
  <c r="F112" i="2"/>
  <c r="I112" i="2" s="1"/>
  <c r="K90" i="2"/>
  <c r="G90" i="2"/>
  <c r="L90" i="2" s="1"/>
  <c r="O90" i="2"/>
  <c r="K89" i="2" l="1"/>
  <c r="G92" i="2"/>
  <c r="L92" i="2" s="1"/>
  <c r="G112" i="2"/>
  <c r="L112" i="2" s="1"/>
  <c r="K112" i="2"/>
  <c r="F45" i="2"/>
  <c r="I45" i="2" s="1"/>
  <c r="O45" i="2" l="1"/>
  <c r="K45" i="2"/>
  <c r="G45" i="2"/>
  <c r="L45" i="2" s="1"/>
  <c r="M144" i="2" l="1"/>
  <c r="M146" i="2"/>
  <c r="F146" i="2" s="1"/>
  <c r="I146" i="2" s="1"/>
  <c r="M151" i="2" l="1"/>
  <c r="O144" i="2"/>
  <c r="F144" i="2"/>
  <c r="I144" i="2" s="1"/>
  <c r="G146" i="2"/>
  <c r="L146" i="2" s="1"/>
  <c r="K146" i="2"/>
  <c r="O146" i="2"/>
  <c r="O151" i="2" l="1"/>
  <c r="K144" i="2"/>
  <c r="G144" i="2"/>
  <c r="L144" i="2" l="1"/>
  <c r="M111" i="2" l="1"/>
  <c r="O111" i="2" s="1"/>
  <c r="M110" i="2"/>
  <c r="F110" i="2" s="1"/>
  <c r="I110" i="2" s="1"/>
  <c r="K110" i="2" s="1"/>
  <c r="M109" i="2"/>
  <c r="F109" i="2" s="1"/>
  <c r="I109" i="2" s="1"/>
  <c r="K109" i="2" s="1"/>
  <c r="M105" i="2"/>
  <c r="O105" i="2" s="1"/>
  <c r="M104" i="2"/>
  <c r="O104" i="2" s="1"/>
  <c r="M103" i="2"/>
  <c r="F103" i="2" s="1"/>
  <c r="I103" i="2" s="1"/>
  <c r="M102" i="2"/>
  <c r="O102" i="2" s="1"/>
  <c r="M101" i="2"/>
  <c r="O101" i="2" s="1"/>
  <c r="M100" i="2"/>
  <c r="F100" i="2" s="1"/>
  <c r="I100" i="2" s="1"/>
  <c r="K100" i="2" s="1"/>
  <c r="M98" i="2"/>
  <c r="O98" i="2" s="1"/>
  <c r="M96" i="2"/>
  <c r="O96" i="2" s="1"/>
  <c r="M95" i="2"/>
  <c r="O95" i="2" s="1"/>
  <c r="M94" i="2"/>
  <c r="O94" i="2" s="1"/>
  <c r="M93" i="2"/>
  <c r="O93" i="2" s="1"/>
  <c r="M88" i="2"/>
  <c r="O88" i="2" s="1"/>
  <c r="M86" i="2"/>
  <c r="O86" i="2" s="1"/>
  <c r="M81" i="2"/>
  <c r="O81" i="2" s="1"/>
  <c r="M75" i="2"/>
  <c r="O43" i="2"/>
  <c r="P165" i="2"/>
  <c r="O165" i="2"/>
  <c r="M165" i="2"/>
  <c r="L165" i="2"/>
  <c r="K165" i="2"/>
  <c r="J165" i="2"/>
  <c r="I165" i="2"/>
  <c r="H165" i="2"/>
  <c r="G165" i="2"/>
  <c r="E165" i="2"/>
  <c r="P158" i="2"/>
  <c r="O158" i="2"/>
  <c r="M158" i="2"/>
  <c r="L158" i="2"/>
  <c r="K158" i="2"/>
  <c r="J158" i="2"/>
  <c r="I158" i="2"/>
  <c r="H158" i="2"/>
  <c r="G158" i="2"/>
  <c r="E158" i="2"/>
  <c r="P70" i="2"/>
  <c r="O70" i="2"/>
  <c r="M70" i="2"/>
  <c r="L70" i="2"/>
  <c r="K70" i="2"/>
  <c r="J70" i="2"/>
  <c r="I70" i="2"/>
  <c r="H70" i="2"/>
  <c r="G70" i="2"/>
  <c r="E70" i="2"/>
  <c r="M132" i="2" l="1"/>
  <c r="M62" i="2"/>
  <c r="O75" i="2"/>
  <c r="O36" i="2"/>
  <c r="O62" i="2" s="1"/>
  <c r="F98" i="2"/>
  <c r="I98" i="2" s="1"/>
  <c r="K98" i="2" s="1"/>
  <c r="G103" i="2"/>
  <c r="L103" i="2" s="1"/>
  <c r="K103" i="2"/>
  <c r="O109" i="2"/>
  <c r="O100" i="2"/>
  <c r="F101" i="2"/>
  <c r="I101" i="2" s="1"/>
  <c r="K101" i="2" s="1"/>
  <c r="F94" i="2"/>
  <c r="I94" i="2" s="1"/>
  <c r="O110" i="2"/>
  <c r="O103" i="2"/>
  <c r="F81" i="2"/>
  <c r="I81" i="2" s="1"/>
  <c r="F111" i="2"/>
  <c r="I111" i="2" s="1"/>
  <c r="K111" i="2" s="1"/>
  <c r="G109" i="2"/>
  <c r="L109" i="2" s="1"/>
  <c r="G110" i="2"/>
  <c r="L110" i="2" s="1"/>
  <c r="F105" i="2"/>
  <c r="I105" i="2" s="1"/>
  <c r="K105" i="2" s="1"/>
  <c r="F104" i="2"/>
  <c r="I104" i="2" s="1"/>
  <c r="K104" i="2" s="1"/>
  <c r="G100" i="2"/>
  <c r="L100" i="2" s="1"/>
  <c r="F102" i="2"/>
  <c r="I102" i="2" s="1"/>
  <c r="K102" i="2" s="1"/>
  <c r="F96" i="2"/>
  <c r="I96" i="2" s="1"/>
  <c r="K96" i="2" s="1"/>
  <c r="F93" i="2"/>
  <c r="I93" i="2" s="1"/>
  <c r="K93" i="2" s="1"/>
  <c r="F95" i="2"/>
  <c r="I95" i="2" s="1"/>
  <c r="K95" i="2" s="1"/>
  <c r="F88" i="2"/>
  <c r="I88" i="2" s="1"/>
  <c r="K88" i="2" s="1"/>
  <c r="F86" i="2"/>
  <c r="I86" i="2" s="1"/>
  <c r="K86" i="2" s="1"/>
  <c r="F75" i="2"/>
  <c r="I75" i="2" s="1"/>
  <c r="F43" i="2"/>
  <c r="I43" i="2" s="1"/>
  <c r="K43" i="2" s="1"/>
  <c r="F36" i="2"/>
  <c r="I36" i="2" s="1"/>
  <c r="I132" i="2" l="1"/>
  <c r="O132" i="2"/>
  <c r="I62" i="2"/>
  <c r="G98" i="2"/>
  <c r="L98" i="2" s="1"/>
  <c r="G101" i="2"/>
  <c r="L101" i="2" s="1"/>
  <c r="G81" i="2"/>
  <c r="L81" i="2" s="1"/>
  <c r="K81" i="2"/>
  <c r="G94" i="2"/>
  <c r="L94" i="2" s="1"/>
  <c r="K94" i="2"/>
  <c r="G111" i="2"/>
  <c r="L111" i="2" s="1"/>
  <c r="G105" i="2"/>
  <c r="L105" i="2" s="1"/>
  <c r="G104" i="2"/>
  <c r="L104" i="2" s="1"/>
  <c r="G102" i="2"/>
  <c r="L102" i="2" s="1"/>
  <c r="G96" i="2"/>
  <c r="L96" i="2" s="1"/>
  <c r="G95" i="2"/>
  <c r="L95" i="2" s="1"/>
  <c r="G93" i="2"/>
  <c r="L93" i="2" s="1"/>
  <c r="G88" i="2"/>
  <c r="L88" i="2" s="1"/>
  <c r="G86" i="2"/>
  <c r="L86" i="2" s="1"/>
  <c r="K75" i="2"/>
  <c r="G75" i="2"/>
  <c r="G43" i="2"/>
  <c r="L43" i="2" s="1"/>
  <c r="K36" i="2"/>
  <c r="K62" i="2" s="1"/>
  <c r="G36" i="2"/>
  <c r="G62" i="2" s="1"/>
  <c r="G132" i="2" l="1"/>
  <c r="K132" i="2"/>
  <c r="L75" i="2"/>
  <c r="L132" i="2" s="1"/>
  <c r="L36" i="2"/>
  <c r="L62" i="2" s="1"/>
  <c r="G128" i="1" l="1"/>
  <c r="O108" i="1" l="1"/>
  <c r="O56" i="1" l="1"/>
  <c r="E136" i="2" l="1"/>
  <c r="E169" i="2" l="1"/>
  <c r="E175" i="2" s="1"/>
  <c r="O105" i="1" l="1"/>
  <c r="O106" i="1"/>
  <c r="O107" i="1"/>
  <c r="O55" i="1"/>
  <c r="O94" i="1"/>
  <c r="O95" i="1"/>
  <c r="O96" i="1"/>
  <c r="O97" i="1"/>
  <c r="O99" i="1"/>
  <c r="O100" i="1"/>
  <c r="O101" i="1"/>
  <c r="O102" i="1"/>
  <c r="O103" i="1"/>
  <c r="O104" i="1"/>
  <c r="K144" i="1" l="1"/>
  <c r="O198" i="1"/>
  <c r="O183" i="1"/>
  <c r="O182" i="1"/>
  <c r="O172" i="1"/>
  <c r="O171" i="1"/>
  <c r="O170" i="1"/>
  <c r="O160" i="1"/>
  <c r="O159" i="1"/>
  <c r="O158" i="1"/>
  <c r="O157" i="1"/>
  <c r="O156" i="1"/>
  <c r="O155" i="1"/>
  <c r="O154" i="1"/>
  <c r="O153" i="1"/>
  <c r="O152" i="1"/>
  <c r="O151" i="1"/>
  <c r="O150" i="1"/>
  <c r="O72" i="1"/>
  <c r="O54" i="1"/>
  <c r="O53" i="1"/>
  <c r="O52" i="1"/>
  <c r="O51" i="1"/>
  <c r="O50" i="1"/>
  <c r="O49" i="1"/>
  <c r="O48" i="1"/>
  <c r="O47" i="1"/>
  <c r="O46" i="1"/>
  <c r="O14" i="1"/>
  <c r="O68" i="1" l="1"/>
  <c r="O161" i="1"/>
  <c r="M166" i="1" l="1"/>
  <c r="I166" i="1"/>
  <c r="J166" i="1" l="1"/>
  <c r="K166" i="1"/>
  <c r="L166" i="1"/>
  <c r="H33" i="1" l="1"/>
  <c r="H34" i="1" l="1"/>
  <c r="K68" i="1" l="1"/>
  <c r="N2" i="2" l="1"/>
  <c r="K216" i="1" l="1"/>
  <c r="K249" i="1" l="1"/>
  <c r="F201" i="1"/>
  <c r="N201" i="1"/>
  <c r="F169" i="2"/>
  <c r="F175" i="2" s="1"/>
  <c r="N169" i="2"/>
  <c r="N175" i="2" s="1"/>
  <c r="P201" i="1"/>
  <c r="O201" i="1"/>
  <c r="M201" i="1"/>
  <c r="L201" i="1"/>
  <c r="K201" i="1"/>
  <c r="J201" i="1"/>
  <c r="I201" i="1"/>
  <c r="H201" i="1"/>
  <c r="G201" i="1"/>
  <c r="E201" i="1"/>
  <c r="F211" i="1" l="1"/>
  <c r="F213" i="1"/>
  <c r="P200" i="1"/>
  <c r="J200" i="1"/>
  <c r="H200" i="1"/>
  <c r="E200" i="1"/>
  <c r="P202" i="1" l="1"/>
  <c r="H202" i="1"/>
  <c r="E202" i="1"/>
  <c r="J202" i="1"/>
  <c r="M200" i="1"/>
  <c r="M202" i="1" s="1"/>
  <c r="T204" i="1" l="1"/>
  <c r="T206" i="1" s="1"/>
  <c r="T209" i="1" s="1"/>
  <c r="I200" i="1"/>
  <c r="I202" i="1" s="1"/>
  <c r="O200" i="1"/>
  <c r="O202" i="1" s="1"/>
  <c r="G200" i="1" l="1"/>
  <c r="G202" i="1" s="1"/>
  <c r="K200" i="1"/>
  <c r="K202" i="1" s="1"/>
  <c r="F188" i="1"/>
  <c r="N188" i="1"/>
  <c r="O188" i="1"/>
  <c r="M188" i="1"/>
  <c r="L188" i="1"/>
  <c r="K188" i="1"/>
  <c r="I188" i="1"/>
  <c r="G188" i="1"/>
  <c r="P187" i="1"/>
  <c r="J187" i="1"/>
  <c r="H187" i="1"/>
  <c r="H211" i="1" s="1"/>
  <c r="E187" i="1"/>
  <c r="K204" i="1" l="1"/>
  <c r="K206" i="1" s="1"/>
  <c r="L200" i="1"/>
  <c r="L202" i="1" s="1"/>
  <c r="E188" i="1"/>
  <c r="E189" i="1" s="1"/>
  <c r="P188" i="1"/>
  <c r="P189" i="1" s="1"/>
  <c r="J188" i="1"/>
  <c r="J189" i="1" s="1"/>
  <c r="H188" i="1"/>
  <c r="H189" i="1" s="1"/>
  <c r="M187" i="1"/>
  <c r="M189" i="1" s="1"/>
  <c r="O187" i="1"/>
  <c r="T191" i="1" l="1"/>
  <c r="T193" i="1" s="1"/>
  <c r="T196" i="1" s="1"/>
  <c r="O189" i="1"/>
  <c r="K187" i="1"/>
  <c r="K189" i="1" s="1"/>
  <c r="I187" i="1"/>
  <c r="I189" i="1" s="1"/>
  <c r="K191" i="1" l="1"/>
  <c r="K193" i="1" s="1"/>
  <c r="L187" i="1"/>
  <c r="L189" i="1" s="1"/>
  <c r="G187" i="1"/>
  <c r="G189" i="1" s="1"/>
  <c r="F167" i="1" l="1"/>
  <c r="F212" i="1" s="1"/>
  <c r="N167" i="1"/>
  <c r="N212" i="1" s="1"/>
  <c r="P166" i="1"/>
  <c r="P211" i="1" s="1"/>
  <c r="N211" i="1"/>
  <c r="E211" i="1"/>
  <c r="E167" i="1" l="1"/>
  <c r="E212" i="1" s="1"/>
  <c r="H167" i="1"/>
  <c r="H212" i="1" s="1"/>
  <c r="H169" i="2"/>
  <c r="J167" i="1"/>
  <c r="J212" i="1" s="1"/>
  <c r="J169" i="2"/>
  <c r="P167" i="1"/>
  <c r="P212" i="1" s="1"/>
  <c r="P169" i="2"/>
  <c r="M211" i="1"/>
  <c r="N168" i="1"/>
  <c r="O166" i="1"/>
  <c r="O211" i="1" s="1"/>
  <c r="N213" i="1" l="1"/>
  <c r="P168" i="1"/>
  <c r="H168" i="1"/>
  <c r="E168" i="1"/>
  <c r="M167" i="1"/>
  <c r="M168" i="1" s="1"/>
  <c r="M169" i="2"/>
  <c r="O169" i="2"/>
  <c r="I211" i="1"/>
  <c r="G211" i="1"/>
  <c r="E213" i="1" l="1"/>
  <c r="M213" i="1"/>
  <c r="P213" i="1"/>
  <c r="T175" i="1"/>
  <c r="T177" i="1" s="1"/>
  <c r="T180" i="1" s="1"/>
  <c r="H213" i="1"/>
  <c r="M212" i="1"/>
  <c r="O167" i="1"/>
  <c r="O168" i="1" s="1"/>
  <c r="L211" i="1"/>
  <c r="O213" i="1" l="1"/>
  <c r="O212" i="1"/>
  <c r="K211" i="1" l="1"/>
  <c r="J168" i="1"/>
  <c r="J211" i="1"/>
  <c r="J213" i="1" l="1"/>
  <c r="F139" i="1" l="1"/>
  <c r="F222" i="1" s="1"/>
  <c r="F244" i="1" s="1"/>
  <c r="N139" i="1"/>
  <c r="N222" i="1" s="1"/>
  <c r="N244" i="1" s="1"/>
  <c r="F141" i="1"/>
  <c r="F224" i="1" s="1"/>
  <c r="F246" i="1" s="1"/>
  <c r="N141" i="1"/>
  <c r="N224" i="1" s="1"/>
  <c r="N246" i="1" s="1"/>
  <c r="F129" i="1"/>
  <c r="N129" i="1"/>
  <c r="P129" i="1"/>
  <c r="J129" i="1"/>
  <c r="H129" i="1"/>
  <c r="E129" i="1"/>
  <c r="P128" i="1"/>
  <c r="J128" i="1"/>
  <c r="H128" i="1"/>
  <c r="E128" i="1"/>
  <c r="E130" i="1" l="1"/>
  <c r="M129" i="1"/>
  <c r="H130" i="1"/>
  <c r="J130" i="1"/>
  <c r="P130" i="1"/>
  <c r="M128" i="1"/>
  <c r="T128" i="1" l="1"/>
  <c r="T130" i="1" s="1"/>
  <c r="T133" i="1" s="1"/>
  <c r="I129" i="1"/>
  <c r="O129" i="1"/>
  <c r="M130" i="1"/>
  <c r="O128" i="1"/>
  <c r="I128" i="1"/>
  <c r="G129" i="1" l="1"/>
  <c r="K129" i="1"/>
  <c r="L129" i="1"/>
  <c r="K128" i="1"/>
  <c r="O130" i="1"/>
  <c r="I130" i="1"/>
  <c r="L128" i="1"/>
  <c r="L130" i="1" l="1"/>
  <c r="K130" i="1"/>
  <c r="K132" i="1" s="1"/>
  <c r="G130" i="1"/>
  <c r="F84" i="1"/>
  <c r="F140" i="1" s="1"/>
  <c r="F223" i="1" s="1"/>
  <c r="F245" i="1" s="1"/>
  <c r="N84" i="1"/>
  <c r="K134" i="1" l="1"/>
  <c r="O84" i="1"/>
  <c r="M84" i="1"/>
  <c r="L84" i="1"/>
  <c r="K84" i="1"/>
  <c r="J84" i="1"/>
  <c r="I84" i="1"/>
  <c r="H84" i="1"/>
  <c r="G84" i="1"/>
  <c r="E84" i="1"/>
  <c r="P83" i="1"/>
  <c r="J83" i="1"/>
  <c r="H83" i="1"/>
  <c r="E83" i="1"/>
  <c r="P84" i="1" l="1"/>
  <c r="P85" i="1" s="1"/>
  <c r="P136" i="2"/>
  <c r="P175" i="2" s="1"/>
  <c r="O83" i="1"/>
  <c r="O85" i="1" s="1"/>
  <c r="J85" i="1"/>
  <c r="M83" i="1"/>
  <c r="M85" i="1" s="1"/>
  <c r="E85" i="1"/>
  <c r="H85" i="1"/>
  <c r="T83" i="1" s="1"/>
  <c r="T85" i="1" s="1"/>
  <c r="T88" i="1" s="1"/>
  <c r="I83" i="1" l="1"/>
  <c r="I85" i="1" s="1"/>
  <c r="L83" i="1" l="1"/>
  <c r="L85" i="1" s="1"/>
  <c r="G83" i="1"/>
  <c r="G85" i="1" s="1"/>
  <c r="K83" i="1"/>
  <c r="K85" i="1" s="1"/>
  <c r="N69" i="1"/>
  <c r="N140" i="1" s="1"/>
  <c r="N223" i="1" s="1"/>
  <c r="N245" i="1" s="1"/>
  <c r="P69" i="1"/>
  <c r="J69" i="1"/>
  <c r="H69" i="1"/>
  <c r="E69" i="1"/>
  <c r="P68" i="1"/>
  <c r="J68" i="1"/>
  <c r="H68" i="1"/>
  <c r="E68" i="1"/>
  <c r="M69" i="1" l="1"/>
  <c r="K87" i="1"/>
  <c r="K89" i="1" s="1"/>
  <c r="H70" i="1"/>
  <c r="T74" i="1" s="1"/>
  <c r="M68" i="1"/>
  <c r="P70" i="1"/>
  <c r="J70" i="1"/>
  <c r="E70" i="1"/>
  <c r="I68" i="1"/>
  <c r="T76" i="1" l="1"/>
  <c r="T79" i="1" s="1"/>
  <c r="I69" i="1"/>
  <c r="I70" i="1" s="1"/>
  <c r="O69" i="1"/>
  <c r="O70" i="1" s="1"/>
  <c r="M70" i="1"/>
  <c r="G69" i="1" l="1"/>
  <c r="K69" i="1"/>
  <c r="L68" i="1"/>
  <c r="G68" i="1"/>
  <c r="L69" i="1"/>
  <c r="K70" i="1" l="1"/>
  <c r="G70" i="1"/>
  <c r="L70" i="1"/>
  <c r="K74" i="1" l="1"/>
  <c r="K76" i="1" s="1"/>
  <c r="E139" i="1"/>
  <c r="E222" i="1" s="1"/>
  <c r="E244" i="1" s="1"/>
  <c r="J33" i="1" l="1"/>
  <c r="J139" i="1" s="1"/>
  <c r="J222" i="1" s="1"/>
  <c r="J244" i="1" s="1"/>
  <c r="J136" i="2" l="1"/>
  <c r="J175" i="2" s="1"/>
  <c r="H136" i="2" l="1"/>
  <c r="H175" i="2" s="1"/>
  <c r="P33" i="1" l="1"/>
  <c r="P139" i="1" s="1"/>
  <c r="P222" i="1" s="1"/>
  <c r="P244" i="1" s="1"/>
  <c r="P34" i="1" l="1"/>
  <c r="E34" i="1"/>
  <c r="H139" i="1"/>
  <c r="J34" i="1"/>
  <c r="J140" i="1" s="1"/>
  <c r="J223" i="1" s="1"/>
  <c r="J245" i="1" s="1"/>
  <c r="H222" i="1" l="1"/>
  <c r="H244" i="1" s="1"/>
  <c r="H140" i="1"/>
  <c r="H223" i="1" s="1"/>
  <c r="H245" i="1" s="1"/>
  <c r="H35" i="1"/>
  <c r="E35" i="1"/>
  <c r="E140" i="1"/>
  <c r="E223" i="1" s="1"/>
  <c r="E245" i="1" s="1"/>
  <c r="P35" i="1"/>
  <c r="P140" i="1"/>
  <c r="P223" i="1" s="1"/>
  <c r="P245" i="1" s="1"/>
  <c r="J35" i="1"/>
  <c r="J141" i="1" l="1"/>
  <c r="J224" i="1" s="1"/>
  <c r="J246" i="1" s="1"/>
  <c r="P141" i="1"/>
  <c r="P224" i="1" s="1"/>
  <c r="P246" i="1" s="1"/>
  <c r="E141" i="1"/>
  <c r="E224" i="1" s="1"/>
  <c r="E246" i="1" s="1"/>
  <c r="T39" i="1"/>
  <c r="T41" i="1" s="1"/>
  <c r="T44" i="1" s="1"/>
  <c r="M34" i="1"/>
  <c r="M136" i="2"/>
  <c r="M175" i="2" s="1"/>
  <c r="O34" i="1"/>
  <c r="O140" i="1" s="1"/>
  <c r="O223" i="1" s="1"/>
  <c r="O245" i="1" s="1"/>
  <c r="O136" i="2"/>
  <c r="O175" i="2" s="1"/>
  <c r="G34" i="1"/>
  <c r="G140" i="1" s="1"/>
  <c r="G136" i="2"/>
  <c r="H141" i="1"/>
  <c r="H224" i="1" s="1"/>
  <c r="H252" i="1" l="1"/>
  <c r="H254" i="1" s="1"/>
  <c r="H257" i="1" s="1"/>
  <c r="H246" i="1"/>
  <c r="M140" i="1"/>
  <c r="M223" i="1" s="1"/>
  <c r="M245" i="1" s="1"/>
  <c r="L34" i="1"/>
  <c r="L140" i="1" s="1"/>
  <c r="L136" i="2"/>
  <c r="I34" i="1"/>
  <c r="I140" i="1" s="1"/>
  <c r="I136" i="2"/>
  <c r="K34" i="1"/>
  <c r="K140" i="1" s="1"/>
  <c r="K136" i="2"/>
  <c r="O33" i="1" l="1"/>
  <c r="M33" i="1"/>
  <c r="M139" i="1" s="1"/>
  <c r="M222" i="1" s="1"/>
  <c r="M244" i="1" s="1"/>
  <c r="K33" i="1" l="1"/>
  <c r="I33" i="1"/>
  <c r="O35" i="1"/>
  <c r="O139" i="1"/>
  <c r="O222" i="1" s="1"/>
  <c r="O244" i="1" s="1"/>
  <c r="M35" i="1"/>
  <c r="M141" i="1" l="1"/>
  <c r="M224" i="1" s="1"/>
  <c r="M246" i="1" s="1"/>
  <c r="O141" i="1"/>
  <c r="O224" i="1" s="1"/>
  <c r="O246" i="1" s="1"/>
  <c r="I35" i="1"/>
  <c r="I139" i="1"/>
  <c r="I222" i="1" s="1"/>
  <c r="I244" i="1" s="1"/>
  <c r="G33" i="1"/>
  <c r="L33" i="1"/>
  <c r="K139" i="1"/>
  <c r="K222" i="1" s="1"/>
  <c r="K244" i="1" s="1"/>
  <c r="K35" i="1"/>
  <c r="K39" i="1" s="1"/>
  <c r="I141" i="1" l="1"/>
  <c r="K141" i="1"/>
  <c r="L139" i="1"/>
  <c r="L222" i="1" s="1"/>
  <c r="L244" i="1" s="1"/>
  <c r="L35" i="1"/>
  <c r="G35" i="1"/>
  <c r="G139" i="1"/>
  <c r="G222" i="1" s="1"/>
  <c r="G244" i="1" s="1"/>
  <c r="K143" i="1" l="1"/>
  <c r="K41" i="1"/>
  <c r="L141" i="1"/>
  <c r="G141" i="1"/>
  <c r="K145" i="1" l="1"/>
  <c r="I151" i="2"/>
  <c r="I169" i="2" s="1"/>
  <c r="I175" i="2" s="1"/>
  <c r="G151" i="2"/>
  <c r="G169" i="2" s="1"/>
  <c r="G175" i="2" s="1"/>
  <c r="L145" i="2"/>
  <c r="L151" i="2" s="1"/>
  <c r="K145" i="2"/>
  <c r="K151" i="2" s="1"/>
  <c r="I167" i="1" l="1"/>
  <c r="I212" i="1" s="1"/>
  <c r="I223" i="1" s="1"/>
  <c r="I245" i="1" s="1"/>
  <c r="K169" i="2"/>
  <c r="K175" i="2" s="1"/>
  <c r="K167" i="1"/>
  <c r="L169" i="2"/>
  <c r="L175" i="2" s="1"/>
  <c r="L167" i="1"/>
  <c r="G167" i="1"/>
  <c r="G212" i="1" l="1"/>
  <c r="G223" i="1" s="1"/>
  <c r="G245" i="1" s="1"/>
  <c r="G168" i="1"/>
  <c r="L212" i="1"/>
  <c r="L223" i="1" s="1"/>
  <c r="L245" i="1" s="1"/>
  <c r="L168" i="1"/>
  <c r="K212" i="1"/>
  <c r="K223" i="1" s="1"/>
  <c r="K245" i="1" s="1"/>
  <c r="K168" i="1"/>
  <c r="L213" i="1" l="1"/>
  <c r="L224" i="1" s="1"/>
  <c r="L246" i="1" s="1"/>
  <c r="K213" i="1"/>
  <c r="K224" i="1" s="1"/>
  <c r="K246" i="1" s="1"/>
  <c r="K175" i="1"/>
  <c r="G213" i="1"/>
  <c r="G224" i="1" s="1"/>
  <c r="G246" i="1" s="1"/>
  <c r="I168" i="1"/>
  <c r="I213" i="1" l="1"/>
  <c r="I224" i="1" s="1"/>
  <c r="I246" i="1" s="1"/>
  <c r="K215" i="1"/>
  <c r="K177" i="1"/>
  <c r="K217" i="1" l="1"/>
  <c r="K226" i="1"/>
  <c r="K228" i="1" l="1"/>
  <c r="K248" i="1"/>
  <c r="K25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Tony Mueller</author>
    <author>Trista Kacerek</author>
  </authors>
  <commentList>
    <comment ref="E37" authorId="0" shapeId="0" xr:uid="{B1A341A7-EEB3-4F23-9119-06C3C8E91EC9}">
      <text>
        <r>
          <rPr>
            <b/>
            <sz val="9"/>
            <color indexed="81"/>
            <rFont val="Tahoma"/>
            <family val="2"/>
          </rPr>
          <t>Tony Mueller:</t>
        </r>
        <r>
          <rPr>
            <sz val="9"/>
            <color indexed="81"/>
            <rFont val="Tahoma"/>
            <family val="2"/>
          </rPr>
          <t xml:space="preserve">
From JCR Cell G39</t>
        </r>
      </text>
    </comment>
    <comment ref="H37" authorId="1" shapeId="0" xr:uid="{E62A58DF-3573-4221-B32B-24DF0C8CEBB0}">
      <text>
        <r>
          <rPr>
            <b/>
            <sz val="9"/>
            <color indexed="81"/>
            <rFont val="Tahoma"/>
            <family val="2"/>
          </rPr>
          <t>Tony Mueller:</t>
        </r>
        <r>
          <rPr>
            <sz val="9"/>
            <color indexed="81"/>
            <rFont val="Tahoma"/>
            <family val="2"/>
          </rPr>
          <t xml:space="preserve">
From JCR Cell H34</t>
        </r>
      </text>
    </comment>
    <comment ref="M37" authorId="0" shapeId="0" xr:uid="{1CE49146-E6ED-4702-B9A7-ADDBF8E6B374}">
      <text>
        <r>
          <rPr>
            <b/>
            <sz val="9"/>
            <color indexed="81"/>
            <rFont val="Tahoma"/>
            <family val="2"/>
          </rPr>
          <t>Tony Mueller:</t>
        </r>
        <r>
          <rPr>
            <sz val="9"/>
            <color indexed="81"/>
            <rFont val="Tahoma"/>
            <family val="2"/>
          </rPr>
          <t xml:space="preserve">
From JCR Cell K44
Took JCR total plus $617,760 in interest generated from escrow account plus</t>
        </r>
      </text>
    </comment>
  </commentList>
</comments>
</file>

<file path=xl/sharedStrings.xml><?xml version="1.0" encoding="utf-8"?>
<sst xmlns="http://schemas.openxmlformats.org/spreadsheetml/2006/main" count="911" uniqueCount="431">
  <si>
    <t>Job</t>
  </si>
  <si>
    <t>No.</t>
  </si>
  <si>
    <t>Description</t>
  </si>
  <si>
    <t>Project</t>
  </si>
  <si>
    <t>Contract</t>
  </si>
  <si>
    <t>Amount</t>
  </si>
  <si>
    <t>%</t>
  </si>
  <si>
    <t>Comp</t>
  </si>
  <si>
    <t>Total</t>
  </si>
  <si>
    <t>Cost</t>
  </si>
  <si>
    <t>Date</t>
  </si>
  <si>
    <t>Anticipated</t>
  </si>
  <si>
    <t>Profit</t>
  </si>
  <si>
    <t>Completion</t>
  </si>
  <si>
    <t>Change in</t>
  </si>
  <si>
    <t>Month:</t>
  </si>
  <si>
    <t>Revenue</t>
  </si>
  <si>
    <t>Remaining</t>
  </si>
  <si>
    <t>Customer and</t>
  </si>
  <si>
    <t>to Date</t>
  </si>
  <si>
    <t>Sup</t>
  </si>
  <si>
    <t>Est</t>
  </si>
  <si>
    <t>Curr Month</t>
  </si>
  <si>
    <t>Prior Month</t>
  </si>
  <si>
    <t>Variance</t>
  </si>
  <si>
    <t>Previous</t>
  </si>
  <si>
    <t>Profits</t>
  </si>
  <si>
    <t>Prior Year</t>
  </si>
  <si>
    <t>Current</t>
  </si>
  <si>
    <t>JL</t>
  </si>
  <si>
    <t>N/A</t>
  </si>
  <si>
    <t>Joe, VG, RB, PVT</t>
  </si>
  <si>
    <t>JV</t>
  </si>
  <si>
    <t>Stockton - RWCF Phase 2A/2B</t>
  </si>
  <si>
    <t>MS</t>
  </si>
  <si>
    <t xml:space="preserve">JV w/AECOM - Stockton - RWCF Phase 2A/2B </t>
  </si>
  <si>
    <t>JV w/AECOM - Stockton - RWCF Phase 2A/2B Overhead (JV)</t>
  </si>
  <si>
    <t>DC</t>
  </si>
  <si>
    <t>Union Sanitary Dist - Enhanced Trtmnt &amp; Site Upgrd Ph. 1A Aeration Basin Modifications</t>
  </si>
  <si>
    <t>RB/AH</t>
  </si>
  <si>
    <t>RB/MV</t>
  </si>
  <si>
    <t>MV</t>
  </si>
  <si>
    <t>CA Water Service Co. - S. San Francisco St 1-A Pump Replacement</t>
  </si>
  <si>
    <t>Union Sanitary Dist - USD Plant Misc. Improvements</t>
  </si>
  <si>
    <t>CA Water Service Co. - Bear Gulch Pump Station 18</t>
  </si>
  <si>
    <t>CA Water Service Co. - Bear Gulch Pump Station 21</t>
  </si>
  <si>
    <t>CA Water Service Co. - Bear Gulch Pump Station 14/29</t>
  </si>
  <si>
    <t>KS</t>
  </si>
  <si>
    <t>SS</t>
  </si>
  <si>
    <t>City of Colfax - WWTP Algae Reduction Project</t>
  </si>
  <si>
    <t>EG</t>
  </si>
  <si>
    <t>Olivehurst Plumas Lake Manganese Filter Expansion</t>
  </si>
  <si>
    <t>LP</t>
  </si>
  <si>
    <t>Silicon Valley Clean Water - FEP Improvements Project</t>
  </si>
  <si>
    <t>City of Lodi-Public Works Dept. - Aeration Diffusers Replacement Project</t>
  </si>
  <si>
    <t>VG</t>
  </si>
  <si>
    <t>National Carbon Technologies, LLC - Aymium Williams Production Facility</t>
  </si>
  <si>
    <t>Sacramento Co. Dept. of Water Resources - D49 Metro Air Park Storm Drain Pump Station Phase 2</t>
  </si>
  <si>
    <t>TBD</t>
  </si>
  <si>
    <t>Rocklin</t>
  </si>
  <si>
    <t>Area:</t>
  </si>
  <si>
    <t>Fresno</t>
  </si>
  <si>
    <t>Contractual</t>
  </si>
  <si>
    <t>Description and</t>
  </si>
  <si>
    <t>Customer</t>
  </si>
  <si>
    <t>Notes</t>
  </si>
  <si>
    <t>City of Santa Cruz - Graham Hill WTP Facility Improvements - Phase 1</t>
  </si>
  <si>
    <t>RM</t>
  </si>
  <si>
    <t>City of Santa Cruz - Graham Hill WTP Facility Improvements -Mgmt Chg Out</t>
  </si>
  <si>
    <t>City of Visalia - Water Reclamation Facility RPGS SCR System</t>
  </si>
  <si>
    <t>City of Modesto - Grayson Well 69</t>
  </si>
  <si>
    <t>DG</t>
  </si>
  <si>
    <t>KA</t>
  </si>
  <si>
    <t>TC</t>
  </si>
  <si>
    <t>Tesoro Viejo MMWC- WTP/WWTP/RWSP Phase B Expansion - Phase 1</t>
  </si>
  <si>
    <t>SF</t>
  </si>
  <si>
    <t>City of Atwater - Project No. 20-2, Well 20-A TCP Mitigation</t>
  </si>
  <si>
    <t>GK</t>
  </si>
  <si>
    <t>AKC</t>
  </si>
  <si>
    <t>City of Tulare - Well 4-3 Equipping &amp; I Drive Pipeline Proj.</t>
  </si>
  <si>
    <t>Gunner Ranch, Inc. - Well 1 Equipping and Site Improvements</t>
  </si>
  <si>
    <t>EB</t>
  </si>
  <si>
    <t>City of Huron - Water Treatment Plant Imp. Phase 2</t>
  </si>
  <si>
    <t>KSH</t>
  </si>
  <si>
    <t>Anaergia Technologies, LLC - Anaergia M1W Digester Mixing Project</t>
  </si>
  <si>
    <t xml:space="preserve">PR </t>
  </si>
  <si>
    <t>Root Creek Water Dist. - Groundwater Blending &amp; Arsenic</t>
  </si>
  <si>
    <t>City of Dos Palos - WTP Replacement Project</t>
  </si>
  <si>
    <t>California Water Service Co. - Salinas 77 Booster Station</t>
  </si>
  <si>
    <t>PR</t>
  </si>
  <si>
    <t>California Water Service Co. - Visalia Station 98 Water Storage Tank &amp; Booster Site</t>
  </si>
  <si>
    <t>MDA</t>
  </si>
  <si>
    <t>City of Santa Cruz - Graham Hill WTP Facility Improvements</t>
  </si>
  <si>
    <t>W.M. Lyles Co.</t>
  </si>
  <si>
    <t>JOB SUMMARIES BY AREA</t>
  </si>
  <si>
    <t>East Bay</t>
  </si>
  <si>
    <t>RB</t>
  </si>
  <si>
    <t>Bakersfield</t>
  </si>
  <si>
    <t>Semitropic WSD - Stored Water Recovery Unit Phase 2A, Amendment 8</t>
  </si>
  <si>
    <t>REA</t>
  </si>
  <si>
    <t>Laguna County Sanitation Dist. - Phase 1 Plant Upgrade</t>
  </si>
  <si>
    <t>Calif. Rail Bldrs LLC - North Kern WSD Canal 9-22 Relocation Project</t>
  </si>
  <si>
    <t>AH</t>
  </si>
  <si>
    <t>Calif. Rail Bldrs LLC - SWSD Distribution System Conflict</t>
  </si>
  <si>
    <t>RA</t>
  </si>
  <si>
    <t>CB</t>
  </si>
  <si>
    <t>CA Dept. of Corr. - Water Treatment Improvements</t>
  </si>
  <si>
    <t>DS</t>
  </si>
  <si>
    <t>City of Guadalupe - Highway 1 Lift Station</t>
  </si>
  <si>
    <t>Semitropic Water Storage Dist. - Amendment No. 22 JPP Valve Control Modification</t>
  </si>
  <si>
    <t>Semitropic Water Storage Dist. - Amendment No. 23 Raw Water Processing Plant Pipeline Replacement</t>
  </si>
  <si>
    <t>Semitropic Water Storage Dist. - Design &amp; Construction of the Central TCP Facility-Phase 1</t>
  </si>
  <si>
    <t>RF</t>
  </si>
  <si>
    <t>City of Bakersfield Public Works - Sewer Lift Station Rehabilitation</t>
  </si>
  <si>
    <t>Semitropic Water Storage Dist. - Emergency Radial Arm Gate Removal and Replacement</t>
  </si>
  <si>
    <t>Michael K. Nunley &amp; Assoc., Inc. - AMWC Sycamore &amp; NWT Budgeting</t>
  </si>
  <si>
    <t>Michael K. Nunley &amp; Assoc., Inc. - Waterton WTP Budgeting</t>
  </si>
  <si>
    <t>Teviston Community Services Dist. - Teviston Drought Resilience Water System Impr</t>
  </si>
  <si>
    <t>Northern Totals</t>
  </si>
  <si>
    <t>Murrieta</t>
  </si>
  <si>
    <t>JV w/Webcor &amp; Obayashi - Silverlake - LADWP</t>
  </si>
  <si>
    <t>AB</t>
  </si>
  <si>
    <t>MC</t>
  </si>
  <si>
    <t>Inland Empire Utilities - IEUA RP-5 Liquids Expans. &amp; Solids Treat. Facility</t>
  </si>
  <si>
    <t>JA</t>
  </si>
  <si>
    <t>ALL</t>
  </si>
  <si>
    <t>Inland Empire Utilities - IEUA RP-1 Flare Improvements</t>
  </si>
  <si>
    <t>TV</t>
  </si>
  <si>
    <t>JV w/AECOM - East County Adv. Water Purification Proj. - Package 1</t>
  </si>
  <si>
    <t>MM</t>
  </si>
  <si>
    <t>JV w/AECOM - East County AWP  Package 1 - Mgmt. Charge Out</t>
  </si>
  <si>
    <t>OH for 55.1200</t>
  </si>
  <si>
    <t>LA County Sanitation District - Oxygen Generation Project</t>
  </si>
  <si>
    <t xml:space="preserve">JV w/AECOM - East County Adv. Water Purification Proj. - Package 3 </t>
  </si>
  <si>
    <t>JV w/AECOM - East County AWP - Package 3 - Mgmt. Charge Out</t>
  </si>
  <si>
    <t>OH for 55.1204</t>
  </si>
  <si>
    <t>Eastern Municipal Water District - MVRWRF Plant 2B Equipping and Flow Diversion Project</t>
  </si>
  <si>
    <t>SM</t>
  </si>
  <si>
    <t>Anaergia Technologies - VVWRA - DAF 3 Replacement</t>
  </si>
  <si>
    <t>City of Corona - WRF 1 Aeration System Improvements</t>
  </si>
  <si>
    <t>IA</t>
  </si>
  <si>
    <t>Anaergia Technologies LLC - East County Package 5</t>
  </si>
  <si>
    <t>East County Advanced Water Purification Project - Package 1</t>
  </si>
  <si>
    <t xml:space="preserve">East County Advanced Water Purification Project - Package 3 </t>
  </si>
  <si>
    <t>LADWP Silverlake Storage Replacement Project</t>
  </si>
  <si>
    <t>Northern Closed Jobs Totals</t>
  </si>
  <si>
    <t>Northern Closed Jobs</t>
  </si>
  <si>
    <t>Southern Closed Jobs</t>
  </si>
  <si>
    <t>San Diego</t>
  </si>
  <si>
    <t>Los Angeles</t>
  </si>
  <si>
    <t>Los Angeles County Sanitation Dist. - Los Coyotes WRP Process Air Compressor Replacement</t>
  </si>
  <si>
    <t>DF</t>
  </si>
  <si>
    <t>Southern Totals</t>
  </si>
  <si>
    <t>Southern Closed Jobs Totals</t>
  </si>
  <si>
    <t>Northern &amp; Southern Construction Totals</t>
  </si>
  <si>
    <t>Company Activity</t>
  </si>
  <si>
    <t>Northern &amp; Southern Construction Closed Jobs Totals</t>
  </si>
  <si>
    <t>Root Creek Water Dist. - Ag Well 277 Conversion Project</t>
  </si>
  <si>
    <t>Semitropic Water Storage Dist. - Buena Vista Water Storage District Turnout Valve Repair</t>
  </si>
  <si>
    <t>Rocklin Totals this Month</t>
  </si>
  <si>
    <t>Rocklin Closed Job Total</t>
  </si>
  <si>
    <t>Rocklin Total</t>
  </si>
  <si>
    <t>Rocklin Totals this Month w/ JVs &amp; Closed Jobs</t>
  </si>
  <si>
    <t>Rocklin Prior Month Totals w/ JV's &amp; Closed Jobs</t>
  </si>
  <si>
    <t>Rocklin Current Month Changes w/ JV's &amp; Closed Jobs</t>
  </si>
  <si>
    <t>Fresno Totals this Month</t>
  </si>
  <si>
    <t>Fresno Closed Job Total</t>
  </si>
  <si>
    <t>Fresno Total</t>
  </si>
  <si>
    <t>Fresno Totals this Month w/ JVs &amp; Closed Jobs</t>
  </si>
  <si>
    <t>Fresno Prior Month Totals w/ JV's &amp; Closed Jobs</t>
  </si>
  <si>
    <t>Fresno Current Month Changes w/ JV's &amp; Closed Jobs</t>
  </si>
  <si>
    <t>East Bay Totals this Month</t>
  </si>
  <si>
    <t>East Bay Closed Job Total</t>
  </si>
  <si>
    <t>East Bay Total</t>
  </si>
  <si>
    <t>East Bay Totals this Month w/ JVs &amp; Closed Jobs</t>
  </si>
  <si>
    <t>East Bay Prior Month Totals w/ JV's &amp; Closed Jobs</t>
  </si>
  <si>
    <t>East Bay Current Month Changes w/ JV's &amp; Closed Jobs</t>
  </si>
  <si>
    <t>Bakersfield Totals this Month</t>
  </si>
  <si>
    <t>Bakersfield Closed Job Total</t>
  </si>
  <si>
    <t>Bakersfield Total</t>
  </si>
  <si>
    <t>Bakersfield Totals this Month w/ JVs &amp; Closed Jobs</t>
  </si>
  <si>
    <t>Bakersfield Prior Month Totals w/ JV's &amp; Closed Jobs</t>
  </si>
  <si>
    <t>Bakersfield Current Month Changes w/ JV's &amp; Closed Jobs</t>
  </si>
  <si>
    <t>Northern Totals this Month w/ JVs &amp; Closed Jobs</t>
  </si>
  <si>
    <t>Northern Prior Month Totals w/ JV's &amp; Closed Jobs</t>
  </si>
  <si>
    <t>Northern Current Month Changes w/ JV's &amp; Closed Jobs</t>
  </si>
  <si>
    <t>Murrieta Totals this Month</t>
  </si>
  <si>
    <t>Murrieta Closed Job Total</t>
  </si>
  <si>
    <t>Murrieta Totals</t>
  </si>
  <si>
    <t>Murrieta Totals this Month w/ JVs &amp; Closed Jobs</t>
  </si>
  <si>
    <t>Murrieta Prior Month Totals w/ JV's &amp; Closed Jobs</t>
  </si>
  <si>
    <t>Murrieta Current Month Changes w/ JV's &amp; Closed Jobs</t>
  </si>
  <si>
    <t>San Diego Totals this Month</t>
  </si>
  <si>
    <t>San Diego Closed Job Total</t>
  </si>
  <si>
    <t>San Diego Total</t>
  </si>
  <si>
    <t>San Diego Totals this Month w/ JVs &amp; Closed Jobs</t>
  </si>
  <si>
    <t>San Diego Prior Month Totals w/ JV's &amp; Closed Jobs</t>
  </si>
  <si>
    <t>San Diego Current Month Changes w/ JV's &amp; Closed Jobs</t>
  </si>
  <si>
    <t>Los Angeles Totals this Month</t>
  </si>
  <si>
    <t>Los Angeles Closed Job Total</t>
  </si>
  <si>
    <t>Los Angeles Total</t>
  </si>
  <si>
    <t>Los Angeles Totals this Month w/ JVs &amp; Closed Jobs</t>
  </si>
  <si>
    <t>Los Angeles Prior Month Totals w/ JV's &amp; Closed Jobs</t>
  </si>
  <si>
    <t>Los Angeles Current Month Changes w/ JV's &amp; Closed Jobs</t>
  </si>
  <si>
    <t>Southern Totals this Month</t>
  </si>
  <si>
    <t>Southern Closed Job Total</t>
  </si>
  <si>
    <t>Southern Total</t>
  </si>
  <si>
    <t>Southern Totals this Month w/ JVs &amp; Closed Jobs</t>
  </si>
  <si>
    <t>Southern Prior Month Totals w/ JV's &amp; Closed Jobs</t>
  </si>
  <si>
    <t>Southern Current Month Changes w/ JV's &amp; Closed Jobs</t>
  </si>
  <si>
    <t>Northern Closed Job Total</t>
  </si>
  <si>
    <t>Northern Total</t>
  </si>
  <si>
    <t>Northern Totals this Month</t>
  </si>
  <si>
    <t>Northern &amp; Southern Totals this Month</t>
  </si>
  <si>
    <t>Northern &amp; Southern Closed Job Total</t>
  </si>
  <si>
    <t>Northern &amp; Southern Total</t>
  </si>
  <si>
    <t>Northern &amp; Southern Totals this Month w/ JVs &amp; Closed Jobs</t>
  </si>
  <si>
    <t>Northern &amp; Southern Prior Month Totals w/ JV's &amp; Closed Jobs</t>
  </si>
  <si>
    <t>Northern &amp; Southern Current Month Changes w/ JV's &amp; Closed Jobs</t>
  </si>
  <si>
    <t>Moulton Niguel Water Dist. - Advanced Water Treatment Facility Salinity Management System - Ph 1</t>
  </si>
  <si>
    <t>City of Bakersfield Public Works - Wastewater Treatment Plant No. 3 Septage Processing Unit Rep</t>
  </si>
  <si>
    <t>Semitropic Water Storage Dist. - SWSD 2 Hydro Turbine Repair Project</t>
  </si>
  <si>
    <t>Santa Margarita Water Dist. - Oso Creek Water Reclamation Plant Optimization Project</t>
  </si>
  <si>
    <t>JS</t>
  </si>
  <si>
    <t>Linda County Water Dist. - Aeration Blower Replacement</t>
  </si>
  <si>
    <t>Granite Construction Co. - Granite Chumash Camp 4 Infrastructure Project</t>
  </si>
  <si>
    <t>Palmdale Water Dist. - Pure Water AV - Demonstration Facility</t>
  </si>
  <si>
    <t>JR</t>
  </si>
  <si>
    <t>Sonoma Valley County Sanitation Dist. - Sonoma Valley Influent Effluent Upgrade</t>
  </si>
  <si>
    <t>California Water Service Co. - Cal Water Salinas Station 33</t>
  </si>
  <si>
    <t>California Water Service Co. - Cal Water - Salinas Station 57</t>
  </si>
  <si>
    <t xml:space="preserve">Revenue generated by billing to 51.1108.  </t>
  </si>
  <si>
    <t>Mozingo Construction Inc - ElD Sly Park Intertie Project</t>
  </si>
  <si>
    <t>Keyes Community Services Dist. - TCP Treatment Impvmts Wells 7,8,9,10</t>
  </si>
  <si>
    <t>National Carbon Technologies, LLC - Aymium Williams Production Facility - Mgmt Chg Out</t>
  </si>
  <si>
    <t>City of Hanford - WWTP Standby Influent Pump Install</t>
  </si>
  <si>
    <t>City of Millbrae - Millbrae Sludge Thickener &amp;  Digester No. 2 Rehab Project</t>
  </si>
  <si>
    <t>North of River Sanitary Dist. No. 1 - Sanitary Sewer Rehab Package 21 Remove and Replace</t>
  </si>
  <si>
    <t>California Water Service Co. - Cal Water - King City Station 10</t>
  </si>
  <si>
    <t>Gunner Ranch, Inc. - CSA 22C Tank and PW2 Site Improvements</t>
  </si>
  <si>
    <t>City of Bakersfield Public Works - WWTP 3 Digester Gas Booster Blower Replacement Project</t>
  </si>
  <si>
    <t>Nipomo Community Service Dist. - Water Project Interconnection Improvements</t>
  </si>
  <si>
    <t>Tehachapi-Cummings County  Water District - DB – Replace Diesel Engines PP2 and PP3</t>
  </si>
  <si>
    <t>Anaergia Technologies LLC - City of Riverside - Digester 5 Rehabilitation</t>
  </si>
  <si>
    <t xml:space="preserve">Profit fade is a result of exceleration of the buildings to complete by Jan '25. Paying for subcontractors to work extended hours and weekends -$250k plus an additional -200k in reimbursable change order work in negotiations with Owner (tracking $400k allowing for 50% recovery). Added another -$100k for future sub accel to complete buildings on time. Overall project impacts on buildings alone due to design/misc. issues  - $1.6m. See project narrative for more details. </t>
  </si>
  <si>
    <t>North of River Sanitary Dist. No. 1 - Sanitary Sewer Rehabilitation Package A</t>
  </si>
  <si>
    <t>Kern Water Bank Authority - Construct New Well 18P01</t>
  </si>
  <si>
    <t>Arvin Edison Water Storage Dist. - Forrest Frick Valve Replacement</t>
  </si>
  <si>
    <t>Kern Water Bank Authority - Cut In Valve at Well 18R01</t>
  </si>
  <si>
    <t>California Water Service Co. - Northeast Plant Lift Station Pipe Repair</t>
  </si>
  <si>
    <t>Kern Water Bank Authority - Install Canal Valve at Well 17P01</t>
  </si>
  <si>
    <t>Kern Water Bank Authority - Install Canal Valve at Well 20A01</t>
  </si>
  <si>
    <t>Kern Water Bank Authority - Install Canal Valve at Well 20C01</t>
  </si>
  <si>
    <t>Kern Water Bank Authority - Install Canal Valve at Well 21A02</t>
  </si>
  <si>
    <t>Kern Water Bank Authority - Install Canal Valve at Well 16J01</t>
  </si>
  <si>
    <t>Kern Water Bank Authority - Install Canal Valve at Well 15N01</t>
  </si>
  <si>
    <t>Kern Water Bank Authority - Install Canal Valve at Well 20L01</t>
  </si>
  <si>
    <t>Inland Empire Utilities - IEUA - RP-1 Solids Thickening Project - EN22044</t>
  </si>
  <si>
    <t>RH</t>
  </si>
  <si>
    <t>Laguna County Sanitation Dist. - WWTP Storage Pond Slide Gates Replacement</t>
  </si>
  <si>
    <t>Arvin Edison Water Storage Dist. - Frick Unit - Phase I Turnout</t>
  </si>
  <si>
    <t>City of Orange Cove - Orange Cove West Clarifier T&amp;M</t>
  </si>
  <si>
    <t>Root Creek Water Dist. - Groundwater - 48-Inch RCP Repair</t>
  </si>
  <si>
    <t>North of River Sanitary Dist. No. 1 - WWTP Digester Gas Scrubber Vessel and Effluent Storage Pond</t>
  </si>
  <si>
    <t>Cawelo Water Dist. - Remove and Replace 24” and 18” Well Line</t>
  </si>
  <si>
    <t>City of Pismo Beach Community Development Dept. - WWTP Clarifier Equipment Replacement</t>
  </si>
  <si>
    <t>North of River Sanitary Dist. No. 1 - Wilson Ave Sewer Repair</t>
  </si>
  <si>
    <t>California Water Service Co. - PFAS Treatment Program Project</t>
  </si>
  <si>
    <t>Anaergia Technologies LLC - VVWRA Digester Dome No. 1 Repair</t>
  </si>
  <si>
    <t>City of Chowchilla - Well 15 &amp; Generator Improvement Projects</t>
  </si>
  <si>
    <t>Through JV Amendment 4</t>
  </si>
  <si>
    <t>Used March 2024 JV - WML Adjusted Finanicals, Note Schedule showing project now -79 float behind as a result of push on 90% Design Review and resulting 100% Design efforts, likely City will reduce some of their review or negotiation period to reduce this</t>
  </si>
  <si>
    <t>FISCAL YEAR ENDING 12/31/25</t>
  </si>
  <si>
    <t>Rocklin Overhead 2025</t>
  </si>
  <si>
    <t>Rocklin Estimating 2025</t>
  </si>
  <si>
    <t>Fresno Overhead 2025</t>
  </si>
  <si>
    <t>Fresno Estimating 2025</t>
  </si>
  <si>
    <t>Malaga County Water Dist. - Malaga County Water District</t>
  </si>
  <si>
    <t>California Water Service Co. - Salinas Station 205</t>
  </si>
  <si>
    <t>New England Sheet Metal and Mechanical Co. - Valley Children's Hospital NESM Trench Limits</t>
  </si>
  <si>
    <t>City of Sanger - Public Works Dept. - City of Sanger WWTP- Remove and Install Valves T&amp;M</t>
  </si>
  <si>
    <t>City of Dinuba - WWTP Rake Replacement</t>
  </si>
  <si>
    <t>County of Fresno - Quail Lakes Repair at Bodega Bay Rd</t>
  </si>
  <si>
    <t>East Bay Overhead 2025</t>
  </si>
  <si>
    <t>City of Guadalupe - Effluent Pump Station Flow Meter Installation</t>
  </si>
  <si>
    <t>Semitropic Water Storage Dist. - Pond Poso Pumping Plant Pipe Repair</t>
  </si>
  <si>
    <t>Bakersfield Overhead 2025</t>
  </si>
  <si>
    <t>Bakersfield Estimating 2025</t>
  </si>
  <si>
    <t>City of Guadalupe - Guadalupe Pioneer Lift Station Replacement</t>
  </si>
  <si>
    <t>City of Santa Maria - WWTP Trickling Filter Repairs</t>
  </si>
  <si>
    <t>City of Santa Maria - WWTP Clarifier Repairs</t>
  </si>
  <si>
    <t>Semitropic Water Storage Dist. - Delta System Pipe Repair</t>
  </si>
  <si>
    <t>Cawelo Water Dist. - CWD Pump Station Pipe Repair</t>
  </si>
  <si>
    <t>Kern Sanitation Authority - KSA Trickling Filter Bracket Replacement</t>
  </si>
  <si>
    <t>Laguna County Sanitation Dist. - Laguna WWTP Flow Meter FIT-7000 Replacement</t>
  </si>
  <si>
    <t>Semitropic Water Storage Dist. - Amendment No. 19 Operate 300 CFS RWPP 2025</t>
  </si>
  <si>
    <t>Shafter-Wasco Irrigation Dist. - 7th Street Pipe Repair</t>
  </si>
  <si>
    <t>Westside Water Authority - Pump Station A - Electrical Controls and Civil</t>
  </si>
  <si>
    <t>Kern Valley State Prison - Arsenic Pipe Leak Repair</t>
  </si>
  <si>
    <t>Murrieta Overhead 2025</t>
  </si>
  <si>
    <t>Murrieta Estimating 2025</t>
  </si>
  <si>
    <t>Woodard &amp; Curran, Inc. - VVWRA Magnesium Hydroxide Feed System Upgrade</t>
  </si>
  <si>
    <t>San Diego Overhead 2025</t>
  </si>
  <si>
    <t>San Diego Estimating 2025</t>
  </si>
  <si>
    <t>Los Angeles Overhead 2025</t>
  </si>
  <si>
    <t>Los Angeles Estimating 2025</t>
  </si>
  <si>
    <t>East Bay Estimating 2026</t>
  </si>
  <si>
    <t>JG</t>
  </si>
  <si>
    <t>TM</t>
  </si>
  <si>
    <t>JJM</t>
  </si>
  <si>
    <t xml:space="preserve">Waiting on Cummins (owner furnished equipment), to complete their commissioning.  </t>
  </si>
  <si>
    <t>New England Sheet Metal and Mechanical Co. - VCH Service Meter Connections</t>
  </si>
  <si>
    <t>New England Sheet Metal and Mechanical Co. - Clovis South T&amp;M</t>
  </si>
  <si>
    <t>Pixley Public Utility District - Pixley WWTF - STM-Aerotor Repair</t>
  </si>
  <si>
    <t>Lyles Services Co. - LSC GO Trash Enclosure</t>
  </si>
  <si>
    <t>City of Santa Maria - Santa Maria WWTP Digester Pipe Modifications</t>
  </si>
  <si>
    <t>Arvin Edison Water Storage Dist. - Tejon Spreading Ground Pipe Installation</t>
  </si>
  <si>
    <t>Arvin Edison Water Storage Dist. - Bar Screen Concrete Collection Pads</t>
  </si>
  <si>
    <t>AC</t>
  </si>
  <si>
    <t>Kern County Water Agency - Well 38 &amp; 39 Well Equipping Project</t>
  </si>
  <si>
    <t>El Dorado Irrigation Dist. - EID Reservoir A WTP Backwash-to-waste Valve Repalcement</t>
  </si>
  <si>
    <t>American Paving Co. - Hot Tap for APC- Tule River Parkway</t>
  </si>
  <si>
    <t>City of Atascadero - Atascadero Lift Stations 4 &amp; 11 Rehab Project</t>
  </si>
  <si>
    <t>Arvin Edison Water Storage Dist. - HQ Concrete R&amp;R</t>
  </si>
  <si>
    <t>Arvin Edison Water Storage Dist. - Tejon Spreading Grounds Basin Repairs</t>
  </si>
  <si>
    <t>East Niles Community Service Dist. - Freeway Tank and College Ave Repairs</t>
  </si>
  <si>
    <t>City of Arvin - Haven Drive Lateral Repair</t>
  </si>
  <si>
    <t>Schneider Electric - City of Ceres WWTP Phase 1- Schneider Electric</t>
  </si>
  <si>
    <t>City of Tulare - Industrial WWTP Dewatering Improvements</t>
  </si>
  <si>
    <t xml:space="preserve">Through change order 111 minus 2, 29, 58, 78, 84 &amp; 99. Increase in profits to date are realized buyout items and VE ideas gains. Problem with material delivery delayed the project. Profit projection includes the project realized gains (buyout/VE/profits) and projected losses due to delay. </t>
  </si>
  <si>
    <t>Project being performed for AEWSD at reduced mark-up to keep crews busy</t>
  </si>
  <si>
    <t>City of Hanford - WWTP Repair T&amp;M</t>
  </si>
  <si>
    <t>Lyles Services Co. - LSC GO Misc. Work</t>
  </si>
  <si>
    <t>Lakeside Ditch Co. - Lakeland Radial Gate Repair (T&amp;M)</t>
  </si>
  <si>
    <t>Semitropic Water Storage Dist. - Pond Poso Pumping Plant Siphon Pipe Replacement Project</t>
  </si>
  <si>
    <t>Cawelo Water Dist. - Friant-Kern Canal Pump Station</t>
  </si>
  <si>
    <t>County of Santa Barbara Public Works - Laguna CSD  - C-Channel Installation</t>
  </si>
  <si>
    <t>City of Atascadero - Atascadero Lift Station 6 Pipe Replacement</t>
  </si>
  <si>
    <t>City of Galt Public Works - Industrial WWTP Expansion</t>
  </si>
  <si>
    <t>County of Fresno - 47 Water</t>
  </si>
  <si>
    <t>New England Sheet Metal and Mechanical Co. - FUSD Wilson Elementary T&amp;M</t>
  </si>
  <si>
    <t>County of Fresno - CSA 47 Egret Point Water Line Repair</t>
  </si>
  <si>
    <t>Mojave Groundwater Storage LLC - Mojave Water Bank Northern Pipeline Facilities Construction</t>
  </si>
  <si>
    <t>Arvin Edison Water Storage Dist. - FFPP Core Drilling</t>
  </si>
  <si>
    <t>JM</t>
  </si>
  <si>
    <t>Checking for final invoices, Should move to closed jobs next month</t>
  </si>
  <si>
    <t>Sacramento Area Sewer Dist. - SASD Influent Pump Nos. 2 and 5 Installation Project</t>
  </si>
  <si>
    <t>City of Hanford - WWTP Weld Repair T&amp;M 2</t>
  </si>
  <si>
    <t>Arvin Edison Water Storage Dist. - FFPP Modernization Concrete R&amp;R</t>
  </si>
  <si>
    <t>Lost Hills Utility Dist. - WTP Improvements</t>
  </si>
  <si>
    <t>Cawelo Water Dist. - Reuse of Produced Water</t>
  </si>
  <si>
    <t>Semitropic Water Storage Dist. - Pump Platform Replacement Project</t>
  </si>
  <si>
    <t>City of Riverside - RWQCP Emergency Repair</t>
  </si>
  <si>
    <t>Anaergia Technologies, LLC - East County Package 5 - Phase 1B</t>
  </si>
  <si>
    <t>EL</t>
  </si>
  <si>
    <t>JV w/AECOM - City of Banning - Wastewater Treatment Plant Recycled Water</t>
  </si>
  <si>
    <t>KG</t>
  </si>
  <si>
    <t>MR</t>
  </si>
  <si>
    <t xml:space="preserve">Owner reduction in scope, increased profit projection.  </t>
  </si>
  <si>
    <t>City of Visalia - Solids Handling Improvements Project</t>
  </si>
  <si>
    <t>California Water Service Co. - Visalia Station 200 - New Storage Tank &amp; Booster</t>
  </si>
  <si>
    <t>County of Fresno - Westside Water Tank and Pump Station</t>
  </si>
  <si>
    <t>Union Sanitary Dist. - Phase 1B Secondary Clarifiers</t>
  </si>
  <si>
    <t>Semitropic Water Storage Dist. - North Plant Emergency Repair</t>
  </si>
  <si>
    <t xml:space="preserve">Nipomo CSD Osage Emergency Waterline Repair </t>
  </si>
  <si>
    <t>SWID - Burbank St. Repair</t>
  </si>
  <si>
    <t>System Integration Totals this Month</t>
  </si>
  <si>
    <t>System Integration Closed Job Total</t>
  </si>
  <si>
    <t>System Integration Total</t>
  </si>
  <si>
    <t>System Integration Totals</t>
  </si>
  <si>
    <t>Infrastructure and System Integration Grand Totals</t>
  </si>
  <si>
    <t>System Integration Totals this Month w/ JVs &amp; Closed Jobs</t>
  </si>
  <si>
    <t>System Integration Prior Month Totals w/ JV's &amp; Closed Jobs</t>
  </si>
  <si>
    <t>System Integration Current Month Changes w/ JV's &amp; Closed Jobs</t>
  </si>
  <si>
    <t>Infrastructure &amp; System Integration Totals this Month w/ JVs &amp; Closed Jobs</t>
  </si>
  <si>
    <t>Infrastructure &amp; System Integration Prior Month Totals w/ JV's &amp; Closed Jobs</t>
  </si>
  <si>
    <t>Infrastructure &amp; System Integration Current Month Changes w/ JV's &amp; Closed Jobs</t>
  </si>
  <si>
    <t>City of Chico - Chico Primary Clarifiers No. 1-3 Rehabilitation Project</t>
  </si>
  <si>
    <t>County of Fresno - CSA 44A Wastewater Improvements</t>
  </si>
  <si>
    <t>County of Fresno - 47.1 Water</t>
  </si>
  <si>
    <t>City of Dinuba - WWTP Bar Screen Motor Bracket Repair</t>
  </si>
  <si>
    <t>Kern Water Bank Authority - Valve Replacement Parts</t>
  </si>
  <si>
    <t>Nipomo Community Service Dist. - Frontage Road Sewer Trunk Line</t>
  </si>
  <si>
    <t>Moorefield Construction Inc. - Hard Rock Tejon AEWSD Line Relocation</t>
  </si>
  <si>
    <t>Arvin Edison Water Storage Dist. - Sycamore Well 39 Earthwork</t>
  </si>
  <si>
    <t>Arvin Edison Water Storage Dist. - Tejon Well 102 Earthwork</t>
  </si>
  <si>
    <t>Anaergia Technologies LLC - City of Riverside - OPS</t>
  </si>
  <si>
    <t>Imperial Irrigation Dist. - El Centro Generating Station WWTP</t>
  </si>
  <si>
    <t>CT</t>
  </si>
  <si>
    <t>Hold at $0 profit, need to verify final numbers once project path is determined (go/no-go). Do not close WIP.</t>
  </si>
  <si>
    <t>CCO coming for control changes</t>
  </si>
  <si>
    <t>5 CCOs expected with +-10 Mo Time extension</t>
  </si>
  <si>
    <t>WIP - Do not close</t>
  </si>
  <si>
    <t>T&amp;M Repair - Leave open WIP</t>
  </si>
  <si>
    <t>Cawelo Water Dist. - Cawelo Diversion Structure Rehab</t>
  </si>
  <si>
    <t>California Water Service Co. - BK 147 Station Improvements</t>
  </si>
  <si>
    <t>GenerateUpcycle - Organics Waste Processing Facility</t>
  </si>
  <si>
    <t>Profit accounts for Phase 1 work.  Phase 2 may be subject to a loss</t>
  </si>
  <si>
    <t>Completetion date pushed back due to vessel design discrepancy</t>
  </si>
  <si>
    <t>For the 12 Months Period Ended 12/31/25</t>
  </si>
  <si>
    <t>CA Water Service Co. - Stockton Roofing</t>
  </si>
  <si>
    <t>California Water Service Co. - Tesoro Viejo ARV Replacement</t>
  </si>
  <si>
    <t>City of Visalia - Remove &amp; Replace Chain and Flight Mechanic</t>
  </si>
  <si>
    <t>New England Sheet Metal and Mechanical Co. - VCH Digging Water Line T&amp;M</t>
  </si>
  <si>
    <t>New England Sheet Metal and Mechanical Co. - Vitro Glass Plant Concrete Pad T&amp;M</t>
  </si>
  <si>
    <t>California Water Service Co. - Emergency PACL leak repair</t>
  </si>
  <si>
    <t>County of Santa Barbara-Public Works - Laguna WWTP WAS Pipe Modifications</t>
  </si>
  <si>
    <t>Nipomo Community Service Dist. - Tefft Emergency Pipe Repair</t>
  </si>
  <si>
    <t>Stage 1 Design is to be completed by 9/30/24 by PDB Agreement but is behind -20 days due to Owner Delay.  Stage 2 construction anticipated to begin 3/25 and complete by 12/20/26 and is seasonal</t>
  </si>
  <si>
    <t>All work has been completed.  Waiting on final change order to be processed.</t>
  </si>
  <si>
    <t>Please do not close at year-end REA applying consulting time</t>
  </si>
  <si>
    <t xml:space="preserve">Antcipating dispute on unpaid T&amp;M Change Order work.  </t>
  </si>
  <si>
    <t>Waiting on final Change Order to be executed to finalize contract value</t>
  </si>
  <si>
    <t xml:space="preserve">WML will need to relocate ARV due to survey error. Pursuing CO for remob.  </t>
  </si>
  <si>
    <t>Leave job open WIP</t>
  </si>
  <si>
    <t xml:space="preserve">JV w/AECOM - Veolia Water West Operating Services, Inc. - Rialto Solids Handling Design-Build Project </t>
  </si>
  <si>
    <t>Moved profits to JV Below</t>
  </si>
  <si>
    <t>Project has not started yet</t>
  </si>
  <si>
    <t>Phase 1 Design GMP to 100% - does not include Phase 2 Construction</t>
  </si>
  <si>
    <t>City of Yuba City - WTP Aquifer Storage and Recovery Well No. 3</t>
  </si>
  <si>
    <t>Pump accepted will close when invoice clears ---- Per Dave S., no December billing</t>
  </si>
  <si>
    <t>Includes December JV Financials</t>
  </si>
  <si>
    <t xml:space="preserve">We demobilized in early November. All in, the Project has the potential to be $20m ($18.2 51.1146 + $1.8 51.1155).  This does not include potential greivence settletmens or setttling up with Amyium.  Based on all this, the December projection is $15.0m. We are holding back -$1m for Union grievances and another -$2m for other open issues w/ Amyium regarding their refusal to release retention. </t>
  </si>
  <si>
    <r>
      <t>Through Amendment 23.  Includes anticipated profits from the 3% OH generated from the issued JV's SC's &amp; PA's less credit back for management 50hr vs 40hr. Completion date listed for building completion</t>
    </r>
    <r>
      <rPr>
        <sz val="10"/>
        <color rgb="FFFF0000"/>
        <rFont val="Calibri"/>
        <family val="2"/>
      </rPr>
      <t xml:space="preserve"> - minus 10% management OH credit back to JV.  Adjusted contract value to match anticipated reported on JV financials</t>
    </r>
  </si>
  <si>
    <t>Overhead To June 2027</t>
  </si>
  <si>
    <t>California Water Service Co. - Tesoro Viejo RWSP Liner Repair</t>
  </si>
  <si>
    <t xml:space="preserve">Reduced profits. Performing additional work on Odor Control System. Anaergia will be issuing an RFP which will increase the contract and put back the profits at a later date. </t>
  </si>
  <si>
    <t>January costs, will be billed in January</t>
  </si>
  <si>
    <t>Infrastructure &amp; System Integration Totals this Month</t>
  </si>
  <si>
    <t>Infrastructure &amp; System Integration Closed Job Total</t>
  </si>
  <si>
    <t>Infrastructure &amp; System Integration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</si>
</sst>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0.0%"/>
    <numFmt numFmtId="165" formatCode="[$-409]mmm\-yy;@"/>
    <numFmt numFmtId="166" formatCode="[$-409]mmmm\-yy;@"/>
    <numFmt numFmtId="167" formatCode="_(* #,##0_);_(* \(#,##0\);_(* &quot;-&quot;??_);_(@_)"/>
    <numFmt numFmtId="168" formatCode="0.0000"/>
  </numFmts>
  <fonts count="25">
    <font>
      <sz val="10"/>
      <name val="CG Omega"/>
    </font>
    <font>
      <sz val="11"/>
      <name val="CG Omega"/>
      <family val="2"/>
    </font>
    <font>
      <sz val="11"/>
      <name val="CG Omega"/>
      <family val="2"/>
    </font>
    <font>
      <sz val="10"/>
      <name val="CG Omega"/>
    </font>
    <font>
      <sz val="11"/>
      <color theme="1"/>
      <name val="CG Omeg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70C0"/>
      <name val="Calibri"/>
      <family val="2"/>
      <scheme val="minor"/>
    </font>
    <font>
      <sz val="10"/>
      <name val="Calibri"/>
      <family val="2"/>
    </font>
    <font>
      <sz val="10"/>
      <color theme="1"/>
      <name val="Calibri"/>
      <family val="2"/>
    </font>
    <font>
      <sz val="10"/>
      <color rgb="FFFF0000"/>
      <name val="Calibri"/>
      <family val="2"/>
    </font>
    <font>
      <sz val="11"/>
      <name val="CG Omega"/>
    </font>
    <font>
      <b/>
      <sz val="16"/>
      <name val="Arial"/>
      <family val="2"/>
    </font>
    <font>
      <b/>
      <sz val="12"/>
      <color rgb="FF00B050"/>
      <name val="Arial"/>
      <family val="2"/>
    </font>
    <font>
      <b/>
      <sz val="12"/>
      <name val="Arial"/>
      <family val="2"/>
    </font>
    <font>
      <sz val="11"/>
      <color rgb="FFFF0000"/>
      <name val="CG Omega"/>
    </font>
    <font>
      <sz val="11"/>
      <color rgb="FFFF0000"/>
      <name val="CG Omega"/>
      <family val="2"/>
    </font>
    <font>
      <sz val="8"/>
      <color theme="1"/>
      <name val="CG Omega"/>
      <family val="2"/>
    </font>
    <font>
      <b/>
      <sz val="11"/>
      <name val="CG Omega"/>
    </font>
    <font>
      <sz val="10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363">
    <xf numFmtId="0" fontId="0" fillId="0" borderId="0" xfId="0"/>
    <xf numFmtId="0" fontId="1" fillId="0" borderId="2" xfId="0" applyFont="1" applyBorder="1" applyAlignment="1">
      <alignment horizontal="center"/>
    </xf>
    <xf numFmtId="0" fontId="1" fillId="0" borderId="0" xfId="0" applyFont="1"/>
    <xf numFmtId="0" fontId="1" fillId="0" borderId="5" xfId="0" applyFont="1" applyBorder="1"/>
    <xf numFmtId="0" fontId="1" fillId="0" borderId="0" xfId="0" applyFont="1" applyAlignment="1">
      <alignment horizontal="center"/>
    </xf>
    <xf numFmtId="37" fontId="1" fillId="0" borderId="0" xfId="0" applyNumberFormat="1" applyFont="1"/>
    <xf numFmtId="41" fontId="1" fillId="0" borderId="0" xfId="0" applyNumberFormat="1" applyFont="1"/>
    <xf numFmtId="0" fontId="1" fillId="0" borderId="2" xfId="0" applyFont="1" applyBorder="1"/>
    <xf numFmtId="0" fontId="1" fillId="0" borderId="15" xfId="0" applyFont="1" applyBorder="1" applyAlignment="1">
      <alignment horizontal="center" vertical="center" wrapText="1"/>
    </xf>
    <xf numFmtId="164" fontId="1" fillId="0" borderId="15" xfId="0" applyNumberFormat="1" applyFont="1" applyBorder="1" applyAlignment="1">
      <alignment vertical="center"/>
    </xf>
    <xf numFmtId="37" fontId="1" fillId="0" borderId="15" xfId="0" applyNumberFormat="1" applyFont="1" applyBorder="1" applyAlignment="1">
      <alignment vertical="center"/>
    </xf>
    <xf numFmtId="37" fontId="2" fillId="0" borderId="15" xfId="0" applyNumberFormat="1" applyFont="1" applyBorder="1" applyAlignment="1">
      <alignment vertical="center"/>
    </xf>
    <xf numFmtId="166" fontId="1" fillId="0" borderId="2" xfId="0" applyNumberFormat="1" applyFont="1" applyBorder="1"/>
    <xf numFmtId="41" fontId="1" fillId="0" borderId="15" xfId="0" applyNumberFormat="1" applyFont="1" applyBorder="1" applyAlignment="1">
      <alignment vertical="center"/>
    </xf>
    <xf numFmtId="165" fontId="1" fillId="0" borderId="15" xfId="0" applyNumberFormat="1" applyFont="1" applyBorder="1" applyAlignment="1">
      <alignment horizontal="center" vertical="center"/>
    </xf>
    <xf numFmtId="37" fontId="4" fillId="0" borderId="15" xfId="0" applyNumberFormat="1" applyFont="1" applyBorder="1" applyAlignment="1">
      <alignment vertical="center"/>
    </xf>
    <xf numFmtId="0" fontId="7" fillId="0" borderId="15" xfId="0" applyFont="1" applyBorder="1" applyAlignment="1">
      <alignment horizontal="center" vertical="center" wrapText="1"/>
    </xf>
    <xf numFmtId="0" fontId="7" fillId="0" borderId="0" xfId="0" applyFont="1"/>
    <xf numFmtId="41" fontId="7" fillId="0" borderId="0" xfId="0" applyNumberFormat="1" applyFont="1"/>
    <xf numFmtId="0" fontId="7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8" fillId="0" borderId="0" xfId="0" applyFont="1" applyAlignment="1">
      <alignment horizontal="center"/>
    </xf>
    <xf numFmtId="165" fontId="7" fillId="0" borderId="2" xfId="0" quotePrefix="1" applyNumberFormat="1" applyFont="1" applyBorder="1"/>
    <xf numFmtId="0" fontId="7" fillId="0" borderId="2" xfId="0" applyFont="1" applyBorder="1"/>
    <xf numFmtId="0" fontId="7" fillId="0" borderId="0" xfId="0" applyFont="1" applyAlignment="1">
      <alignment wrapText="1"/>
    </xf>
    <xf numFmtId="41" fontId="9" fillId="0" borderId="0" xfId="0" applyNumberFormat="1" applyFont="1"/>
    <xf numFmtId="165" fontId="7" fillId="0" borderId="0" xfId="0" applyNumberFormat="1" applyFont="1"/>
    <xf numFmtId="164" fontId="7" fillId="0" borderId="15" xfId="0" applyNumberFormat="1" applyFont="1" applyBorder="1" applyAlignment="1">
      <alignment vertical="center"/>
    </xf>
    <xf numFmtId="37" fontId="10" fillId="0" borderId="15" xfId="0" applyNumberFormat="1" applyFont="1" applyBorder="1" applyAlignment="1">
      <alignment vertical="center"/>
    </xf>
    <xf numFmtId="37" fontId="7" fillId="0" borderId="15" xfId="0" applyNumberFormat="1" applyFont="1" applyBorder="1" applyAlignment="1">
      <alignment vertical="center"/>
    </xf>
    <xf numFmtId="0" fontId="7" fillId="0" borderId="15" xfId="0" applyFont="1" applyBorder="1" applyAlignment="1">
      <alignment horizontal="center" vertical="center"/>
    </xf>
    <xf numFmtId="41" fontId="7" fillId="0" borderId="15" xfId="0" applyNumberFormat="1" applyFont="1" applyBorder="1" applyAlignment="1">
      <alignment vertical="center"/>
    </xf>
    <xf numFmtId="167" fontId="7" fillId="0" borderId="15" xfId="1" applyNumberFormat="1" applyFont="1" applyFill="1" applyBorder="1" applyAlignment="1">
      <alignment vertical="center"/>
    </xf>
    <xf numFmtId="165" fontId="7" fillId="0" borderId="15" xfId="0" applyNumberFormat="1" applyFont="1" applyBorder="1" applyAlignment="1">
      <alignment horizontal="center" vertical="center"/>
    </xf>
    <xf numFmtId="37" fontId="7" fillId="0" borderId="0" xfId="0" applyNumberFormat="1" applyFont="1" applyAlignment="1">
      <alignment wrapText="1"/>
    </xf>
    <xf numFmtId="0" fontId="7" fillId="0" borderId="0" xfId="0" applyFont="1" applyAlignment="1">
      <alignment horizontal="left"/>
    </xf>
    <xf numFmtId="0" fontId="7" fillId="0" borderId="6" xfId="0" applyFont="1" applyBorder="1" applyAlignment="1">
      <alignment vertical="top" wrapText="1"/>
    </xf>
    <xf numFmtId="167" fontId="11" fillId="0" borderId="6" xfId="0" applyNumberFormat="1" applyFont="1" applyBorder="1" applyAlignment="1">
      <alignment vertical="top" wrapText="1"/>
    </xf>
    <xf numFmtId="37" fontId="7" fillId="0" borderId="6" xfId="0" applyNumberFormat="1" applyFont="1" applyBorder="1" applyAlignment="1">
      <alignment vertical="top" wrapText="1"/>
    </xf>
    <xf numFmtId="0" fontId="7" fillId="0" borderId="14" xfId="0" applyFont="1" applyBorder="1" applyAlignment="1">
      <alignment vertical="top" wrapText="1"/>
    </xf>
    <xf numFmtId="0" fontId="7" fillId="0" borderId="20" xfId="0" applyFont="1" applyBorder="1" applyAlignment="1">
      <alignment horizontal="left" vertical="top" wrapText="1"/>
    </xf>
    <xf numFmtId="43" fontId="11" fillId="0" borderId="20" xfId="0" applyNumberFormat="1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7" fillId="3" borderId="21" xfId="0" applyFont="1" applyFill="1" applyBorder="1" applyAlignment="1">
      <alignment horizontal="centerContinuous"/>
    </xf>
    <xf numFmtId="0" fontId="7" fillId="3" borderId="6" xfId="0" applyFont="1" applyFill="1" applyBorder="1" applyAlignment="1">
      <alignment horizontal="centerContinuous" vertical="top"/>
    </xf>
    <xf numFmtId="0" fontId="7" fillId="3" borderId="14" xfId="0" applyFont="1" applyFill="1" applyBorder="1" applyAlignment="1">
      <alignment horizontal="centerContinuous" vertical="top"/>
    </xf>
    <xf numFmtId="0" fontId="7" fillId="3" borderId="6" xfId="0" applyFont="1" applyFill="1" applyBorder="1" applyAlignment="1">
      <alignment horizontal="left" vertical="top"/>
    </xf>
    <xf numFmtId="43" fontId="7" fillId="3" borderId="6" xfId="0" applyNumberFormat="1" applyFont="1" applyFill="1" applyBorder="1" applyAlignment="1">
      <alignment horizontal="left" vertical="top"/>
    </xf>
    <xf numFmtId="0" fontId="7" fillId="3" borderId="22" xfId="0" applyFont="1" applyFill="1" applyBorder="1" applyAlignment="1">
      <alignment horizontal="left" vertical="top"/>
    </xf>
    <xf numFmtId="37" fontId="7" fillId="3" borderId="15" xfId="0" applyNumberFormat="1" applyFont="1" applyFill="1" applyBorder="1"/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left" vertical="center" indent="2"/>
    </xf>
    <xf numFmtId="41" fontId="7" fillId="0" borderId="0" xfId="0" applyNumberFormat="1" applyFont="1" applyAlignment="1">
      <alignment horizontal="left" vertical="top"/>
    </xf>
    <xf numFmtId="43" fontId="7" fillId="0" borderId="0" xfId="0" applyNumberFormat="1" applyFont="1" applyAlignment="1">
      <alignment horizontal="left" vertical="top"/>
    </xf>
    <xf numFmtId="37" fontId="7" fillId="0" borderId="0" xfId="0" applyNumberFormat="1" applyFont="1" applyAlignment="1">
      <alignment horizontal="left" vertical="top"/>
    </xf>
    <xf numFmtId="37" fontId="7" fillId="0" borderId="0" xfId="0" applyNumberFormat="1" applyFont="1"/>
    <xf numFmtId="167" fontId="7" fillId="0" borderId="0" xfId="0" applyNumberFormat="1" applyFont="1"/>
    <xf numFmtId="0" fontId="7" fillId="0" borderId="0" xfId="0" applyFont="1" applyAlignment="1">
      <alignment horizontal="right"/>
    </xf>
    <xf numFmtId="167" fontId="7" fillId="0" borderId="0" xfId="1" applyNumberFormat="1" applyFont="1" applyFill="1" applyBorder="1" applyAlignment="1">
      <alignment horizontal="right"/>
    </xf>
    <xf numFmtId="167" fontId="12" fillId="0" borderId="0" xfId="0" applyNumberFormat="1" applyFont="1"/>
    <xf numFmtId="167" fontId="7" fillId="0" borderId="7" xfId="0" applyNumberFormat="1" applyFont="1" applyBorder="1"/>
    <xf numFmtId="41" fontId="11" fillId="0" borderId="0" xfId="0" applyNumberFormat="1" applyFont="1"/>
    <xf numFmtId="37" fontId="13" fillId="0" borderId="23" xfId="0" applyNumberFormat="1" applyFont="1" applyBorder="1" applyAlignment="1">
      <alignment vertical="center"/>
    </xf>
    <xf numFmtId="37" fontId="13" fillId="0" borderId="15" xfId="0" applyNumberFormat="1" applyFont="1" applyBorder="1" applyAlignment="1">
      <alignment vertical="center"/>
    </xf>
    <xf numFmtId="0" fontId="13" fillId="0" borderId="15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left" vertical="center" wrapText="1"/>
    </xf>
    <xf numFmtId="37" fontId="13" fillId="0" borderId="15" xfId="0" applyNumberFormat="1" applyFont="1" applyBorder="1" applyAlignment="1">
      <alignment vertical="center" wrapText="1"/>
    </xf>
    <xf numFmtId="0" fontId="10" fillId="0" borderId="0" xfId="0" applyFont="1"/>
    <xf numFmtId="164" fontId="7" fillId="0" borderId="0" xfId="0" applyNumberFormat="1" applyFont="1"/>
    <xf numFmtId="0" fontId="7" fillId="6" borderId="9" xfId="0" applyFont="1" applyFill="1" applyBorder="1" applyAlignment="1">
      <alignment horizontal="center"/>
    </xf>
    <xf numFmtId="0" fontId="7" fillId="6" borderId="3" xfId="0" applyFont="1" applyFill="1" applyBorder="1" applyAlignment="1">
      <alignment horizontal="center"/>
    </xf>
    <xf numFmtId="0" fontId="7" fillId="6" borderId="10" xfId="0" applyFont="1" applyFill="1" applyBorder="1"/>
    <xf numFmtId="0" fontId="10" fillId="6" borderId="3" xfId="0" applyFont="1" applyFill="1" applyBorder="1"/>
    <xf numFmtId="164" fontId="7" fillId="6" borderId="3" xfId="0" applyNumberFormat="1" applyFont="1" applyFill="1" applyBorder="1"/>
    <xf numFmtId="0" fontId="7" fillId="6" borderId="3" xfId="0" applyFont="1" applyFill="1" applyBorder="1"/>
    <xf numFmtId="0" fontId="7" fillId="6" borderId="3" xfId="0" applyFont="1" applyFill="1" applyBorder="1" applyAlignment="1">
      <alignment horizontal="center" wrapText="1"/>
    </xf>
    <xf numFmtId="0" fontId="7" fillId="6" borderId="11" xfId="0" applyFont="1" applyFill="1" applyBorder="1" applyAlignment="1">
      <alignment horizontal="center"/>
    </xf>
    <xf numFmtId="0" fontId="7" fillId="6" borderId="4" xfId="0" applyFont="1" applyFill="1" applyBorder="1" applyAlignment="1">
      <alignment horizontal="center"/>
    </xf>
    <xf numFmtId="0" fontId="7" fillId="6" borderId="18" xfId="0" applyFont="1" applyFill="1" applyBorder="1" applyAlignment="1">
      <alignment horizontal="center"/>
    </xf>
    <xf numFmtId="0" fontId="10" fillId="6" borderId="4" xfId="0" applyFont="1" applyFill="1" applyBorder="1" applyAlignment="1">
      <alignment horizontal="center"/>
    </xf>
    <xf numFmtId="164" fontId="7" fillId="6" borderId="4" xfId="0" applyNumberFormat="1" applyFont="1" applyFill="1" applyBorder="1" applyAlignment="1">
      <alignment horizontal="center"/>
    </xf>
    <xf numFmtId="165" fontId="7" fillId="6" borderId="4" xfId="0" applyNumberFormat="1" applyFont="1" applyFill="1" applyBorder="1" applyAlignment="1">
      <alignment horizontal="center"/>
    </xf>
    <xf numFmtId="0" fontId="7" fillId="6" borderId="4" xfId="0" applyFont="1" applyFill="1" applyBorder="1" applyAlignment="1">
      <alignment horizontal="center" wrapText="1"/>
    </xf>
    <xf numFmtId="0" fontId="7" fillId="6" borderId="12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7" fillId="6" borderId="13" xfId="0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164" fontId="7" fillId="6" borderId="1" xfId="0" applyNumberFormat="1" applyFont="1" applyFill="1" applyBorder="1" applyAlignment="1">
      <alignment horizontal="center"/>
    </xf>
    <xf numFmtId="165" fontId="7" fillId="6" borderId="1" xfId="0" applyNumberFormat="1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 wrapText="1"/>
    </xf>
    <xf numFmtId="37" fontId="14" fillId="0" borderId="15" xfId="0" applyNumberFormat="1" applyFont="1" applyBorder="1" applyAlignment="1">
      <alignment vertical="center"/>
    </xf>
    <xf numFmtId="168" fontId="13" fillId="0" borderId="15" xfId="0" applyNumberFormat="1" applyFont="1" applyBorder="1" applyAlignment="1">
      <alignment horizontal="center" vertical="center"/>
    </xf>
    <xf numFmtId="168" fontId="7" fillId="0" borderId="15" xfId="0" applyNumberFormat="1" applyFont="1" applyBorder="1" applyAlignment="1">
      <alignment horizontal="center" vertical="center"/>
    </xf>
    <xf numFmtId="0" fontId="7" fillId="0" borderId="15" xfId="0" applyFont="1" applyBorder="1" applyAlignment="1">
      <alignment horizontal="left" vertical="center" wrapText="1"/>
    </xf>
    <xf numFmtId="10" fontId="10" fillId="0" borderId="15" xfId="0" applyNumberFormat="1" applyFont="1" applyBorder="1" applyAlignment="1">
      <alignment vertical="center"/>
    </xf>
    <xf numFmtId="165" fontId="10" fillId="0" borderId="15" xfId="0" quotePrefix="1" applyNumberFormat="1" applyFont="1" applyBorder="1" applyAlignment="1">
      <alignment horizontal="center" vertical="center"/>
    </xf>
    <xf numFmtId="37" fontId="7" fillId="0" borderId="15" xfId="0" applyNumberFormat="1" applyFont="1" applyBorder="1" applyAlignment="1">
      <alignment vertical="center" wrapText="1"/>
    </xf>
    <xf numFmtId="0" fontId="7" fillId="3" borderId="15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left"/>
    </xf>
    <xf numFmtId="0" fontId="7" fillId="3" borderId="15" xfId="0" applyFont="1" applyFill="1" applyBorder="1"/>
    <xf numFmtId="37" fontId="10" fillId="3" borderId="15" xfId="0" applyNumberFormat="1" applyFont="1" applyFill="1" applyBorder="1"/>
    <xf numFmtId="37" fontId="7" fillId="3" borderId="15" xfId="0" applyNumberFormat="1" applyFont="1" applyFill="1" applyBorder="1" applyAlignment="1">
      <alignment horizontal="center"/>
    </xf>
    <xf numFmtId="165" fontId="7" fillId="3" borderId="15" xfId="0" applyNumberFormat="1" applyFont="1" applyFill="1" applyBorder="1" applyAlignment="1">
      <alignment horizontal="center"/>
    </xf>
    <xf numFmtId="168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37" fontId="10" fillId="0" borderId="0" xfId="0" applyNumberFormat="1" applyFont="1" applyAlignment="1">
      <alignment vertical="center"/>
    </xf>
    <xf numFmtId="10" fontId="10" fillId="0" borderId="0" xfId="0" applyNumberFormat="1" applyFont="1" applyAlignment="1">
      <alignment vertical="center"/>
    </xf>
    <xf numFmtId="37" fontId="7" fillId="0" borderId="0" xfId="0" applyNumberFormat="1" applyFont="1" applyAlignment="1">
      <alignment vertical="center"/>
    </xf>
    <xf numFmtId="165" fontId="10" fillId="0" borderId="0" xfId="0" quotePrefix="1" applyNumberFormat="1" applyFont="1" applyAlignment="1">
      <alignment horizontal="center" vertical="center"/>
    </xf>
    <xf numFmtId="37" fontId="11" fillId="0" borderId="0" xfId="0" applyNumberFormat="1" applyFont="1" applyAlignment="1">
      <alignment vertical="center"/>
    </xf>
    <xf numFmtId="37" fontId="7" fillId="0" borderId="15" xfId="0" applyNumberFormat="1" applyFont="1" applyBorder="1" applyAlignment="1">
      <alignment horizontal="right" vertical="center"/>
    </xf>
    <xf numFmtId="39" fontId="10" fillId="0" borderId="0" xfId="0" applyNumberFormat="1" applyFont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/>
    <xf numFmtId="37" fontId="4" fillId="0" borderId="0" xfId="0" applyNumberFormat="1" applyFont="1"/>
    <xf numFmtId="168" fontId="16" fillId="0" borderId="15" xfId="0" applyNumberFormat="1" applyFont="1" applyBorder="1" applyAlignment="1">
      <alignment horizontal="center" vertical="center"/>
    </xf>
    <xf numFmtId="0" fontId="16" fillId="0" borderId="15" xfId="0" applyFont="1" applyBorder="1" applyAlignment="1">
      <alignment horizontal="left" vertical="center" wrapText="1"/>
    </xf>
    <xf numFmtId="10" fontId="4" fillId="0" borderId="15" xfId="0" applyNumberFormat="1" applyFont="1" applyBorder="1" applyAlignment="1">
      <alignment vertical="center"/>
    </xf>
    <xf numFmtId="165" fontId="4" fillId="0" borderId="15" xfId="0" quotePrefix="1" applyNumberFormat="1" applyFont="1" applyBorder="1" applyAlignment="1">
      <alignment horizontal="center" vertical="center"/>
    </xf>
    <xf numFmtId="0" fontId="17" fillId="0" borderId="0" xfId="0" applyFont="1" applyAlignment="1">
      <alignment horizontal="left"/>
    </xf>
    <xf numFmtId="0" fontId="18" fillId="0" borderId="0" xfId="0" applyFont="1"/>
    <xf numFmtId="0" fontId="19" fillId="0" borderId="0" xfId="0" applyFont="1"/>
    <xf numFmtId="164" fontId="1" fillId="0" borderId="0" xfId="0" applyNumberFormat="1" applyFont="1"/>
    <xf numFmtId="0" fontId="1" fillId="0" borderId="0" xfId="0" applyFont="1" applyAlignment="1">
      <alignment horizontal="left"/>
    </xf>
    <xf numFmtId="168" fontId="1" fillId="0" borderId="15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left" vertical="center" wrapText="1"/>
    </xf>
    <xf numFmtId="37" fontId="1" fillId="0" borderId="15" xfId="0" applyNumberFormat="1" applyFont="1" applyBorder="1" applyAlignment="1">
      <alignment vertical="center" wrapText="1"/>
    </xf>
    <xf numFmtId="37" fontId="1" fillId="0" borderId="0" xfId="0" applyNumberFormat="1" applyFont="1" applyAlignment="1">
      <alignment wrapText="1"/>
    </xf>
    <xf numFmtId="168" fontId="1" fillId="0" borderId="0" xfId="0" applyNumberFormat="1" applyFont="1" applyAlignment="1">
      <alignment horizontal="center" vertical="center"/>
    </xf>
    <xf numFmtId="10" fontId="4" fillId="0" borderId="0" xfId="0" applyNumberFormat="1" applyFont="1" applyAlignment="1">
      <alignment vertical="center"/>
    </xf>
    <xf numFmtId="37" fontId="1" fillId="0" borderId="0" xfId="0" applyNumberFormat="1" applyFont="1" applyAlignment="1">
      <alignment vertical="center"/>
    </xf>
    <xf numFmtId="37" fontId="21" fillId="0" borderId="0" xfId="0" applyNumberFormat="1" applyFont="1" applyAlignment="1">
      <alignment vertical="center"/>
    </xf>
    <xf numFmtId="39" fontId="4" fillId="0" borderId="0" xfId="0" applyNumberFormat="1" applyFont="1" applyAlignment="1">
      <alignment horizontal="center"/>
    </xf>
    <xf numFmtId="167" fontId="1" fillId="0" borderId="0" xfId="1" applyNumberFormat="1" applyFont="1" applyFill="1" applyBorder="1" applyAlignment="1">
      <alignment horizontal="left"/>
    </xf>
    <xf numFmtId="167" fontId="4" fillId="0" borderId="0" xfId="1" applyNumberFormat="1" applyFont="1" applyFill="1" applyBorder="1" applyAlignment="1">
      <alignment horizontal="left"/>
    </xf>
    <xf numFmtId="164" fontId="1" fillId="0" borderId="0" xfId="1" applyNumberFormat="1" applyFont="1" applyFill="1" applyBorder="1" applyAlignment="1">
      <alignment horizontal="left"/>
    </xf>
    <xf numFmtId="0" fontId="1" fillId="0" borderId="0" xfId="0" applyFont="1" applyAlignment="1">
      <alignment horizontal="left" wrapText="1"/>
    </xf>
    <xf numFmtId="167" fontId="1" fillId="0" borderId="0" xfId="1" applyNumberFormat="1" applyFont="1" applyFill="1" applyBorder="1"/>
    <xf numFmtId="4" fontId="22" fillId="0" borderId="0" xfId="0" applyNumberFormat="1" applyFont="1"/>
    <xf numFmtId="41" fontId="1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0" fontId="16" fillId="0" borderId="2" xfId="0" applyFont="1" applyBorder="1" applyAlignment="1">
      <alignment horizontal="center"/>
    </xf>
    <xf numFmtId="37" fontId="16" fillId="0" borderId="0" xfId="0" applyNumberFormat="1" applyFont="1"/>
    <xf numFmtId="0" fontId="16" fillId="0" borderId="0" xfId="0" applyFont="1"/>
    <xf numFmtId="0" fontId="16" fillId="0" borderId="0" xfId="0" applyFont="1" applyAlignment="1">
      <alignment wrapText="1"/>
    </xf>
    <xf numFmtId="164" fontId="14" fillId="0" borderId="15" xfId="0" applyNumberFormat="1" applyFont="1" applyBorder="1" applyAlignment="1">
      <alignment vertical="center"/>
    </xf>
    <xf numFmtId="37" fontId="14" fillId="0" borderId="15" xfId="0" applyNumberFormat="1" applyFont="1" applyBorder="1" applyAlignment="1">
      <alignment horizontal="right" vertical="center"/>
    </xf>
    <xf numFmtId="37" fontId="13" fillId="0" borderId="15" xfId="0" applyNumberFormat="1" applyFont="1" applyBorder="1" applyAlignment="1">
      <alignment horizontal="right" vertical="center"/>
    </xf>
    <xf numFmtId="37" fontId="15" fillId="0" borderId="15" xfId="0" applyNumberFormat="1" applyFont="1" applyBorder="1" applyAlignment="1">
      <alignment vertical="center" wrapText="1"/>
    </xf>
    <xf numFmtId="0" fontId="16" fillId="0" borderId="8" xfId="0" applyFont="1" applyBorder="1" applyAlignment="1">
      <alignment horizontal="center"/>
    </xf>
    <xf numFmtId="0" fontId="20" fillId="0" borderId="6" xfId="0" applyFont="1" applyBorder="1" applyAlignment="1">
      <alignment horizontal="left" wrapText="1"/>
    </xf>
    <xf numFmtId="0" fontId="16" fillId="0" borderId="6" xfId="0" applyFont="1" applyBorder="1" applyAlignment="1">
      <alignment horizontal="center" wrapText="1"/>
    </xf>
    <xf numFmtId="37" fontId="16" fillId="0" borderId="6" xfId="0" applyNumberFormat="1" applyFont="1" applyBorder="1" applyAlignment="1">
      <alignment wrapText="1"/>
    </xf>
    <xf numFmtId="0" fontId="16" fillId="0" borderId="20" xfId="0" applyFont="1" applyBorder="1" applyAlignment="1">
      <alignment wrapText="1"/>
    </xf>
    <xf numFmtId="0" fontId="16" fillId="0" borderId="6" xfId="0" applyFont="1" applyBorder="1"/>
    <xf numFmtId="37" fontId="16" fillId="0" borderId="6" xfId="0" applyNumberFormat="1" applyFont="1" applyBorder="1"/>
    <xf numFmtId="0" fontId="20" fillId="0" borderId="0" xfId="0" applyFont="1" applyAlignment="1">
      <alignment horizontal="left"/>
    </xf>
    <xf numFmtId="37" fontId="20" fillId="0" borderId="0" xfId="0" applyNumberFormat="1" applyFont="1"/>
    <xf numFmtId="0" fontId="20" fillId="0" borderId="0" xfId="0" applyFont="1" applyAlignment="1">
      <alignment wrapText="1"/>
    </xf>
    <xf numFmtId="37" fontId="10" fillId="3" borderId="16" xfId="0" applyNumberFormat="1" applyFont="1" applyFill="1" applyBorder="1"/>
    <xf numFmtId="37" fontId="7" fillId="3" borderId="16" xfId="0" applyNumberFormat="1" applyFont="1" applyFill="1" applyBorder="1"/>
    <xf numFmtId="37" fontId="14" fillId="0" borderId="0" xfId="0" applyNumberFormat="1" applyFont="1" applyAlignment="1">
      <alignment vertical="center"/>
    </xf>
    <xf numFmtId="0" fontId="13" fillId="0" borderId="0" xfId="0" applyFont="1" applyAlignment="1">
      <alignment horizontal="left" vertical="top" wrapText="1"/>
    </xf>
    <xf numFmtId="37" fontId="15" fillId="0" borderId="0" xfId="0" applyNumberFormat="1" applyFont="1" applyAlignment="1">
      <alignment horizontal="left" vertical="center" wrapText="1"/>
    </xf>
    <xf numFmtId="37" fontId="13" fillId="0" borderId="0" xfId="0" applyNumberFormat="1" applyFont="1" applyAlignment="1">
      <alignment horizontal="left" vertical="center" wrapText="1"/>
    </xf>
    <xf numFmtId="37" fontId="15" fillId="0" borderId="0" xfId="0" applyNumberFormat="1" applyFont="1" applyAlignment="1">
      <alignment vertical="center" wrapText="1"/>
    </xf>
    <xf numFmtId="37" fontId="13" fillId="0" borderId="0" xfId="0" applyNumberFormat="1" applyFont="1" applyAlignment="1">
      <alignment vertical="center" wrapText="1"/>
    </xf>
    <xf numFmtId="0" fontId="1" fillId="0" borderId="5" xfId="0" applyFont="1" applyBorder="1" applyAlignment="1">
      <alignment horizontal="center"/>
    </xf>
    <xf numFmtId="43" fontId="7" fillId="0" borderId="0" xfId="1" applyFont="1" applyFill="1" applyBorder="1"/>
    <xf numFmtId="166" fontId="4" fillId="0" borderId="0" xfId="0" applyNumberFormat="1" applyFont="1"/>
    <xf numFmtId="37" fontId="1" fillId="0" borderId="5" xfId="0" applyNumberFormat="1" applyFont="1" applyBorder="1"/>
    <xf numFmtId="0" fontId="10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 wrapText="1"/>
    </xf>
    <xf numFmtId="0" fontId="10" fillId="0" borderId="2" xfId="0" applyFont="1" applyBorder="1" applyAlignment="1">
      <alignment horizontal="center"/>
    </xf>
    <xf numFmtId="164" fontId="7" fillId="0" borderId="2" xfId="0" applyNumberFormat="1" applyFont="1" applyBorder="1" applyAlignment="1">
      <alignment horizontal="center"/>
    </xf>
    <xf numFmtId="165" fontId="7" fillId="0" borderId="2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 wrapText="1"/>
    </xf>
    <xf numFmtId="0" fontId="1" fillId="6" borderId="9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6" borderId="9" xfId="0" applyFont="1" applyFill="1" applyBorder="1"/>
    <xf numFmtId="0" fontId="1" fillId="6" borderId="10" xfId="0" applyFont="1" applyFill="1" applyBorder="1"/>
    <xf numFmtId="41" fontId="1" fillId="6" borderId="3" xfId="0" applyNumberFormat="1" applyFont="1" applyFill="1" applyBorder="1"/>
    <xf numFmtId="0" fontId="1" fillId="6" borderId="3" xfId="0" applyFont="1" applyFill="1" applyBorder="1"/>
    <xf numFmtId="0" fontId="1" fillId="6" borderId="7" xfId="0" applyFont="1" applyFill="1" applyBorder="1"/>
    <xf numFmtId="0" fontId="1" fillId="6" borderId="11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41" fontId="1" fillId="6" borderId="4" xfId="0" applyNumberFormat="1" applyFont="1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13" xfId="0" applyFont="1" applyFill="1" applyBorder="1" applyAlignment="1">
      <alignment horizontal="center"/>
    </xf>
    <xf numFmtId="41" fontId="1" fillId="6" borderId="1" xfId="0" applyNumberFormat="1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23" fillId="0" borderId="7" xfId="0" applyFont="1" applyBorder="1" applyAlignment="1">
      <alignment horizontal="center"/>
    </xf>
    <xf numFmtId="0" fontId="23" fillId="0" borderId="15" xfId="0" applyFont="1" applyBorder="1"/>
    <xf numFmtId="37" fontId="23" fillId="0" borderId="15" xfId="0" applyNumberFormat="1" applyFont="1" applyBorder="1"/>
    <xf numFmtId="0" fontId="23" fillId="0" borderId="0" xfId="0" applyFont="1"/>
    <xf numFmtId="37" fontId="10" fillId="0" borderId="0" xfId="0" applyNumberFormat="1" applyFont="1"/>
    <xf numFmtId="43" fontId="4" fillId="0" borderId="0" xfId="1" applyFont="1" applyFill="1" applyBorder="1"/>
    <xf numFmtId="0" fontId="7" fillId="0" borderId="0" xfId="0" applyFont="1" applyAlignment="1">
      <alignment horizontal="left" vertical="top" wrapText="1"/>
    </xf>
    <xf numFmtId="167" fontId="7" fillId="0" borderId="19" xfId="1" applyNumberFormat="1" applyFont="1" applyFill="1" applyBorder="1"/>
    <xf numFmtId="167" fontId="7" fillId="0" borderId="0" xfId="1" applyNumberFormat="1" applyFont="1" applyFill="1" applyBorder="1"/>
    <xf numFmtId="167" fontId="7" fillId="0" borderId="0" xfId="1" applyNumberFormat="1" applyFont="1"/>
    <xf numFmtId="43" fontId="7" fillId="0" borderId="0" xfId="1" applyFont="1"/>
    <xf numFmtId="41" fontId="7" fillId="5" borderId="15" xfId="0" applyNumberFormat="1" applyFont="1" applyFill="1" applyBorder="1" applyAlignment="1">
      <alignment vertical="center"/>
    </xf>
    <xf numFmtId="37" fontId="7" fillId="5" borderId="15" xfId="0" applyNumberFormat="1" applyFont="1" applyFill="1" applyBorder="1" applyAlignment="1">
      <alignment vertical="center"/>
    </xf>
    <xf numFmtId="37" fontId="7" fillId="0" borderId="15" xfId="0" applyNumberFormat="1" applyFont="1" applyBorder="1" applyAlignment="1">
      <alignment wrapText="1"/>
    </xf>
    <xf numFmtId="39" fontId="10" fillId="0" borderId="0" xfId="0" applyNumberFormat="1" applyFont="1"/>
    <xf numFmtId="43" fontId="7" fillId="0" borderId="0" xfId="0" applyNumberFormat="1" applyFont="1"/>
    <xf numFmtId="167" fontId="10" fillId="0" borderId="0" xfId="1" applyNumberFormat="1" applyFont="1" applyAlignment="1">
      <alignment vertical="center"/>
    </xf>
    <xf numFmtId="167" fontId="7" fillId="0" borderId="0" xfId="1" applyNumberFormat="1" applyFont="1" applyAlignment="1">
      <alignment horizontal="left" vertical="top" wrapText="1"/>
    </xf>
    <xf numFmtId="165" fontId="7" fillId="5" borderId="15" xfId="0" applyNumberFormat="1" applyFont="1" applyFill="1" applyBorder="1" applyAlignment="1">
      <alignment horizontal="center" vertical="center"/>
    </xf>
    <xf numFmtId="39" fontId="7" fillId="0" borderId="0" xfId="0" applyNumberFormat="1" applyFont="1"/>
    <xf numFmtId="0" fontId="13" fillId="8" borderId="15" xfId="0" applyFont="1" applyFill="1" applyBorder="1" applyAlignment="1">
      <alignment vertical="center" wrapText="1"/>
    </xf>
    <xf numFmtId="167" fontId="7" fillId="0" borderId="0" xfId="1" applyNumberFormat="1" applyFont="1" applyFill="1"/>
    <xf numFmtId="165" fontId="13" fillId="5" borderId="15" xfId="0" applyNumberFormat="1" applyFont="1" applyFill="1" applyBorder="1" applyAlignment="1">
      <alignment horizontal="center" vertical="center"/>
    </xf>
    <xf numFmtId="165" fontId="14" fillId="5" borderId="15" xfId="0" applyNumberFormat="1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left" vertical="center" wrapText="1"/>
    </xf>
    <xf numFmtId="0" fontId="13" fillId="2" borderId="15" xfId="0" applyFont="1" applyFill="1" applyBorder="1" applyAlignment="1">
      <alignment horizontal="center" vertical="center" wrapText="1"/>
    </xf>
    <xf numFmtId="41" fontId="13" fillId="5" borderId="15" xfId="0" applyNumberFormat="1" applyFont="1" applyFill="1" applyBorder="1" applyAlignment="1">
      <alignment vertical="center"/>
    </xf>
    <xf numFmtId="37" fontId="13" fillId="0" borderId="15" xfId="1" applyNumberFormat="1" applyFont="1" applyBorder="1" applyAlignment="1">
      <alignment vertical="center"/>
    </xf>
    <xf numFmtId="168" fontId="13" fillId="2" borderId="23" xfId="0" quotePrefix="1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>
      <alignment horizontal="left" vertical="center" wrapText="1"/>
    </xf>
    <xf numFmtId="0" fontId="13" fillId="2" borderId="23" xfId="0" applyFont="1" applyFill="1" applyBorder="1" applyAlignment="1">
      <alignment horizontal="center" vertical="center" wrapText="1"/>
    </xf>
    <xf numFmtId="41" fontId="15" fillId="2" borderId="23" xfId="0" applyNumberFormat="1" applyFont="1" applyFill="1" applyBorder="1" applyAlignment="1">
      <alignment vertical="center"/>
    </xf>
    <xf numFmtId="164" fontId="13" fillId="2" borderId="23" xfId="0" applyNumberFormat="1" applyFont="1" applyFill="1" applyBorder="1" applyAlignment="1">
      <alignment vertical="center"/>
    </xf>
    <xf numFmtId="37" fontId="13" fillId="2" borderId="23" xfId="1" applyNumberFormat="1" applyFont="1" applyFill="1" applyBorder="1" applyAlignment="1">
      <alignment vertical="center"/>
    </xf>
    <xf numFmtId="37" fontId="13" fillId="2" borderId="23" xfId="0" applyNumberFormat="1" applyFont="1" applyFill="1" applyBorder="1" applyAlignment="1">
      <alignment vertical="center"/>
    </xf>
    <xf numFmtId="37" fontId="13" fillId="2" borderId="15" xfId="0" applyNumberFormat="1" applyFont="1" applyFill="1" applyBorder="1" applyAlignment="1">
      <alignment vertical="center"/>
    </xf>
    <xf numFmtId="37" fontId="13" fillId="5" borderId="23" xfId="0" applyNumberFormat="1" applyFont="1" applyFill="1" applyBorder="1" applyAlignment="1">
      <alignment vertical="center"/>
    </xf>
    <xf numFmtId="37" fontId="13" fillId="5" borderId="15" xfId="0" applyNumberFormat="1" applyFont="1" applyFill="1" applyBorder="1" applyAlignment="1">
      <alignment vertical="center"/>
    </xf>
    <xf numFmtId="164" fontId="13" fillId="0" borderId="15" xfId="0" applyNumberFormat="1" applyFont="1" applyBorder="1" applyAlignment="1">
      <alignment vertical="center"/>
    </xf>
    <xf numFmtId="37" fontId="14" fillId="4" borderId="15" xfId="0" applyNumberFormat="1" applyFont="1" applyFill="1" applyBorder="1" applyAlignment="1">
      <alignment vertical="center"/>
    </xf>
    <xf numFmtId="0" fontId="13" fillId="10" borderId="15" xfId="0" applyFont="1" applyFill="1" applyBorder="1" applyAlignment="1">
      <alignment horizontal="left" vertical="center" wrapText="1"/>
    </xf>
    <xf numFmtId="0" fontId="13" fillId="10" borderId="15" xfId="0" applyFont="1" applyFill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164" fontId="13" fillId="0" borderId="23" xfId="0" applyNumberFormat="1" applyFont="1" applyBorder="1" applyAlignment="1">
      <alignment vertical="center"/>
    </xf>
    <xf numFmtId="168" fontId="13" fillId="7" borderId="15" xfId="0" applyNumberFormat="1" applyFont="1" applyFill="1" applyBorder="1" applyAlignment="1">
      <alignment horizontal="center" vertical="center"/>
    </xf>
    <xf numFmtId="0" fontId="13" fillId="7" borderId="15" xfId="0" applyFont="1" applyFill="1" applyBorder="1" applyAlignment="1">
      <alignment horizontal="left" vertical="center" wrapText="1"/>
    </xf>
    <xf numFmtId="37" fontId="14" fillId="5" borderId="15" xfId="0" applyNumberFormat="1" applyFont="1" applyFill="1" applyBorder="1" applyAlignment="1">
      <alignment vertical="center"/>
    </xf>
    <xf numFmtId="10" fontId="14" fillId="0" borderId="15" xfId="0" applyNumberFormat="1" applyFont="1" applyBorder="1" applyAlignment="1">
      <alignment vertical="center"/>
    </xf>
    <xf numFmtId="0" fontId="13" fillId="7" borderId="15" xfId="0" applyFont="1" applyFill="1" applyBorder="1" applyAlignment="1">
      <alignment horizontal="center" vertical="center" wrapText="1"/>
    </xf>
    <xf numFmtId="37" fontId="14" fillId="7" borderId="15" xfId="0" applyNumberFormat="1" applyFont="1" applyFill="1" applyBorder="1" applyAlignment="1">
      <alignment vertical="center"/>
    </xf>
    <xf numFmtId="10" fontId="14" fillId="7" borderId="15" xfId="0" applyNumberFormat="1" applyFont="1" applyFill="1" applyBorder="1" applyAlignment="1">
      <alignment vertical="center"/>
    </xf>
    <xf numFmtId="37" fontId="13" fillId="7" borderId="15" xfId="0" applyNumberFormat="1" applyFont="1" applyFill="1" applyBorder="1" applyAlignment="1">
      <alignment vertical="center"/>
    </xf>
    <xf numFmtId="37" fontId="14" fillId="4" borderId="15" xfId="0" applyNumberFormat="1" applyFont="1" applyFill="1" applyBorder="1" applyAlignment="1">
      <alignment horizontal="right" vertical="center"/>
    </xf>
    <xf numFmtId="0" fontId="13" fillId="0" borderId="15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37" fontId="13" fillId="0" borderId="15" xfId="0" applyNumberFormat="1" applyFont="1" applyBorder="1" applyAlignment="1">
      <alignment horizontal="left" vertical="center" wrapText="1"/>
    </xf>
    <xf numFmtId="0" fontId="13" fillId="9" borderId="15" xfId="0" applyFont="1" applyFill="1" applyBorder="1" applyAlignment="1">
      <alignment horizontal="center" vertical="center" wrapText="1"/>
    </xf>
    <xf numFmtId="10" fontId="14" fillId="9" borderId="15" xfId="0" applyNumberFormat="1" applyFont="1" applyFill="1" applyBorder="1" applyAlignment="1">
      <alignment vertical="center"/>
    </xf>
    <xf numFmtId="37" fontId="14" fillId="9" borderId="15" xfId="0" applyNumberFormat="1" applyFont="1" applyFill="1" applyBorder="1" applyAlignment="1">
      <alignment vertical="center"/>
    </xf>
    <xf numFmtId="37" fontId="13" fillId="9" borderId="15" xfId="0" applyNumberFormat="1" applyFont="1" applyFill="1" applyBorder="1" applyAlignment="1">
      <alignment vertical="center"/>
    </xf>
    <xf numFmtId="0" fontId="13" fillId="0" borderId="15" xfId="0" applyFont="1" applyBorder="1" applyAlignment="1">
      <alignment horizontal="center" vertical="center"/>
    </xf>
    <xf numFmtId="168" fontId="13" fillId="0" borderId="23" xfId="0" applyNumberFormat="1" applyFont="1" applyBorder="1" applyAlignment="1">
      <alignment horizontal="center" vertical="center"/>
    </xf>
    <xf numFmtId="0" fontId="13" fillId="0" borderId="23" xfId="0" applyFont="1" applyBorder="1" applyAlignment="1">
      <alignment horizontal="left" vertical="center" wrapText="1"/>
    </xf>
    <xf numFmtId="0" fontId="13" fillId="0" borderId="23" xfId="0" applyFont="1" applyBorder="1" applyAlignment="1">
      <alignment horizontal="center" vertical="center"/>
    </xf>
    <xf numFmtId="37" fontId="14" fillId="5" borderId="23" xfId="0" applyNumberFormat="1" applyFont="1" applyFill="1" applyBorder="1" applyAlignment="1">
      <alignment vertical="center"/>
    </xf>
    <xf numFmtId="164" fontId="14" fillId="0" borderId="23" xfId="0" applyNumberFormat="1" applyFont="1" applyBorder="1" applyAlignment="1">
      <alignment vertical="center"/>
    </xf>
    <xf numFmtId="37" fontId="13" fillId="0" borderId="23" xfId="0" applyNumberFormat="1" applyFont="1" applyBorder="1" applyAlignment="1">
      <alignment horizontal="right" vertical="center"/>
    </xf>
    <xf numFmtId="37" fontId="14" fillId="0" borderId="23" xfId="0" applyNumberFormat="1" applyFont="1" applyBorder="1" applyAlignment="1">
      <alignment horizontal="right" vertical="center"/>
    </xf>
    <xf numFmtId="168" fontId="13" fillId="10" borderId="15" xfId="0" applyNumberFormat="1" applyFont="1" applyFill="1" applyBorder="1" applyAlignment="1">
      <alignment horizontal="center" vertical="center"/>
    </xf>
    <xf numFmtId="168" fontId="13" fillId="11" borderId="15" xfId="0" applyNumberFormat="1" applyFont="1" applyFill="1" applyBorder="1" applyAlignment="1">
      <alignment horizontal="center" vertical="center"/>
    </xf>
    <xf numFmtId="0" fontId="13" fillId="11" borderId="15" xfId="0" applyFont="1" applyFill="1" applyBorder="1" applyAlignment="1">
      <alignment horizontal="left" vertical="center" wrapText="1"/>
    </xf>
    <xf numFmtId="0" fontId="13" fillId="11" borderId="15" xfId="0" applyFont="1" applyFill="1" applyBorder="1" applyAlignment="1">
      <alignment horizontal="center" vertical="center" wrapText="1"/>
    </xf>
    <xf numFmtId="0" fontId="13" fillId="11" borderId="15" xfId="0" applyFont="1" applyFill="1" applyBorder="1" applyAlignment="1">
      <alignment horizontal="center" vertical="center"/>
    </xf>
    <xf numFmtId="37" fontId="14" fillId="11" borderId="15" xfId="0" applyNumberFormat="1" applyFont="1" applyFill="1" applyBorder="1" applyAlignment="1">
      <alignment vertical="center"/>
    </xf>
    <xf numFmtId="164" fontId="14" fillId="11" borderId="15" xfId="0" applyNumberFormat="1" applyFont="1" applyFill="1" applyBorder="1" applyAlignment="1">
      <alignment vertical="center"/>
    </xf>
    <xf numFmtId="37" fontId="13" fillId="11" borderId="15" xfId="0" applyNumberFormat="1" applyFont="1" applyFill="1" applyBorder="1" applyAlignment="1">
      <alignment vertical="center"/>
    </xf>
    <xf numFmtId="37" fontId="13" fillId="11" borderId="15" xfId="0" applyNumberFormat="1" applyFont="1" applyFill="1" applyBorder="1" applyAlignment="1">
      <alignment horizontal="right" vertical="center"/>
    </xf>
    <xf numFmtId="37" fontId="14" fillId="11" borderId="15" xfId="0" applyNumberFormat="1" applyFont="1" applyFill="1" applyBorder="1" applyAlignment="1">
      <alignment horizontal="right" vertical="center"/>
    </xf>
    <xf numFmtId="37" fontId="13" fillId="0" borderId="24" xfId="0" applyNumberFormat="1" applyFont="1" applyBorder="1" applyAlignment="1">
      <alignment vertical="center"/>
    </xf>
    <xf numFmtId="37" fontId="15" fillId="0" borderId="15" xfId="0" applyNumberFormat="1" applyFont="1" applyBorder="1" applyAlignment="1">
      <alignment horizontal="left" vertical="center" wrapText="1"/>
    </xf>
    <xf numFmtId="167" fontId="4" fillId="0" borderId="0" xfId="1" applyNumberFormat="1" applyFont="1" applyFill="1" applyBorder="1"/>
    <xf numFmtId="0" fontId="13" fillId="9" borderId="15" xfId="0" applyFont="1" applyFill="1" applyBorder="1" applyAlignment="1">
      <alignment horizontal="left" vertical="center" wrapText="1"/>
    </xf>
    <xf numFmtId="0" fontId="15" fillId="10" borderId="15" xfId="0" applyFont="1" applyFill="1" applyBorder="1" applyAlignment="1">
      <alignment vertical="center" wrapText="1"/>
    </xf>
    <xf numFmtId="165" fontId="14" fillId="0" borderId="15" xfId="0" applyNumberFormat="1" applyFont="1" applyBorder="1" applyAlignment="1">
      <alignment horizontal="center" vertical="center"/>
    </xf>
    <xf numFmtId="168" fontId="1" fillId="0" borderId="7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 wrapText="1"/>
    </xf>
    <xf numFmtId="43" fontId="16" fillId="0" borderId="0" xfId="1" applyFont="1"/>
    <xf numFmtId="37" fontId="14" fillId="2" borderId="15" xfId="0" applyNumberFormat="1" applyFont="1" applyFill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168" fontId="13" fillId="2" borderId="15" xfId="0" applyNumberFormat="1" applyFont="1" applyFill="1" applyBorder="1" applyAlignment="1">
      <alignment horizontal="center" vertical="center"/>
    </xf>
    <xf numFmtId="168" fontId="13" fillId="2" borderId="23" xfId="0" applyNumberFormat="1" applyFont="1" applyFill="1" applyBorder="1" applyAlignment="1">
      <alignment horizontal="center" vertical="center"/>
    </xf>
    <xf numFmtId="168" fontId="13" fillId="12" borderId="15" xfId="0" applyNumberFormat="1" applyFont="1" applyFill="1" applyBorder="1" applyAlignment="1">
      <alignment horizontal="center" vertical="center"/>
    </xf>
    <xf numFmtId="0" fontId="13" fillId="12" borderId="15" xfId="0" applyFont="1" applyFill="1" applyBorder="1" applyAlignment="1">
      <alignment horizontal="left" vertical="center" wrapText="1"/>
    </xf>
    <xf numFmtId="167" fontId="14" fillId="0" borderId="15" xfId="1" applyNumberFormat="1" applyFont="1" applyBorder="1" applyAlignment="1">
      <alignment vertical="center"/>
    </xf>
    <xf numFmtId="0" fontId="24" fillId="0" borderId="15" xfId="0" applyFont="1" applyBorder="1" applyAlignment="1">
      <alignment horizontal="left" vertical="center" wrapText="1"/>
    </xf>
    <xf numFmtId="168" fontId="13" fillId="8" borderId="15" xfId="0" applyNumberFormat="1" applyFont="1" applyFill="1" applyBorder="1" applyAlignment="1">
      <alignment horizontal="center" vertical="center"/>
    </xf>
    <xf numFmtId="0" fontId="13" fillId="8" borderId="15" xfId="0" applyFont="1" applyFill="1" applyBorder="1" applyAlignment="1">
      <alignment horizontal="left" vertical="center" wrapText="1"/>
    </xf>
    <xf numFmtId="41" fontId="13" fillId="2" borderId="15" xfId="0" applyNumberFormat="1" applyFont="1" applyFill="1" applyBorder="1" applyAlignment="1">
      <alignment vertical="center"/>
    </xf>
    <xf numFmtId="10" fontId="13" fillId="2" borderId="15" xfId="0" applyNumberFormat="1" applyFont="1" applyFill="1" applyBorder="1" applyAlignment="1">
      <alignment vertical="center"/>
    </xf>
    <xf numFmtId="37" fontId="13" fillId="2" borderId="15" xfId="1" applyNumberFormat="1" applyFont="1" applyFill="1" applyBorder="1" applyAlignment="1">
      <alignment vertical="center"/>
    </xf>
    <xf numFmtId="0" fontId="13" fillId="0" borderId="15" xfId="0" quotePrefix="1" applyFont="1" applyBorder="1" applyAlignment="1">
      <alignment horizontal="center" vertical="center" wrapText="1"/>
    </xf>
    <xf numFmtId="0" fontId="13" fillId="0" borderId="15" xfId="0" applyFont="1" applyBorder="1" applyAlignment="1">
      <alignment horizontal="left" vertical="center"/>
    </xf>
    <xf numFmtId="37" fontId="13" fillId="9" borderId="15" xfId="0" applyNumberFormat="1" applyFont="1" applyFill="1" applyBorder="1" applyAlignment="1">
      <alignment vertical="center" wrapText="1"/>
    </xf>
    <xf numFmtId="37" fontId="24" fillId="0" borderId="15" xfId="0" applyNumberFormat="1" applyFont="1" applyBorder="1" applyAlignment="1">
      <alignment vertical="center" wrapText="1"/>
    </xf>
    <xf numFmtId="37" fontId="7" fillId="9" borderId="15" xfId="0" applyNumberFormat="1" applyFont="1" applyFill="1" applyBorder="1" applyAlignment="1">
      <alignment vertical="center" wrapText="1"/>
    </xf>
    <xf numFmtId="41" fontId="13" fillId="0" borderId="15" xfId="0" applyNumberFormat="1" applyFont="1" applyBorder="1" applyAlignment="1">
      <alignment vertical="center"/>
    </xf>
    <xf numFmtId="37" fontId="13" fillId="0" borderId="15" xfId="1" applyNumberFormat="1" applyFont="1" applyFill="1" applyBorder="1" applyAlignment="1">
      <alignment vertical="center"/>
    </xf>
    <xf numFmtId="165" fontId="13" fillId="0" borderId="15" xfId="0" applyNumberFormat="1" applyFont="1" applyBorder="1" applyAlignment="1">
      <alignment horizontal="center" vertical="center"/>
    </xf>
    <xf numFmtId="3" fontId="24" fillId="0" borderId="1" xfId="0" applyNumberFormat="1" applyFont="1" applyBorder="1" applyAlignment="1">
      <alignment vertical="center"/>
    </xf>
    <xf numFmtId="0" fontId="7" fillId="8" borderId="15" xfId="0" applyFont="1" applyFill="1" applyBorder="1" applyAlignment="1">
      <alignment horizontal="center" vertical="center"/>
    </xf>
    <xf numFmtId="41" fontId="7" fillId="8" borderId="15" xfId="0" applyNumberFormat="1" applyFont="1" applyFill="1" applyBorder="1" applyAlignment="1">
      <alignment vertical="center"/>
    </xf>
    <xf numFmtId="164" fontId="14" fillId="8" borderId="15" xfId="0" applyNumberFormat="1" applyFont="1" applyFill="1" applyBorder="1" applyAlignment="1">
      <alignment vertical="center"/>
    </xf>
    <xf numFmtId="37" fontId="14" fillId="8" borderId="15" xfId="0" applyNumberFormat="1" applyFont="1" applyFill="1" applyBorder="1" applyAlignment="1">
      <alignment vertical="center"/>
    </xf>
    <xf numFmtId="37" fontId="7" fillId="8" borderId="15" xfId="0" applyNumberFormat="1" applyFont="1" applyFill="1" applyBorder="1" applyAlignment="1">
      <alignment vertical="center"/>
    </xf>
    <xf numFmtId="37" fontId="13" fillId="8" borderId="15" xfId="0" applyNumberFormat="1" applyFont="1" applyFill="1" applyBorder="1" applyAlignment="1">
      <alignment horizontal="right" vertical="center"/>
    </xf>
    <xf numFmtId="37" fontId="14" fillId="8" borderId="15" xfId="0" applyNumberFormat="1" applyFont="1" applyFill="1" applyBorder="1" applyAlignment="1">
      <alignment horizontal="right" vertical="center"/>
    </xf>
    <xf numFmtId="37" fontId="13" fillId="8" borderId="15" xfId="0" applyNumberFormat="1" applyFont="1" applyFill="1" applyBorder="1" applyAlignment="1">
      <alignment vertical="center"/>
    </xf>
    <xf numFmtId="43" fontId="11" fillId="0" borderId="0" xfId="1" applyFont="1" applyAlignment="1">
      <alignment vertical="center"/>
    </xf>
    <xf numFmtId="0" fontId="13" fillId="0" borderId="15" xfId="0" applyFont="1" applyBorder="1" applyAlignment="1">
      <alignment vertical="center"/>
    </xf>
    <xf numFmtId="168" fontId="13" fillId="9" borderId="15" xfId="0" applyNumberFormat="1" applyFont="1" applyFill="1" applyBorder="1" applyAlignment="1">
      <alignment horizontal="center" vertical="center"/>
    </xf>
    <xf numFmtId="168" fontId="24" fillId="9" borderId="15" xfId="0" applyNumberFormat="1" applyFont="1" applyFill="1" applyBorder="1" applyAlignment="1">
      <alignment horizontal="center" vertical="center"/>
    </xf>
    <xf numFmtId="37" fontId="11" fillId="10" borderId="15" xfId="0" applyNumberFormat="1" applyFont="1" applyFill="1" applyBorder="1" applyAlignment="1">
      <alignment vertical="center" wrapText="1"/>
    </xf>
    <xf numFmtId="168" fontId="13" fillId="13" borderId="15" xfId="0" applyNumberFormat="1" applyFont="1" applyFill="1" applyBorder="1" applyAlignment="1">
      <alignment horizontal="center" vertical="center"/>
    </xf>
    <xf numFmtId="0" fontId="13" fillId="13" borderId="15" xfId="0" applyFont="1" applyFill="1" applyBorder="1" applyAlignment="1">
      <alignment horizontal="left" vertical="center" wrapText="1"/>
    </xf>
    <xf numFmtId="0" fontId="13" fillId="13" borderId="15" xfId="0" applyFont="1" applyFill="1" applyBorder="1" applyAlignment="1">
      <alignment horizontal="center" vertical="center" wrapText="1"/>
    </xf>
    <xf numFmtId="0" fontId="13" fillId="13" borderId="15" xfId="0" applyFont="1" applyFill="1" applyBorder="1" applyAlignment="1">
      <alignment horizontal="center" vertical="center"/>
    </xf>
    <xf numFmtId="37" fontId="14" fillId="13" borderId="15" xfId="0" applyNumberFormat="1" applyFont="1" applyFill="1" applyBorder="1" applyAlignment="1">
      <alignment vertical="center"/>
    </xf>
    <xf numFmtId="164" fontId="14" fillId="13" borderId="15" xfId="0" applyNumberFormat="1" applyFont="1" applyFill="1" applyBorder="1" applyAlignment="1">
      <alignment vertical="center"/>
    </xf>
    <xf numFmtId="37" fontId="13" fillId="13" borderId="15" xfId="0" applyNumberFormat="1" applyFont="1" applyFill="1" applyBorder="1" applyAlignment="1">
      <alignment vertical="center"/>
    </xf>
    <xf numFmtId="37" fontId="13" fillId="13" borderId="15" xfId="0" applyNumberFormat="1" applyFont="1" applyFill="1" applyBorder="1" applyAlignment="1">
      <alignment horizontal="right" vertical="center"/>
    </xf>
    <xf numFmtId="37" fontId="14" fillId="13" borderId="15" xfId="0" applyNumberFormat="1" applyFont="1" applyFill="1" applyBorder="1" applyAlignment="1">
      <alignment horizontal="right" vertical="center"/>
    </xf>
    <xf numFmtId="168" fontId="13" fillId="14" borderId="15" xfId="0" applyNumberFormat="1" applyFont="1" applyFill="1" applyBorder="1" applyAlignment="1">
      <alignment horizontal="center" vertical="center"/>
    </xf>
    <xf numFmtId="0" fontId="13" fillId="14" borderId="15" xfId="0" applyFont="1" applyFill="1" applyBorder="1" applyAlignment="1">
      <alignment horizontal="left" vertical="center" wrapText="1"/>
    </xf>
    <xf numFmtId="0" fontId="13" fillId="14" borderId="15" xfId="0" applyFont="1" applyFill="1" applyBorder="1" applyAlignment="1">
      <alignment horizontal="center" vertical="center" wrapText="1"/>
    </xf>
    <xf numFmtId="41" fontId="7" fillId="14" borderId="15" xfId="0" applyNumberFormat="1" applyFont="1" applyFill="1" applyBorder="1" applyAlignment="1">
      <alignment vertical="center"/>
    </xf>
    <xf numFmtId="164" fontId="14" fillId="14" borderId="15" xfId="0" applyNumberFormat="1" applyFont="1" applyFill="1" applyBorder="1" applyAlignment="1">
      <alignment vertical="center"/>
    </xf>
    <xf numFmtId="37" fontId="7" fillId="14" borderId="15" xfId="0" applyNumberFormat="1" applyFont="1" applyFill="1" applyBorder="1" applyAlignment="1">
      <alignment vertical="center"/>
    </xf>
    <xf numFmtId="37" fontId="13" fillId="14" borderId="15" xfId="0" applyNumberFormat="1" applyFont="1" applyFill="1" applyBorder="1" applyAlignment="1">
      <alignment horizontal="right" vertical="center"/>
    </xf>
    <xf numFmtId="37" fontId="14" fillId="14" borderId="15" xfId="0" applyNumberFormat="1" applyFont="1" applyFill="1" applyBorder="1" applyAlignment="1">
      <alignment horizontal="right" vertical="center"/>
    </xf>
    <xf numFmtId="37" fontId="13" fillId="14" borderId="15" xfId="0" applyNumberFormat="1" applyFont="1" applyFill="1" applyBorder="1" applyAlignment="1">
      <alignment vertical="center"/>
    </xf>
    <xf numFmtId="41" fontId="13" fillId="15" borderId="23" xfId="0" applyNumberFormat="1" applyFont="1" applyFill="1" applyBorder="1" applyAlignment="1">
      <alignment vertical="center"/>
    </xf>
    <xf numFmtId="167" fontId="13" fillId="15" borderId="23" xfId="0" applyNumberFormat="1" applyFont="1" applyFill="1" applyBorder="1" applyAlignment="1">
      <alignment vertical="center"/>
    </xf>
    <xf numFmtId="37" fontId="13" fillId="15" borderId="23" xfId="0" applyNumberFormat="1" applyFont="1" applyFill="1" applyBorder="1" applyAlignment="1">
      <alignment vertical="center"/>
    </xf>
    <xf numFmtId="37" fontId="13" fillId="15" borderId="15" xfId="0" applyNumberFormat="1" applyFont="1" applyFill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37" fontId="14" fillId="15" borderId="15" xfId="0" applyNumberFormat="1" applyFont="1" applyFill="1" applyBorder="1" applyAlignment="1">
      <alignment vertical="center"/>
    </xf>
    <xf numFmtId="37" fontId="13" fillId="15" borderId="15" xfId="0" applyNumberFormat="1" applyFont="1" applyFill="1" applyBorder="1" applyAlignment="1">
      <alignment vertical="center"/>
    </xf>
    <xf numFmtId="168" fontId="24" fillId="0" borderId="15" xfId="0" applyNumberFormat="1" applyFont="1" applyBorder="1" applyAlignment="1">
      <alignment horizontal="center" vertical="center"/>
    </xf>
    <xf numFmtId="0" fontId="14" fillId="12" borderId="15" xfId="0" applyFont="1" applyFill="1" applyBorder="1" applyAlignment="1">
      <alignment horizontal="center" vertical="center" wrapText="1"/>
    </xf>
    <xf numFmtId="0" fontId="13" fillId="12" borderId="15" xfId="0" applyFont="1" applyFill="1" applyBorder="1" applyAlignment="1">
      <alignment horizontal="center" vertical="center"/>
    </xf>
    <xf numFmtId="37" fontId="14" fillId="12" borderId="15" xfId="0" applyNumberFormat="1" applyFont="1" applyFill="1" applyBorder="1" applyAlignment="1">
      <alignment vertical="center"/>
    </xf>
    <xf numFmtId="164" fontId="14" fillId="12" borderId="15" xfId="0" applyNumberFormat="1" applyFont="1" applyFill="1" applyBorder="1" applyAlignment="1">
      <alignment vertical="center"/>
    </xf>
    <xf numFmtId="37" fontId="14" fillId="12" borderId="15" xfId="0" applyNumberFormat="1" applyFont="1" applyFill="1" applyBorder="1" applyAlignment="1">
      <alignment horizontal="right" vertical="center"/>
    </xf>
    <xf numFmtId="37" fontId="13" fillId="12" borderId="15" xfId="0" applyNumberFormat="1" applyFont="1" applyFill="1" applyBorder="1" applyAlignment="1">
      <alignment vertical="center"/>
    </xf>
    <xf numFmtId="37" fontId="13" fillId="4" borderId="15" xfId="0" applyNumberFormat="1" applyFont="1" applyFill="1" applyBorder="1" applyAlignment="1">
      <alignment vertical="center"/>
    </xf>
    <xf numFmtId="37" fontId="7" fillId="15" borderId="15" xfId="0" applyNumberFormat="1" applyFont="1" applyFill="1" applyBorder="1" applyAlignment="1">
      <alignment vertical="center"/>
    </xf>
    <xf numFmtId="167" fontId="13" fillId="15" borderId="15" xfId="1" applyNumberFormat="1" applyFont="1" applyFill="1" applyBorder="1" applyAlignment="1">
      <alignment vertical="center"/>
    </xf>
    <xf numFmtId="37" fontId="15" fillId="10" borderId="15" xfId="0" applyNumberFormat="1" applyFont="1" applyFill="1" applyBorder="1" applyAlignment="1">
      <alignment vertical="center" wrapText="1"/>
    </xf>
    <xf numFmtId="0" fontId="1" fillId="6" borderId="16" xfId="0" applyFont="1" applyFill="1" applyBorder="1" applyAlignment="1">
      <alignment horizontal="center"/>
    </xf>
    <xf numFmtId="0" fontId="1" fillId="6" borderId="17" xfId="0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1" fillId="6" borderId="18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16"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00FF00"/>
      <color rgb="FF00B0F0"/>
      <color rgb="FFC5D9F1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63"/>
  <sheetViews>
    <sheetView showZeros="0" tabSelected="1" zoomScale="85" zoomScaleNormal="85" zoomScaleSheetLayoutView="73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M230" sqref="M230"/>
    </sheetView>
  </sheetViews>
  <sheetFormatPr defaultColWidth="9.140625" defaultRowHeight="12.75"/>
  <cols>
    <col min="1" max="1" width="10.85546875" style="19" customWidth="1"/>
    <col min="2" max="2" width="44.42578125" style="19" customWidth="1"/>
    <col min="3" max="4" width="9.7109375" style="19" customWidth="1"/>
    <col min="5" max="5" width="15" style="18" customWidth="1"/>
    <col min="6" max="6" width="9.140625" style="17" bestFit="1" customWidth="1"/>
    <col min="7" max="7" width="15" style="17" customWidth="1"/>
    <col min="8" max="8" width="16" style="17" bestFit="1" customWidth="1"/>
    <col min="9" max="9" width="16.42578125" style="17" bestFit="1" customWidth="1"/>
    <col min="10" max="10" width="13.42578125" style="17" bestFit="1" customWidth="1"/>
    <col min="11" max="11" width="12.42578125" style="17" bestFit="1" customWidth="1"/>
    <col min="12" max="12" width="14.42578125" style="17" bestFit="1" customWidth="1"/>
    <col min="13" max="13" width="13.42578125" style="17" bestFit="1" customWidth="1"/>
    <col min="14" max="14" width="12.85546875" style="26" bestFit="1" customWidth="1"/>
    <col min="15" max="15" width="19.5703125" style="17" bestFit="1" customWidth="1"/>
    <col min="16" max="16" width="12.42578125" style="17" bestFit="1" customWidth="1"/>
    <col min="17" max="17" width="57.85546875" style="24" customWidth="1"/>
    <col min="18" max="18" width="47.5703125" style="17" customWidth="1"/>
    <col min="19" max="19" width="16.42578125" style="17" bestFit="1" customWidth="1"/>
    <col min="20" max="20" width="15" style="17" bestFit="1" customWidth="1"/>
    <col min="21" max="21" width="13.42578125" style="17" bestFit="1" customWidth="1"/>
    <col min="22" max="22" width="13.85546875" style="17" bestFit="1" customWidth="1"/>
    <col min="23" max="23" width="15" style="17" bestFit="1" customWidth="1"/>
    <col min="24" max="24" width="9.140625" style="17"/>
    <col min="25" max="25" width="11.7109375" style="17" bestFit="1" customWidth="1"/>
    <col min="26" max="16384" width="9.140625" style="17"/>
  </cols>
  <sheetData>
    <row r="1" spans="1:24" ht="20.25">
      <c r="A1" s="122" t="s">
        <v>93</v>
      </c>
    </row>
    <row r="2" spans="1:24" ht="15.75">
      <c r="A2" s="123" t="s">
        <v>94</v>
      </c>
      <c r="H2" s="55"/>
      <c r="I2" s="219"/>
      <c r="M2" s="55"/>
    </row>
    <row r="3" spans="1:24" ht="15.75">
      <c r="A3" s="124" t="s">
        <v>272</v>
      </c>
      <c r="H3" s="55"/>
      <c r="I3" s="55"/>
      <c r="M3" s="55"/>
    </row>
    <row r="4" spans="1:24" ht="15.75">
      <c r="A4" s="124" t="s">
        <v>399</v>
      </c>
      <c r="G4" s="18"/>
      <c r="H4" s="55"/>
      <c r="I4" s="55"/>
      <c r="M4" s="55"/>
    </row>
    <row r="5" spans="1:24" ht="10.5" customHeight="1"/>
    <row r="6" spans="1:24">
      <c r="G6" s="21"/>
      <c r="H6" s="21"/>
      <c r="I6" s="21"/>
      <c r="J6" s="21"/>
      <c r="K6" s="21"/>
      <c r="M6" s="17" t="s">
        <v>15</v>
      </c>
      <c r="N6" s="22">
        <v>46022</v>
      </c>
      <c r="O6" s="23"/>
    </row>
    <row r="7" spans="1:24">
      <c r="E7" s="25"/>
    </row>
    <row r="8" spans="1:24">
      <c r="A8" s="69"/>
      <c r="B8" s="70"/>
      <c r="C8" s="70"/>
      <c r="D8" s="71"/>
      <c r="E8" s="72"/>
      <c r="F8" s="73"/>
      <c r="G8" s="72"/>
      <c r="H8" s="72"/>
      <c r="I8" s="72"/>
      <c r="J8" s="74"/>
      <c r="K8" s="74"/>
      <c r="L8" s="74"/>
      <c r="M8" s="69" t="s">
        <v>11</v>
      </c>
      <c r="N8" s="70" t="s">
        <v>62</v>
      </c>
      <c r="O8" s="69" t="s">
        <v>14</v>
      </c>
      <c r="P8" s="70" t="s">
        <v>25</v>
      </c>
      <c r="Q8" s="75"/>
    </row>
    <row r="9" spans="1:24">
      <c r="A9" s="76" t="s">
        <v>0</v>
      </c>
      <c r="B9" s="77" t="s">
        <v>63</v>
      </c>
      <c r="C9" s="77" t="s">
        <v>3</v>
      </c>
      <c r="D9" s="78" t="s">
        <v>3</v>
      </c>
      <c r="E9" s="79" t="s">
        <v>4</v>
      </c>
      <c r="F9" s="80" t="s">
        <v>6</v>
      </c>
      <c r="G9" s="79" t="s">
        <v>16</v>
      </c>
      <c r="H9" s="79" t="s">
        <v>9</v>
      </c>
      <c r="I9" s="79" t="s">
        <v>12</v>
      </c>
      <c r="J9" s="77" t="s">
        <v>27</v>
      </c>
      <c r="K9" s="77" t="s">
        <v>28</v>
      </c>
      <c r="L9" s="77" t="s">
        <v>16</v>
      </c>
      <c r="M9" s="76" t="s">
        <v>8</v>
      </c>
      <c r="N9" s="81" t="s">
        <v>13</v>
      </c>
      <c r="O9" s="76" t="s">
        <v>11</v>
      </c>
      <c r="P9" s="77" t="s">
        <v>11</v>
      </c>
      <c r="Q9" s="82"/>
    </row>
    <row r="10" spans="1:24">
      <c r="A10" s="83" t="s">
        <v>1</v>
      </c>
      <c r="B10" s="84" t="s">
        <v>64</v>
      </c>
      <c r="C10" s="84" t="s">
        <v>20</v>
      </c>
      <c r="D10" s="85" t="s">
        <v>21</v>
      </c>
      <c r="E10" s="86" t="s">
        <v>5</v>
      </c>
      <c r="F10" s="87" t="s">
        <v>7</v>
      </c>
      <c r="G10" s="86" t="s">
        <v>19</v>
      </c>
      <c r="H10" s="86" t="s">
        <v>19</v>
      </c>
      <c r="I10" s="86" t="s">
        <v>19</v>
      </c>
      <c r="J10" s="84" t="s">
        <v>12</v>
      </c>
      <c r="K10" s="84" t="s">
        <v>12</v>
      </c>
      <c r="L10" s="84" t="s">
        <v>17</v>
      </c>
      <c r="M10" s="83" t="s">
        <v>12</v>
      </c>
      <c r="N10" s="88" t="s">
        <v>10</v>
      </c>
      <c r="O10" s="83" t="s">
        <v>12</v>
      </c>
      <c r="P10" s="84" t="s">
        <v>26</v>
      </c>
      <c r="Q10" s="89" t="s">
        <v>65</v>
      </c>
    </row>
    <row r="11" spans="1:24">
      <c r="E11" s="176"/>
      <c r="F11" s="177"/>
      <c r="G11" s="176"/>
      <c r="H11" s="176"/>
      <c r="I11" s="176"/>
      <c r="J11" s="19"/>
      <c r="K11" s="19"/>
      <c r="L11" s="19"/>
      <c r="M11" s="19"/>
      <c r="N11" s="178"/>
      <c r="O11" s="19"/>
      <c r="P11" s="19"/>
      <c r="Q11" s="179"/>
    </row>
    <row r="12" spans="1:24">
      <c r="A12" s="19" t="s">
        <v>60</v>
      </c>
      <c r="B12" s="20" t="s">
        <v>59</v>
      </c>
      <c r="E12" s="176"/>
      <c r="F12" s="177"/>
      <c r="G12" s="176"/>
      <c r="H12" s="176"/>
      <c r="I12" s="176"/>
      <c r="J12" s="19"/>
      <c r="K12" s="19"/>
      <c r="L12" s="19"/>
      <c r="M12" s="19"/>
      <c r="N12" s="178"/>
      <c r="O12" s="19"/>
      <c r="P12" s="19"/>
      <c r="Q12" s="179"/>
    </row>
    <row r="13" spans="1:24">
      <c r="A13" s="20"/>
      <c r="B13" s="20"/>
      <c r="C13" s="20"/>
      <c r="D13" s="20"/>
      <c r="E13" s="180"/>
      <c r="F13" s="181"/>
      <c r="G13" s="180"/>
      <c r="H13" s="180"/>
      <c r="I13" s="180"/>
      <c r="J13" s="20"/>
      <c r="K13" s="20"/>
      <c r="L13" s="20"/>
      <c r="M13" s="20"/>
      <c r="N13" s="182"/>
      <c r="O13" s="20"/>
      <c r="P13" s="20"/>
      <c r="Q13" s="183"/>
    </row>
    <row r="14" spans="1:24" ht="63.75">
      <c r="A14" s="290">
        <v>51.110799999999998</v>
      </c>
      <c r="B14" s="224" t="s">
        <v>35</v>
      </c>
      <c r="C14" s="225" t="s">
        <v>37</v>
      </c>
      <c r="D14" s="225" t="s">
        <v>31</v>
      </c>
      <c r="E14" s="298">
        <v>94196098</v>
      </c>
      <c r="F14" s="299">
        <f t="shared" ref="F14:F23" si="0">H14/(E14-M14)</f>
        <v>0.99925302215889333</v>
      </c>
      <c r="G14" s="287">
        <f>H14+I14</f>
        <v>94126376.709999993</v>
      </c>
      <c r="H14" s="300">
        <v>93268107.709999993</v>
      </c>
      <c r="I14" s="287">
        <f>IF(F14&gt;0.2,IF(M14&gt;0,IF(J14&gt;M14,M14,IF((F14*M14)&gt;J14,F14*M14,J14)),M14),0)</f>
        <v>858269</v>
      </c>
      <c r="J14" s="235">
        <v>858269</v>
      </c>
      <c r="K14" s="235">
        <f t="shared" ref="K14:K31" si="1">I14-J14</f>
        <v>0</v>
      </c>
      <c r="L14" s="235">
        <f>E14-G14</f>
        <v>69721.290000006557</v>
      </c>
      <c r="M14" s="237">
        <v>858269</v>
      </c>
      <c r="N14" s="222">
        <v>46109</v>
      </c>
      <c r="O14" s="63">
        <f t="shared" ref="O14:O27" si="2">M14-P14</f>
        <v>0</v>
      </c>
      <c r="P14" s="63">
        <v>858269</v>
      </c>
      <c r="Q14" s="253" t="s">
        <v>423</v>
      </c>
      <c r="T14" s="210"/>
      <c r="U14" s="215"/>
      <c r="W14" s="210"/>
      <c r="X14" s="215"/>
    </row>
    <row r="15" spans="1:24" ht="25.5">
      <c r="A15" s="291">
        <v>51.110900000000001</v>
      </c>
      <c r="B15" s="229" t="s">
        <v>36</v>
      </c>
      <c r="C15" s="230" t="s">
        <v>37</v>
      </c>
      <c r="D15" s="230" t="s">
        <v>30</v>
      </c>
      <c r="E15" s="231"/>
      <c r="F15" s="232">
        <f t="shared" si="0"/>
        <v>0.98087532861189808</v>
      </c>
      <c r="G15" s="287">
        <v>0</v>
      </c>
      <c r="H15" s="233">
        <v>-3462489.91</v>
      </c>
      <c r="I15" s="234">
        <f>G15-H15</f>
        <v>3462489.91</v>
      </c>
      <c r="J15" s="234">
        <v>3470130.75</v>
      </c>
      <c r="K15" s="234">
        <f t="shared" si="1"/>
        <v>-7640.839999999851</v>
      </c>
      <c r="L15" s="235">
        <f t="shared" ref="L15:L31" si="3">E15-G15</f>
        <v>0</v>
      </c>
      <c r="M15" s="236">
        <v>3530000</v>
      </c>
      <c r="N15" s="222">
        <v>46109</v>
      </c>
      <c r="O15" s="62">
        <f t="shared" si="2"/>
        <v>0</v>
      </c>
      <c r="P15" s="63">
        <v>3530000</v>
      </c>
      <c r="Q15" s="253" t="s">
        <v>231</v>
      </c>
      <c r="T15" s="210"/>
      <c r="U15" s="215"/>
      <c r="X15" s="215"/>
    </row>
    <row r="16" spans="1:24" ht="63.75">
      <c r="A16" s="91">
        <v>51.112900000000003</v>
      </c>
      <c r="B16" s="65" t="s">
        <v>38</v>
      </c>
      <c r="C16" s="64" t="s">
        <v>39</v>
      </c>
      <c r="D16" s="64" t="s">
        <v>40</v>
      </c>
      <c r="E16" s="226">
        <v>126483580.84</v>
      </c>
      <c r="F16" s="238">
        <f t="shared" si="0"/>
        <v>0.75772321387144703</v>
      </c>
      <c r="G16" s="239">
        <f>H16+(F16*M16)+534407</f>
        <v>96373952.37605378</v>
      </c>
      <c r="H16" s="227">
        <v>87315159.219999999</v>
      </c>
      <c r="I16" s="252">
        <f>G16-H16</f>
        <v>9058793.1560537815</v>
      </c>
      <c r="J16" s="63">
        <v>7950623.3602031171</v>
      </c>
      <c r="K16" s="63">
        <f t="shared" si="1"/>
        <v>1108169.7958506644</v>
      </c>
      <c r="L16" s="63">
        <f t="shared" si="3"/>
        <v>30109628.463946223</v>
      </c>
      <c r="M16" s="237">
        <v>11250000</v>
      </c>
      <c r="N16" s="222">
        <v>46563</v>
      </c>
      <c r="O16" s="63">
        <f t="shared" si="2"/>
        <v>0</v>
      </c>
      <c r="P16" s="63">
        <v>11250000</v>
      </c>
      <c r="Q16" s="282" t="s">
        <v>329</v>
      </c>
      <c r="T16" s="210"/>
      <c r="U16" s="215"/>
      <c r="W16" s="210"/>
      <c r="X16" s="215"/>
    </row>
    <row r="17" spans="1:24" ht="26.25" customHeight="1">
      <c r="A17" s="91">
        <v>51.113700000000001</v>
      </c>
      <c r="B17" s="65" t="s">
        <v>44</v>
      </c>
      <c r="C17" s="64" t="s">
        <v>102</v>
      </c>
      <c r="D17" s="64" t="s">
        <v>47</v>
      </c>
      <c r="E17" s="226">
        <v>1312151.46</v>
      </c>
      <c r="F17" s="238">
        <f t="shared" si="0"/>
        <v>0.86960310750804171</v>
      </c>
      <c r="G17" s="90">
        <f t="shared" ref="G17:G31" si="4">H17+I17</f>
        <v>1141050.9871372138</v>
      </c>
      <c r="H17" s="227">
        <v>1042229.29</v>
      </c>
      <c r="I17" s="90">
        <f t="shared" ref="I17:I23" si="5">IF(F17&gt;0.2,IF(M17&gt;0,IF(J17&gt;M17,M17,IF((F17*M17)&gt;J17,F17*M17,J17)),M17),0)</f>
        <v>98821.697137213865</v>
      </c>
      <c r="J17" s="63">
        <v>27243.588658981782</v>
      </c>
      <c r="K17" s="63">
        <f t="shared" si="1"/>
        <v>71578.108478232083</v>
      </c>
      <c r="L17" s="63">
        <f t="shared" si="3"/>
        <v>171100.47286278615</v>
      </c>
      <c r="M17" s="237">
        <v>113640</v>
      </c>
      <c r="N17" s="222">
        <v>46053</v>
      </c>
      <c r="O17" s="63">
        <f t="shared" si="2"/>
        <v>0</v>
      </c>
      <c r="P17" s="63">
        <v>113640</v>
      </c>
      <c r="Q17" s="253"/>
      <c r="T17" s="210"/>
      <c r="U17" s="215"/>
      <c r="W17" s="210"/>
      <c r="X17" s="215"/>
    </row>
    <row r="18" spans="1:24" ht="38.25">
      <c r="A18" s="91">
        <v>51.114400000000003</v>
      </c>
      <c r="B18" s="65" t="s">
        <v>53</v>
      </c>
      <c r="C18" s="64" t="s">
        <v>354</v>
      </c>
      <c r="D18" s="64" t="s">
        <v>55</v>
      </c>
      <c r="E18" s="226">
        <v>14969566</v>
      </c>
      <c r="F18" s="238">
        <f t="shared" si="0"/>
        <v>0.60744172327890289</v>
      </c>
      <c r="G18" s="90">
        <f t="shared" si="4"/>
        <v>9093138.9677772745</v>
      </c>
      <c r="H18" s="227">
        <v>8406760.8000000007</v>
      </c>
      <c r="I18" s="90">
        <f t="shared" si="5"/>
        <v>686378.16777727299</v>
      </c>
      <c r="J18" s="63">
        <v>90331.451153550006</v>
      </c>
      <c r="K18" s="63">
        <f t="shared" si="1"/>
        <v>596046.71662372304</v>
      </c>
      <c r="L18" s="63">
        <f t="shared" si="3"/>
        <v>5876427.0322227255</v>
      </c>
      <c r="M18" s="237">
        <v>1129949</v>
      </c>
      <c r="N18" s="222">
        <v>46376</v>
      </c>
      <c r="O18" s="63">
        <f t="shared" si="2"/>
        <v>0</v>
      </c>
      <c r="P18" s="63">
        <v>1129949</v>
      </c>
      <c r="Q18" s="253" t="s">
        <v>408</v>
      </c>
      <c r="T18" s="210"/>
      <c r="U18" s="215"/>
      <c r="W18" s="210"/>
      <c r="X18" s="215"/>
    </row>
    <row r="19" spans="1:24" ht="76.5">
      <c r="A19" s="268">
        <v>51.114600000000003</v>
      </c>
      <c r="B19" s="240" t="s">
        <v>56</v>
      </c>
      <c r="C19" s="241" t="s">
        <v>34</v>
      </c>
      <c r="D19" s="241" t="s">
        <v>41</v>
      </c>
      <c r="E19" s="226">
        <v>60980234</v>
      </c>
      <c r="F19" s="238">
        <f t="shared" si="0"/>
        <v>0.92940080448481399</v>
      </c>
      <c r="G19" s="90">
        <f t="shared" si="4"/>
        <v>56675078.537272207</v>
      </c>
      <c r="H19" s="227">
        <v>42734066.469999999</v>
      </c>
      <c r="I19" s="90">
        <f t="shared" si="5"/>
        <v>13941012.06727221</v>
      </c>
      <c r="J19" s="63">
        <v>510849.94</v>
      </c>
      <c r="K19" s="63">
        <f t="shared" si="1"/>
        <v>13430162.127272211</v>
      </c>
      <c r="L19" s="63">
        <f t="shared" si="3"/>
        <v>4305155.4627277926</v>
      </c>
      <c r="M19" s="237">
        <v>15000000</v>
      </c>
      <c r="N19" s="222">
        <v>46081</v>
      </c>
      <c r="O19" s="63">
        <f t="shared" si="2"/>
        <v>1400000</v>
      </c>
      <c r="P19" s="63">
        <v>13600000</v>
      </c>
      <c r="Q19" s="282" t="s">
        <v>422</v>
      </c>
      <c r="T19" s="210"/>
      <c r="U19" s="215"/>
      <c r="W19" s="210"/>
      <c r="X19" s="215"/>
    </row>
    <row r="20" spans="1:24" ht="27.75" customHeight="1">
      <c r="A20" s="91">
        <v>51.115099999999998</v>
      </c>
      <c r="B20" s="65" t="s">
        <v>228</v>
      </c>
      <c r="C20" s="30" t="s">
        <v>41</v>
      </c>
      <c r="D20" s="30" t="s">
        <v>48</v>
      </c>
      <c r="E20" s="211">
        <v>10658200</v>
      </c>
      <c r="F20" s="238">
        <f t="shared" si="0"/>
        <v>0.48846743123962727</v>
      </c>
      <c r="G20" s="90">
        <f t="shared" si="4"/>
        <v>5206183.5756381955</v>
      </c>
      <c r="H20" s="227">
        <v>4923435.18</v>
      </c>
      <c r="I20" s="90">
        <f t="shared" si="5"/>
        <v>282748.39563819574</v>
      </c>
      <c r="J20" s="63">
        <v>0</v>
      </c>
      <c r="K20" s="63">
        <f t="shared" si="1"/>
        <v>282748.39563819574</v>
      </c>
      <c r="L20" s="63">
        <f t="shared" si="3"/>
        <v>5452016.4243618045</v>
      </c>
      <c r="M20" s="237">
        <v>578848</v>
      </c>
      <c r="N20" s="222">
        <v>46351</v>
      </c>
      <c r="O20" s="63">
        <f t="shared" si="2"/>
        <v>0</v>
      </c>
      <c r="P20" s="63">
        <v>578848</v>
      </c>
      <c r="Q20" s="319"/>
      <c r="T20" s="210"/>
      <c r="U20" s="215"/>
      <c r="W20" s="210"/>
      <c r="X20" s="215"/>
    </row>
    <row r="21" spans="1:24" ht="27.75" customHeight="1">
      <c r="A21" s="91">
        <v>51.115200000000002</v>
      </c>
      <c r="B21" s="65" t="s">
        <v>232</v>
      </c>
      <c r="C21" s="64" t="s">
        <v>41</v>
      </c>
      <c r="D21" s="64" t="s">
        <v>50</v>
      </c>
      <c r="E21" s="226">
        <v>19974489.34</v>
      </c>
      <c r="F21" s="238">
        <f t="shared" si="0"/>
        <v>0.72332631418956417</v>
      </c>
      <c r="G21" s="90">
        <f t="shared" si="4"/>
        <v>14448073.75212094</v>
      </c>
      <c r="H21" s="227">
        <v>13474808.539999999</v>
      </c>
      <c r="I21" s="90">
        <f t="shared" si="5"/>
        <v>973265.21212094033</v>
      </c>
      <c r="J21" s="63">
        <v>0</v>
      </c>
      <c r="K21" s="63">
        <f t="shared" si="1"/>
        <v>973265.21212094033</v>
      </c>
      <c r="L21" s="63">
        <f t="shared" si="3"/>
        <v>5526415.5878790598</v>
      </c>
      <c r="M21" s="237">
        <v>1345541</v>
      </c>
      <c r="N21" s="222">
        <v>46203</v>
      </c>
      <c r="O21" s="63">
        <f t="shared" si="2"/>
        <v>0</v>
      </c>
      <c r="P21" s="63">
        <v>1345541</v>
      </c>
      <c r="Q21" s="345"/>
      <c r="T21" s="210"/>
      <c r="U21" s="215"/>
      <c r="W21" s="210"/>
      <c r="X21" s="215"/>
    </row>
    <row r="22" spans="1:24" ht="27.75" customHeight="1">
      <c r="A22" s="91">
        <v>51.115299999999998</v>
      </c>
      <c r="B22" s="65" t="s">
        <v>224</v>
      </c>
      <c r="C22" s="64" t="s">
        <v>29</v>
      </c>
      <c r="D22" s="64" t="s">
        <v>29</v>
      </c>
      <c r="E22" s="226">
        <v>562824.68000000005</v>
      </c>
      <c r="F22" s="238">
        <f t="shared" si="0"/>
        <v>0.7360518997727451</v>
      </c>
      <c r="G22" s="90">
        <f t="shared" si="4"/>
        <v>414268.17495298735</v>
      </c>
      <c r="H22" s="227">
        <v>334550.81</v>
      </c>
      <c r="I22" s="90">
        <f t="shared" si="5"/>
        <v>79717.36495298738</v>
      </c>
      <c r="J22" s="63">
        <v>12859.389183176303</v>
      </c>
      <c r="K22" s="63">
        <f t="shared" si="1"/>
        <v>66857.975769811077</v>
      </c>
      <c r="L22" s="63">
        <f t="shared" si="3"/>
        <v>148556.5050470127</v>
      </c>
      <c r="M22" s="237">
        <v>108304</v>
      </c>
      <c r="N22" s="222">
        <v>46053</v>
      </c>
      <c r="O22" s="63">
        <f t="shared" si="2"/>
        <v>0</v>
      </c>
      <c r="P22" s="63">
        <v>108304</v>
      </c>
      <c r="Q22" s="319" t="s">
        <v>345</v>
      </c>
      <c r="T22" s="210"/>
      <c r="U22" s="215"/>
      <c r="W22" s="210"/>
      <c r="X22" s="215"/>
    </row>
    <row r="23" spans="1:24" ht="27.75" customHeight="1">
      <c r="A23" s="91">
        <v>51.115400000000001</v>
      </c>
      <c r="B23" s="65" t="s">
        <v>233</v>
      </c>
      <c r="C23" s="64" t="s">
        <v>52</v>
      </c>
      <c r="D23" s="64" t="s">
        <v>47</v>
      </c>
      <c r="E23" s="226">
        <v>13363835</v>
      </c>
      <c r="F23" s="238">
        <f t="shared" si="0"/>
        <v>0.95063651653657044</v>
      </c>
      <c r="G23" s="90">
        <f t="shared" si="4"/>
        <v>12704149.551969498</v>
      </c>
      <c r="H23" s="227">
        <v>11872342.6</v>
      </c>
      <c r="I23" s="90">
        <f t="shared" si="5"/>
        <v>831806.95196949912</v>
      </c>
      <c r="J23" s="63">
        <v>0</v>
      </c>
      <c r="K23" s="63">
        <f t="shared" si="1"/>
        <v>831806.95196949912</v>
      </c>
      <c r="L23" s="63">
        <f t="shared" si="3"/>
        <v>659685.4480305016</v>
      </c>
      <c r="M23" s="237">
        <v>875000</v>
      </c>
      <c r="N23" s="222">
        <v>46068</v>
      </c>
      <c r="O23" s="63">
        <f t="shared" si="2"/>
        <v>0</v>
      </c>
      <c r="P23" s="63">
        <v>875000</v>
      </c>
      <c r="Q23" s="319"/>
      <c r="T23" s="210"/>
      <c r="U23" s="215"/>
      <c r="W23" s="210"/>
      <c r="X23" s="215"/>
    </row>
    <row r="24" spans="1:24" ht="27.75" customHeight="1">
      <c r="A24" s="268">
        <v>51.115499999999997</v>
      </c>
      <c r="B24" s="240" t="s">
        <v>234</v>
      </c>
      <c r="C24" s="241"/>
      <c r="D24" s="241"/>
      <c r="E24" s="226"/>
      <c r="F24" s="238">
        <f t="shared" ref="F24:F29" si="6">+H24/(E24-M24)</f>
        <v>0.99999999999999989</v>
      </c>
      <c r="G24" s="90">
        <f t="shared" si="4"/>
        <v>0</v>
      </c>
      <c r="H24" s="227">
        <v>-1783379.97</v>
      </c>
      <c r="I24" s="90">
        <f>IF(F24&gt;0,IF(M24&gt;0,IF(J24&gt;M24,M24,IF((F24*M24)&gt;J24,F24*M24,J24)),M24),0)</f>
        <v>1783379.97</v>
      </c>
      <c r="J24" s="63">
        <v>571197.48</v>
      </c>
      <c r="K24" s="63">
        <f t="shared" si="1"/>
        <v>1212182.49</v>
      </c>
      <c r="L24" s="63">
        <f t="shared" si="3"/>
        <v>0</v>
      </c>
      <c r="M24" s="237">
        <v>1783379.9700000002</v>
      </c>
      <c r="N24" s="222">
        <v>46081</v>
      </c>
      <c r="O24" s="63">
        <f t="shared" si="2"/>
        <v>-16620.029999999795</v>
      </c>
      <c r="P24" s="63">
        <v>1800000</v>
      </c>
      <c r="Q24" s="319"/>
      <c r="U24" s="215"/>
    </row>
    <row r="25" spans="1:24" ht="27.75" customHeight="1">
      <c r="A25" s="91">
        <v>51.1158</v>
      </c>
      <c r="B25" s="65" t="s">
        <v>327</v>
      </c>
      <c r="C25" s="64"/>
      <c r="D25" s="64"/>
      <c r="E25" s="226">
        <v>104446</v>
      </c>
      <c r="F25" s="238">
        <f t="shared" si="6"/>
        <v>0.54536018612488757</v>
      </c>
      <c r="G25" s="90">
        <f t="shared" si="4"/>
        <v>56960.69</v>
      </c>
      <c r="H25" s="227">
        <v>56960.69</v>
      </c>
      <c r="I25" s="90">
        <f t="shared" ref="I25:I31" si="7">IF(F25&gt;0.2,IF(M25&gt;0,IF(J25&gt;M25,M25,IF((F25*M25)&gt;J25,F25*M25,J25)),M25),0)</f>
        <v>0</v>
      </c>
      <c r="J25" s="63">
        <v>0</v>
      </c>
      <c r="K25" s="63">
        <f t="shared" si="1"/>
        <v>0</v>
      </c>
      <c r="L25" s="63">
        <f t="shared" si="3"/>
        <v>47485.31</v>
      </c>
      <c r="M25" s="237">
        <v>0</v>
      </c>
      <c r="N25" s="222">
        <v>46173</v>
      </c>
      <c r="O25" s="63">
        <f t="shared" si="2"/>
        <v>0</v>
      </c>
      <c r="P25" s="63">
        <v>0</v>
      </c>
      <c r="Q25" s="253" t="s">
        <v>389</v>
      </c>
      <c r="T25" s="210"/>
      <c r="U25" s="215"/>
      <c r="W25" s="210"/>
      <c r="X25" s="215"/>
    </row>
    <row r="26" spans="1:24" ht="27.75" customHeight="1">
      <c r="A26" s="91">
        <v>51.115900000000003</v>
      </c>
      <c r="B26" s="65" t="s">
        <v>320</v>
      </c>
      <c r="C26" s="64" t="s">
        <v>50</v>
      </c>
      <c r="D26" s="64" t="s">
        <v>41</v>
      </c>
      <c r="E26" s="226">
        <v>1199000</v>
      </c>
      <c r="F26" s="238">
        <f t="shared" si="6"/>
        <v>0.73204395685853008</v>
      </c>
      <c r="G26" s="90">
        <f t="shared" si="4"/>
        <v>877720.70427337755</v>
      </c>
      <c r="H26" s="227">
        <v>790051.12</v>
      </c>
      <c r="I26" s="90">
        <f t="shared" si="7"/>
        <v>87669.584273377564</v>
      </c>
      <c r="J26" s="63">
        <v>0</v>
      </c>
      <c r="K26" s="63">
        <f t="shared" si="1"/>
        <v>87669.584273377564</v>
      </c>
      <c r="L26" s="63">
        <f t="shared" si="3"/>
        <v>321279.29572662245</v>
      </c>
      <c r="M26" s="212">
        <v>119760</v>
      </c>
      <c r="N26" s="218">
        <v>46096</v>
      </c>
      <c r="O26" s="63">
        <f t="shared" si="2"/>
        <v>0</v>
      </c>
      <c r="P26" s="63">
        <v>119760</v>
      </c>
      <c r="Q26" s="253"/>
      <c r="T26" s="210"/>
      <c r="U26" s="215"/>
      <c r="W26" s="210"/>
      <c r="X26" s="215"/>
    </row>
    <row r="27" spans="1:24" ht="27.75" customHeight="1">
      <c r="A27" s="91">
        <v>51.116</v>
      </c>
      <c r="B27" s="65" t="s">
        <v>338</v>
      </c>
      <c r="C27" s="64" t="s">
        <v>29</v>
      </c>
      <c r="D27" s="64" t="s">
        <v>41</v>
      </c>
      <c r="E27" s="226">
        <v>1757000</v>
      </c>
      <c r="F27" s="238">
        <f t="shared" si="6"/>
        <v>0.14823553254437868</v>
      </c>
      <c r="G27" s="90">
        <f t="shared" si="4"/>
        <v>250518.05</v>
      </c>
      <c r="H27" s="227">
        <v>250518.05</v>
      </c>
      <c r="I27" s="90">
        <f t="shared" si="7"/>
        <v>0</v>
      </c>
      <c r="J27" s="63">
        <v>0</v>
      </c>
      <c r="K27" s="63">
        <f t="shared" si="1"/>
        <v>0</v>
      </c>
      <c r="L27" s="63">
        <f t="shared" si="3"/>
        <v>1506481.95</v>
      </c>
      <c r="M27" s="212">
        <v>67000</v>
      </c>
      <c r="N27" s="218">
        <v>46285</v>
      </c>
      <c r="O27" s="63">
        <f t="shared" si="2"/>
        <v>0</v>
      </c>
      <c r="P27" s="63">
        <v>67000</v>
      </c>
      <c r="Q27" s="253"/>
      <c r="T27" s="210"/>
      <c r="U27" s="215"/>
      <c r="W27" s="210"/>
      <c r="X27" s="215"/>
    </row>
    <row r="28" spans="1:24" ht="27.75" customHeight="1">
      <c r="A28" s="91">
        <v>51.116100000000003</v>
      </c>
      <c r="B28" s="65" t="s">
        <v>346</v>
      </c>
      <c r="C28" s="64" t="s">
        <v>124</v>
      </c>
      <c r="D28" s="64" t="s">
        <v>41</v>
      </c>
      <c r="E28" s="226">
        <v>10848599.449999999</v>
      </c>
      <c r="F28" s="238">
        <f t="shared" si="6"/>
        <v>5.8652895729117367E-2</v>
      </c>
      <c r="G28" s="90">
        <f t="shared" si="4"/>
        <v>601852.17000000004</v>
      </c>
      <c r="H28" s="227">
        <v>601852.17000000004</v>
      </c>
      <c r="I28" s="90">
        <f t="shared" si="7"/>
        <v>0</v>
      </c>
      <c r="J28" s="63">
        <v>0</v>
      </c>
      <c r="K28" s="63">
        <f t="shared" si="1"/>
        <v>0</v>
      </c>
      <c r="L28" s="63">
        <f t="shared" si="3"/>
        <v>10246747.279999999</v>
      </c>
      <c r="M28" s="212">
        <v>587347</v>
      </c>
      <c r="N28" s="218">
        <v>46366</v>
      </c>
      <c r="O28" s="63">
        <f>M28-P28</f>
        <v>0</v>
      </c>
      <c r="P28" s="63">
        <v>587347</v>
      </c>
      <c r="Q28" s="253"/>
      <c r="T28" s="210"/>
      <c r="U28" s="215"/>
      <c r="W28" s="210"/>
      <c r="X28" s="215"/>
    </row>
    <row r="29" spans="1:24" ht="27.75" customHeight="1">
      <c r="A29" s="91">
        <v>51.116199999999999</v>
      </c>
      <c r="B29" s="65" t="s">
        <v>377</v>
      </c>
      <c r="C29" s="64" t="s">
        <v>388</v>
      </c>
      <c r="D29" s="64" t="s">
        <v>41</v>
      </c>
      <c r="E29" s="226">
        <v>6029750</v>
      </c>
      <c r="F29" s="238">
        <f t="shared" si="6"/>
        <v>1.4702739637207087E-2</v>
      </c>
      <c r="G29" s="90">
        <f t="shared" si="4"/>
        <v>85941.38</v>
      </c>
      <c r="H29" s="227">
        <v>85941.38</v>
      </c>
      <c r="I29" s="90">
        <f t="shared" si="7"/>
        <v>0</v>
      </c>
      <c r="J29" s="63">
        <v>0</v>
      </c>
      <c r="K29" s="63">
        <f t="shared" si="1"/>
        <v>0</v>
      </c>
      <c r="L29" s="63">
        <f t="shared" si="3"/>
        <v>5943808.6200000001</v>
      </c>
      <c r="M29" s="212">
        <v>184487</v>
      </c>
      <c r="N29" s="218">
        <v>46681</v>
      </c>
      <c r="O29" s="63">
        <f>M29-P29</f>
        <v>0</v>
      </c>
      <c r="P29" s="63">
        <v>184487</v>
      </c>
      <c r="Q29" s="253"/>
      <c r="T29" s="210"/>
      <c r="U29" s="215"/>
      <c r="W29" s="210"/>
      <c r="X29" s="215"/>
    </row>
    <row r="30" spans="1:24" ht="27.75" customHeight="1">
      <c r="A30" s="91">
        <v>51.116399999999999</v>
      </c>
      <c r="B30" s="65" t="s">
        <v>400</v>
      </c>
      <c r="C30" s="64" t="s">
        <v>29</v>
      </c>
      <c r="D30" s="64" t="s">
        <v>223</v>
      </c>
      <c r="E30" s="226">
        <v>387260</v>
      </c>
      <c r="F30" s="238">
        <f t="shared" ref="F30:F31" si="8">+H30/(E30-M30)</f>
        <v>1.1380797992628857E-2</v>
      </c>
      <c r="G30" s="90">
        <f t="shared" si="4"/>
        <v>4363.25</v>
      </c>
      <c r="H30" s="227">
        <v>4363.25</v>
      </c>
      <c r="I30" s="90">
        <f t="shared" si="7"/>
        <v>0</v>
      </c>
      <c r="J30" s="63"/>
      <c r="K30" s="63">
        <f t="shared" si="1"/>
        <v>0</v>
      </c>
      <c r="L30" s="63">
        <f t="shared" si="3"/>
        <v>382896.75</v>
      </c>
      <c r="M30" s="212">
        <v>3873</v>
      </c>
      <c r="N30" s="218">
        <v>46112</v>
      </c>
      <c r="O30" s="63">
        <f>M30-P30</f>
        <v>3873</v>
      </c>
      <c r="P30" s="63"/>
      <c r="Q30" s="253"/>
      <c r="T30" s="210"/>
      <c r="U30" s="215"/>
      <c r="W30" s="210"/>
      <c r="X30" s="215"/>
    </row>
    <row r="31" spans="1:24" ht="27.75" customHeight="1">
      <c r="A31" s="91">
        <v>51.116500000000002</v>
      </c>
      <c r="B31" s="65" t="s">
        <v>419</v>
      </c>
      <c r="C31" s="64" t="s">
        <v>50</v>
      </c>
      <c r="D31" s="64" t="s">
        <v>41</v>
      </c>
      <c r="E31" s="226">
        <v>5304500</v>
      </c>
      <c r="F31" s="238">
        <f t="shared" si="8"/>
        <v>4.7745016160016607E-3</v>
      </c>
      <c r="G31" s="90">
        <f t="shared" si="4"/>
        <v>23330.33</v>
      </c>
      <c r="H31" s="227">
        <v>23330.33</v>
      </c>
      <c r="I31" s="90">
        <f t="shared" si="7"/>
        <v>0</v>
      </c>
      <c r="J31" s="63"/>
      <c r="K31" s="63">
        <f t="shared" si="1"/>
        <v>0</v>
      </c>
      <c r="L31" s="63">
        <f t="shared" si="3"/>
        <v>5281169.67</v>
      </c>
      <c r="M31" s="212">
        <v>418057</v>
      </c>
      <c r="N31" s="218">
        <v>46660</v>
      </c>
      <c r="O31" s="63">
        <f>M31-P31</f>
        <v>418057</v>
      </c>
      <c r="P31" s="63"/>
      <c r="Q31" s="253"/>
      <c r="T31" s="210"/>
      <c r="U31" s="215"/>
      <c r="W31" s="210"/>
      <c r="X31" s="215"/>
    </row>
    <row r="32" spans="1:24" ht="13.5" customHeight="1">
      <c r="A32" s="30"/>
      <c r="B32" s="16"/>
      <c r="C32" s="16"/>
      <c r="D32" s="16"/>
      <c r="E32" s="31"/>
      <c r="F32" s="27"/>
      <c r="G32" s="28"/>
      <c r="H32" s="32"/>
      <c r="I32" s="29"/>
      <c r="J32" s="29"/>
      <c r="K32" s="29"/>
      <c r="L32" s="29"/>
      <c r="M32" s="29"/>
      <c r="N32" s="33"/>
      <c r="O32" s="29"/>
      <c r="P32" s="29"/>
      <c r="U32" s="215"/>
    </row>
    <row r="33" spans="1:24">
      <c r="A33" s="97"/>
      <c r="B33" s="98" t="s">
        <v>159</v>
      </c>
      <c r="C33" s="97"/>
      <c r="D33" s="99"/>
      <c r="E33" s="100">
        <f>SUM(E14:E32)</f>
        <v>368131534.76999998</v>
      </c>
      <c r="F33" s="100"/>
      <c r="G33" s="100">
        <f t="shared" ref="G33:M33" si="9">SUM(G14:G32)</f>
        <v>292082959.20719558</v>
      </c>
      <c r="H33" s="100">
        <f t="shared" si="9"/>
        <v>259938607.72999999</v>
      </c>
      <c r="I33" s="100">
        <f t="shared" si="9"/>
        <v>32144351.477195479</v>
      </c>
      <c r="J33" s="100">
        <f t="shared" si="9"/>
        <v>13491504.959198825</v>
      </c>
      <c r="K33" s="100">
        <f t="shared" si="9"/>
        <v>18652846.517996654</v>
      </c>
      <c r="L33" s="100">
        <f t="shared" si="9"/>
        <v>76048575.56280455</v>
      </c>
      <c r="M33" s="100">
        <f t="shared" si="9"/>
        <v>37953454.969999999</v>
      </c>
      <c r="N33" s="100"/>
      <c r="O33" s="100">
        <f>SUM(O14:O32)</f>
        <v>1805309.9700000002</v>
      </c>
      <c r="P33" s="100">
        <f>SUM(P14:P32)</f>
        <v>36148145</v>
      </c>
      <c r="Q33" s="100"/>
      <c r="U33" s="215"/>
    </row>
    <row r="34" spans="1:24">
      <c r="A34" s="97"/>
      <c r="B34" s="98" t="s">
        <v>160</v>
      </c>
      <c r="C34" s="101"/>
      <c r="D34" s="99"/>
      <c r="E34" s="100">
        <f>'Closed Jobs'!E23</f>
        <v>18225884.890000001</v>
      </c>
      <c r="F34" s="99"/>
      <c r="G34" s="100">
        <f>+'Closed Jobs'!G23</f>
        <v>18225884.890000001</v>
      </c>
      <c r="H34" s="100">
        <f>+'Closed Jobs'!H23</f>
        <v>18509364.300000001</v>
      </c>
      <c r="I34" s="100">
        <f>+'Closed Jobs'!I23</f>
        <v>-283479.41000000038</v>
      </c>
      <c r="J34" s="100">
        <f>+'Closed Jobs'!J23</f>
        <v>1459158.2508806547</v>
      </c>
      <c r="K34" s="100">
        <f>+'Closed Jobs'!K23</f>
        <v>-1742637.6608806555</v>
      </c>
      <c r="L34" s="100">
        <f>+'Closed Jobs'!L23</f>
        <v>0</v>
      </c>
      <c r="M34" s="100">
        <f>+'Closed Jobs'!M23</f>
        <v>-283479.41000000038</v>
      </c>
      <c r="N34" s="100"/>
      <c r="O34" s="100">
        <f>+'Closed Jobs'!O23</f>
        <v>-525178.9600000002</v>
      </c>
      <c r="P34" s="100">
        <f>+'Closed Jobs'!P23</f>
        <v>241699.54999999981</v>
      </c>
      <c r="Q34" s="49"/>
      <c r="U34" s="215"/>
    </row>
    <row r="35" spans="1:24">
      <c r="A35" s="97"/>
      <c r="B35" s="98" t="s">
        <v>161</v>
      </c>
      <c r="C35" s="97"/>
      <c r="D35" s="99"/>
      <c r="E35" s="100">
        <f>E34+E33</f>
        <v>386357419.65999997</v>
      </c>
      <c r="F35" s="99"/>
      <c r="G35" s="100">
        <f t="shared" ref="G35:L35" si="10">+G33+G34</f>
        <v>310308844.09719557</v>
      </c>
      <c r="H35" s="100">
        <f>+H33+H34</f>
        <v>278447972.02999997</v>
      </c>
      <c r="I35" s="100">
        <f t="shared" si="10"/>
        <v>31860872.067195479</v>
      </c>
      <c r="J35" s="49">
        <f t="shared" si="10"/>
        <v>14950663.21007948</v>
      </c>
      <c r="K35" s="49">
        <f>+K33+K34</f>
        <v>16910208.857115999</v>
      </c>
      <c r="L35" s="49">
        <f t="shared" si="10"/>
        <v>76048575.56280455</v>
      </c>
      <c r="M35" s="49">
        <f>+M33+M34</f>
        <v>37669975.559999995</v>
      </c>
      <c r="N35" s="102"/>
      <c r="O35" s="49">
        <f>+O33+O34</f>
        <v>1280131.01</v>
      </c>
      <c r="P35" s="49">
        <f>+P33+P34</f>
        <v>36389844.549999997</v>
      </c>
      <c r="Q35" s="49"/>
    </row>
    <row r="36" spans="1:24">
      <c r="A36" s="35"/>
      <c r="B36" s="36"/>
      <c r="C36" s="36"/>
      <c r="D36" s="36"/>
      <c r="E36" s="36"/>
      <c r="F36" s="36"/>
      <c r="G36" s="36"/>
      <c r="H36" s="37"/>
      <c r="I36" s="38"/>
      <c r="J36" s="36"/>
      <c r="K36" s="36"/>
      <c r="L36" s="36"/>
      <c r="M36" s="36"/>
      <c r="N36" s="36"/>
      <c r="O36" s="36"/>
      <c r="P36" s="39"/>
    </row>
    <row r="37" spans="1:24" ht="76.5" customHeight="1">
      <c r="A37" s="228" t="s">
        <v>32</v>
      </c>
      <c r="B37" s="229" t="s">
        <v>33</v>
      </c>
      <c r="C37" s="242" t="s">
        <v>37</v>
      </c>
      <c r="D37" s="242" t="s">
        <v>31</v>
      </c>
      <c r="E37" s="341">
        <f>(225085557/2)</f>
        <v>112542778.5</v>
      </c>
      <c r="F37" s="243">
        <f>H37/(E37-M37)</f>
        <v>0.99902210230280453</v>
      </c>
      <c r="G37" s="90">
        <f>H37+I37</f>
        <v>112438999.5</v>
      </c>
      <c r="H37" s="342">
        <f>((212041638)/2)</f>
        <v>106020819</v>
      </c>
      <c r="I37" s="90">
        <f>IF(F37&gt;0.3,IF(M37&gt;0,IF(J37&gt;M37,M37,IF((F37*M37)&gt;J37,F37*M37,J37)),M37),0)</f>
        <v>6418180.5</v>
      </c>
      <c r="J37" s="62">
        <v>7118423.5</v>
      </c>
      <c r="K37" s="62">
        <f>I37-J37</f>
        <v>-700243</v>
      </c>
      <c r="L37" s="62">
        <f>E37-G37</f>
        <v>103779</v>
      </c>
      <c r="M37" s="343">
        <f>12836361/2</f>
        <v>6418180.5</v>
      </c>
      <c r="N37" s="222">
        <v>46109</v>
      </c>
      <c r="O37" s="62">
        <f>M37-P37</f>
        <v>-31801</v>
      </c>
      <c r="P37" s="62">
        <v>6449981.5</v>
      </c>
      <c r="Q37" s="344" t="s">
        <v>421</v>
      </c>
      <c r="R37" s="254" t="s">
        <v>244</v>
      </c>
    </row>
    <row r="38" spans="1:24" ht="10.5" customHeight="1">
      <c r="B38" s="40"/>
      <c r="C38" s="40"/>
      <c r="D38" s="40"/>
      <c r="E38" s="40"/>
      <c r="F38" s="40"/>
      <c r="G38" s="40"/>
      <c r="H38" s="41"/>
      <c r="I38" s="40"/>
      <c r="J38" s="40"/>
      <c r="K38" s="42"/>
      <c r="N38" s="206"/>
      <c r="O38" s="206"/>
      <c r="P38" s="206"/>
      <c r="Q38" s="206"/>
    </row>
    <row r="39" spans="1:24">
      <c r="A39" s="103"/>
      <c r="B39" s="43" t="s">
        <v>162</v>
      </c>
      <c r="C39" s="44"/>
      <c r="D39" s="45"/>
      <c r="E39" s="46"/>
      <c r="F39" s="46"/>
      <c r="G39" s="46"/>
      <c r="H39" s="47"/>
      <c r="I39" s="46"/>
      <c r="J39" s="48"/>
      <c r="K39" s="111">
        <f>K37+K35</f>
        <v>16209965.857115999</v>
      </c>
      <c r="M39" s="209"/>
      <c r="O39" s="110"/>
      <c r="P39" s="108"/>
      <c r="Q39" s="110"/>
      <c r="S39" s="17" t="s">
        <v>22</v>
      </c>
      <c r="T39" s="56">
        <f>H35</f>
        <v>278447972.02999997</v>
      </c>
      <c r="V39" s="56"/>
    </row>
    <row r="40" spans="1:24">
      <c r="A40" s="103"/>
      <c r="B40" s="43" t="s">
        <v>163</v>
      </c>
      <c r="C40" s="44"/>
      <c r="D40" s="45"/>
      <c r="E40" s="46"/>
      <c r="F40" s="46"/>
      <c r="G40" s="46"/>
      <c r="H40" s="47"/>
      <c r="I40" s="46"/>
      <c r="J40" s="48"/>
      <c r="K40" s="111">
        <v>14439549.323692817</v>
      </c>
      <c r="L40" s="216"/>
      <c r="M40" s="209"/>
      <c r="O40" s="110"/>
      <c r="P40" s="108"/>
      <c r="Q40" s="110"/>
      <c r="S40" s="17" t="s">
        <v>155</v>
      </c>
      <c r="T40" s="59">
        <v>-7220844.25</v>
      </c>
      <c r="V40" s="59"/>
    </row>
    <row r="41" spans="1:24">
      <c r="A41" s="103"/>
      <c r="B41" s="43" t="s">
        <v>164</v>
      </c>
      <c r="C41" s="44"/>
      <c r="D41" s="45"/>
      <c r="E41" s="46"/>
      <c r="F41" s="46"/>
      <c r="G41" s="46"/>
      <c r="H41" s="47"/>
      <c r="I41" s="46"/>
      <c r="J41" s="48"/>
      <c r="K41" s="111">
        <f>K39-K40</f>
        <v>1770416.5334231816</v>
      </c>
      <c r="L41" s="216"/>
      <c r="M41" s="209"/>
      <c r="O41" s="110"/>
      <c r="P41" s="108"/>
      <c r="Q41" s="110"/>
      <c r="T41" s="60">
        <f>SUM(T39:T40)</f>
        <v>271227127.77999997</v>
      </c>
      <c r="V41" s="56"/>
    </row>
    <row r="42" spans="1:24">
      <c r="B42" s="50"/>
      <c r="C42" s="50"/>
      <c r="D42" s="50"/>
      <c r="E42" s="52"/>
      <c r="F42" s="50"/>
      <c r="G42" s="50"/>
      <c r="H42" s="53"/>
      <c r="I42" s="50"/>
      <c r="J42" s="50"/>
      <c r="K42" s="54"/>
      <c r="L42" s="50"/>
      <c r="O42" s="50"/>
      <c r="P42" s="50"/>
      <c r="Q42" s="51"/>
      <c r="S42" s="35"/>
    </row>
    <row r="43" spans="1:24" ht="9.75" customHeight="1">
      <c r="I43" s="215"/>
      <c r="L43" s="217"/>
      <c r="M43" s="217"/>
      <c r="S43" s="55" t="s">
        <v>23</v>
      </c>
      <c r="T43" s="59">
        <v>271227127.78000003</v>
      </c>
      <c r="V43" s="59"/>
    </row>
    <row r="44" spans="1:24" ht="12" customHeight="1">
      <c r="A44" s="19" t="s">
        <v>60</v>
      </c>
      <c r="B44" s="20" t="s">
        <v>61</v>
      </c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S44" s="55" t="s">
        <v>24</v>
      </c>
      <c r="T44" s="207">
        <f>T41-T43</f>
        <v>0</v>
      </c>
      <c r="V44" s="208"/>
    </row>
    <row r="45" spans="1:24" ht="12" customHeight="1">
      <c r="G45" s="55"/>
      <c r="H45" s="55"/>
      <c r="J45" s="57"/>
      <c r="K45" s="58"/>
      <c r="L45" s="61"/>
      <c r="M45" s="18"/>
      <c r="U45" s="35"/>
    </row>
    <row r="46" spans="1:24" ht="25.5">
      <c r="A46" s="244">
        <v>52.856299999999997</v>
      </c>
      <c r="B46" s="245" t="s">
        <v>66</v>
      </c>
      <c r="C46" s="248" t="s">
        <v>67</v>
      </c>
      <c r="D46" s="248" t="s">
        <v>29</v>
      </c>
      <c r="E46" s="249">
        <v>1174182.73</v>
      </c>
      <c r="F46" s="250">
        <f t="shared" ref="F46:F66" si="11">+H46/(E46-M46)</f>
        <v>0.98150165264311118</v>
      </c>
      <c r="G46" s="249">
        <f>H46+I46</f>
        <v>1152462.29</v>
      </c>
      <c r="H46" s="249">
        <v>1152462.29</v>
      </c>
      <c r="I46" s="249">
        <f t="shared" ref="I46:I53" si="12">IF(F46&gt;0.2,IF(M46&gt;0,IF(J46&gt;M46,M46,IF((F46*M46)&gt;J46,F46*M46,J46)),M46),0)</f>
        <v>0</v>
      </c>
      <c r="J46" s="251">
        <v>0</v>
      </c>
      <c r="K46" s="251">
        <f t="shared" ref="K46:K66" si="13">I46-J46</f>
        <v>0</v>
      </c>
      <c r="L46" s="251">
        <f t="shared" ref="L46:L66" si="14">E46-G46</f>
        <v>21720.439999999944</v>
      </c>
      <c r="M46" s="237">
        <v>0</v>
      </c>
      <c r="N46" s="223">
        <v>46059</v>
      </c>
      <c r="O46" s="63">
        <f t="shared" ref="O46:O66" si="15">M46-P46</f>
        <v>0</v>
      </c>
      <c r="P46" s="63">
        <v>0</v>
      </c>
      <c r="Q46" s="66"/>
      <c r="T46" s="210"/>
      <c r="U46" s="55"/>
      <c r="V46" s="210"/>
      <c r="W46" s="210"/>
      <c r="X46" s="215"/>
    </row>
    <row r="47" spans="1:24" ht="25.5">
      <c r="A47" s="244">
        <v>52.856400000000001</v>
      </c>
      <c r="B47" s="245" t="s">
        <v>68</v>
      </c>
      <c r="C47" s="248" t="s">
        <v>67</v>
      </c>
      <c r="D47" s="248" t="s">
        <v>29</v>
      </c>
      <c r="E47" s="249"/>
      <c r="F47" s="250">
        <f t="shared" si="11"/>
        <v>0.9999748119098969</v>
      </c>
      <c r="G47" s="249">
        <v>0</v>
      </c>
      <c r="H47" s="249">
        <v>-293385.24</v>
      </c>
      <c r="I47" s="249">
        <f t="shared" si="12"/>
        <v>293385.24</v>
      </c>
      <c r="J47" s="251">
        <v>264189.76</v>
      </c>
      <c r="K47" s="251">
        <f t="shared" si="13"/>
        <v>29195.479999999981</v>
      </c>
      <c r="L47" s="251">
        <f t="shared" si="14"/>
        <v>0</v>
      </c>
      <c r="M47" s="237">
        <v>293392.63</v>
      </c>
      <c r="N47" s="223">
        <v>46059</v>
      </c>
      <c r="O47" s="63">
        <f t="shared" si="15"/>
        <v>0</v>
      </c>
      <c r="P47" s="63">
        <v>293392.63</v>
      </c>
      <c r="Q47" s="66" t="s">
        <v>270</v>
      </c>
      <c r="T47" s="210"/>
      <c r="U47" s="55"/>
      <c r="V47" s="210"/>
      <c r="W47" s="215"/>
      <c r="X47" s="215"/>
    </row>
    <row r="48" spans="1:24" ht="27.75" customHeight="1">
      <c r="A48" s="91">
        <v>52.8566</v>
      </c>
      <c r="B48" s="65" t="s">
        <v>69</v>
      </c>
      <c r="C48" s="64" t="s">
        <v>67</v>
      </c>
      <c r="D48" s="64" t="s">
        <v>67</v>
      </c>
      <c r="E48" s="246">
        <v>1259398</v>
      </c>
      <c r="F48" s="247">
        <f t="shared" si="11"/>
        <v>0.99458231898643679</v>
      </c>
      <c r="G48" s="90">
        <f t="shared" ref="G48:G66" si="16">H48+I48</f>
        <v>1252574.9833668806</v>
      </c>
      <c r="H48" s="90">
        <v>1023821.05</v>
      </c>
      <c r="I48" s="90">
        <f t="shared" si="12"/>
        <v>228753.93336688046</v>
      </c>
      <c r="J48" s="63">
        <v>223974.50626643945</v>
      </c>
      <c r="K48" s="63">
        <f t="shared" si="13"/>
        <v>4779.4271004410111</v>
      </c>
      <c r="L48" s="63">
        <f t="shared" si="14"/>
        <v>6823.0166331194341</v>
      </c>
      <c r="M48" s="237">
        <v>230000</v>
      </c>
      <c r="N48" s="223">
        <v>46081</v>
      </c>
      <c r="O48" s="63">
        <f t="shared" si="15"/>
        <v>0</v>
      </c>
      <c r="P48" s="63">
        <v>230000</v>
      </c>
      <c r="Q48" s="66" t="s">
        <v>310</v>
      </c>
      <c r="T48" s="210"/>
      <c r="V48" s="210"/>
      <c r="W48" s="210"/>
      <c r="X48" s="215"/>
    </row>
    <row r="49" spans="1:24" ht="27.75" customHeight="1">
      <c r="A49" s="91">
        <v>52.858600000000003</v>
      </c>
      <c r="B49" s="65" t="s">
        <v>74</v>
      </c>
      <c r="C49" s="64" t="s">
        <v>67</v>
      </c>
      <c r="D49" s="64" t="s">
        <v>67</v>
      </c>
      <c r="E49" s="246">
        <v>12611349</v>
      </c>
      <c r="F49" s="247">
        <f t="shared" si="11"/>
        <v>0.99100599183086491</v>
      </c>
      <c r="G49" s="90">
        <f t="shared" si="16"/>
        <v>12497922.424070187</v>
      </c>
      <c r="H49" s="90">
        <v>10565460.74</v>
      </c>
      <c r="I49" s="90">
        <f t="shared" si="12"/>
        <v>1932461.6840701865</v>
      </c>
      <c r="J49" s="63">
        <v>1757780.0078678457</v>
      </c>
      <c r="K49" s="63">
        <f t="shared" si="13"/>
        <v>174681.67620234075</v>
      </c>
      <c r="L49" s="63">
        <f t="shared" si="14"/>
        <v>113426.57592981309</v>
      </c>
      <c r="M49" s="237">
        <v>1950000</v>
      </c>
      <c r="N49" s="223">
        <v>46053</v>
      </c>
      <c r="O49" s="63">
        <f t="shared" si="15"/>
        <v>0</v>
      </c>
      <c r="P49" s="63">
        <v>1950000</v>
      </c>
      <c r="Q49" s="66"/>
      <c r="T49" s="210"/>
      <c r="V49" s="210"/>
      <c r="W49" s="210"/>
      <c r="X49" s="215"/>
    </row>
    <row r="50" spans="1:24" ht="27.75" customHeight="1">
      <c r="A50" s="91">
        <v>52.863399999999999</v>
      </c>
      <c r="B50" s="65" t="s">
        <v>82</v>
      </c>
      <c r="C50" s="64" t="s">
        <v>71</v>
      </c>
      <c r="D50" s="64" t="s">
        <v>83</v>
      </c>
      <c r="E50" s="246">
        <v>13892722.74</v>
      </c>
      <c r="F50" s="247">
        <f t="shared" si="11"/>
        <v>0.8875221222336146</v>
      </c>
      <c r="G50" s="90">
        <f t="shared" si="16"/>
        <v>12330098.769807998</v>
      </c>
      <c r="H50" s="90">
        <v>11707058.24</v>
      </c>
      <c r="I50" s="90">
        <f t="shared" si="12"/>
        <v>623040.5298079974</v>
      </c>
      <c r="J50" s="63">
        <v>277972.01148414961</v>
      </c>
      <c r="K50" s="63">
        <f t="shared" si="13"/>
        <v>345068.51832384779</v>
      </c>
      <c r="L50" s="63">
        <f t="shared" si="14"/>
        <v>1562623.9701920021</v>
      </c>
      <c r="M50" s="237">
        <v>702000</v>
      </c>
      <c r="N50" s="223">
        <v>46148</v>
      </c>
      <c r="O50" s="63">
        <f t="shared" si="15"/>
        <v>0</v>
      </c>
      <c r="P50" s="63">
        <v>702000</v>
      </c>
      <c r="Q50" s="66"/>
      <c r="T50" s="210"/>
      <c r="V50" s="210"/>
      <c r="W50" s="210"/>
      <c r="X50" s="215"/>
    </row>
    <row r="51" spans="1:24" ht="38.25">
      <c r="A51" s="91">
        <v>52.863599999999998</v>
      </c>
      <c r="B51" s="65" t="s">
        <v>84</v>
      </c>
      <c r="C51" s="64" t="s">
        <v>85</v>
      </c>
      <c r="D51" s="64" t="s">
        <v>83</v>
      </c>
      <c r="E51" s="246">
        <v>3642197</v>
      </c>
      <c r="F51" s="247">
        <f t="shared" si="11"/>
        <v>0.99995555947573012</v>
      </c>
      <c r="G51" s="90">
        <f t="shared" si="16"/>
        <v>3642035.1388558256</v>
      </c>
      <c r="H51" s="90">
        <v>3367047.36</v>
      </c>
      <c r="I51" s="90">
        <f t="shared" si="12"/>
        <v>274987.77885582577</v>
      </c>
      <c r="J51" s="63">
        <v>204319.7110799439</v>
      </c>
      <c r="K51" s="63">
        <f t="shared" si="13"/>
        <v>70668.067775881878</v>
      </c>
      <c r="L51" s="63">
        <f t="shared" si="14"/>
        <v>161.86114417435601</v>
      </c>
      <c r="M51" s="237">
        <v>275000</v>
      </c>
      <c r="N51" s="223">
        <v>46081</v>
      </c>
      <c r="O51" s="63">
        <f t="shared" si="15"/>
        <v>-35000</v>
      </c>
      <c r="P51" s="63">
        <v>310000</v>
      </c>
      <c r="Q51" s="358" t="s">
        <v>426</v>
      </c>
      <c r="T51" s="210"/>
      <c r="V51" s="210"/>
      <c r="W51" s="210"/>
      <c r="X51" s="215"/>
    </row>
    <row r="52" spans="1:24" ht="27.75" customHeight="1">
      <c r="A52" s="91">
        <v>52.863700000000001</v>
      </c>
      <c r="B52" s="65" t="s">
        <v>86</v>
      </c>
      <c r="C52" s="64" t="s">
        <v>52</v>
      </c>
      <c r="D52" s="64" t="s">
        <v>83</v>
      </c>
      <c r="E52" s="246">
        <v>26264577.649999999</v>
      </c>
      <c r="F52" s="247">
        <f t="shared" si="11"/>
        <v>0.99023836104699536</v>
      </c>
      <c r="G52" s="90">
        <f t="shared" si="16"/>
        <v>26008192.325727545</v>
      </c>
      <c r="H52" s="90">
        <v>24374299.030000001</v>
      </c>
      <c r="I52" s="90">
        <f t="shared" si="12"/>
        <v>1633893.2957275424</v>
      </c>
      <c r="J52" s="63">
        <v>1208391.7577226674</v>
      </c>
      <c r="K52" s="63">
        <f t="shared" si="13"/>
        <v>425501.53800487495</v>
      </c>
      <c r="L52" s="63">
        <f t="shared" si="14"/>
        <v>256385.32427245378</v>
      </c>
      <c r="M52" s="237">
        <v>1650000</v>
      </c>
      <c r="N52" s="223">
        <v>46081</v>
      </c>
      <c r="O52" s="63">
        <f t="shared" si="15"/>
        <v>0</v>
      </c>
      <c r="P52" s="63">
        <v>1650000</v>
      </c>
      <c r="Q52" s="66"/>
      <c r="T52" s="210"/>
      <c r="V52" s="210"/>
      <c r="W52" s="210"/>
      <c r="X52" s="215"/>
    </row>
    <row r="53" spans="1:24" ht="27.75" customHeight="1">
      <c r="A53" s="91">
        <v>52.863999999999997</v>
      </c>
      <c r="B53" s="65" t="s">
        <v>87</v>
      </c>
      <c r="C53" s="64" t="s">
        <v>73</v>
      </c>
      <c r="D53" s="64" t="s">
        <v>83</v>
      </c>
      <c r="E53" s="246">
        <v>38646363.159999996</v>
      </c>
      <c r="F53" s="247">
        <f t="shared" si="11"/>
        <v>0.87452060912224572</v>
      </c>
      <c r="G53" s="90">
        <f t="shared" si="16"/>
        <v>33797041.051042713</v>
      </c>
      <c r="H53" s="90">
        <v>32158781.48</v>
      </c>
      <c r="I53" s="90">
        <f t="shared" si="12"/>
        <v>1638259.5710427128</v>
      </c>
      <c r="J53" s="63">
        <v>703966.83888736507</v>
      </c>
      <c r="K53" s="63">
        <f t="shared" si="13"/>
        <v>934292.73215534771</v>
      </c>
      <c r="L53" s="63">
        <f t="shared" si="14"/>
        <v>4849322.1089572832</v>
      </c>
      <c r="M53" s="237">
        <v>1873323</v>
      </c>
      <c r="N53" s="223">
        <v>46129</v>
      </c>
      <c r="O53" s="63">
        <f t="shared" si="15"/>
        <v>0</v>
      </c>
      <c r="P53" s="63">
        <v>1873323</v>
      </c>
      <c r="Q53" s="302"/>
      <c r="T53" s="210"/>
      <c r="V53" s="210"/>
      <c r="W53" s="210"/>
      <c r="X53" s="215"/>
    </row>
    <row r="54" spans="1:24" ht="27.75" customHeight="1">
      <c r="A54" s="91">
        <v>52.866799999999998</v>
      </c>
      <c r="B54" s="65" t="s">
        <v>230</v>
      </c>
      <c r="C54" s="64" t="s">
        <v>81</v>
      </c>
      <c r="D54" s="64" t="s">
        <v>75</v>
      </c>
      <c r="E54" s="246">
        <v>411851</v>
      </c>
      <c r="F54" s="247">
        <f>+H54/(E54-M54)</f>
        <v>0.94884473575316441</v>
      </c>
      <c r="G54" s="90">
        <f t="shared" si="16"/>
        <v>390782.65326467651</v>
      </c>
      <c r="H54" s="90">
        <v>357710.67</v>
      </c>
      <c r="I54" s="90">
        <f>IF(F54&gt;0.3,IF(M54&gt;0,IF(J54&gt;M54,M54,IF((F54*M54)&gt;J54,F54*M54,J54)),M54),0)</f>
        <v>33071.983264676543</v>
      </c>
      <c r="J54" s="63">
        <v>0</v>
      </c>
      <c r="K54" s="63">
        <f t="shared" si="13"/>
        <v>33071.983264676543</v>
      </c>
      <c r="L54" s="63">
        <f t="shared" si="14"/>
        <v>21068.346735323488</v>
      </c>
      <c r="M54" s="237">
        <v>34855</v>
      </c>
      <c r="N54" s="223">
        <v>46022</v>
      </c>
      <c r="O54" s="63">
        <f t="shared" si="15"/>
        <v>-1145</v>
      </c>
      <c r="P54" s="63">
        <v>36000</v>
      </c>
      <c r="Q54" s="255" t="s">
        <v>409</v>
      </c>
      <c r="T54" s="210"/>
      <c r="V54" s="210"/>
      <c r="W54" s="210"/>
      <c r="X54" s="215"/>
    </row>
    <row r="55" spans="1:24" ht="27.75" customHeight="1">
      <c r="A55" s="91">
        <v>52.867800000000003</v>
      </c>
      <c r="B55" s="65" t="s">
        <v>269</v>
      </c>
      <c r="C55" s="64" t="s">
        <v>81</v>
      </c>
      <c r="D55" s="64" t="s">
        <v>258</v>
      </c>
      <c r="E55" s="246">
        <v>1240321</v>
      </c>
      <c r="F55" s="247">
        <f t="shared" si="11"/>
        <v>0.79668810079143371</v>
      </c>
      <c r="G55" s="90">
        <f t="shared" si="16"/>
        <v>988148.98186173185</v>
      </c>
      <c r="H55" s="90">
        <v>926007.31</v>
      </c>
      <c r="I55" s="90">
        <f t="shared" ref="I55:I66" si="17">IF(F55&gt;0.2,IF(M55&gt;0,IF(J55&gt;M55,M55,IF((F55*M55)&gt;J55,F55*M55,J55)),M55),0)</f>
        <v>62141.671861731826</v>
      </c>
      <c r="J55" s="63">
        <v>0</v>
      </c>
      <c r="K55" s="63">
        <f t="shared" si="13"/>
        <v>62141.671861731826</v>
      </c>
      <c r="L55" s="63">
        <f t="shared" si="14"/>
        <v>252172.01813826815</v>
      </c>
      <c r="M55" s="237">
        <v>78000</v>
      </c>
      <c r="N55" s="223">
        <v>46053</v>
      </c>
      <c r="O55" s="63">
        <f t="shared" si="15"/>
        <v>0</v>
      </c>
      <c r="P55" s="63">
        <v>78000</v>
      </c>
      <c r="Q55" s="255"/>
      <c r="T55" s="210"/>
      <c r="V55" s="210"/>
      <c r="W55" s="210"/>
      <c r="X55" s="215"/>
    </row>
    <row r="56" spans="1:24" ht="27.75" customHeight="1">
      <c r="A56" s="91">
        <v>52.868699999999997</v>
      </c>
      <c r="B56" s="65" t="s">
        <v>278</v>
      </c>
      <c r="C56" s="64" t="s">
        <v>81</v>
      </c>
      <c r="D56" s="64" t="s">
        <v>223</v>
      </c>
      <c r="E56" s="246">
        <v>877954</v>
      </c>
      <c r="F56" s="247">
        <f t="shared" si="11"/>
        <v>0.93659097315952766</v>
      </c>
      <c r="G56" s="90">
        <f t="shared" si="16"/>
        <v>822283.79124929989</v>
      </c>
      <c r="H56" s="90">
        <v>740629.43</v>
      </c>
      <c r="I56" s="90">
        <f t="shared" si="17"/>
        <v>81654.361249299895</v>
      </c>
      <c r="J56" s="63">
        <v>0</v>
      </c>
      <c r="K56" s="63">
        <f t="shared" si="13"/>
        <v>81654.361249299895</v>
      </c>
      <c r="L56" s="63">
        <f t="shared" si="14"/>
        <v>55670.208750700112</v>
      </c>
      <c r="M56" s="237">
        <v>87182.519999999902</v>
      </c>
      <c r="N56" s="223">
        <v>46022</v>
      </c>
      <c r="O56" s="63">
        <f t="shared" si="15"/>
        <v>5760.5199999999022</v>
      </c>
      <c r="P56" s="63">
        <v>81422</v>
      </c>
      <c r="Q56" s="255" t="s">
        <v>409</v>
      </c>
      <c r="T56" s="210"/>
      <c r="V56" s="210"/>
      <c r="W56" s="210"/>
      <c r="X56" s="215"/>
    </row>
    <row r="57" spans="1:24" ht="27.75" customHeight="1">
      <c r="A57" s="91">
        <v>52.869199999999999</v>
      </c>
      <c r="B57" s="65" t="s">
        <v>312</v>
      </c>
      <c r="C57" s="64" t="s">
        <v>71</v>
      </c>
      <c r="D57" s="64" t="s">
        <v>71</v>
      </c>
      <c r="E57" s="246">
        <v>55135.37</v>
      </c>
      <c r="F57" s="247">
        <f>+H57/(E57-M57)</f>
        <v>1</v>
      </c>
      <c r="G57" s="90">
        <f>H57+I57</f>
        <v>55135.37</v>
      </c>
      <c r="H57" s="90">
        <v>49682.49</v>
      </c>
      <c r="I57" s="90">
        <f>IF(F57&gt;0.2,IF(M57&gt;0,IF(J57&gt;M57,M57,IF((F57*M57)&gt;J57,F57*M57,J57)),M57),0)</f>
        <v>5452.8800000000047</v>
      </c>
      <c r="J57" s="63">
        <v>0</v>
      </c>
      <c r="K57" s="63">
        <f>I57-J57</f>
        <v>5452.8800000000047</v>
      </c>
      <c r="L57" s="63">
        <f>E57-G57</f>
        <v>0</v>
      </c>
      <c r="M57" s="237">
        <f>E57-H57</f>
        <v>5452.8800000000047</v>
      </c>
      <c r="N57" s="223">
        <v>46053</v>
      </c>
      <c r="O57" s="63">
        <f t="shared" si="15"/>
        <v>0</v>
      </c>
      <c r="P57" s="63">
        <v>5452.8800000000047</v>
      </c>
      <c r="Q57" s="255" t="s">
        <v>427</v>
      </c>
      <c r="T57" s="210"/>
      <c r="V57" s="210"/>
      <c r="W57" s="210"/>
      <c r="X57" s="215"/>
    </row>
    <row r="58" spans="1:24" ht="27.75" customHeight="1">
      <c r="A58" s="91">
        <v>52.869700000000002</v>
      </c>
      <c r="B58" s="65" t="s">
        <v>328</v>
      </c>
      <c r="C58" s="64" t="s">
        <v>29</v>
      </c>
      <c r="D58" s="64" t="s">
        <v>67</v>
      </c>
      <c r="E58" s="246">
        <v>1388000</v>
      </c>
      <c r="F58" s="247">
        <f t="shared" si="11"/>
        <v>0.58257126841405615</v>
      </c>
      <c r="G58" s="90">
        <f t="shared" si="16"/>
        <v>808608.92055870988</v>
      </c>
      <c r="H58" s="90">
        <v>772187.73</v>
      </c>
      <c r="I58" s="90">
        <f t="shared" si="17"/>
        <v>36421.190558709961</v>
      </c>
      <c r="J58" s="63">
        <v>0</v>
      </c>
      <c r="K58" s="63">
        <f t="shared" si="13"/>
        <v>36421.190558709961</v>
      </c>
      <c r="L58" s="63">
        <f t="shared" si="14"/>
        <v>579391.07944129012</v>
      </c>
      <c r="M58" s="237">
        <v>62518</v>
      </c>
      <c r="N58" s="223">
        <v>46225</v>
      </c>
      <c r="O58" s="63">
        <f t="shared" si="15"/>
        <v>0</v>
      </c>
      <c r="P58" s="63">
        <v>62518</v>
      </c>
      <c r="Q58" s="66"/>
      <c r="T58" s="210"/>
      <c r="V58" s="210"/>
      <c r="W58" s="210"/>
      <c r="X58" s="215"/>
    </row>
    <row r="59" spans="1:24" ht="27.75" customHeight="1">
      <c r="A59" s="91">
        <v>52.869799999999998</v>
      </c>
      <c r="B59" s="65" t="s">
        <v>425</v>
      </c>
      <c r="C59" s="64"/>
      <c r="D59" s="64"/>
      <c r="E59" s="246">
        <v>22713</v>
      </c>
      <c r="F59" s="247">
        <f t="shared" si="11"/>
        <v>0.9464285714285714</v>
      </c>
      <c r="G59" s="90">
        <f t="shared" si="16"/>
        <v>21496.232142857141</v>
      </c>
      <c r="H59" s="90">
        <v>15264</v>
      </c>
      <c r="I59" s="90">
        <f t="shared" si="17"/>
        <v>6232.2321428571422</v>
      </c>
      <c r="J59" s="63"/>
      <c r="K59" s="63">
        <f t="shared" si="13"/>
        <v>6232.2321428571422</v>
      </c>
      <c r="L59" s="63">
        <f t="shared" si="14"/>
        <v>1216.7678571428587</v>
      </c>
      <c r="M59" s="237">
        <v>6585</v>
      </c>
      <c r="N59" s="223">
        <v>46053</v>
      </c>
      <c r="O59" s="63">
        <f t="shared" si="15"/>
        <v>6585</v>
      </c>
      <c r="P59" s="63"/>
      <c r="Q59" s="66"/>
      <c r="T59" s="210"/>
      <c r="V59" s="210"/>
      <c r="W59" s="210"/>
      <c r="X59" s="215"/>
    </row>
    <row r="60" spans="1:24" ht="27.75" customHeight="1">
      <c r="A60" s="91">
        <v>52.870399999999997</v>
      </c>
      <c r="B60" s="65" t="s">
        <v>359</v>
      </c>
      <c r="C60" s="64" t="s">
        <v>52</v>
      </c>
      <c r="D60" s="64" t="s">
        <v>75</v>
      </c>
      <c r="E60" s="246">
        <v>13744000</v>
      </c>
      <c r="F60" s="247">
        <f t="shared" si="11"/>
        <v>6.0853944966940125E-2</v>
      </c>
      <c r="G60" s="90">
        <f t="shared" si="16"/>
        <v>820988.3</v>
      </c>
      <c r="H60" s="90">
        <v>820988.3</v>
      </c>
      <c r="I60" s="90">
        <f t="shared" si="17"/>
        <v>0</v>
      </c>
      <c r="J60" s="63">
        <v>0</v>
      </c>
      <c r="K60" s="63">
        <f t="shared" si="13"/>
        <v>0</v>
      </c>
      <c r="L60" s="63">
        <f t="shared" si="14"/>
        <v>12923011.699999999</v>
      </c>
      <c r="M60" s="212">
        <v>252873</v>
      </c>
      <c r="N60" s="218">
        <v>46418</v>
      </c>
      <c r="O60" s="63">
        <f t="shared" si="15"/>
        <v>0</v>
      </c>
      <c r="P60" s="63">
        <v>252873</v>
      </c>
      <c r="Q60" s="66"/>
      <c r="T60" s="210"/>
      <c r="V60" s="210"/>
      <c r="W60" s="210"/>
      <c r="X60" s="215"/>
    </row>
    <row r="61" spans="1:24" ht="27.75" customHeight="1">
      <c r="A61" s="91">
        <v>52.8705</v>
      </c>
      <c r="B61" s="65" t="s">
        <v>360</v>
      </c>
      <c r="C61" s="64" t="s">
        <v>91</v>
      </c>
      <c r="D61" s="64" t="s">
        <v>223</v>
      </c>
      <c r="E61" s="246">
        <v>775000</v>
      </c>
      <c r="F61" s="247">
        <f t="shared" si="11"/>
        <v>0.39683246670188799</v>
      </c>
      <c r="G61" s="90">
        <f t="shared" si="16"/>
        <v>307545.16169396322</v>
      </c>
      <c r="H61" s="90">
        <v>285425.71999999997</v>
      </c>
      <c r="I61" s="90">
        <f t="shared" si="17"/>
        <v>22119.441693963236</v>
      </c>
      <c r="J61" s="63">
        <v>0</v>
      </c>
      <c r="K61" s="63">
        <f t="shared" si="13"/>
        <v>22119.441693963236</v>
      </c>
      <c r="L61" s="63">
        <f t="shared" si="14"/>
        <v>467454.83830603678</v>
      </c>
      <c r="M61" s="212">
        <v>55740</v>
      </c>
      <c r="N61" s="223">
        <v>46081</v>
      </c>
      <c r="O61" s="63">
        <f t="shared" si="15"/>
        <v>0</v>
      </c>
      <c r="P61" s="63">
        <v>55740</v>
      </c>
      <c r="Q61" s="66"/>
      <c r="T61" s="210"/>
      <c r="V61" s="210"/>
      <c r="W61" s="210"/>
      <c r="X61" s="215"/>
    </row>
    <row r="62" spans="1:24" ht="27.75" customHeight="1">
      <c r="A62" s="91">
        <v>52.870699999999999</v>
      </c>
      <c r="B62" s="65" t="s">
        <v>361</v>
      </c>
      <c r="C62" s="64" t="s">
        <v>318</v>
      </c>
      <c r="D62" s="64" t="s">
        <v>67</v>
      </c>
      <c r="E62" s="246">
        <v>3693200</v>
      </c>
      <c r="F62" s="247">
        <f t="shared" si="11"/>
        <v>0.29236880762727507</v>
      </c>
      <c r="G62" s="90">
        <f t="shared" si="16"/>
        <v>1079776.4803290523</v>
      </c>
      <c r="H62" s="90">
        <v>1012057.14</v>
      </c>
      <c r="I62" s="90">
        <f t="shared" si="17"/>
        <v>67719.340329052327</v>
      </c>
      <c r="J62" s="63">
        <v>0</v>
      </c>
      <c r="K62" s="63">
        <f t="shared" si="13"/>
        <v>67719.340329052327</v>
      </c>
      <c r="L62" s="63">
        <f t="shared" si="14"/>
        <v>2613423.5196709475</v>
      </c>
      <c r="M62" s="212">
        <v>231623</v>
      </c>
      <c r="N62" s="218">
        <v>46215</v>
      </c>
      <c r="O62" s="63">
        <f t="shared" si="15"/>
        <v>0</v>
      </c>
      <c r="P62" s="63">
        <v>231623</v>
      </c>
      <c r="Q62" s="66"/>
      <c r="T62" s="210"/>
      <c r="V62" s="210"/>
      <c r="W62" s="210"/>
      <c r="X62" s="215"/>
    </row>
    <row r="63" spans="1:24" ht="27.75" customHeight="1">
      <c r="A63" s="91">
        <v>52.870800000000003</v>
      </c>
      <c r="B63" s="65" t="s">
        <v>378</v>
      </c>
      <c r="C63" s="64" t="s">
        <v>78</v>
      </c>
      <c r="D63" s="64" t="s">
        <v>223</v>
      </c>
      <c r="E63" s="246">
        <v>363833</v>
      </c>
      <c r="F63" s="247">
        <f t="shared" si="11"/>
        <v>2.3017314992644349E-2</v>
      </c>
      <c r="G63" s="90">
        <f t="shared" si="16"/>
        <v>7682.19</v>
      </c>
      <c r="H63" s="90">
        <v>7682.19</v>
      </c>
      <c r="I63" s="90">
        <f t="shared" si="17"/>
        <v>0</v>
      </c>
      <c r="J63" s="63"/>
      <c r="K63" s="63">
        <f t="shared" si="13"/>
        <v>0</v>
      </c>
      <c r="L63" s="63">
        <f t="shared" si="14"/>
        <v>356150.81</v>
      </c>
      <c r="M63" s="212">
        <v>30076</v>
      </c>
      <c r="N63" s="218">
        <v>46081</v>
      </c>
      <c r="O63" s="63">
        <f t="shared" si="15"/>
        <v>0</v>
      </c>
      <c r="P63" s="63">
        <v>30076</v>
      </c>
      <c r="Q63" s="66"/>
      <c r="T63" s="210"/>
      <c r="V63" s="210"/>
      <c r="W63" s="210"/>
      <c r="X63" s="215"/>
    </row>
    <row r="64" spans="1:24" ht="27.75" customHeight="1">
      <c r="A64" s="91">
        <v>52.871099999999998</v>
      </c>
      <c r="B64" s="65" t="s">
        <v>401</v>
      </c>
      <c r="C64" s="64" t="s">
        <v>78</v>
      </c>
      <c r="D64" s="64" t="s">
        <v>78</v>
      </c>
      <c r="E64" s="246">
        <v>6860</v>
      </c>
      <c r="F64" s="247">
        <f t="shared" si="11"/>
        <v>0.72348535233570865</v>
      </c>
      <c r="G64" s="90">
        <f t="shared" si="16"/>
        <v>4963.1095170229619</v>
      </c>
      <c r="H64" s="90">
        <v>4568.8100000000004</v>
      </c>
      <c r="I64" s="90">
        <f t="shared" si="17"/>
        <v>394.2995170229612</v>
      </c>
      <c r="J64" s="63"/>
      <c r="K64" s="63">
        <f t="shared" si="13"/>
        <v>394.2995170229612</v>
      </c>
      <c r="L64" s="63">
        <f t="shared" si="14"/>
        <v>1896.8904829770381</v>
      </c>
      <c r="M64" s="212">
        <v>545</v>
      </c>
      <c r="N64" s="218">
        <v>46053</v>
      </c>
      <c r="O64" s="63">
        <f t="shared" si="15"/>
        <v>545</v>
      </c>
      <c r="P64" s="63"/>
      <c r="Q64" s="66"/>
      <c r="T64" s="210"/>
      <c r="V64" s="210"/>
      <c r="W64" s="210"/>
      <c r="X64" s="215"/>
    </row>
    <row r="65" spans="1:24" ht="27.75" customHeight="1">
      <c r="A65" s="91">
        <v>52.871299999999998</v>
      </c>
      <c r="B65" s="65" t="s">
        <v>402</v>
      </c>
      <c r="C65" s="64" t="s">
        <v>81</v>
      </c>
      <c r="D65" s="64" t="s">
        <v>81</v>
      </c>
      <c r="E65" s="246">
        <v>218842</v>
      </c>
      <c r="F65" s="247">
        <f t="shared" si="11"/>
        <v>4.8703259311380547E-3</v>
      </c>
      <c r="G65" s="90">
        <f t="shared" si="16"/>
        <v>927.5</v>
      </c>
      <c r="H65" s="90">
        <v>927.5</v>
      </c>
      <c r="I65" s="90">
        <f t="shared" si="17"/>
        <v>0</v>
      </c>
      <c r="J65" s="63"/>
      <c r="K65" s="63">
        <f t="shared" si="13"/>
        <v>0</v>
      </c>
      <c r="L65" s="63">
        <f t="shared" si="14"/>
        <v>217914.5</v>
      </c>
      <c r="M65" s="212">
        <v>28403</v>
      </c>
      <c r="N65" s="218">
        <v>46112</v>
      </c>
      <c r="O65" s="63">
        <f t="shared" si="15"/>
        <v>28403</v>
      </c>
      <c r="P65" s="63"/>
      <c r="Q65" s="66"/>
      <c r="T65" s="210"/>
      <c r="V65" s="210"/>
      <c r="W65" s="210"/>
      <c r="X65" s="215"/>
    </row>
    <row r="66" spans="1:24" ht="27.75" customHeight="1">
      <c r="A66" s="91">
        <v>52.871400000000001</v>
      </c>
      <c r="B66" s="65" t="s">
        <v>403</v>
      </c>
      <c r="C66" s="64" t="s">
        <v>71</v>
      </c>
      <c r="D66" s="64" t="s">
        <v>71</v>
      </c>
      <c r="E66" s="246">
        <v>5084.9399999999996</v>
      </c>
      <c r="F66" s="247">
        <f t="shared" si="11"/>
        <v>1</v>
      </c>
      <c r="G66" s="90">
        <f t="shared" si="16"/>
        <v>5084.9399999999996</v>
      </c>
      <c r="H66" s="90">
        <v>4465.6099999999997</v>
      </c>
      <c r="I66" s="90">
        <f t="shared" si="17"/>
        <v>619.32999999999993</v>
      </c>
      <c r="J66" s="63"/>
      <c r="K66" s="63">
        <f t="shared" si="13"/>
        <v>619.32999999999993</v>
      </c>
      <c r="L66" s="63">
        <f t="shared" si="14"/>
        <v>0</v>
      </c>
      <c r="M66" s="212">
        <f t="shared" ref="M66" si="18">E66-H66</f>
        <v>619.32999999999993</v>
      </c>
      <c r="N66" s="218">
        <v>46053</v>
      </c>
      <c r="O66" s="63">
        <f t="shared" si="15"/>
        <v>619.32999999999993</v>
      </c>
      <c r="P66" s="63"/>
      <c r="Q66" s="66"/>
      <c r="T66" s="210"/>
      <c r="V66" s="210"/>
      <c r="W66" s="210"/>
      <c r="X66" s="215"/>
    </row>
    <row r="67" spans="1:24">
      <c r="A67" s="92"/>
      <c r="B67" s="93"/>
      <c r="C67" s="16"/>
      <c r="D67" s="16"/>
      <c r="E67" s="28"/>
      <c r="F67" s="94"/>
      <c r="G67" s="28"/>
      <c r="H67" s="28"/>
      <c r="I67" s="28"/>
      <c r="J67" s="29"/>
      <c r="K67" s="29"/>
      <c r="L67" s="29"/>
      <c r="M67" s="29"/>
      <c r="N67" s="95"/>
      <c r="O67" s="29"/>
      <c r="P67" s="29"/>
      <c r="Q67" s="96"/>
      <c r="V67" s="210"/>
      <c r="W67" s="215"/>
    </row>
    <row r="68" spans="1:24">
      <c r="A68" s="97"/>
      <c r="B68" s="98" t="s">
        <v>165</v>
      </c>
      <c r="C68" s="97"/>
      <c r="D68" s="99"/>
      <c r="E68" s="100">
        <f>SUM(E46:E67)</f>
        <v>120293584.59</v>
      </c>
      <c r="F68" s="100"/>
      <c r="G68" s="100">
        <f t="shared" ref="G68:M68" si="19">SUM(G46:G67)</f>
        <v>95993750.613488436</v>
      </c>
      <c r="H68" s="100">
        <f t="shared" si="19"/>
        <v>89053141.850000009</v>
      </c>
      <c r="I68" s="100">
        <f t="shared" si="19"/>
        <v>6940608.7634884585</v>
      </c>
      <c r="J68" s="100">
        <f t="shared" si="19"/>
        <v>4640594.5933084115</v>
      </c>
      <c r="K68" s="100">
        <f t="shared" si="19"/>
        <v>2300014.1701800479</v>
      </c>
      <c r="L68" s="100">
        <f t="shared" si="19"/>
        <v>24299833.976511531</v>
      </c>
      <c r="M68" s="100">
        <f t="shared" si="19"/>
        <v>7848188.3599999994</v>
      </c>
      <c r="N68" s="100"/>
      <c r="O68" s="100">
        <f>SUM(O46:O67)</f>
        <v>5767.8499999999021</v>
      </c>
      <c r="P68" s="100">
        <f>SUM(P46:P67)</f>
        <v>7842420.5099999998</v>
      </c>
      <c r="Q68" s="100"/>
      <c r="V68" s="210"/>
      <c r="W68" s="215"/>
    </row>
    <row r="69" spans="1:24">
      <c r="A69" s="97"/>
      <c r="B69" s="98" t="s">
        <v>166</v>
      </c>
      <c r="C69" s="101"/>
      <c r="D69" s="99"/>
      <c r="E69" s="100">
        <f>'Closed Jobs'!E62</f>
        <v>24381266.32</v>
      </c>
      <c r="F69" s="99"/>
      <c r="G69" s="100">
        <f>'Closed Jobs'!G62</f>
        <v>24381266.32</v>
      </c>
      <c r="H69" s="100">
        <f>'Closed Jobs'!H62</f>
        <v>23380699.099999998</v>
      </c>
      <c r="I69" s="100">
        <f>'Closed Jobs'!I62</f>
        <v>1000567.2200000002</v>
      </c>
      <c r="J69" s="100">
        <f>'Closed Jobs'!J62</f>
        <v>947524.51647673734</v>
      </c>
      <c r="K69" s="100">
        <f>'Closed Jobs'!K62</f>
        <v>53042.703523262971</v>
      </c>
      <c r="L69" s="100">
        <f>'Closed Jobs'!L62</f>
        <v>0</v>
      </c>
      <c r="M69" s="100">
        <f>'Closed Jobs'!M62</f>
        <v>1000567.2200000002</v>
      </c>
      <c r="N69" s="100">
        <f>'Closed Jobs'!N62</f>
        <v>0</v>
      </c>
      <c r="O69" s="100">
        <f>'Closed Jobs'!O62</f>
        <v>-98924.13</v>
      </c>
      <c r="P69" s="100">
        <f>'Closed Jobs'!P62</f>
        <v>1099491.3500000001</v>
      </c>
      <c r="Q69" s="49"/>
    </row>
    <row r="70" spans="1:24">
      <c r="A70" s="97"/>
      <c r="B70" s="98" t="s">
        <v>167</v>
      </c>
      <c r="C70" s="97"/>
      <c r="D70" s="99"/>
      <c r="E70" s="100">
        <f>E68+E69</f>
        <v>144674850.91</v>
      </c>
      <c r="F70" s="99"/>
      <c r="G70" s="100">
        <f t="shared" ref="G70:M70" si="20">+G68+G69</f>
        <v>120375016.93348843</v>
      </c>
      <c r="H70" s="100">
        <f t="shared" si="20"/>
        <v>112433840.95</v>
      </c>
      <c r="I70" s="100">
        <f t="shared" si="20"/>
        <v>7941175.9834884591</v>
      </c>
      <c r="J70" s="49">
        <f t="shared" si="20"/>
        <v>5588119.1097851489</v>
      </c>
      <c r="K70" s="49">
        <f>+K68+K69</f>
        <v>2353056.8737033107</v>
      </c>
      <c r="L70" s="49">
        <f t="shared" si="20"/>
        <v>24299833.976511531</v>
      </c>
      <c r="M70" s="49">
        <f t="shared" si="20"/>
        <v>8848755.5800000001</v>
      </c>
      <c r="N70" s="102"/>
      <c r="O70" s="49">
        <f>+O68+O69</f>
        <v>-93156.280000000101</v>
      </c>
      <c r="P70" s="49">
        <f>+P68+P69</f>
        <v>8941911.8599999994</v>
      </c>
      <c r="Q70" s="49"/>
    </row>
    <row r="71" spans="1:24">
      <c r="A71" s="35"/>
      <c r="B71" s="36"/>
      <c r="C71" s="36"/>
      <c r="D71" s="36"/>
      <c r="E71" s="36"/>
      <c r="F71" s="36"/>
      <c r="G71" s="36"/>
      <c r="H71" s="37"/>
      <c r="I71" s="38"/>
      <c r="J71" s="36"/>
      <c r="K71" s="36"/>
      <c r="L71" s="36"/>
      <c r="M71" s="36"/>
      <c r="N71" s="36"/>
      <c r="O71" s="36"/>
      <c r="P71" s="39"/>
    </row>
    <row r="72" spans="1:24" ht="63.75">
      <c r="A72" s="244" t="s">
        <v>32</v>
      </c>
      <c r="B72" s="245" t="s">
        <v>92</v>
      </c>
      <c r="C72" s="64" t="s">
        <v>67</v>
      </c>
      <c r="D72" s="64" t="s">
        <v>29</v>
      </c>
      <c r="E72" s="346">
        <f>11042467/2</f>
        <v>5521233.5</v>
      </c>
      <c r="F72" s="238">
        <f>H72/(E72-M72)</f>
        <v>0.9944108576074564</v>
      </c>
      <c r="G72" s="346">
        <f>(10980750/2)</f>
        <v>5490375</v>
      </c>
      <c r="H72" s="346">
        <f>10946425/2</f>
        <v>5473212.5</v>
      </c>
      <c r="I72" s="90">
        <f>G72-H72</f>
        <v>17162.5</v>
      </c>
      <c r="J72" s="294">
        <v>171855.1799999997</v>
      </c>
      <c r="K72" s="90">
        <f>I72-J72</f>
        <v>-154692.6799999997</v>
      </c>
      <c r="L72" s="63">
        <f>E72-G72</f>
        <v>30858.5</v>
      </c>
      <c r="M72" s="347">
        <f>(34517/2)</f>
        <v>17258.5</v>
      </c>
      <c r="N72" s="223">
        <v>46059</v>
      </c>
      <c r="O72" s="63">
        <f t="shared" ref="O72" si="21">M72-P72</f>
        <v>0</v>
      </c>
      <c r="P72" s="63">
        <v>17258.5</v>
      </c>
      <c r="Q72" s="344" t="s">
        <v>421</v>
      </c>
      <c r="R72" s="220" t="s">
        <v>271</v>
      </c>
    </row>
    <row r="73" spans="1:24">
      <c r="A73" s="103"/>
      <c r="B73" s="104"/>
      <c r="C73" s="105"/>
      <c r="D73" s="105"/>
      <c r="E73" s="106"/>
      <c r="F73" s="107"/>
      <c r="G73" s="107"/>
      <c r="H73" s="107"/>
      <c r="I73" s="107"/>
      <c r="J73" s="107"/>
      <c r="K73" s="107"/>
      <c r="L73" s="107"/>
      <c r="M73" s="108"/>
      <c r="N73" s="109"/>
      <c r="O73" s="110"/>
      <c r="P73" s="108"/>
      <c r="Q73" s="110"/>
    </row>
    <row r="74" spans="1:24">
      <c r="A74" s="103"/>
      <c r="B74" s="43" t="s">
        <v>168</v>
      </c>
      <c r="C74" s="44"/>
      <c r="D74" s="45"/>
      <c r="E74" s="46"/>
      <c r="F74" s="46"/>
      <c r="G74" s="46"/>
      <c r="H74" s="47"/>
      <c r="I74" s="46"/>
      <c r="J74" s="48"/>
      <c r="K74" s="111">
        <f>K70+K72</f>
        <v>2198364.193703311</v>
      </c>
      <c r="L74" s="216"/>
      <c r="M74" s="209"/>
      <c r="N74" s="209"/>
      <c r="O74" s="110"/>
      <c r="P74" s="108"/>
      <c r="Q74" s="110"/>
      <c r="S74" s="17" t="s">
        <v>22</v>
      </c>
      <c r="T74" s="56">
        <f>H70</f>
        <v>112433840.95</v>
      </c>
    </row>
    <row r="75" spans="1:24">
      <c r="A75" s="103"/>
      <c r="B75" s="43" t="s">
        <v>169</v>
      </c>
      <c r="C75" s="44"/>
      <c r="D75" s="45"/>
      <c r="E75" s="46"/>
      <c r="F75" s="46"/>
      <c r="G75" s="46"/>
      <c r="H75" s="47"/>
      <c r="I75" s="46"/>
      <c r="J75" s="48"/>
      <c r="K75" s="111">
        <v>1916999.6969707566</v>
      </c>
      <c r="L75" s="216"/>
      <c r="M75" s="209"/>
      <c r="N75" s="209"/>
      <c r="O75" s="318"/>
      <c r="P75" s="108"/>
      <c r="Q75" s="110"/>
      <c r="S75" s="17" t="s">
        <v>155</v>
      </c>
      <c r="T75" s="59">
        <v>-7110923.3799999999</v>
      </c>
    </row>
    <row r="76" spans="1:24">
      <c r="A76" s="103"/>
      <c r="B76" s="43" t="s">
        <v>170</v>
      </c>
      <c r="C76" s="44"/>
      <c r="D76" s="45"/>
      <c r="E76" s="46"/>
      <c r="F76" s="46"/>
      <c r="G76" s="46"/>
      <c r="H76" s="47"/>
      <c r="I76" s="46"/>
      <c r="J76" s="48"/>
      <c r="K76" s="111">
        <f>K74-K75</f>
        <v>281364.4967325544</v>
      </c>
      <c r="L76" s="216"/>
      <c r="M76" s="209"/>
      <c r="N76" s="209"/>
      <c r="O76" s="110"/>
      <c r="P76" s="108"/>
      <c r="Q76" s="110"/>
      <c r="T76" s="60">
        <f>SUM(T74:T75)</f>
        <v>105322917.57000001</v>
      </c>
    </row>
    <row r="77" spans="1:24" ht="11.25" customHeight="1">
      <c r="B77" s="35"/>
      <c r="C77" s="35"/>
      <c r="D77" s="35"/>
      <c r="E77" s="67"/>
      <c r="F77" s="68"/>
      <c r="G77" s="67"/>
      <c r="H77" s="112"/>
      <c r="I77" s="67"/>
      <c r="L77" s="209"/>
      <c r="M77" s="209"/>
      <c r="N77" s="209"/>
      <c r="Q77" s="34"/>
      <c r="S77" s="35"/>
    </row>
    <row r="78" spans="1:24" ht="9" customHeight="1">
      <c r="B78" s="35"/>
      <c r="D78" s="17"/>
      <c r="E78" s="204"/>
      <c r="G78" s="18"/>
      <c r="H78" s="204"/>
      <c r="I78" s="214"/>
      <c r="J78" s="55"/>
      <c r="K78" s="55"/>
      <c r="L78" s="209"/>
      <c r="M78" s="209"/>
      <c r="N78" s="209"/>
      <c r="O78" s="55"/>
      <c r="P78" s="55"/>
      <c r="Q78" s="34"/>
      <c r="S78" s="55" t="s">
        <v>23</v>
      </c>
      <c r="T78" s="59">
        <v>105322917.57000004</v>
      </c>
    </row>
    <row r="79" spans="1:24">
      <c r="A79" s="19" t="s">
        <v>60</v>
      </c>
      <c r="B79" s="20" t="s">
        <v>95</v>
      </c>
      <c r="D79" s="17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34"/>
      <c r="S79" s="55" t="s">
        <v>24</v>
      </c>
      <c r="T79" s="207">
        <f>T76-T78</f>
        <v>0</v>
      </c>
    </row>
    <row r="81" spans="1:25" ht="27.75" customHeight="1">
      <c r="A81" s="91">
        <v>53.200699999999998</v>
      </c>
      <c r="B81" s="65" t="s">
        <v>362</v>
      </c>
      <c r="C81" s="64"/>
      <c r="D81" s="64"/>
      <c r="E81" s="246">
        <v>324530134</v>
      </c>
      <c r="F81" s="247">
        <f>+H81/(E81-M81)</f>
        <v>1.38871462255082E-3</v>
      </c>
      <c r="G81" s="90">
        <f>H81+I81</f>
        <v>404852.16</v>
      </c>
      <c r="H81" s="90">
        <v>404852.16</v>
      </c>
      <c r="I81" s="90">
        <f>IF(F81&gt;0.2,IF(M81&gt;0,IF(J81&gt;M81,M81,IF((F81*M81)&gt;J81,F81*M81,J81)),M81),0)</f>
        <v>0</v>
      </c>
      <c r="J81" s="63">
        <v>0</v>
      </c>
      <c r="K81" s="63">
        <f>I81-J81</f>
        <v>0</v>
      </c>
      <c r="L81" s="63">
        <f>E81-G81</f>
        <v>324125281.83999997</v>
      </c>
      <c r="M81" s="237">
        <v>33000000</v>
      </c>
      <c r="N81" s="222">
        <v>11352</v>
      </c>
      <c r="O81" s="63">
        <f>M81-P81</f>
        <v>0</v>
      </c>
      <c r="P81" s="63">
        <v>33000000</v>
      </c>
      <c r="Q81" s="213"/>
    </row>
    <row r="82" spans="1:25" ht="12.75" customHeight="1">
      <c r="A82" s="127"/>
      <c r="B82" s="128"/>
      <c r="C82" s="8"/>
      <c r="D82" s="8"/>
      <c r="E82" s="15"/>
      <c r="F82" s="120"/>
      <c r="G82" s="15"/>
      <c r="H82" s="15"/>
      <c r="I82" s="15"/>
      <c r="J82" s="10"/>
      <c r="K82" s="10"/>
      <c r="L82" s="10"/>
      <c r="M82" s="10"/>
      <c r="N82" s="121"/>
      <c r="O82" s="10"/>
      <c r="P82" s="10"/>
      <c r="Q82" s="129"/>
    </row>
    <row r="83" spans="1:25">
      <c r="A83" s="97"/>
      <c r="B83" s="98" t="s">
        <v>171</v>
      </c>
      <c r="C83" s="97"/>
      <c r="D83" s="99"/>
      <c r="E83" s="100">
        <f>SUM(E81:E82)</f>
        <v>324530134</v>
      </c>
      <c r="F83" s="100"/>
      <c r="G83" s="100">
        <f t="shared" ref="G83:M83" si="22">SUM(G81:G82)</f>
        <v>404852.16</v>
      </c>
      <c r="H83" s="100">
        <f t="shared" si="22"/>
        <v>404852.16</v>
      </c>
      <c r="I83" s="100">
        <f t="shared" si="22"/>
        <v>0</v>
      </c>
      <c r="J83" s="100">
        <f t="shared" si="22"/>
        <v>0</v>
      </c>
      <c r="K83" s="100">
        <f t="shared" si="22"/>
        <v>0</v>
      </c>
      <c r="L83" s="100">
        <f t="shared" si="22"/>
        <v>324125281.83999997</v>
      </c>
      <c r="M83" s="100">
        <f t="shared" si="22"/>
        <v>33000000</v>
      </c>
      <c r="N83" s="100"/>
      <c r="O83" s="100">
        <f>SUM(O81:O82)</f>
        <v>0</v>
      </c>
      <c r="P83" s="100">
        <f>SUM(P81:P82)</f>
        <v>33000000</v>
      </c>
      <c r="Q83" s="100"/>
      <c r="S83" s="17" t="s">
        <v>22</v>
      </c>
      <c r="T83" s="56">
        <f>H85</f>
        <v>1969911.49</v>
      </c>
    </row>
    <row r="84" spans="1:25">
      <c r="A84" s="97"/>
      <c r="B84" s="98" t="s">
        <v>172</v>
      </c>
      <c r="C84" s="101"/>
      <c r="D84" s="99"/>
      <c r="E84" s="100">
        <f>'Closed Jobs'!E70</f>
        <v>1173753.47</v>
      </c>
      <c r="F84" s="100">
        <f>'Closed Jobs'!F70</f>
        <v>0</v>
      </c>
      <c r="G84" s="100">
        <f>'Closed Jobs'!G70</f>
        <v>1173753.47</v>
      </c>
      <c r="H84" s="100">
        <f>'Closed Jobs'!H70</f>
        <v>1565059.33</v>
      </c>
      <c r="I84" s="100">
        <f>'Closed Jobs'!I70</f>
        <v>-391305.8600000001</v>
      </c>
      <c r="J84" s="100">
        <f>'Closed Jobs'!J70</f>
        <v>0</v>
      </c>
      <c r="K84" s="100">
        <f>'Closed Jobs'!K70</f>
        <v>-391305.8600000001</v>
      </c>
      <c r="L84" s="100">
        <f>'Closed Jobs'!L70</f>
        <v>0</v>
      </c>
      <c r="M84" s="100">
        <f>'Closed Jobs'!M70</f>
        <v>-391305.8600000001</v>
      </c>
      <c r="N84" s="100">
        <f>'Closed Jobs'!N70</f>
        <v>0</v>
      </c>
      <c r="O84" s="100">
        <f>'Closed Jobs'!O70</f>
        <v>-27859.930000000139</v>
      </c>
      <c r="P84" s="100">
        <f>'Closed Jobs'!P70</f>
        <v>-363445.92999999993</v>
      </c>
      <c r="Q84" s="49"/>
      <c r="S84" s="17" t="s">
        <v>155</v>
      </c>
      <c r="T84" s="59">
        <v>-245768.3</v>
      </c>
    </row>
    <row r="85" spans="1:25">
      <c r="A85" s="97"/>
      <c r="B85" s="98" t="s">
        <v>173</v>
      </c>
      <c r="C85" s="97"/>
      <c r="D85" s="99"/>
      <c r="E85" s="100">
        <f>E83+E84</f>
        <v>325703887.47000003</v>
      </c>
      <c r="F85" s="99"/>
      <c r="G85" s="100">
        <f t="shared" ref="G85:M85" si="23">+G83+G84</f>
        <v>1578605.63</v>
      </c>
      <c r="H85" s="100">
        <f>+H83+H84</f>
        <v>1969911.49</v>
      </c>
      <c r="I85" s="100">
        <f t="shared" si="23"/>
        <v>-391305.8600000001</v>
      </c>
      <c r="J85" s="49">
        <f t="shared" si="23"/>
        <v>0</v>
      </c>
      <c r="K85" s="49">
        <f>+K83+K84</f>
        <v>-391305.8600000001</v>
      </c>
      <c r="L85" s="49">
        <f t="shared" si="23"/>
        <v>324125281.83999997</v>
      </c>
      <c r="M85" s="49">
        <f t="shared" si="23"/>
        <v>32608694.140000001</v>
      </c>
      <c r="N85" s="102"/>
      <c r="O85" s="49">
        <f>+O83+O84</f>
        <v>-27859.930000000139</v>
      </c>
      <c r="P85" s="49">
        <f>+P83+P84</f>
        <v>32636554.07</v>
      </c>
      <c r="Q85" s="49"/>
      <c r="T85" s="60">
        <f>SUM(T83:T84)</f>
        <v>1724143.19</v>
      </c>
    </row>
    <row r="86" spans="1:25" ht="12" customHeight="1">
      <c r="A86" s="103"/>
      <c r="B86" s="104"/>
      <c r="C86" s="105"/>
      <c r="D86" s="105"/>
      <c r="E86" s="106"/>
      <c r="F86" s="107"/>
      <c r="G86" s="107"/>
      <c r="H86" s="107"/>
      <c r="I86" s="107"/>
      <c r="J86" s="107"/>
      <c r="K86" s="107"/>
      <c r="L86" s="107"/>
      <c r="M86" s="108"/>
      <c r="N86" s="109"/>
      <c r="O86" s="110"/>
      <c r="P86" s="108"/>
      <c r="Q86" s="110"/>
      <c r="S86" s="35"/>
    </row>
    <row r="87" spans="1:25">
      <c r="A87" s="103"/>
      <c r="B87" s="43" t="s">
        <v>174</v>
      </c>
      <c r="C87" s="44"/>
      <c r="D87" s="45"/>
      <c r="E87" s="46"/>
      <c r="F87" s="46"/>
      <c r="G87" s="46"/>
      <c r="H87" s="47"/>
      <c r="I87" s="46"/>
      <c r="J87" s="48"/>
      <c r="K87" s="111">
        <f>K85</f>
        <v>-391305.8600000001</v>
      </c>
      <c r="L87" s="107"/>
      <c r="O87" s="110"/>
      <c r="P87" s="108"/>
      <c r="Q87" s="110"/>
      <c r="S87" s="55" t="s">
        <v>23</v>
      </c>
      <c r="T87" s="59">
        <v>1724143.19</v>
      </c>
    </row>
    <row r="88" spans="1:25">
      <c r="A88" s="103"/>
      <c r="B88" s="43" t="s">
        <v>175</v>
      </c>
      <c r="C88" s="44"/>
      <c r="D88" s="45"/>
      <c r="E88" s="46"/>
      <c r="F88" s="46"/>
      <c r="G88" s="46"/>
      <c r="H88" s="47"/>
      <c r="I88" s="46"/>
      <c r="J88" s="48"/>
      <c r="K88" s="111">
        <v>-369273.77687892359</v>
      </c>
      <c r="L88" s="107"/>
      <c r="O88" s="110"/>
      <c r="P88" s="108"/>
      <c r="Q88" s="110"/>
      <c r="S88" s="55" t="s">
        <v>24</v>
      </c>
      <c r="T88" s="207">
        <f>T85-T87</f>
        <v>0</v>
      </c>
    </row>
    <row r="89" spans="1:25">
      <c r="A89" s="103"/>
      <c r="B89" s="43" t="s">
        <v>176</v>
      </c>
      <c r="C89" s="44"/>
      <c r="D89" s="45"/>
      <c r="E89" s="46"/>
      <c r="F89" s="46"/>
      <c r="G89" s="46"/>
      <c r="H89" s="47"/>
      <c r="I89" s="46"/>
      <c r="J89" s="48"/>
      <c r="K89" s="111">
        <f>K87-K88</f>
        <v>-22032.083121076517</v>
      </c>
      <c r="L89" s="107"/>
      <c r="O89" s="110"/>
      <c r="P89" s="108"/>
      <c r="Q89" s="110"/>
    </row>
    <row r="90" spans="1:25" ht="11.25" customHeight="1">
      <c r="A90" s="4"/>
      <c r="B90" s="126"/>
      <c r="C90" s="126"/>
      <c r="D90" s="136"/>
      <c r="E90" s="137"/>
      <c r="F90" s="138"/>
      <c r="G90" s="137"/>
      <c r="H90" s="137"/>
      <c r="I90" s="137"/>
      <c r="J90" s="136"/>
      <c r="K90" s="136"/>
      <c r="L90" s="136"/>
      <c r="O90" s="136"/>
      <c r="P90" s="136"/>
      <c r="Q90" s="139"/>
    </row>
    <row r="91" spans="1:25" ht="11.25" customHeight="1">
      <c r="A91" s="4"/>
      <c r="B91" s="126"/>
      <c r="C91" s="4"/>
      <c r="D91" s="2"/>
      <c r="E91" s="204"/>
      <c r="G91" s="204"/>
      <c r="H91" s="204"/>
      <c r="I91" s="204"/>
      <c r="J91" s="55"/>
      <c r="K91" s="55"/>
      <c r="L91" s="55"/>
      <c r="O91" s="55"/>
      <c r="P91" s="55"/>
      <c r="Q91" s="130"/>
    </row>
    <row r="92" spans="1:25" ht="13.5" customHeight="1">
      <c r="A92" s="19" t="s">
        <v>60</v>
      </c>
      <c r="B92" s="20" t="s">
        <v>97</v>
      </c>
      <c r="C92" s="4"/>
      <c r="D92" s="2"/>
      <c r="E92" s="280"/>
      <c r="F92" s="280"/>
      <c r="G92" s="280"/>
      <c r="H92" s="280"/>
      <c r="I92" s="280"/>
      <c r="J92" s="280"/>
      <c r="K92" s="280"/>
      <c r="L92" s="280"/>
      <c r="M92" s="280"/>
      <c r="N92" s="280"/>
      <c r="O92" s="280"/>
      <c r="P92" s="280"/>
      <c r="Q92" s="130"/>
    </row>
    <row r="93" spans="1:25" ht="14.25">
      <c r="E93" s="280"/>
      <c r="F93" s="280"/>
      <c r="G93" s="280"/>
      <c r="H93" s="280"/>
      <c r="I93" s="280"/>
      <c r="J93" s="215"/>
    </row>
    <row r="94" spans="1:25" ht="27.75" customHeight="1">
      <c r="A94" s="320">
        <v>54.903300000000002</v>
      </c>
      <c r="B94" s="281" t="s">
        <v>98</v>
      </c>
      <c r="C94" s="256" t="s">
        <v>99</v>
      </c>
      <c r="D94" s="256" t="s">
        <v>99</v>
      </c>
      <c r="E94" s="246">
        <v>118278.58</v>
      </c>
      <c r="F94" s="257">
        <f t="shared" ref="F94:F121" si="24">+H94/(E94-M94)</f>
        <v>1</v>
      </c>
      <c r="G94" s="258">
        <f t="shared" ref="G94:G121" si="25">H94+I94</f>
        <v>118278.58</v>
      </c>
      <c r="H94" s="258">
        <v>104550.27</v>
      </c>
      <c r="I94" s="258">
        <f t="shared" ref="I94:I97" si="26">IF(F94&gt;0.2,IF(M94&gt;0,IF(J94&gt;M94,M94,IF((F94*M94)&gt;J94,F94*M94,J94)),M94),0)</f>
        <v>13728.309999999998</v>
      </c>
      <c r="J94" s="259">
        <v>10966.87000000001</v>
      </c>
      <c r="K94" s="259">
        <f t="shared" ref="K94:K121" si="27">I94-J94</f>
        <v>2761.4399999999878</v>
      </c>
      <c r="L94" s="259">
        <f t="shared" ref="L94:L121" si="28">E94-G94</f>
        <v>0</v>
      </c>
      <c r="M94" s="212">
        <v>13728.309999999998</v>
      </c>
      <c r="N94" s="218">
        <v>46357</v>
      </c>
      <c r="O94" s="63">
        <f t="shared" ref="O94:O104" si="29">M94-P94</f>
        <v>2761.3099999999977</v>
      </c>
      <c r="P94" s="63">
        <v>10967</v>
      </c>
      <c r="Q94" s="303" t="s">
        <v>410</v>
      </c>
      <c r="T94" s="210"/>
      <c r="U94" s="210"/>
      <c r="W94" s="210"/>
      <c r="X94" s="215"/>
      <c r="Y94" s="210"/>
    </row>
    <row r="95" spans="1:25" ht="25.5">
      <c r="A95" s="320">
        <v>54.913499999999999</v>
      </c>
      <c r="B95" s="65" t="s">
        <v>101</v>
      </c>
      <c r="C95" s="64" t="s">
        <v>102</v>
      </c>
      <c r="D95" s="64" t="s">
        <v>99</v>
      </c>
      <c r="E95" s="246">
        <v>9470658.6199999992</v>
      </c>
      <c r="F95" s="257">
        <f t="shared" si="24"/>
        <v>1</v>
      </c>
      <c r="G95" s="90">
        <f t="shared" si="25"/>
        <v>9470658.6199999992</v>
      </c>
      <c r="H95" s="90">
        <v>9050951.8599999994</v>
      </c>
      <c r="I95" s="90">
        <f t="shared" si="26"/>
        <v>419706.75999999978</v>
      </c>
      <c r="J95" s="63">
        <v>551994.36505721405</v>
      </c>
      <c r="K95" s="259">
        <f t="shared" si="27"/>
        <v>-132287.60505721427</v>
      </c>
      <c r="L95" s="63">
        <f t="shared" si="28"/>
        <v>0</v>
      </c>
      <c r="M95" s="212">
        <v>419706.75999999978</v>
      </c>
      <c r="N95" s="218">
        <v>46023</v>
      </c>
      <c r="O95" s="63">
        <f t="shared" si="29"/>
        <v>-214351.24000000022</v>
      </c>
      <c r="P95" s="63">
        <v>634058</v>
      </c>
      <c r="Q95" s="322" t="s">
        <v>411</v>
      </c>
      <c r="T95" s="210"/>
      <c r="U95" s="210"/>
      <c r="W95" s="210"/>
      <c r="X95" s="215"/>
      <c r="Y95" s="210"/>
    </row>
    <row r="96" spans="1:25" ht="27" customHeight="1">
      <c r="A96" s="320">
        <v>54.925699999999999</v>
      </c>
      <c r="B96" s="65" t="s">
        <v>108</v>
      </c>
      <c r="C96" s="64" t="s">
        <v>89</v>
      </c>
      <c r="D96" s="64" t="s">
        <v>85</v>
      </c>
      <c r="E96" s="246">
        <v>1471328</v>
      </c>
      <c r="F96" s="247">
        <f t="shared" si="24"/>
        <v>0.5343869362446787</v>
      </c>
      <c r="G96" s="90">
        <f t="shared" si="25"/>
        <v>786258.4621310106</v>
      </c>
      <c r="H96" s="90">
        <v>762211.05</v>
      </c>
      <c r="I96" s="90">
        <f t="shared" si="26"/>
        <v>24047.41213101054</v>
      </c>
      <c r="J96" s="63">
        <v>0</v>
      </c>
      <c r="K96" s="259">
        <f t="shared" si="27"/>
        <v>24047.41213101054</v>
      </c>
      <c r="L96" s="63">
        <f t="shared" si="28"/>
        <v>685069.5378689894</v>
      </c>
      <c r="M96" s="212">
        <v>45000</v>
      </c>
      <c r="N96" s="218">
        <v>46096</v>
      </c>
      <c r="O96" s="63">
        <f t="shared" si="29"/>
        <v>0</v>
      </c>
      <c r="P96" s="63">
        <v>45000</v>
      </c>
      <c r="Q96" s="66"/>
      <c r="T96" s="210"/>
      <c r="U96" s="210"/>
      <c r="W96" s="210"/>
      <c r="X96" s="215"/>
      <c r="Y96" s="210"/>
    </row>
    <row r="97" spans="1:25" ht="27" customHeight="1">
      <c r="A97" s="348">
        <v>54.9268</v>
      </c>
      <c r="B97" s="295" t="s">
        <v>110</v>
      </c>
      <c r="C97" s="64" t="s">
        <v>107</v>
      </c>
      <c r="D97" s="64" t="s">
        <v>104</v>
      </c>
      <c r="E97" s="246">
        <v>949567.99</v>
      </c>
      <c r="F97" s="247">
        <f t="shared" si="24"/>
        <v>0.95487095344700412</v>
      </c>
      <c r="G97" s="90">
        <f t="shared" si="25"/>
        <v>909648.28</v>
      </c>
      <c r="H97" s="90">
        <v>844648.28</v>
      </c>
      <c r="I97" s="90">
        <f t="shared" si="26"/>
        <v>65000</v>
      </c>
      <c r="J97" s="63">
        <v>71013.066786332143</v>
      </c>
      <c r="K97" s="259">
        <f t="shared" si="27"/>
        <v>-6013.0667863321432</v>
      </c>
      <c r="L97" s="63">
        <f t="shared" si="28"/>
        <v>39919.709999999963</v>
      </c>
      <c r="M97" s="212">
        <v>65000</v>
      </c>
      <c r="N97" s="218">
        <v>46054</v>
      </c>
      <c r="O97" s="63">
        <f t="shared" si="29"/>
        <v>0</v>
      </c>
      <c r="P97" s="63">
        <v>65000</v>
      </c>
      <c r="Q97" s="304" t="s">
        <v>420</v>
      </c>
      <c r="T97" s="210"/>
      <c r="U97" s="210"/>
      <c r="W97" s="210"/>
      <c r="X97" s="215"/>
      <c r="Y97" s="210"/>
    </row>
    <row r="98" spans="1:25" ht="27" customHeight="1">
      <c r="A98" s="321">
        <v>54.926900000000003</v>
      </c>
      <c r="B98" s="295" t="s">
        <v>111</v>
      </c>
      <c r="C98" s="64" t="s">
        <v>83</v>
      </c>
      <c r="D98" s="64" t="s">
        <v>99</v>
      </c>
      <c r="E98" s="246">
        <v>625819.17000000004</v>
      </c>
      <c r="F98" s="247">
        <f t="shared" si="24"/>
        <v>0.92942108029391346</v>
      </c>
      <c r="G98" s="90">
        <f t="shared" si="25"/>
        <v>584066.79</v>
      </c>
      <c r="H98" s="90">
        <v>549817.74</v>
      </c>
      <c r="I98" s="90">
        <f>IF(F98&gt;0.1,IF(M98&gt;0,IF(J98&gt;M98,M98,IF((F98*M98)&gt;J98,F98*M98,J98)),M98),0)</f>
        <v>34249.050000000047</v>
      </c>
      <c r="J98" s="63">
        <v>34249.050000000047</v>
      </c>
      <c r="K98" s="259">
        <f t="shared" si="27"/>
        <v>0</v>
      </c>
      <c r="L98" s="63">
        <f t="shared" si="28"/>
        <v>41752.380000000005</v>
      </c>
      <c r="M98" s="212">
        <v>34249.050000000003</v>
      </c>
      <c r="N98" s="218">
        <v>46204</v>
      </c>
      <c r="O98" s="63">
        <f t="shared" si="29"/>
        <v>5.0000000002910383E-2</v>
      </c>
      <c r="P98" s="63">
        <v>34249</v>
      </c>
      <c r="Q98" s="304" t="s">
        <v>397</v>
      </c>
      <c r="T98" s="210"/>
      <c r="U98" s="210"/>
      <c r="W98" s="210"/>
      <c r="X98" s="215"/>
      <c r="Y98" s="210"/>
    </row>
    <row r="99" spans="1:25" ht="27" customHeight="1">
      <c r="A99" s="320">
        <v>54.9285</v>
      </c>
      <c r="B99" s="65" t="s">
        <v>114</v>
      </c>
      <c r="C99" s="64" t="s">
        <v>107</v>
      </c>
      <c r="D99" s="64" t="s">
        <v>107</v>
      </c>
      <c r="E99" s="246">
        <v>462022</v>
      </c>
      <c r="F99" s="247">
        <f t="shared" si="24"/>
        <v>0.80858393062926659</v>
      </c>
      <c r="G99" s="90">
        <f t="shared" si="25"/>
        <v>373583.56479719502</v>
      </c>
      <c r="H99" s="90">
        <v>312939.77</v>
      </c>
      <c r="I99" s="90">
        <f t="shared" ref="I99:I121" si="30">IF(F99&gt;0.2,IF(M99&gt;0,IF(J99&gt;M99,M99,IF((F99*M99)&gt;J99,F99*M99,J99)),M99),0)</f>
        <v>60643.794797194991</v>
      </c>
      <c r="J99" s="63">
        <v>35686.23784080011</v>
      </c>
      <c r="K99" s="259">
        <f t="shared" si="27"/>
        <v>24957.556956394881</v>
      </c>
      <c r="L99" s="63">
        <f t="shared" si="28"/>
        <v>88438.435202804976</v>
      </c>
      <c r="M99" s="212">
        <v>75000</v>
      </c>
      <c r="N99" s="218">
        <v>46054</v>
      </c>
      <c r="O99" s="63">
        <f t="shared" si="29"/>
        <v>0</v>
      </c>
      <c r="P99" s="63">
        <v>75000</v>
      </c>
      <c r="Q99" s="304" t="s">
        <v>390</v>
      </c>
      <c r="T99" s="210"/>
      <c r="U99" s="210"/>
      <c r="W99" s="210"/>
      <c r="X99" s="215"/>
      <c r="Y99" s="210"/>
    </row>
    <row r="100" spans="1:25" ht="27" customHeight="1">
      <c r="A100" s="320">
        <v>54.9313</v>
      </c>
      <c r="B100" s="65" t="s">
        <v>225</v>
      </c>
      <c r="C100" s="64" t="s">
        <v>89</v>
      </c>
      <c r="D100" s="64" t="s">
        <v>83</v>
      </c>
      <c r="E100" s="246">
        <v>7886885.04</v>
      </c>
      <c r="F100" s="247">
        <f t="shared" si="24"/>
        <v>0.93780907816367975</v>
      </c>
      <c r="G100" s="90">
        <f t="shared" si="25"/>
        <v>7396392.388945316</v>
      </c>
      <c r="H100" s="29">
        <v>6449205.2199999997</v>
      </c>
      <c r="I100" s="90">
        <f t="shared" si="30"/>
        <v>947187.16894531657</v>
      </c>
      <c r="J100" s="63">
        <v>197714.51112450095</v>
      </c>
      <c r="K100" s="63">
        <f t="shared" si="27"/>
        <v>749472.65782081569</v>
      </c>
      <c r="L100" s="63">
        <f t="shared" si="28"/>
        <v>490492.65105468407</v>
      </c>
      <c r="M100" s="212">
        <v>1010000</v>
      </c>
      <c r="N100" s="218">
        <v>46054</v>
      </c>
      <c r="O100" s="63">
        <f t="shared" si="29"/>
        <v>130000</v>
      </c>
      <c r="P100" s="29">
        <v>880000</v>
      </c>
      <c r="Q100" s="304" t="s">
        <v>358</v>
      </c>
      <c r="T100" s="210"/>
      <c r="U100" s="210"/>
      <c r="W100" s="210"/>
      <c r="X100" s="215"/>
      <c r="Y100" s="210"/>
    </row>
    <row r="101" spans="1:25" ht="27" customHeight="1">
      <c r="A101" s="320">
        <v>54.933</v>
      </c>
      <c r="B101" s="65" t="s">
        <v>220</v>
      </c>
      <c r="C101" s="64" t="s">
        <v>107</v>
      </c>
      <c r="D101" s="64" t="s">
        <v>223</v>
      </c>
      <c r="E101" s="246">
        <v>324900</v>
      </c>
      <c r="F101" s="247">
        <f t="shared" si="24"/>
        <v>0.99538556304263726</v>
      </c>
      <c r="G101" s="90">
        <f t="shared" si="25"/>
        <v>323400.76943255286</v>
      </c>
      <c r="H101" s="29">
        <v>306221.40999999997</v>
      </c>
      <c r="I101" s="90">
        <f t="shared" si="30"/>
        <v>17179.359432552876</v>
      </c>
      <c r="J101" s="63">
        <v>10642.127272727274</v>
      </c>
      <c r="K101" s="63">
        <f t="shared" si="27"/>
        <v>6537.2321598256021</v>
      </c>
      <c r="L101" s="63">
        <f t="shared" si="28"/>
        <v>1499.2305674471427</v>
      </c>
      <c r="M101" s="212">
        <v>17259</v>
      </c>
      <c r="N101" s="218">
        <v>46022</v>
      </c>
      <c r="O101" s="63">
        <f t="shared" si="29"/>
        <v>1259</v>
      </c>
      <c r="P101" s="29">
        <v>16000</v>
      </c>
      <c r="Q101" s="304" t="s">
        <v>412</v>
      </c>
      <c r="T101" s="210"/>
      <c r="U101" s="210"/>
      <c r="W101" s="210"/>
      <c r="X101" s="215"/>
      <c r="Y101" s="210"/>
    </row>
    <row r="102" spans="1:25" ht="27" customHeight="1">
      <c r="A102" s="320">
        <v>54.933599999999998</v>
      </c>
      <c r="B102" s="65" t="s">
        <v>226</v>
      </c>
      <c r="C102" s="64" t="s">
        <v>105</v>
      </c>
      <c r="D102" s="64" t="s">
        <v>122</v>
      </c>
      <c r="E102" s="246">
        <v>25191176.640000001</v>
      </c>
      <c r="F102" s="247">
        <f t="shared" si="24"/>
        <v>0.53030684528378014</v>
      </c>
      <c r="G102" s="90">
        <f t="shared" si="25"/>
        <v>13359053.412944857</v>
      </c>
      <c r="H102" s="258">
        <v>12340864.27</v>
      </c>
      <c r="I102" s="90">
        <f t="shared" si="30"/>
        <v>1018189.1429448578</v>
      </c>
      <c r="J102" s="63">
        <v>0</v>
      </c>
      <c r="K102" s="63">
        <f t="shared" si="27"/>
        <v>1018189.1429448578</v>
      </c>
      <c r="L102" s="63">
        <f t="shared" si="28"/>
        <v>11832123.227055144</v>
      </c>
      <c r="M102" s="212">
        <v>1920000</v>
      </c>
      <c r="N102" s="218">
        <v>46274</v>
      </c>
      <c r="O102" s="63">
        <f t="shared" si="29"/>
        <v>20000</v>
      </c>
      <c r="P102" s="63">
        <v>1900000</v>
      </c>
      <c r="Q102" s="304"/>
      <c r="T102" s="210"/>
      <c r="U102" s="210"/>
      <c r="W102" s="210"/>
      <c r="X102" s="215"/>
      <c r="Y102" s="210"/>
    </row>
    <row r="103" spans="1:25" ht="27" customHeight="1">
      <c r="A103" s="320">
        <v>54.933700000000002</v>
      </c>
      <c r="B103" s="65" t="s">
        <v>240</v>
      </c>
      <c r="C103" s="64" t="s">
        <v>107</v>
      </c>
      <c r="D103" s="64" t="s">
        <v>223</v>
      </c>
      <c r="E103" s="246">
        <v>4104848</v>
      </c>
      <c r="F103" s="247">
        <f t="shared" si="24"/>
        <v>0.38254116001427685</v>
      </c>
      <c r="G103" s="90">
        <f t="shared" si="25"/>
        <v>1570273.3156022844</v>
      </c>
      <c r="H103" s="90">
        <v>1509066.73</v>
      </c>
      <c r="I103" s="90">
        <f t="shared" si="30"/>
        <v>61206.585602284293</v>
      </c>
      <c r="J103" s="63">
        <v>0</v>
      </c>
      <c r="K103" s="259">
        <f t="shared" si="27"/>
        <v>61206.585602284293</v>
      </c>
      <c r="L103" s="63">
        <f t="shared" si="28"/>
        <v>2534574.6843977156</v>
      </c>
      <c r="M103" s="212">
        <v>160000</v>
      </c>
      <c r="N103" s="218">
        <v>46321</v>
      </c>
      <c r="O103" s="63">
        <f t="shared" si="29"/>
        <v>0</v>
      </c>
      <c r="P103" s="63">
        <v>160000</v>
      </c>
      <c r="Q103" s="96" t="s">
        <v>391</v>
      </c>
      <c r="T103" s="210"/>
      <c r="U103" s="210"/>
      <c r="W103" s="210"/>
      <c r="X103" s="215"/>
      <c r="Y103" s="210"/>
    </row>
    <row r="104" spans="1:25" ht="27" customHeight="1">
      <c r="A104" s="320">
        <v>54.9343</v>
      </c>
      <c r="B104" s="65" t="s">
        <v>242</v>
      </c>
      <c r="C104" s="64" t="s">
        <v>258</v>
      </c>
      <c r="D104" s="64" t="s">
        <v>258</v>
      </c>
      <c r="E104" s="246">
        <v>6881300</v>
      </c>
      <c r="F104" s="247">
        <f t="shared" si="24"/>
        <v>0.57100364134887061</v>
      </c>
      <c r="G104" s="90">
        <f t="shared" si="25"/>
        <v>3929247.3572139838</v>
      </c>
      <c r="H104" s="90">
        <v>3415344.08</v>
      </c>
      <c r="I104" s="90">
        <f t="shared" si="30"/>
        <v>513903.27721398353</v>
      </c>
      <c r="J104" s="63">
        <v>0</v>
      </c>
      <c r="K104" s="259">
        <f t="shared" si="27"/>
        <v>513903.27721398353</v>
      </c>
      <c r="L104" s="63">
        <f t="shared" si="28"/>
        <v>2952052.6427860162</v>
      </c>
      <c r="M104" s="212">
        <v>900000</v>
      </c>
      <c r="N104" s="218">
        <v>46168</v>
      </c>
      <c r="O104" s="63">
        <f t="shared" si="29"/>
        <v>50000</v>
      </c>
      <c r="P104" s="63">
        <v>850000</v>
      </c>
      <c r="Q104" s="96"/>
      <c r="T104" s="210"/>
      <c r="U104" s="210"/>
      <c r="W104" s="210"/>
      <c r="X104" s="215"/>
      <c r="Y104" s="210"/>
    </row>
    <row r="105" spans="1:25" ht="27" customHeight="1">
      <c r="A105" s="320">
        <v>54.935600000000001</v>
      </c>
      <c r="B105" s="65" t="s">
        <v>263</v>
      </c>
      <c r="C105" s="64" t="s">
        <v>308</v>
      </c>
      <c r="D105" s="64" t="s">
        <v>223</v>
      </c>
      <c r="E105" s="246">
        <v>1298330</v>
      </c>
      <c r="F105" s="247">
        <f t="shared" si="24"/>
        <v>0.8493980817448239</v>
      </c>
      <c r="G105" s="90">
        <f t="shared" si="25"/>
        <v>1102799.0114717572</v>
      </c>
      <c r="H105" s="90">
        <v>775780.75</v>
      </c>
      <c r="I105" s="90">
        <f t="shared" si="30"/>
        <v>327018.2614717572</v>
      </c>
      <c r="J105" s="63">
        <v>0</v>
      </c>
      <c r="K105" s="259">
        <f t="shared" si="27"/>
        <v>327018.2614717572</v>
      </c>
      <c r="L105" s="63">
        <f t="shared" si="28"/>
        <v>195530.9885282428</v>
      </c>
      <c r="M105" s="212">
        <v>385000</v>
      </c>
      <c r="N105" s="218">
        <v>46142</v>
      </c>
      <c r="O105" s="63">
        <f t="shared" ref="O105:O126" si="31">M105-P105</f>
        <v>0</v>
      </c>
      <c r="P105" s="63">
        <v>385000</v>
      </c>
      <c r="Q105" s="305" t="s">
        <v>398</v>
      </c>
      <c r="T105" s="210"/>
      <c r="U105" s="210"/>
      <c r="W105" s="210"/>
      <c r="X105" s="215"/>
      <c r="Y105" s="210"/>
    </row>
    <row r="106" spans="1:25" ht="27" customHeight="1">
      <c r="A106" s="320">
        <v>54.936599999999999</v>
      </c>
      <c r="B106" s="65" t="s">
        <v>265</v>
      </c>
      <c r="C106" s="64" t="s">
        <v>89</v>
      </c>
      <c r="D106" s="64" t="s">
        <v>85</v>
      </c>
      <c r="E106" s="246">
        <v>1230131</v>
      </c>
      <c r="F106" s="247">
        <f t="shared" si="24"/>
        <v>0.85473012069832266</v>
      </c>
      <c r="G106" s="90">
        <f t="shared" si="25"/>
        <v>1051430.0181047483</v>
      </c>
      <c r="H106" s="90">
        <v>923220.5</v>
      </c>
      <c r="I106" s="90">
        <f t="shared" si="30"/>
        <v>128209.51810474839</v>
      </c>
      <c r="J106" s="63">
        <v>0</v>
      </c>
      <c r="K106" s="259">
        <f t="shared" si="27"/>
        <v>128209.51810474839</v>
      </c>
      <c r="L106" s="63">
        <f t="shared" si="28"/>
        <v>178700.98189525167</v>
      </c>
      <c r="M106" s="212">
        <v>150000</v>
      </c>
      <c r="N106" s="218">
        <v>46143</v>
      </c>
      <c r="O106" s="63">
        <f t="shared" si="31"/>
        <v>60000</v>
      </c>
      <c r="P106" s="63">
        <v>90000</v>
      </c>
      <c r="Q106" s="96"/>
      <c r="T106" s="210"/>
      <c r="U106" s="210"/>
      <c r="W106" s="210"/>
      <c r="X106" s="215"/>
      <c r="Y106" s="210"/>
    </row>
    <row r="107" spans="1:25" ht="27" customHeight="1">
      <c r="A107" s="320">
        <v>54.936900000000001</v>
      </c>
      <c r="B107" s="65" t="s">
        <v>267</v>
      </c>
      <c r="C107" s="64" t="s">
        <v>89</v>
      </c>
      <c r="D107" s="64" t="s">
        <v>223</v>
      </c>
      <c r="E107" s="246">
        <v>28550624.699999999</v>
      </c>
      <c r="F107" s="247">
        <f t="shared" si="24"/>
        <v>0.106474022279567</v>
      </c>
      <c r="G107" s="90">
        <f t="shared" si="25"/>
        <v>2787466.66</v>
      </c>
      <c r="H107" s="90">
        <v>2787466.66</v>
      </c>
      <c r="I107" s="90">
        <f t="shared" si="30"/>
        <v>0</v>
      </c>
      <c r="J107" s="63">
        <v>0</v>
      </c>
      <c r="K107" s="259">
        <f t="shared" si="27"/>
        <v>0</v>
      </c>
      <c r="L107" s="63">
        <f t="shared" si="28"/>
        <v>25763158.039999999</v>
      </c>
      <c r="M107" s="212">
        <v>2370843</v>
      </c>
      <c r="N107" s="218">
        <v>46478</v>
      </c>
      <c r="O107" s="63">
        <f t="shared" si="31"/>
        <v>0</v>
      </c>
      <c r="P107" s="63">
        <v>2370843</v>
      </c>
      <c r="Q107" s="96"/>
      <c r="T107" s="210"/>
      <c r="U107" s="210"/>
      <c r="W107" s="210"/>
      <c r="X107" s="215"/>
      <c r="Y107" s="210"/>
    </row>
    <row r="108" spans="1:25" ht="27.75" customHeight="1">
      <c r="A108" s="320">
        <v>54.9373</v>
      </c>
      <c r="B108" s="65" t="s">
        <v>288</v>
      </c>
      <c r="C108" s="64" t="s">
        <v>89</v>
      </c>
      <c r="D108" s="64" t="s">
        <v>85</v>
      </c>
      <c r="E108" s="246">
        <v>1524766</v>
      </c>
      <c r="F108" s="247">
        <f t="shared" si="24"/>
        <v>3.6103517769710748E-2</v>
      </c>
      <c r="G108" s="90">
        <f t="shared" si="25"/>
        <v>50303.97</v>
      </c>
      <c r="H108" s="90">
        <v>50303.97</v>
      </c>
      <c r="I108" s="90">
        <f t="shared" si="30"/>
        <v>0</v>
      </c>
      <c r="J108" s="63">
        <v>0</v>
      </c>
      <c r="K108" s="259">
        <f t="shared" si="27"/>
        <v>0</v>
      </c>
      <c r="L108" s="63">
        <f t="shared" si="28"/>
        <v>1474462.03</v>
      </c>
      <c r="M108" s="212">
        <v>131440</v>
      </c>
      <c r="N108" s="218">
        <v>46172</v>
      </c>
      <c r="O108" s="63">
        <f t="shared" si="31"/>
        <v>0</v>
      </c>
      <c r="P108" s="63">
        <v>131440</v>
      </c>
      <c r="Q108" s="305"/>
      <c r="T108" s="210"/>
      <c r="U108" s="210"/>
      <c r="W108" s="210"/>
      <c r="X108" s="215"/>
      <c r="Y108" s="210"/>
    </row>
    <row r="109" spans="1:25" ht="27.75" customHeight="1">
      <c r="A109" s="320">
        <v>54.938899999999997</v>
      </c>
      <c r="B109" s="65" t="s">
        <v>322</v>
      </c>
      <c r="C109" s="64" t="s">
        <v>89</v>
      </c>
      <c r="D109" s="64" t="s">
        <v>258</v>
      </c>
      <c r="E109" s="246">
        <v>299780</v>
      </c>
      <c r="F109" s="247">
        <f t="shared" si="24"/>
        <v>0.99082486180824692</v>
      </c>
      <c r="G109" s="90">
        <f t="shared" si="25"/>
        <v>296891.84999999998</v>
      </c>
      <c r="H109" s="90">
        <v>311891.84999999998</v>
      </c>
      <c r="I109" s="90">
        <f t="shared" si="30"/>
        <v>-15000</v>
      </c>
      <c r="J109" s="63">
        <v>0</v>
      </c>
      <c r="K109" s="259">
        <f t="shared" si="27"/>
        <v>-15000</v>
      </c>
      <c r="L109" s="63">
        <f t="shared" si="28"/>
        <v>2888.1500000000233</v>
      </c>
      <c r="M109" s="212">
        <v>-15000</v>
      </c>
      <c r="N109" s="218">
        <v>46081</v>
      </c>
      <c r="O109" s="63">
        <f t="shared" si="31"/>
        <v>0</v>
      </c>
      <c r="P109" s="63">
        <v>-15000</v>
      </c>
      <c r="Q109" s="305"/>
      <c r="T109" s="210"/>
      <c r="U109" s="210"/>
      <c r="W109" s="210"/>
      <c r="X109" s="215"/>
      <c r="Y109" s="210"/>
    </row>
    <row r="110" spans="1:25" ht="27.75" customHeight="1">
      <c r="A110" s="91">
        <v>54.939100000000003</v>
      </c>
      <c r="B110" s="65" t="s">
        <v>323</v>
      </c>
      <c r="C110" s="64" t="s">
        <v>112</v>
      </c>
      <c r="D110" s="64" t="s">
        <v>112</v>
      </c>
      <c r="E110" s="246">
        <v>532604.56999999995</v>
      </c>
      <c r="F110" s="247">
        <f t="shared" si="24"/>
        <v>1</v>
      </c>
      <c r="G110" s="90">
        <f t="shared" si="25"/>
        <v>532604.56999999995</v>
      </c>
      <c r="H110" s="90">
        <v>512057.34</v>
      </c>
      <c r="I110" s="90">
        <f t="shared" si="30"/>
        <v>20547.229999999923</v>
      </c>
      <c r="J110" s="63">
        <v>0</v>
      </c>
      <c r="K110" s="259">
        <f t="shared" si="27"/>
        <v>20547.229999999923</v>
      </c>
      <c r="L110" s="63">
        <f t="shared" si="28"/>
        <v>0</v>
      </c>
      <c r="M110" s="212">
        <v>20547.229999999923</v>
      </c>
      <c r="N110" s="218">
        <v>46053</v>
      </c>
      <c r="O110" s="63">
        <f t="shared" si="31"/>
        <v>547.22999999992317</v>
      </c>
      <c r="P110" s="63">
        <v>20000</v>
      </c>
      <c r="Q110" s="305" t="s">
        <v>330</v>
      </c>
      <c r="T110" s="210"/>
      <c r="U110" s="210"/>
      <c r="W110" s="210"/>
      <c r="X110" s="215"/>
      <c r="Y110" s="210"/>
    </row>
    <row r="111" spans="1:25" ht="27.75" customHeight="1">
      <c r="A111" s="320">
        <v>54.939500000000002</v>
      </c>
      <c r="B111" s="65" t="s">
        <v>334</v>
      </c>
      <c r="C111" s="64" t="s">
        <v>107</v>
      </c>
      <c r="D111" s="64" t="s">
        <v>107</v>
      </c>
      <c r="E111" s="246">
        <v>1795652.66</v>
      </c>
      <c r="F111" s="247">
        <f t="shared" si="24"/>
        <v>0.79685873725726031</v>
      </c>
      <c r="G111" s="90">
        <f t="shared" si="25"/>
        <v>1430881.5112002406</v>
      </c>
      <c r="H111" s="90">
        <v>1349601.92</v>
      </c>
      <c r="I111" s="90">
        <f t="shared" si="30"/>
        <v>81279.591200240553</v>
      </c>
      <c r="J111" s="63">
        <v>0</v>
      </c>
      <c r="K111" s="259">
        <f t="shared" si="27"/>
        <v>81279.591200240553</v>
      </c>
      <c r="L111" s="63">
        <f t="shared" si="28"/>
        <v>364771.14879975934</v>
      </c>
      <c r="M111" s="212">
        <v>102000</v>
      </c>
      <c r="N111" s="218">
        <v>46079</v>
      </c>
      <c r="O111" s="63">
        <f t="shared" si="31"/>
        <v>72000</v>
      </c>
      <c r="P111" s="63">
        <v>30000</v>
      </c>
      <c r="Q111" s="305"/>
      <c r="T111" s="210"/>
      <c r="U111" s="210"/>
      <c r="W111" s="210"/>
      <c r="X111" s="215"/>
      <c r="Y111" s="210"/>
    </row>
    <row r="112" spans="1:25" ht="27.75" customHeight="1">
      <c r="A112" s="320">
        <v>54.939599999999999</v>
      </c>
      <c r="B112" s="65" t="s">
        <v>342</v>
      </c>
      <c r="C112" s="64" t="s">
        <v>344</v>
      </c>
      <c r="D112" s="64" t="s">
        <v>122</v>
      </c>
      <c r="E112" s="246">
        <v>157746.09</v>
      </c>
      <c r="F112" s="247">
        <f t="shared" si="24"/>
        <v>1</v>
      </c>
      <c r="G112" s="90">
        <f t="shared" si="25"/>
        <v>157746.09</v>
      </c>
      <c r="H112" s="90">
        <v>157746.09</v>
      </c>
      <c r="I112" s="90">
        <f t="shared" si="30"/>
        <v>0</v>
      </c>
      <c r="J112" s="63">
        <v>0</v>
      </c>
      <c r="K112" s="259">
        <f t="shared" si="27"/>
        <v>0</v>
      </c>
      <c r="L112" s="63">
        <f t="shared" si="28"/>
        <v>0</v>
      </c>
      <c r="M112" s="212">
        <v>0</v>
      </c>
      <c r="N112" s="218">
        <v>46138</v>
      </c>
      <c r="O112" s="63">
        <f t="shared" si="31"/>
        <v>-9546</v>
      </c>
      <c r="P112" s="63">
        <v>9546</v>
      </c>
      <c r="Q112" s="305"/>
      <c r="T112" s="210"/>
      <c r="U112" s="210"/>
      <c r="W112" s="210"/>
      <c r="X112" s="215"/>
      <c r="Y112" s="210"/>
    </row>
    <row r="113" spans="1:25" ht="27.75" customHeight="1">
      <c r="A113" s="320">
        <v>54.939700000000002</v>
      </c>
      <c r="B113" s="65" t="s">
        <v>335</v>
      </c>
      <c r="C113" s="64" t="s">
        <v>112</v>
      </c>
      <c r="D113" s="64" t="s">
        <v>223</v>
      </c>
      <c r="E113" s="246">
        <v>3690645</v>
      </c>
      <c r="F113" s="247">
        <f t="shared" si="24"/>
        <v>0.305270946973216</v>
      </c>
      <c r="G113" s="90">
        <f t="shared" si="25"/>
        <v>1126646.6940919647</v>
      </c>
      <c r="H113" s="90">
        <v>1035065.41</v>
      </c>
      <c r="I113" s="90">
        <f t="shared" si="30"/>
        <v>91581.284091964801</v>
      </c>
      <c r="J113" s="63">
        <v>0</v>
      </c>
      <c r="K113" s="259">
        <f t="shared" si="27"/>
        <v>91581.284091964801</v>
      </c>
      <c r="L113" s="63">
        <f t="shared" si="28"/>
        <v>2563998.3059080355</v>
      </c>
      <c r="M113" s="212">
        <v>300000</v>
      </c>
      <c r="N113" s="218">
        <v>46113</v>
      </c>
      <c r="O113" s="63">
        <f t="shared" si="31"/>
        <v>0</v>
      </c>
      <c r="P113" s="63">
        <v>300000</v>
      </c>
      <c r="Q113" s="305"/>
      <c r="T113" s="210"/>
      <c r="U113" s="210"/>
      <c r="W113" s="210"/>
      <c r="X113" s="215"/>
      <c r="Y113" s="210"/>
    </row>
    <row r="114" spans="1:25" ht="27.75" customHeight="1">
      <c r="A114" s="320">
        <v>54.940300000000001</v>
      </c>
      <c r="B114" s="65" t="s">
        <v>349</v>
      </c>
      <c r="C114" s="64" t="s">
        <v>308</v>
      </c>
      <c r="D114" s="64" t="s">
        <v>258</v>
      </c>
      <c r="E114" s="246">
        <v>381600</v>
      </c>
      <c r="F114" s="247">
        <f t="shared" si="24"/>
        <v>0.38155725655943046</v>
      </c>
      <c r="G114" s="90">
        <f t="shared" si="25"/>
        <v>145602.24910307868</v>
      </c>
      <c r="H114" s="90">
        <v>129004.89</v>
      </c>
      <c r="I114" s="90">
        <f t="shared" si="30"/>
        <v>16597.359103078667</v>
      </c>
      <c r="J114" s="63">
        <v>0</v>
      </c>
      <c r="K114" s="259">
        <f t="shared" si="27"/>
        <v>16597.359103078667</v>
      </c>
      <c r="L114" s="63">
        <f t="shared" si="28"/>
        <v>235997.75089692132</v>
      </c>
      <c r="M114" s="212">
        <v>43499</v>
      </c>
      <c r="N114" s="218">
        <v>46079</v>
      </c>
      <c r="O114" s="63">
        <f t="shared" si="31"/>
        <v>0</v>
      </c>
      <c r="P114" s="63">
        <v>43499</v>
      </c>
      <c r="Q114" s="305"/>
      <c r="T114" s="210"/>
      <c r="U114" s="210"/>
      <c r="W114" s="210"/>
      <c r="X114" s="215"/>
      <c r="Y114" s="210"/>
    </row>
    <row r="115" spans="1:25" ht="27.75" customHeight="1">
      <c r="A115" s="320">
        <v>54.940399999999997</v>
      </c>
      <c r="B115" s="65" t="s">
        <v>350</v>
      </c>
      <c r="C115" s="64" t="s">
        <v>112</v>
      </c>
      <c r="D115" s="64" t="s">
        <v>75</v>
      </c>
      <c r="E115" s="246">
        <v>3720000</v>
      </c>
      <c r="F115" s="247">
        <f t="shared" si="24"/>
        <v>0.54081244951737495</v>
      </c>
      <c r="G115" s="90">
        <f t="shared" si="25"/>
        <v>2011822.3122046348</v>
      </c>
      <c r="H115" s="90">
        <v>1939024.63</v>
      </c>
      <c r="I115" s="90">
        <f t="shared" si="30"/>
        <v>72797.68220463481</v>
      </c>
      <c r="J115" s="63">
        <v>0</v>
      </c>
      <c r="K115" s="259">
        <f t="shared" si="27"/>
        <v>72797.68220463481</v>
      </c>
      <c r="L115" s="63">
        <f t="shared" si="28"/>
        <v>1708177.6877953652</v>
      </c>
      <c r="M115" s="212">
        <v>134608</v>
      </c>
      <c r="N115" s="218">
        <v>46080</v>
      </c>
      <c r="O115" s="63">
        <f t="shared" si="31"/>
        <v>0</v>
      </c>
      <c r="P115" s="63">
        <v>134608</v>
      </c>
      <c r="Q115" s="305"/>
      <c r="T115" s="210"/>
      <c r="U115" s="210"/>
      <c r="W115" s="210"/>
      <c r="X115" s="215"/>
      <c r="Y115" s="210"/>
    </row>
    <row r="116" spans="1:25" ht="27.75" customHeight="1">
      <c r="A116" s="320">
        <v>54.9405</v>
      </c>
      <c r="B116" s="65" t="s">
        <v>351</v>
      </c>
      <c r="C116" s="64" t="s">
        <v>107</v>
      </c>
      <c r="D116" s="64" t="s">
        <v>107</v>
      </c>
      <c r="E116" s="246">
        <v>942000</v>
      </c>
      <c r="F116" s="247">
        <f t="shared" si="24"/>
        <v>0.71157162561576359</v>
      </c>
      <c r="G116" s="90">
        <f t="shared" si="25"/>
        <v>670300.47133004933</v>
      </c>
      <c r="H116" s="90">
        <v>577796.16</v>
      </c>
      <c r="I116" s="90">
        <f t="shared" si="30"/>
        <v>92504.31133004927</v>
      </c>
      <c r="J116" s="63">
        <v>0</v>
      </c>
      <c r="K116" s="259">
        <f t="shared" si="27"/>
        <v>92504.31133004927</v>
      </c>
      <c r="L116" s="63">
        <f t="shared" si="28"/>
        <v>271699.52866995067</v>
      </c>
      <c r="M116" s="212">
        <v>130000</v>
      </c>
      <c r="N116" s="218">
        <v>46107</v>
      </c>
      <c r="O116" s="63">
        <f t="shared" si="31"/>
        <v>10000</v>
      </c>
      <c r="P116" s="63">
        <v>120000</v>
      </c>
      <c r="Q116" s="305"/>
      <c r="T116" s="210"/>
      <c r="U116" s="210"/>
      <c r="W116" s="210"/>
      <c r="X116" s="215"/>
      <c r="Y116" s="210"/>
    </row>
    <row r="117" spans="1:25" ht="27.75" customHeight="1">
      <c r="A117" s="320">
        <v>54.940600000000003</v>
      </c>
      <c r="B117" s="65" t="s">
        <v>405</v>
      </c>
      <c r="C117" s="64" t="s">
        <v>107</v>
      </c>
      <c r="D117" s="64" t="s">
        <v>107</v>
      </c>
      <c r="E117" s="246">
        <v>1120.6500000000001</v>
      </c>
      <c r="F117" s="247">
        <f t="shared" si="24"/>
        <v>1</v>
      </c>
      <c r="G117" s="90">
        <f t="shared" si="25"/>
        <v>1120.6500000000001</v>
      </c>
      <c r="H117" s="90">
        <v>1120.6500000000001</v>
      </c>
      <c r="I117" s="90">
        <f t="shared" si="30"/>
        <v>0</v>
      </c>
      <c r="J117" s="63">
        <v>0</v>
      </c>
      <c r="K117" s="259">
        <f t="shared" si="27"/>
        <v>0</v>
      </c>
      <c r="L117" s="63">
        <f t="shared" si="28"/>
        <v>0</v>
      </c>
      <c r="M117" s="212">
        <v>0</v>
      </c>
      <c r="N117" s="218">
        <v>46023</v>
      </c>
      <c r="O117" s="63">
        <f t="shared" si="31"/>
        <v>0</v>
      </c>
      <c r="P117" s="63"/>
      <c r="Q117" s="305"/>
      <c r="T117" s="210"/>
      <c r="U117" s="210"/>
      <c r="W117" s="210"/>
      <c r="X117" s="215"/>
      <c r="Y117" s="210"/>
    </row>
    <row r="118" spans="1:25" ht="27.75" customHeight="1">
      <c r="A118" s="320">
        <v>54.940800000000003</v>
      </c>
      <c r="B118" s="65" t="s">
        <v>382</v>
      </c>
      <c r="C118" s="64" t="s">
        <v>89</v>
      </c>
      <c r="D118" s="64" t="s">
        <v>75</v>
      </c>
      <c r="E118" s="246">
        <v>3777777</v>
      </c>
      <c r="F118" s="247">
        <f t="shared" si="24"/>
        <v>1.1775587084079572E-2</v>
      </c>
      <c r="G118" s="90">
        <f t="shared" si="25"/>
        <v>41652.43</v>
      </c>
      <c r="H118" s="90">
        <v>41652.43</v>
      </c>
      <c r="I118" s="90">
        <f t="shared" si="30"/>
        <v>0</v>
      </c>
      <c r="J118" s="63">
        <v>0</v>
      </c>
      <c r="K118" s="259">
        <f t="shared" si="27"/>
        <v>0</v>
      </c>
      <c r="L118" s="63">
        <f t="shared" si="28"/>
        <v>3736124.57</v>
      </c>
      <c r="M118" s="212">
        <v>240592</v>
      </c>
      <c r="N118" s="218">
        <v>46234</v>
      </c>
      <c r="O118" s="63">
        <f t="shared" si="31"/>
        <v>0</v>
      </c>
      <c r="P118" s="63">
        <v>240592</v>
      </c>
      <c r="Q118" s="305"/>
      <c r="T118" s="210"/>
      <c r="U118" s="210"/>
      <c r="W118" s="210"/>
      <c r="X118" s="215"/>
      <c r="Y118" s="210"/>
    </row>
    <row r="119" spans="1:25" ht="27.75" customHeight="1">
      <c r="A119" s="320">
        <v>54.941099999999999</v>
      </c>
      <c r="B119" s="65" t="s">
        <v>383</v>
      </c>
      <c r="C119" s="64" t="s">
        <v>102</v>
      </c>
      <c r="D119" s="64" t="s">
        <v>102</v>
      </c>
      <c r="E119" s="246">
        <v>103300</v>
      </c>
      <c r="F119" s="247">
        <f t="shared" si="24"/>
        <v>0.91150510855683275</v>
      </c>
      <c r="G119" s="90">
        <f t="shared" si="25"/>
        <v>94158.477713920816</v>
      </c>
      <c r="H119" s="90">
        <v>71370.850000000006</v>
      </c>
      <c r="I119" s="90">
        <f t="shared" si="30"/>
        <v>22787.627713920818</v>
      </c>
      <c r="J119" s="63">
        <v>0</v>
      </c>
      <c r="K119" s="259">
        <f t="shared" si="27"/>
        <v>22787.627713920818</v>
      </c>
      <c r="L119" s="63">
        <f t="shared" si="28"/>
        <v>9141.5222860791837</v>
      </c>
      <c r="M119" s="212">
        <v>25000</v>
      </c>
      <c r="N119" s="218">
        <v>46023</v>
      </c>
      <c r="O119" s="63">
        <f t="shared" si="31"/>
        <v>0</v>
      </c>
      <c r="P119" s="63">
        <v>25000</v>
      </c>
      <c r="Q119" s="305" t="s">
        <v>413</v>
      </c>
      <c r="T119" s="210"/>
      <c r="U119" s="210"/>
      <c r="W119" s="210"/>
      <c r="X119" s="215"/>
      <c r="Y119" s="210"/>
    </row>
    <row r="120" spans="1:25" ht="27.75" customHeight="1">
      <c r="A120" s="320">
        <v>54.941200000000002</v>
      </c>
      <c r="B120" s="65" t="s">
        <v>384</v>
      </c>
      <c r="C120" s="64" t="s">
        <v>112</v>
      </c>
      <c r="D120" s="64" t="s">
        <v>112</v>
      </c>
      <c r="E120" s="246">
        <v>116752.04</v>
      </c>
      <c r="F120" s="247">
        <f t="shared" si="24"/>
        <v>1</v>
      </c>
      <c r="G120" s="90">
        <f t="shared" si="25"/>
        <v>116752.04</v>
      </c>
      <c r="H120" s="90">
        <v>115708.88</v>
      </c>
      <c r="I120" s="90">
        <f t="shared" si="30"/>
        <v>1043.1599999999889</v>
      </c>
      <c r="J120" s="63">
        <v>0</v>
      </c>
      <c r="K120" s="259">
        <f t="shared" si="27"/>
        <v>1043.1599999999889</v>
      </c>
      <c r="L120" s="63">
        <f t="shared" si="28"/>
        <v>0</v>
      </c>
      <c r="M120" s="212">
        <v>1043.1599999999889</v>
      </c>
      <c r="N120" s="218">
        <v>46023</v>
      </c>
      <c r="O120" s="63">
        <f t="shared" si="31"/>
        <v>-4956.8400000000111</v>
      </c>
      <c r="P120" s="63">
        <v>6000</v>
      </c>
      <c r="Q120" s="305" t="s">
        <v>414</v>
      </c>
      <c r="T120" s="210"/>
      <c r="U120" s="210"/>
      <c r="W120" s="210"/>
      <c r="X120" s="215"/>
      <c r="Y120" s="210"/>
    </row>
    <row r="121" spans="1:25" ht="27.75" customHeight="1">
      <c r="A121" s="320">
        <v>54.941299999999998</v>
      </c>
      <c r="B121" s="65" t="s">
        <v>385</v>
      </c>
      <c r="C121" s="64" t="s">
        <v>112</v>
      </c>
      <c r="D121" s="64" t="s">
        <v>112</v>
      </c>
      <c r="E121" s="246">
        <v>149366.82999999999</v>
      </c>
      <c r="F121" s="247">
        <f t="shared" si="24"/>
        <v>1</v>
      </c>
      <c r="G121" s="90">
        <f t="shared" si="25"/>
        <v>149366.82999999999</v>
      </c>
      <c r="H121" s="90">
        <v>132138.74</v>
      </c>
      <c r="I121" s="90">
        <f t="shared" si="30"/>
        <v>17228.089999999997</v>
      </c>
      <c r="J121" s="63">
        <v>0</v>
      </c>
      <c r="K121" s="259">
        <f t="shared" si="27"/>
        <v>17228.089999999997</v>
      </c>
      <c r="L121" s="63">
        <f t="shared" si="28"/>
        <v>0</v>
      </c>
      <c r="M121" s="212">
        <v>17228.089999999997</v>
      </c>
      <c r="N121" s="218">
        <v>46023</v>
      </c>
      <c r="O121" s="63">
        <f t="shared" si="31"/>
        <v>7228.0899999999965</v>
      </c>
      <c r="P121" s="63">
        <v>10000</v>
      </c>
      <c r="Q121" s="305" t="s">
        <v>414</v>
      </c>
      <c r="T121" s="210"/>
      <c r="U121" s="210"/>
      <c r="W121" s="210"/>
      <c r="X121" s="215"/>
      <c r="Y121" s="210"/>
    </row>
    <row r="122" spans="1:25" ht="27.75" customHeight="1">
      <c r="A122" s="320">
        <v>54.941400000000002</v>
      </c>
      <c r="B122" s="65" t="s">
        <v>394</v>
      </c>
      <c r="C122" s="64" t="s">
        <v>102</v>
      </c>
      <c r="D122" s="64" t="s">
        <v>102</v>
      </c>
      <c r="E122" s="246">
        <v>358674.83</v>
      </c>
      <c r="F122" s="247">
        <f>+H122/(E122-M122)</f>
        <v>0.99648881494972619</v>
      </c>
      <c r="G122" s="90">
        <f>H122+I122</f>
        <v>357415.45629899454</v>
      </c>
      <c r="H122" s="90">
        <v>337485.68</v>
      </c>
      <c r="I122" s="90">
        <f>IF(F122&gt;0.2,IF(M122&gt;0,IF(J122&gt;M122,M122,IF((F122*M122)&gt;J122,F122*M122,J122)),M122),0)</f>
        <v>19929.776298994522</v>
      </c>
      <c r="J122" s="63">
        <v>0</v>
      </c>
      <c r="K122" s="259">
        <f>I122-J122</f>
        <v>19929.776298994522</v>
      </c>
      <c r="L122" s="63">
        <f>E122-G122</f>
        <v>1259.3737010054756</v>
      </c>
      <c r="M122" s="212">
        <v>20000</v>
      </c>
      <c r="N122" s="218">
        <v>46023</v>
      </c>
      <c r="O122" s="63">
        <f t="shared" si="31"/>
        <v>-5000</v>
      </c>
      <c r="P122" s="63">
        <v>25000</v>
      </c>
      <c r="Q122" s="305"/>
      <c r="T122" s="210"/>
      <c r="U122" s="210"/>
      <c r="W122" s="210"/>
      <c r="X122" s="215"/>
      <c r="Y122" s="210"/>
    </row>
    <row r="123" spans="1:25" ht="27.75" customHeight="1">
      <c r="A123" s="320">
        <v>54.941600000000001</v>
      </c>
      <c r="B123" s="65" t="s">
        <v>395</v>
      </c>
      <c r="C123" s="64" t="s">
        <v>308</v>
      </c>
      <c r="D123" s="64" t="s">
        <v>223</v>
      </c>
      <c r="E123" s="246">
        <v>1260000</v>
      </c>
      <c r="F123" s="247">
        <f>+H123/(E123-M123)</f>
        <v>6.4092483384816995E-3</v>
      </c>
      <c r="G123" s="90">
        <f>H123+I123</f>
        <v>7257.82</v>
      </c>
      <c r="H123" s="90">
        <v>7257.82</v>
      </c>
      <c r="I123" s="90">
        <f>IF(F123&gt;0.2,IF(M123&gt;0,IF(J123&gt;M123,M123,IF((F123*M123)&gt;J123,F123*M123,J123)),M123),0)</f>
        <v>0</v>
      </c>
      <c r="J123" s="63">
        <v>0</v>
      </c>
      <c r="K123" s="259">
        <f>I123-J123</f>
        <v>0</v>
      </c>
      <c r="L123" s="63">
        <f>E123-G123</f>
        <v>1252742.18</v>
      </c>
      <c r="M123" s="212">
        <v>127602</v>
      </c>
      <c r="N123" s="218">
        <v>46204</v>
      </c>
      <c r="O123" s="63">
        <f t="shared" si="31"/>
        <v>0</v>
      </c>
      <c r="P123" s="63">
        <v>127602</v>
      </c>
      <c r="Q123" s="305"/>
      <c r="T123" s="210"/>
      <c r="U123" s="210"/>
      <c r="W123" s="210"/>
      <c r="X123" s="215"/>
      <c r="Y123" s="210"/>
    </row>
    <row r="124" spans="1:25" ht="27.75" customHeight="1">
      <c r="A124" s="320">
        <v>54.941699999999997</v>
      </c>
      <c r="B124" s="65" t="s">
        <v>406</v>
      </c>
      <c r="C124" s="64" t="s">
        <v>89</v>
      </c>
      <c r="D124" s="64" t="s">
        <v>85</v>
      </c>
      <c r="E124" s="246">
        <v>48439</v>
      </c>
      <c r="F124" s="247">
        <f t="shared" ref="F124" si="32">+H124/(E124-M124)</f>
        <v>5.3608047933229194E-2</v>
      </c>
      <c r="G124" s="90">
        <f t="shared" ref="G124" si="33">H124+I124</f>
        <v>2299.41</v>
      </c>
      <c r="H124" s="90">
        <v>2299.41</v>
      </c>
      <c r="I124" s="90">
        <f t="shared" ref="I124" si="34">IF(F124&gt;0.2,IF(M124&gt;0,IF(J124&gt;M124,M124,IF((F124*M124)&gt;J124,F124*M124,J124)),M124),0)</f>
        <v>0</v>
      </c>
      <c r="J124" s="63">
        <v>0</v>
      </c>
      <c r="K124" s="259">
        <f t="shared" ref="K124" si="35">I124-J124</f>
        <v>0</v>
      </c>
      <c r="L124" s="63">
        <f t="shared" ref="L124" si="36">E124-G124</f>
        <v>46139.59</v>
      </c>
      <c r="M124" s="212">
        <v>5546</v>
      </c>
      <c r="N124" s="218">
        <v>46112</v>
      </c>
      <c r="O124" s="63">
        <f t="shared" si="31"/>
        <v>5546</v>
      </c>
      <c r="P124" s="63"/>
      <c r="Q124" s="305"/>
      <c r="T124" s="210"/>
      <c r="U124" s="210"/>
      <c r="W124" s="210"/>
      <c r="X124" s="215"/>
      <c r="Y124" s="210"/>
    </row>
    <row r="125" spans="1:25" ht="27.75" customHeight="1">
      <c r="A125" s="320">
        <v>54.941800000000001</v>
      </c>
      <c r="B125" s="65" t="s">
        <v>396</v>
      </c>
      <c r="C125" s="64" t="s">
        <v>344</v>
      </c>
      <c r="D125" s="64" t="s">
        <v>29</v>
      </c>
      <c r="E125" s="246">
        <v>15739</v>
      </c>
      <c r="F125" s="247">
        <f>+H125/(E125-M125)</f>
        <v>1</v>
      </c>
      <c r="G125" s="90">
        <f>H125+I125</f>
        <v>15739</v>
      </c>
      <c r="H125" s="90">
        <v>15739</v>
      </c>
      <c r="I125" s="90">
        <f>IF(F125&gt;0.2,IF(M125&gt;0,IF(J125&gt;M125,M125,IF((F125*M125)&gt;J125,F125*M125,J125)),M125),0)</f>
        <v>0</v>
      </c>
      <c r="J125" s="63">
        <v>0</v>
      </c>
      <c r="K125" s="259">
        <f>I125-J125</f>
        <v>0</v>
      </c>
      <c r="L125" s="63">
        <f>E125-G125</f>
        <v>0</v>
      </c>
      <c r="M125" s="212">
        <v>0</v>
      </c>
      <c r="N125" s="218">
        <v>46054</v>
      </c>
      <c r="O125" s="63">
        <f t="shared" si="31"/>
        <v>-10000</v>
      </c>
      <c r="P125" s="63">
        <v>10000</v>
      </c>
      <c r="Q125" s="305"/>
      <c r="T125" s="210"/>
      <c r="U125" s="210"/>
      <c r="W125" s="210"/>
      <c r="X125" s="215"/>
      <c r="Y125" s="210"/>
    </row>
    <row r="126" spans="1:25" ht="27.75" customHeight="1">
      <c r="A126" s="320">
        <v>54.942100000000003</v>
      </c>
      <c r="B126" s="65" t="s">
        <v>407</v>
      </c>
      <c r="C126" s="64" t="s">
        <v>89</v>
      </c>
      <c r="D126" s="64" t="s">
        <v>85</v>
      </c>
      <c r="E126" s="246">
        <v>3703.18</v>
      </c>
      <c r="F126" s="247">
        <f t="shared" ref="F126" si="37">+H126/(E126-M126)</f>
        <v>1</v>
      </c>
      <c r="G126" s="90">
        <f t="shared" ref="G126" si="38">H126+I126</f>
        <v>3703.18</v>
      </c>
      <c r="H126" s="90">
        <v>3703.18</v>
      </c>
      <c r="I126" s="90">
        <f t="shared" ref="I126" si="39">IF(F126&gt;0.2,IF(M126&gt;0,IF(J126&gt;M126,M126,IF((F126*M126)&gt;J126,F126*M126,J126)),M126),0)</f>
        <v>0</v>
      </c>
      <c r="J126" s="63">
        <v>0</v>
      </c>
      <c r="K126" s="259">
        <f t="shared" ref="K126" si="40">I126-J126</f>
        <v>0</v>
      </c>
      <c r="L126" s="63">
        <f t="shared" ref="L126" si="41">E126-G126</f>
        <v>0</v>
      </c>
      <c r="M126" s="212">
        <v>0</v>
      </c>
      <c r="N126" s="218">
        <v>46081</v>
      </c>
      <c r="O126" s="63">
        <f t="shared" si="31"/>
        <v>0</v>
      </c>
      <c r="P126" s="63"/>
      <c r="Q126" s="305"/>
      <c r="T126" s="210"/>
      <c r="U126" s="210"/>
      <c r="W126" s="210"/>
      <c r="X126" s="215"/>
      <c r="Y126" s="210"/>
    </row>
    <row r="127" spans="1:25" ht="14.25">
      <c r="A127" s="127"/>
      <c r="B127" s="128"/>
      <c r="C127" s="8"/>
      <c r="D127" s="8"/>
      <c r="E127" s="15"/>
      <c r="F127" s="120"/>
      <c r="G127" s="15"/>
      <c r="H127" s="15"/>
      <c r="I127" s="15"/>
      <c r="J127" s="10"/>
      <c r="K127" s="10"/>
      <c r="L127" s="10"/>
      <c r="M127" s="10"/>
      <c r="N127" s="121"/>
      <c r="O127" s="10"/>
      <c r="P127" s="10"/>
      <c r="Q127" s="129"/>
      <c r="Y127" s="210"/>
    </row>
    <row r="128" spans="1:25">
      <c r="A128" s="97"/>
      <c r="B128" s="98" t="s">
        <v>177</v>
      </c>
      <c r="C128" s="97"/>
      <c r="D128" s="99"/>
      <c r="E128" s="100">
        <f>SUM(E94:E127)</f>
        <v>107445536.59</v>
      </c>
      <c r="F128" s="100"/>
      <c r="G128" s="100">
        <f t="shared" ref="G128:M128" si="42">SUM(G94:G127)</f>
        <v>50974822.242586583</v>
      </c>
      <c r="H128" s="100">
        <f t="shared" si="42"/>
        <v>46923257.49000001</v>
      </c>
      <c r="I128" s="100">
        <f t="shared" si="42"/>
        <v>4051564.7525865901</v>
      </c>
      <c r="J128" s="100">
        <f t="shared" si="42"/>
        <v>912266.22808157455</v>
      </c>
      <c r="K128" s="100">
        <f t="shared" si="42"/>
        <v>3139298.5245050155</v>
      </c>
      <c r="L128" s="100">
        <f t="shared" si="42"/>
        <v>56470714.347413428</v>
      </c>
      <c r="M128" s="100">
        <f t="shared" si="42"/>
        <v>8849891.5999999996</v>
      </c>
      <c r="N128" s="100"/>
      <c r="O128" s="100">
        <f>SUM(O94:O127)</f>
        <v>115487.59999999967</v>
      </c>
      <c r="P128" s="100">
        <f>SUM(P94:P127)</f>
        <v>8734404</v>
      </c>
      <c r="Q128" s="100"/>
      <c r="S128" s="17" t="s">
        <v>22</v>
      </c>
      <c r="T128" s="56">
        <f>H130</f>
        <v>131355636.81</v>
      </c>
      <c r="Y128" s="210"/>
    </row>
    <row r="129" spans="1:20">
      <c r="A129" s="97"/>
      <c r="B129" s="98" t="s">
        <v>178</v>
      </c>
      <c r="C129" s="101"/>
      <c r="D129" s="99"/>
      <c r="E129" s="100">
        <f>'Closed Jobs'!E132</f>
        <v>97414231.620000005</v>
      </c>
      <c r="F129" s="100">
        <f>'Closed Jobs'!F132</f>
        <v>0</v>
      </c>
      <c r="G129" s="100">
        <f>'Closed Jobs'!G132</f>
        <v>97414231.620000005</v>
      </c>
      <c r="H129" s="100">
        <f>'Closed Jobs'!H132</f>
        <v>84432379.319999993</v>
      </c>
      <c r="I129" s="100">
        <f>'Closed Jobs'!I132</f>
        <v>12981852.299999995</v>
      </c>
      <c r="J129" s="100">
        <f>'Closed Jobs'!J132</f>
        <v>13874672.81838295</v>
      </c>
      <c r="K129" s="100">
        <f>'Closed Jobs'!K132</f>
        <v>-892820.51838295127</v>
      </c>
      <c r="L129" s="100">
        <f>'Closed Jobs'!L132</f>
        <v>0</v>
      </c>
      <c r="M129" s="100">
        <f>'Closed Jobs'!M132</f>
        <v>12981852.299999995</v>
      </c>
      <c r="N129" s="100">
        <f>'Closed Jobs'!N132</f>
        <v>0</v>
      </c>
      <c r="O129" s="100">
        <f>'Closed Jobs'!O132</f>
        <v>-77720.63999999965</v>
      </c>
      <c r="P129" s="100">
        <f>'Closed Jobs'!P132</f>
        <v>13059572.939999994</v>
      </c>
      <c r="Q129" s="49"/>
      <c r="S129" s="17" t="s">
        <v>155</v>
      </c>
      <c r="T129" s="59">
        <v>-8588450.4700000007</v>
      </c>
    </row>
    <row r="130" spans="1:20">
      <c r="A130" s="97"/>
      <c r="B130" s="98" t="s">
        <v>179</v>
      </c>
      <c r="C130" s="97"/>
      <c r="D130" s="99"/>
      <c r="E130" s="100">
        <f>E128+E129</f>
        <v>204859768.21000001</v>
      </c>
      <c r="F130" s="99"/>
      <c r="G130" s="100">
        <f t="shared" ref="G130:M130" si="43">+G128+G129</f>
        <v>148389053.86258659</v>
      </c>
      <c r="H130" s="100">
        <f>+H128+H129</f>
        <v>131355636.81</v>
      </c>
      <c r="I130" s="100">
        <f t="shared" si="43"/>
        <v>17033417.052586585</v>
      </c>
      <c r="J130" s="49">
        <f t="shared" si="43"/>
        <v>14786939.046464525</v>
      </c>
      <c r="K130" s="49">
        <f>+K128+K129</f>
        <v>2246478.0061220643</v>
      </c>
      <c r="L130" s="49">
        <f t="shared" si="43"/>
        <v>56470714.347413428</v>
      </c>
      <c r="M130" s="49">
        <f t="shared" si="43"/>
        <v>21831743.899999995</v>
      </c>
      <c r="N130" s="102"/>
      <c r="O130" s="49">
        <f>+O128+O129</f>
        <v>37766.960000000021</v>
      </c>
      <c r="P130" s="49">
        <f>+P128+P129</f>
        <v>21793976.939999994</v>
      </c>
      <c r="Q130" s="49"/>
      <c r="T130" s="60">
        <f>SUM(T128:T129)</f>
        <v>122767186.34</v>
      </c>
    </row>
    <row r="131" spans="1:20" ht="12" customHeight="1">
      <c r="A131" s="103"/>
      <c r="B131" s="104"/>
      <c r="C131" s="105"/>
      <c r="D131" s="105"/>
      <c r="E131" s="106"/>
      <c r="F131" s="107"/>
      <c r="G131" s="107"/>
      <c r="H131" s="107"/>
      <c r="I131" s="107"/>
      <c r="J131" s="107"/>
      <c r="K131" s="107"/>
      <c r="L131" s="107"/>
      <c r="M131" s="108"/>
      <c r="N131" s="109"/>
      <c r="O131" s="110"/>
      <c r="P131" s="108"/>
      <c r="Q131" s="110"/>
      <c r="S131" s="35"/>
    </row>
    <row r="132" spans="1:20">
      <c r="A132" s="103"/>
      <c r="B132" s="43" t="s">
        <v>180</v>
      </c>
      <c r="C132" s="44"/>
      <c r="D132" s="45"/>
      <c r="E132" s="46"/>
      <c r="F132" s="46"/>
      <c r="G132" s="46"/>
      <c r="H132" s="47"/>
      <c r="I132" s="46"/>
      <c r="J132" s="48"/>
      <c r="K132" s="111">
        <f>K130</f>
        <v>2246478.0061220643</v>
      </c>
      <c r="L132" s="107"/>
      <c r="O132" s="110"/>
      <c r="P132" s="108"/>
      <c r="Q132" s="110"/>
      <c r="S132" s="55" t="s">
        <v>23</v>
      </c>
      <c r="T132" s="59">
        <v>122767186.33999999</v>
      </c>
    </row>
    <row r="133" spans="1:20">
      <c r="A133" s="103"/>
      <c r="B133" s="43" t="s">
        <v>181</v>
      </c>
      <c r="C133" s="44"/>
      <c r="D133" s="45"/>
      <c r="E133" s="46"/>
      <c r="F133" s="46"/>
      <c r="G133" s="46"/>
      <c r="H133" s="47"/>
      <c r="I133" s="46"/>
      <c r="J133" s="48"/>
      <c r="K133" s="111">
        <v>1424332.7554023773</v>
      </c>
      <c r="L133" s="107"/>
      <c r="O133" s="110"/>
      <c r="P133" s="108"/>
      <c r="Q133" s="110"/>
      <c r="S133" s="55" t="s">
        <v>24</v>
      </c>
      <c r="T133" s="207">
        <f>T130-T132</f>
        <v>0</v>
      </c>
    </row>
    <row r="134" spans="1:20">
      <c r="A134" s="103"/>
      <c r="B134" s="43" t="s">
        <v>182</v>
      </c>
      <c r="C134" s="44"/>
      <c r="D134" s="45"/>
      <c r="E134" s="46"/>
      <c r="F134" s="46"/>
      <c r="G134" s="46"/>
      <c r="H134" s="47"/>
      <c r="I134" s="46"/>
      <c r="J134" s="48"/>
      <c r="K134" s="111">
        <f>K132-K133</f>
        <v>822145.25071968697</v>
      </c>
      <c r="L134" s="107"/>
      <c r="O134" s="110"/>
      <c r="P134" s="108"/>
      <c r="Q134" s="110"/>
    </row>
    <row r="135" spans="1:20" ht="11.25" customHeight="1">
      <c r="A135" s="4"/>
      <c r="B135" s="126"/>
      <c r="C135" s="126"/>
      <c r="D135" s="126"/>
      <c r="E135" s="116"/>
      <c r="F135" s="125"/>
      <c r="G135" s="116"/>
      <c r="H135" s="135"/>
      <c r="I135" s="116"/>
      <c r="J135" s="2"/>
      <c r="K135" s="2"/>
      <c r="L135" s="2"/>
      <c r="O135" s="2"/>
      <c r="P135" s="2"/>
      <c r="Q135" s="130"/>
    </row>
    <row r="136" spans="1:20" ht="11.25" customHeight="1">
      <c r="A136" s="4"/>
      <c r="B136" s="126"/>
      <c r="C136" s="4"/>
      <c r="D136" s="2"/>
      <c r="E136" s="204"/>
      <c r="G136" s="204"/>
      <c r="H136" s="204"/>
      <c r="I136" s="204"/>
      <c r="J136" s="55"/>
      <c r="K136" s="55"/>
      <c r="L136" s="55"/>
      <c r="O136" s="55"/>
      <c r="P136" s="55"/>
      <c r="Q136" s="130"/>
    </row>
    <row r="137" spans="1:20" ht="15">
      <c r="A137" s="145" t="s">
        <v>118</v>
      </c>
      <c r="B137" s="126"/>
      <c r="C137" s="4"/>
      <c r="D137" s="2"/>
      <c r="E137" s="205"/>
      <c r="F137" s="205"/>
      <c r="G137" s="205"/>
      <c r="H137" s="205"/>
      <c r="I137" s="205"/>
      <c r="J137" s="205"/>
      <c r="K137" s="205"/>
      <c r="L137" s="205"/>
      <c r="M137" s="205"/>
      <c r="N137" s="205"/>
      <c r="O137" s="205"/>
      <c r="P137" s="205"/>
      <c r="Q137" s="130"/>
    </row>
    <row r="138" spans="1:20" ht="14.25">
      <c r="A138" s="126"/>
      <c r="B138" s="126"/>
      <c r="C138" s="4"/>
      <c r="D138" s="2"/>
      <c r="E138" s="116"/>
      <c r="F138" s="125"/>
      <c r="G138" s="55"/>
      <c r="H138" s="59"/>
      <c r="I138" s="141"/>
      <c r="J138" s="2"/>
      <c r="K138" s="5"/>
      <c r="L138" s="5"/>
      <c r="M138" s="6"/>
      <c r="N138" s="142"/>
      <c r="O138" s="6"/>
      <c r="P138" s="140"/>
      <c r="Q138" s="130"/>
    </row>
    <row r="139" spans="1:20">
      <c r="A139" s="97"/>
      <c r="B139" s="98" t="s">
        <v>212</v>
      </c>
      <c r="C139" s="97"/>
      <c r="D139" s="99"/>
      <c r="E139" s="100">
        <f t="shared" ref="E139:P139" si="44">E33+E68+E83+E128</f>
        <v>920400789.95000005</v>
      </c>
      <c r="F139" s="100">
        <f t="shared" si="44"/>
        <v>0</v>
      </c>
      <c r="G139" s="100">
        <f t="shared" si="44"/>
        <v>439456384.22327065</v>
      </c>
      <c r="H139" s="100">
        <f t="shared" si="44"/>
        <v>396319859.23000002</v>
      </c>
      <c r="I139" s="100">
        <f t="shared" si="44"/>
        <v>43136524.993270524</v>
      </c>
      <c r="J139" s="100">
        <f t="shared" si="44"/>
        <v>19044365.780588809</v>
      </c>
      <c r="K139" s="100">
        <f t="shared" si="44"/>
        <v>24092159.212681718</v>
      </c>
      <c r="L139" s="100">
        <f t="shared" si="44"/>
        <v>480944405.72672951</v>
      </c>
      <c r="M139" s="100">
        <f t="shared" si="44"/>
        <v>87651534.929999992</v>
      </c>
      <c r="N139" s="100">
        <f t="shared" si="44"/>
        <v>0</v>
      </c>
      <c r="O139" s="100">
        <f t="shared" si="44"/>
        <v>1926565.4199999997</v>
      </c>
      <c r="P139" s="100">
        <f t="shared" si="44"/>
        <v>85724969.50999999</v>
      </c>
      <c r="Q139" s="164"/>
    </row>
    <row r="140" spans="1:20">
      <c r="A140" s="97"/>
      <c r="B140" s="98" t="s">
        <v>210</v>
      </c>
      <c r="C140" s="101"/>
      <c r="D140" s="99"/>
      <c r="E140" s="100">
        <f t="shared" ref="E140:P140" si="45">E34+E69+E84+E129</f>
        <v>141195136.30000001</v>
      </c>
      <c r="F140" s="100">
        <f t="shared" si="45"/>
        <v>0</v>
      </c>
      <c r="G140" s="100">
        <f t="shared" si="45"/>
        <v>141195136.30000001</v>
      </c>
      <c r="H140" s="100">
        <f t="shared" si="45"/>
        <v>127887502.04999998</v>
      </c>
      <c r="I140" s="100">
        <f t="shared" si="45"/>
        <v>13307634.249999994</v>
      </c>
      <c r="J140" s="100">
        <f t="shared" si="45"/>
        <v>16281355.585740343</v>
      </c>
      <c r="K140" s="100">
        <f t="shared" si="45"/>
        <v>-2973721.3357403441</v>
      </c>
      <c r="L140" s="100">
        <f t="shared" si="45"/>
        <v>0</v>
      </c>
      <c r="M140" s="100">
        <f t="shared" si="45"/>
        <v>13307634.249999994</v>
      </c>
      <c r="N140" s="100">
        <f t="shared" si="45"/>
        <v>0</v>
      </c>
      <c r="O140" s="100">
        <f t="shared" si="45"/>
        <v>-729683.66</v>
      </c>
      <c r="P140" s="100">
        <f t="shared" si="45"/>
        <v>14037317.909999995</v>
      </c>
      <c r="Q140" s="165"/>
    </row>
    <row r="141" spans="1:20">
      <c r="A141" s="97"/>
      <c r="B141" s="98" t="s">
        <v>211</v>
      </c>
      <c r="C141" s="97"/>
      <c r="D141" s="99"/>
      <c r="E141" s="100">
        <f t="shared" ref="E141:P141" si="46">E35+E70+E85+E130</f>
        <v>1061595926.25</v>
      </c>
      <c r="F141" s="100">
        <f t="shared" si="46"/>
        <v>0</v>
      </c>
      <c r="G141" s="100">
        <f t="shared" si="46"/>
        <v>580651520.52327061</v>
      </c>
      <c r="H141" s="100">
        <f t="shared" si="46"/>
        <v>524207361.27999997</v>
      </c>
      <c r="I141" s="100">
        <f t="shared" si="46"/>
        <v>56444159.243270524</v>
      </c>
      <c r="J141" s="100">
        <f t="shared" si="46"/>
        <v>35325721.366329156</v>
      </c>
      <c r="K141" s="100">
        <f t="shared" si="46"/>
        <v>21118437.876941375</v>
      </c>
      <c r="L141" s="100">
        <f t="shared" si="46"/>
        <v>480944405.72672951</v>
      </c>
      <c r="M141" s="100">
        <f t="shared" si="46"/>
        <v>100959169.17999999</v>
      </c>
      <c r="N141" s="100">
        <f t="shared" si="46"/>
        <v>0</v>
      </c>
      <c r="O141" s="100">
        <f t="shared" si="46"/>
        <v>1196881.7599999998</v>
      </c>
      <c r="P141" s="100">
        <f t="shared" si="46"/>
        <v>99762287.419999987</v>
      </c>
      <c r="Q141" s="165"/>
    </row>
    <row r="143" spans="1:20">
      <c r="A143" s="103"/>
      <c r="B143" s="43" t="s">
        <v>183</v>
      </c>
      <c r="C143" s="44"/>
      <c r="D143" s="45"/>
      <c r="E143" s="46"/>
      <c r="F143" s="46"/>
      <c r="G143" s="46"/>
      <c r="H143" s="47"/>
      <c r="I143" s="46"/>
      <c r="J143" s="48"/>
      <c r="K143" s="111">
        <f>K39+K74+K87+K132</f>
        <v>20263502.196941376</v>
      </c>
      <c r="L143" s="107"/>
      <c r="M143" s="108"/>
      <c r="N143" s="109"/>
      <c r="O143" s="110"/>
      <c r="P143" s="108"/>
      <c r="Q143" s="110"/>
    </row>
    <row r="144" spans="1:20">
      <c r="A144" s="103"/>
      <c r="B144" s="43" t="s">
        <v>184</v>
      </c>
      <c r="C144" s="44"/>
      <c r="D144" s="45"/>
      <c r="E144" s="46"/>
      <c r="F144" s="46"/>
      <c r="G144" s="46"/>
      <c r="H144" s="47"/>
      <c r="I144" s="46"/>
      <c r="J144" s="48"/>
      <c r="K144" s="111">
        <f>K40+K75+K88+K133</f>
        <v>17411607.99918703</v>
      </c>
      <c r="L144" s="107"/>
      <c r="M144" s="108"/>
      <c r="N144" s="109"/>
      <c r="O144" s="110"/>
      <c r="P144" s="108"/>
      <c r="Q144" s="110"/>
    </row>
    <row r="145" spans="1:21">
      <c r="A145" s="103"/>
      <c r="B145" s="43" t="s">
        <v>185</v>
      </c>
      <c r="C145" s="44"/>
      <c r="D145" s="45"/>
      <c r="E145" s="46"/>
      <c r="F145" s="46"/>
      <c r="G145" s="46"/>
      <c r="H145" s="47"/>
      <c r="I145" s="46"/>
      <c r="J145" s="48"/>
      <c r="K145" s="111">
        <f>K143-K144</f>
        <v>2851894.1977543458</v>
      </c>
      <c r="L145" s="107"/>
      <c r="M145" s="108"/>
      <c r="N145" s="109"/>
      <c r="O145" s="110"/>
      <c r="P145" s="108"/>
      <c r="Q145" s="110"/>
    </row>
    <row r="147" spans="1:21">
      <c r="G147" s="55"/>
      <c r="H147" s="173"/>
    </row>
    <row r="148" spans="1:21">
      <c r="A148" s="19" t="s">
        <v>60</v>
      </c>
      <c r="B148" s="20" t="s">
        <v>119</v>
      </c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</row>
    <row r="150" spans="1:21" ht="26.25" customHeight="1">
      <c r="A150" s="292">
        <v>55.109000000000002</v>
      </c>
      <c r="B150" s="293" t="s">
        <v>120</v>
      </c>
      <c r="C150" s="349" t="s">
        <v>121</v>
      </c>
      <c r="D150" s="350" t="s">
        <v>122</v>
      </c>
      <c r="E150" s="351">
        <v>5400000</v>
      </c>
      <c r="F150" s="352">
        <f t="shared" ref="F150:F164" si="47">H150/(E150-M150)</f>
        <v>0.98309334615384614</v>
      </c>
      <c r="G150" s="351">
        <f>H150+I150</f>
        <v>5308704.0692307688</v>
      </c>
      <c r="H150" s="351">
        <v>3834064.05</v>
      </c>
      <c r="I150" s="351">
        <f t="shared" ref="I150:I164" si="48">IF(F150&gt;0.2,IF(M150&gt;0,IF(J150&gt;M150,M150,IF((F150*M150)&gt;J150,F150*M150,J150)),M150),0)</f>
        <v>1474640.0192307692</v>
      </c>
      <c r="J150" s="353">
        <v>1463888.1685586551</v>
      </c>
      <c r="K150" s="353">
        <f t="shared" ref="K150:K164" si="49">I150-J150</f>
        <v>10751.850672114175</v>
      </c>
      <c r="L150" s="354">
        <f t="shared" ref="L150:L164" si="50">E150-G150</f>
        <v>91295.93076923117</v>
      </c>
      <c r="M150" s="246">
        <v>1500000</v>
      </c>
      <c r="N150" s="223">
        <v>47453</v>
      </c>
      <c r="O150" s="90">
        <f t="shared" ref="O150:O158" si="51">M150-P150</f>
        <v>3027.8000000000466</v>
      </c>
      <c r="P150" s="90">
        <v>1496972.2</v>
      </c>
      <c r="Q150" s="90"/>
      <c r="R150" s="166"/>
      <c r="U150" s="210"/>
    </row>
    <row r="151" spans="1:21" ht="26.25" customHeight="1">
      <c r="A151" s="91">
        <v>55.119100000000003</v>
      </c>
      <c r="B151" s="65" t="s">
        <v>123</v>
      </c>
      <c r="C151" s="64" t="s">
        <v>124</v>
      </c>
      <c r="D151" s="260" t="s">
        <v>125</v>
      </c>
      <c r="E151" s="246">
        <v>341443133.70999998</v>
      </c>
      <c r="F151" s="150">
        <f t="shared" si="47"/>
        <v>0.88584754094329154</v>
      </c>
      <c r="G151" s="90">
        <f>H151+I151</f>
        <v>302890122.83999997</v>
      </c>
      <c r="H151" s="63">
        <v>299179624.83999997</v>
      </c>
      <c r="I151" s="90">
        <f t="shared" si="48"/>
        <v>3710498</v>
      </c>
      <c r="J151" s="152">
        <v>7900000</v>
      </c>
      <c r="K151" s="151">
        <f t="shared" si="49"/>
        <v>-4189502</v>
      </c>
      <c r="L151" s="63">
        <f t="shared" si="50"/>
        <v>38553010.870000005</v>
      </c>
      <c r="M151" s="237">
        <v>3710498</v>
      </c>
      <c r="N151" s="223">
        <v>46568</v>
      </c>
      <c r="O151" s="90">
        <f t="shared" si="51"/>
        <v>-1500000</v>
      </c>
      <c r="P151" s="63">
        <v>5210498</v>
      </c>
      <c r="Q151" s="96" t="s">
        <v>424</v>
      </c>
      <c r="R151" s="167"/>
      <c r="U151" s="210"/>
    </row>
    <row r="152" spans="1:21" ht="26.25" customHeight="1">
      <c r="A152" s="261">
        <v>55.119199999999999</v>
      </c>
      <c r="B152" s="262" t="s">
        <v>126</v>
      </c>
      <c r="C152" s="242" t="s">
        <v>127</v>
      </c>
      <c r="D152" s="263" t="s">
        <v>125</v>
      </c>
      <c r="E152" s="264">
        <v>6651803.5300000003</v>
      </c>
      <c r="F152" s="265">
        <f t="shared" si="47"/>
        <v>0.99877990007606499</v>
      </c>
      <c r="G152" s="90">
        <f>H152+I152</f>
        <v>6643992.6900000004</v>
      </c>
      <c r="H152" s="62">
        <v>6393992.6900000004</v>
      </c>
      <c r="I152" s="90">
        <f t="shared" si="48"/>
        <v>250000</v>
      </c>
      <c r="J152" s="266">
        <v>350000</v>
      </c>
      <c r="K152" s="267">
        <f t="shared" si="49"/>
        <v>-100000</v>
      </c>
      <c r="L152" s="62">
        <f t="shared" si="50"/>
        <v>7810.839999999851</v>
      </c>
      <c r="M152" s="236">
        <v>250000</v>
      </c>
      <c r="N152" s="223">
        <v>46053</v>
      </c>
      <c r="O152" s="90">
        <f t="shared" si="51"/>
        <v>0</v>
      </c>
      <c r="P152" s="63">
        <v>250000</v>
      </c>
      <c r="Q152" s="279"/>
      <c r="R152" s="168"/>
      <c r="U152" s="210"/>
    </row>
    <row r="153" spans="1:21" ht="26.25" customHeight="1">
      <c r="A153" s="323">
        <v>55.12</v>
      </c>
      <c r="B153" s="324" t="s">
        <v>128</v>
      </c>
      <c r="C153" s="325" t="s">
        <v>129</v>
      </c>
      <c r="D153" s="326" t="s">
        <v>125</v>
      </c>
      <c r="E153" s="327">
        <v>198075877</v>
      </c>
      <c r="F153" s="328">
        <f>H153/(E153-M153)</f>
        <v>0.99836050085998107</v>
      </c>
      <c r="G153" s="327">
        <f>H153+I153</f>
        <v>197751131.77000001</v>
      </c>
      <c r="H153" s="329">
        <v>197751131.77000001</v>
      </c>
      <c r="I153" s="327">
        <f t="shared" si="48"/>
        <v>0</v>
      </c>
      <c r="J153" s="330">
        <v>0</v>
      </c>
      <c r="K153" s="331">
        <f t="shared" si="49"/>
        <v>0</v>
      </c>
      <c r="L153" s="329">
        <f>E153-G153</f>
        <v>324745.22999998927</v>
      </c>
      <c r="M153" s="237">
        <v>0</v>
      </c>
      <c r="N153" s="223">
        <v>46599</v>
      </c>
      <c r="O153" s="90">
        <f t="shared" si="51"/>
        <v>0</v>
      </c>
      <c r="P153" s="63">
        <v>0</v>
      </c>
      <c r="Q153" s="255"/>
      <c r="R153" s="169"/>
      <c r="U153" s="210"/>
    </row>
    <row r="154" spans="1:21" ht="26.25" customHeight="1">
      <c r="A154" s="323">
        <v>55.120100000000001</v>
      </c>
      <c r="B154" s="324" t="s">
        <v>130</v>
      </c>
      <c r="C154" s="325" t="s">
        <v>129</v>
      </c>
      <c r="D154" s="326" t="s">
        <v>125</v>
      </c>
      <c r="E154" s="327"/>
      <c r="F154" s="328">
        <f t="shared" si="47"/>
        <v>0.96049312098765438</v>
      </c>
      <c r="G154" s="327">
        <v>0</v>
      </c>
      <c r="H154" s="329">
        <v>-7779994.2800000003</v>
      </c>
      <c r="I154" s="327">
        <f t="shared" si="48"/>
        <v>7779994.2800000003</v>
      </c>
      <c r="J154" s="330">
        <v>5995115.1299999999</v>
      </c>
      <c r="K154" s="331">
        <f t="shared" si="49"/>
        <v>1784879.1500000004</v>
      </c>
      <c r="L154" s="329">
        <f t="shared" si="50"/>
        <v>0</v>
      </c>
      <c r="M154" s="237">
        <v>8100000</v>
      </c>
      <c r="N154" s="223">
        <v>46599</v>
      </c>
      <c r="O154" s="90">
        <f t="shared" si="51"/>
        <v>0</v>
      </c>
      <c r="P154" s="63">
        <v>8100000</v>
      </c>
      <c r="Q154" s="255" t="s">
        <v>131</v>
      </c>
      <c r="R154" s="169"/>
      <c r="U154" s="210"/>
    </row>
    <row r="155" spans="1:21" ht="26.25" customHeight="1">
      <c r="A155" s="91">
        <v>55.120199999999997</v>
      </c>
      <c r="B155" s="65" t="s">
        <v>132</v>
      </c>
      <c r="C155" s="64" t="s">
        <v>121</v>
      </c>
      <c r="D155" s="260" t="s">
        <v>122</v>
      </c>
      <c r="E155" s="246">
        <v>16396051.58</v>
      </c>
      <c r="F155" s="150">
        <f t="shared" si="47"/>
        <v>0.63007355304443391</v>
      </c>
      <c r="G155" s="90">
        <f>H155+I155</f>
        <v>10330718.474910405</v>
      </c>
      <c r="H155" s="63">
        <v>9590124.3499999996</v>
      </c>
      <c r="I155" s="90">
        <f t="shared" si="48"/>
        <v>740594.12491040502</v>
      </c>
      <c r="J155" s="152">
        <v>647450.70626823581</v>
      </c>
      <c r="K155" s="151">
        <f t="shared" si="49"/>
        <v>93143.418642169214</v>
      </c>
      <c r="L155" s="63">
        <f t="shared" si="50"/>
        <v>6065333.1050895955</v>
      </c>
      <c r="M155" s="237">
        <v>1175409</v>
      </c>
      <c r="N155" s="223">
        <v>46235</v>
      </c>
      <c r="O155" s="90">
        <f t="shared" si="51"/>
        <v>0</v>
      </c>
      <c r="P155" s="63">
        <v>1175409</v>
      </c>
      <c r="Q155" s="279"/>
      <c r="R155" s="168"/>
      <c r="U155" s="210"/>
    </row>
    <row r="156" spans="1:21" ht="26.25" customHeight="1">
      <c r="A156" s="269">
        <v>55.120399999999997</v>
      </c>
      <c r="B156" s="270" t="s">
        <v>133</v>
      </c>
      <c r="C156" s="271" t="s">
        <v>47</v>
      </c>
      <c r="D156" s="272" t="s">
        <v>125</v>
      </c>
      <c r="E156" s="273">
        <v>57722227</v>
      </c>
      <c r="F156" s="274">
        <f t="shared" si="47"/>
        <v>0.99745576725582674</v>
      </c>
      <c r="G156" s="273">
        <f>H156+I156</f>
        <v>57575368.219999999</v>
      </c>
      <c r="H156" s="275">
        <v>57575368.219999999</v>
      </c>
      <c r="I156" s="273">
        <f t="shared" si="48"/>
        <v>0</v>
      </c>
      <c r="J156" s="276">
        <v>0</v>
      </c>
      <c r="K156" s="277">
        <f t="shared" si="49"/>
        <v>0</v>
      </c>
      <c r="L156" s="275">
        <f t="shared" si="50"/>
        <v>146858.78000000119</v>
      </c>
      <c r="M156" s="237">
        <v>0</v>
      </c>
      <c r="N156" s="223">
        <v>46630</v>
      </c>
      <c r="O156" s="90">
        <f t="shared" si="51"/>
        <v>0</v>
      </c>
      <c r="P156" s="63">
        <v>0</v>
      </c>
      <c r="Q156" s="255"/>
      <c r="R156" s="169"/>
      <c r="U156" s="210"/>
    </row>
    <row r="157" spans="1:21" ht="26.25" customHeight="1">
      <c r="A157" s="269">
        <v>55.1205</v>
      </c>
      <c r="B157" s="270" t="s">
        <v>134</v>
      </c>
      <c r="C157" s="271" t="s">
        <v>47</v>
      </c>
      <c r="D157" s="272" t="s">
        <v>125</v>
      </c>
      <c r="E157" s="273"/>
      <c r="F157" s="274">
        <f t="shared" si="47"/>
        <v>0.94481560399999986</v>
      </c>
      <c r="G157" s="273">
        <v>0</v>
      </c>
      <c r="H157" s="275">
        <v>-2362039.0099999998</v>
      </c>
      <c r="I157" s="273">
        <f t="shared" si="48"/>
        <v>2362039.0099999998</v>
      </c>
      <c r="J157" s="276">
        <v>1917801.19</v>
      </c>
      <c r="K157" s="277">
        <f t="shared" si="49"/>
        <v>444237.81999999983</v>
      </c>
      <c r="L157" s="275">
        <f t="shared" si="50"/>
        <v>0</v>
      </c>
      <c r="M157" s="237">
        <v>2500000</v>
      </c>
      <c r="N157" s="223">
        <v>46630</v>
      </c>
      <c r="O157" s="90">
        <f t="shared" si="51"/>
        <v>0</v>
      </c>
      <c r="P157" s="63">
        <v>2500000</v>
      </c>
      <c r="Q157" s="255" t="s">
        <v>135</v>
      </c>
      <c r="R157" s="169"/>
      <c r="U157" s="210"/>
    </row>
    <row r="158" spans="1:21" ht="26.25" customHeight="1">
      <c r="A158" s="91">
        <v>55.122700000000002</v>
      </c>
      <c r="B158" s="65" t="s">
        <v>136</v>
      </c>
      <c r="C158" s="64" t="s">
        <v>137</v>
      </c>
      <c r="D158" s="260" t="s">
        <v>104</v>
      </c>
      <c r="E158" s="246">
        <v>41504206.390000001</v>
      </c>
      <c r="F158" s="150">
        <f t="shared" si="47"/>
        <v>0.99458517757348341</v>
      </c>
      <c r="G158" s="90">
        <f t="shared" ref="G158:G164" si="52">H158+I158</f>
        <v>41279468.482444651</v>
      </c>
      <c r="H158" s="63">
        <v>36953022.960000001</v>
      </c>
      <c r="I158" s="90">
        <f t="shared" si="48"/>
        <v>4326445.5224446524</v>
      </c>
      <c r="J158" s="152">
        <v>3399354.1719071292</v>
      </c>
      <c r="K158" s="151">
        <f t="shared" si="49"/>
        <v>927091.35053752316</v>
      </c>
      <c r="L158" s="63">
        <f t="shared" si="50"/>
        <v>224737.90755534917</v>
      </c>
      <c r="M158" s="237">
        <v>4350000</v>
      </c>
      <c r="N158" s="223">
        <v>46081</v>
      </c>
      <c r="O158" s="90">
        <f t="shared" si="51"/>
        <v>0</v>
      </c>
      <c r="P158" s="63">
        <v>4350000</v>
      </c>
      <c r="Q158" s="96"/>
      <c r="R158" s="168"/>
      <c r="U158" s="210"/>
    </row>
    <row r="159" spans="1:21" ht="39.75" customHeight="1">
      <c r="A159" s="332">
        <v>55.1233</v>
      </c>
      <c r="B159" s="333" t="s">
        <v>415</v>
      </c>
      <c r="C159" s="334" t="s">
        <v>137</v>
      </c>
      <c r="D159" s="334" t="s">
        <v>122</v>
      </c>
      <c r="E159" s="335">
        <v>9838187</v>
      </c>
      <c r="F159" s="336">
        <f t="shared" si="47"/>
        <v>1.2815080664760692E-2</v>
      </c>
      <c r="G159" s="239">
        <f>H159+(F159*M159)+8429</f>
        <v>134506.16</v>
      </c>
      <c r="H159" s="337">
        <v>126077.16</v>
      </c>
      <c r="I159" s="252">
        <f>G159-H159</f>
        <v>8429</v>
      </c>
      <c r="J159" s="338">
        <v>8428.8399999999965</v>
      </c>
      <c r="K159" s="339">
        <f t="shared" si="49"/>
        <v>0.16000000000349246</v>
      </c>
      <c r="L159" s="340">
        <f t="shared" si="50"/>
        <v>9703680.8399999999</v>
      </c>
      <c r="M159" s="212">
        <v>0</v>
      </c>
      <c r="N159" s="218">
        <v>46811</v>
      </c>
      <c r="O159" s="90">
        <f t="shared" ref="O159:O164" si="53">M159-P159</f>
        <v>2344.5299999999988</v>
      </c>
      <c r="P159" s="29">
        <v>-2344.5299999999988</v>
      </c>
      <c r="Q159" s="66" t="s">
        <v>416</v>
      </c>
      <c r="R159" s="168"/>
      <c r="U159" s="210"/>
    </row>
    <row r="160" spans="1:21" ht="26.25" customHeight="1">
      <c r="A160" s="91">
        <v>55.1248</v>
      </c>
      <c r="B160" s="65" t="s">
        <v>243</v>
      </c>
      <c r="C160" s="30" t="s">
        <v>124</v>
      </c>
      <c r="D160" s="30" t="s">
        <v>122</v>
      </c>
      <c r="E160" s="211">
        <v>5759301.8099999996</v>
      </c>
      <c r="F160" s="150">
        <f t="shared" si="47"/>
        <v>0.73399851882996203</v>
      </c>
      <c r="G160" s="90">
        <f t="shared" si="52"/>
        <v>4227318.9980347194</v>
      </c>
      <c r="H160" s="29">
        <v>3621770.22</v>
      </c>
      <c r="I160" s="90">
        <f t="shared" si="48"/>
        <v>605548.77803471871</v>
      </c>
      <c r="J160" s="152">
        <v>0</v>
      </c>
      <c r="K160" s="151">
        <f t="shared" si="49"/>
        <v>605548.77803471871</v>
      </c>
      <c r="L160" s="63">
        <f t="shared" si="50"/>
        <v>1531982.8119652802</v>
      </c>
      <c r="M160" s="237">
        <v>825000</v>
      </c>
      <c r="N160" s="223">
        <v>46082</v>
      </c>
      <c r="O160" s="90">
        <f t="shared" si="53"/>
        <v>100000</v>
      </c>
      <c r="P160" s="29">
        <v>725000</v>
      </c>
      <c r="Q160" s="255"/>
      <c r="R160" s="170"/>
      <c r="U160" s="210"/>
    </row>
    <row r="161" spans="1:21" ht="26.25" customHeight="1">
      <c r="A161" s="91">
        <v>55.124899999999997</v>
      </c>
      <c r="B161" s="65" t="s">
        <v>257</v>
      </c>
      <c r="C161" s="30" t="s">
        <v>137</v>
      </c>
      <c r="D161" s="30" t="s">
        <v>104</v>
      </c>
      <c r="E161" s="211">
        <v>147525113</v>
      </c>
      <c r="F161" s="150">
        <f t="shared" si="47"/>
        <v>0.10770145451553412</v>
      </c>
      <c r="G161" s="90">
        <f t="shared" si="52"/>
        <v>15046313.77</v>
      </c>
      <c r="H161" s="29">
        <v>15046313.77</v>
      </c>
      <c r="I161" s="90">
        <f t="shared" si="48"/>
        <v>0</v>
      </c>
      <c r="J161" s="152">
        <v>0</v>
      </c>
      <c r="K161" s="151">
        <f t="shared" si="49"/>
        <v>0</v>
      </c>
      <c r="L161" s="63">
        <f t="shared" si="50"/>
        <v>132478799.23</v>
      </c>
      <c r="M161" s="212">
        <v>7821208</v>
      </c>
      <c r="N161" s="218">
        <v>47150</v>
      </c>
      <c r="O161" s="90">
        <f t="shared" si="53"/>
        <v>0</v>
      </c>
      <c r="P161" s="29">
        <v>7821208</v>
      </c>
      <c r="Q161" s="96"/>
      <c r="R161" s="170"/>
      <c r="U161" s="210"/>
    </row>
    <row r="162" spans="1:21" ht="26.25" customHeight="1">
      <c r="A162" s="296">
        <v>55.125399999999999</v>
      </c>
      <c r="B162" s="297" t="s">
        <v>355</v>
      </c>
      <c r="C162" s="310" t="s">
        <v>55</v>
      </c>
      <c r="D162" s="310" t="s">
        <v>104</v>
      </c>
      <c r="E162" s="311">
        <v>471896.25</v>
      </c>
      <c r="F162" s="312">
        <f t="shared" si="47"/>
        <v>0.33177135864080293</v>
      </c>
      <c r="G162" s="313">
        <f t="shared" si="52"/>
        <v>156561.66</v>
      </c>
      <c r="H162" s="314">
        <v>156561.66</v>
      </c>
      <c r="I162" s="313">
        <f t="shared" si="48"/>
        <v>0</v>
      </c>
      <c r="J162" s="315">
        <v>0</v>
      </c>
      <c r="K162" s="316">
        <f t="shared" si="49"/>
        <v>0</v>
      </c>
      <c r="L162" s="317">
        <f t="shared" si="50"/>
        <v>315334.58999999997</v>
      </c>
      <c r="M162" s="212">
        <v>0</v>
      </c>
      <c r="N162" s="218">
        <v>46167</v>
      </c>
      <c r="O162" s="90">
        <f t="shared" si="53"/>
        <v>0</v>
      </c>
      <c r="P162" s="29">
        <v>0</v>
      </c>
      <c r="Q162" s="66" t="s">
        <v>416</v>
      </c>
      <c r="R162" s="170"/>
      <c r="U162" s="210"/>
    </row>
    <row r="163" spans="1:21" ht="26.25" customHeight="1">
      <c r="A163" s="91">
        <v>55.125500000000002</v>
      </c>
      <c r="B163" s="65" t="s">
        <v>352</v>
      </c>
      <c r="C163" s="30" t="s">
        <v>356</v>
      </c>
      <c r="D163" s="301" t="s">
        <v>124</v>
      </c>
      <c r="E163" s="211">
        <v>14160.81</v>
      </c>
      <c r="F163" s="150">
        <f t="shared" si="47"/>
        <v>1</v>
      </c>
      <c r="G163" s="90">
        <f t="shared" si="52"/>
        <v>14160.81</v>
      </c>
      <c r="H163" s="29">
        <v>14160.81</v>
      </c>
      <c r="I163" s="90">
        <f t="shared" si="48"/>
        <v>0</v>
      </c>
      <c r="J163" s="152">
        <v>0</v>
      </c>
      <c r="K163" s="151">
        <f t="shared" si="49"/>
        <v>0</v>
      </c>
      <c r="L163" s="63">
        <f t="shared" si="50"/>
        <v>0</v>
      </c>
      <c r="M163" s="212">
        <v>0</v>
      </c>
      <c r="N163" s="218">
        <v>46053</v>
      </c>
      <c r="O163" s="90">
        <f t="shared" si="53"/>
        <v>0</v>
      </c>
      <c r="P163" s="29">
        <v>0</v>
      </c>
      <c r="Q163" s="96" t="s">
        <v>393</v>
      </c>
      <c r="R163" s="170"/>
      <c r="U163" s="210"/>
    </row>
    <row r="164" spans="1:21" ht="26.25" customHeight="1">
      <c r="A164" s="91">
        <v>55.125599999999999</v>
      </c>
      <c r="B164" s="65" t="s">
        <v>386</v>
      </c>
      <c r="C164" s="30" t="s">
        <v>124</v>
      </c>
      <c r="D164" s="301" t="s">
        <v>122</v>
      </c>
      <c r="E164" s="211">
        <v>2888100</v>
      </c>
      <c r="F164" s="150">
        <f t="shared" si="47"/>
        <v>3.501156610519332E-2</v>
      </c>
      <c r="G164" s="90">
        <f t="shared" si="52"/>
        <v>94989.88</v>
      </c>
      <c r="H164" s="29">
        <v>94989.88</v>
      </c>
      <c r="I164" s="90">
        <f t="shared" si="48"/>
        <v>0</v>
      </c>
      <c r="J164" s="152">
        <v>0</v>
      </c>
      <c r="K164" s="151">
        <f t="shared" si="49"/>
        <v>0</v>
      </c>
      <c r="L164" s="63">
        <f t="shared" si="50"/>
        <v>2793110.12</v>
      </c>
      <c r="M164" s="212">
        <v>175000</v>
      </c>
      <c r="N164" s="218">
        <v>46082</v>
      </c>
      <c r="O164" s="90">
        <f t="shared" si="53"/>
        <v>0</v>
      </c>
      <c r="P164" s="29">
        <v>175000</v>
      </c>
      <c r="Q164" s="213"/>
      <c r="R164" s="170"/>
      <c r="U164" s="210"/>
    </row>
    <row r="165" spans="1:21" ht="13.5" customHeight="1">
      <c r="A165" s="127"/>
      <c r="B165" s="128"/>
      <c r="C165" s="8"/>
      <c r="D165" s="8"/>
      <c r="E165" s="15"/>
      <c r="F165" s="120"/>
      <c r="G165" s="15"/>
      <c r="H165" s="15"/>
      <c r="I165" s="15"/>
      <c r="J165" s="10"/>
      <c r="K165" s="10"/>
      <c r="L165" s="10"/>
      <c r="M165" s="10"/>
      <c r="N165" s="121"/>
      <c r="O165" s="10"/>
      <c r="P165" s="10"/>
      <c r="Q165" s="129"/>
    </row>
    <row r="166" spans="1:21">
      <c r="A166" s="97"/>
      <c r="B166" s="98" t="s">
        <v>186</v>
      </c>
      <c r="C166" s="97"/>
      <c r="D166" s="99"/>
      <c r="E166" s="100">
        <f>SUM(E150:E165)</f>
        <v>833690058.07999992</v>
      </c>
      <c r="F166" s="100"/>
      <c r="G166" s="100">
        <f t="shared" ref="G166:M166" si="54">SUM(G150:G165)</f>
        <v>641453357.82462037</v>
      </c>
      <c r="H166" s="100">
        <f t="shared" si="54"/>
        <v>620195169.09000003</v>
      </c>
      <c r="I166" s="100">
        <f t="shared" si="54"/>
        <v>21258188.734620541</v>
      </c>
      <c r="J166" s="100">
        <f t="shared" si="54"/>
        <v>21682038.206734024</v>
      </c>
      <c r="K166" s="100">
        <f t="shared" si="54"/>
        <v>-423849.47211347392</v>
      </c>
      <c r="L166" s="100">
        <f t="shared" si="54"/>
        <v>192236700.25537947</v>
      </c>
      <c r="M166" s="100">
        <f t="shared" si="54"/>
        <v>30407115</v>
      </c>
      <c r="N166" s="100"/>
      <c r="O166" s="100">
        <f>SUM(O150:O165)</f>
        <v>-1394627.67</v>
      </c>
      <c r="P166" s="100">
        <f>SUM(P150:P165)</f>
        <v>31801742.669999998</v>
      </c>
      <c r="Q166" s="100"/>
    </row>
    <row r="167" spans="1:21">
      <c r="A167" s="97"/>
      <c r="B167" s="98" t="s">
        <v>187</v>
      </c>
      <c r="C167" s="101"/>
      <c r="D167" s="99"/>
      <c r="E167" s="100">
        <f>'Closed Jobs'!E151</f>
        <v>6861630.3499999996</v>
      </c>
      <c r="F167" s="100">
        <f>'Closed Jobs'!F151</f>
        <v>0</v>
      </c>
      <c r="G167" s="100">
        <f>'Closed Jobs'!G151</f>
        <v>6861630.3499999996</v>
      </c>
      <c r="H167" s="100">
        <f>'Closed Jobs'!H151</f>
        <v>7786658.8000000017</v>
      </c>
      <c r="I167" s="100">
        <f>'Closed Jobs'!I151</f>
        <v>-925028.45</v>
      </c>
      <c r="J167" s="100">
        <f>'Closed Jobs'!J151</f>
        <v>1217319.06871038</v>
      </c>
      <c r="K167" s="100">
        <f>'Closed Jobs'!K151</f>
        <v>-2142347.51871038</v>
      </c>
      <c r="L167" s="100">
        <f>'Closed Jobs'!L151</f>
        <v>0</v>
      </c>
      <c r="M167" s="100">
        <f>'Closed Jobs'!M151</f>
        <v>-925028.45</v>
      </c>
      <c r="N167" s="100">
        <f>'Closed Jobs'!N151</f>
        <v>0</v>
      </c>
      <c r="O167" s="100">
        <f>'Closed Jobs'!O151</f>
        <v>-175237.11999999994</v>
      </c>
      <c r="P167" s="100">
        <f>'Closed Jobs'!P151</f>
        <v>-749791.33</v>
      </c>
      <c r="Q167" s="49"/>
    </row>
    <row r="168" spans="1:21">
      <c r="A168" s="97"/>
      <c r="B168" s="98" t="s">
        <v>188</v>
      </c>
      <c r="C168" s="97"/>
      <c r="D168" s="99"/>
      <c r="E168" s="100">
        <f>+E166+E167</f>
        <v>840551688.42999995</v>
      </c>
      <c r="F168" s="100"/>
      <c r="G168" s="100">
        <f>+G166+G167</f>
        <v>648314988.17462039</v>
      </c>
      <c r="H168" s="100">
        <f>+H166+H167</f>
        <v>627981827.88999999</v>
      </c>
      <c r="I168" s="100">
        <f>+G168-H168</f>
        <v>20333160.284620404</v>
      </c>
      <c r="J168" s="100">
        <f t="shared" ref="J168:P168" si="55">J166+J167</f>
        <v>22899357.275444403</v>
      </c>
      <c r="K168" s="100">
        <f>K166+K167</f>
        <v>-2566196.9908238538</v>
      </c>
      <c r="L168" s="100">
        <f t="shared" si="55"/>
        <v>192236700.25537947</v>
      </c>
      <c r="M168" s="100">
        <f t="shared" si="55"/>
        <v>29482086.550000001</v>
      </c>
      <c r="N168" s="100">
        <f t="shared" si="55"/>
        <v>0</v>
      </c>
      <c r="O168" s="100">
        <f t="shared" si="55"/>
        <v>-1569864.7899999998</v>
      </c>
      <c r="P168" s="100">
        <f t="shared" si="55"/>
        <v>31051951.34</v>
      </c>
      <c r="Q168" s="49"/>
    </row>
    <row r="169" spans="1:21" ht="14.25">
      <c r="A169" s="154"/>
      <c r="B169" s="155"/>
      <c r="C169" s="156"/>
      <c r="D169" s="156"/>
      <c r="E169" s="157"/>
      <c r="F169" s="156"/>
      <c r="G169" s="158"/>
      <c r="H169" s="157"/>
      <c r="I169" s="159"/>
      <c r="J169" s="159"/>
      <c r="K169" s="159"/>
      <c r="L169" s="159"/>
      <c r="M169" s="160"/>
      <c r="N169" s="159"/>
      <c r="O169" s="159"/>
      <c r="P169" s="159"/>
      <c r="Q169" s="148"/>
      <c r="R169" s="149"/>
    </row>
    <row r="170" spans="1:21" ht="25.5">
      <c r="A170" s="323" t="s">
        <v>32</v>
      </c>
      <c r="B170" s="324" t="s">
        <v>142</v>
      </c>
      <c r="C170" s="64" t="s">
        <v>357</v>
      </c>
      <c r="D170" s="260" t="s">
        <v>125</v>
      </c>
      <c r="E170" s="347">
        <f>479874620/2</f>
        <v>239937310</v>
      </c>
      <c r="F170" s="238">
        <f>H170/(E170-M170)</f>
        <v>0.87826586542659812</v>
      </c>
      <c r="G170" s="239">
        <f>(419072483/2)+2232927</f>
        <v>211769168.5</v>
      </c>
      <c r="H170" s="347">
        <f>406445033/2</f>
        <v>203222516.5</v>
      </c>
      <c r="I170" s="151">
        <f>G170-H170</f>
        <v>8546652</v>
      </c>
      <c r="J170" s="152">
        <v>15750000</v>
      </c>
      <c r="K170" s="152">
        <f>I170-J170</f>
        <v>-7203348</v>
      </c>
      <c r="L170" s="278">
        <f>E170-G170</f>
        <v>28168141.5</v>
      </c>
      <c r="M170" s="355">
        <v>8546652</v>
      </c>
      <c r="N170" s="223">
        <v>46479</v>
      </c>
      <c r="O170" s="90">
        <f>M170-P170</f>
        <v>-3618554</v>
      </c>
      <c r="P170" s="63">
        <v>12165206</v>
      </c>
      <c r="Q170" s="344" t="s">
        <v>421</v>
      </c>
      <c r="R170" s="171"/>
    </row>
    <row r="171" spans="1:21" ht="29.25" customHeight="1">
      <c r="A171" s="269" t="s">
        <v>32</v>
      </c>
      <c r="B171" s="270" t="s">
        <v>143</v>
      </c>
      <c r="C171" s="64" t="s">
        <v>357</v>
      </c>
      <c r="D171" s="260" t="s">
        <v>125</v>
      </c>
      <c r="E171" s="347">
        <f>(91731739/2)</f>
        <v>45865869.5</v>
      </c>
      <c r="F171" s="238">
        <f>H171/(E171-M171)</f>
        <v>0.83251344712352837</v>
      </c>
      <c r="G171" s="239">
        <f>(96020681/2)-11545294.5</f>
        <v>36465046</v>
      </c>
      <c r="H171" s="347">
        <f>93456004/2</f>
        <v>46728002</v>
      </c>
      <c r="I171" s="151">
        <f>G171-H171</f>
        <v>-10262956</v>
      </c>
      <c r="J171" s="152">
        <v>-5900000</v>
      </c>
      <c r="K171" s="152">
        <f>I171-J171</f>
        <v>-4362956</v>
      </c>
      <c r="L171" s="63">
        <f>E171-G171</f>
        <v>9400823.5</v>
      </c>
      <c r="M171" s="355">
        <v>-10262956</v>
      </c>
      <c r="N171" s="223">
        <v>46445</v>
      </c>
      <c r="O171" s="90">
        <f>M171-P171</f>
        <v>-2090767</v>
      </c>
      <c r="P171" s="63">
        <v>-8172189</v>
      </c>
      <c r="Q171" s="344" t="s">
        <v>421</v>
      </c>
      <c r="R171" s="171"/>
    </row>
    <row r="172" spans="1:21" ht="29.25" customHeight="1">
      <c r="A172" s="292" t="s">
        <v>32</v>
      </c>
      <c r="B172" s="293" t="s">
        <v>144</v>
      </c>
      <c r="C172" s="64" t="s">
        <v>121</v>
      </c>
      <c r="D172" s="260" t="s">
        <v>125</v>
      </c>
      <c r="E172" s="347">
        <f>366345846*0.25</f>
        <v>91586461.5</v>
      </c>
      <c r="F172" s="238">
        <f>H172/(E172-M172)</f>
        <v>0.98466058647049415</v>
      </c>
      <c r="G172" s="346">
        <f>360701387*0.25</f>
        <v>90175346.75</v>
      </c>
      <c r="H172" s="347">
        <f>335730680*0.25</f>
        <v>83932670</v>
      </c>
      <c r="I172" s="151">
        <f>G172-H172</f>
        <v>6242676.75</v>
      </c>
      <c r="J172" s="152">
        <v>6094760</v>
      </c>
      <c r="K172" s="152">
        <f>I172-J172</f>
        <v>147916.75</v>
      </c>
      <c r="L172" s="63">
        <f>E172-G172</f>
        <v>1411114.75</v>
      </c>
      <c r="M172" s="356">
        <f>25385027*0.25</f>
        <v>6346256.75</v>
      </c>
      <c r="N172" s="223">
        <v>47453</v>
      </c>
      <c r="O172" s="90">
        <f>M172-P172</f>
        <v>-356.75</v>
      </c>
      <c r="P172" s="63">
        <v>6346613.5</v>
      </c>
      <c r="Q172" s="344" t="s">
        <v>421</v>
      </c>
      <c r="R172" s="171"/>
    </row>
    <row r="173" spans="1:21" ht="29.25" customHeight="1">
      <c r="A173" s="296" t="s">
        <v>32</v>
      </c>
      <c r="B173" s="297" t="s">
        <v>355</v>
      </c>
      <c r="C173" s="64" t="s">
        <v>55</v>
      </c>
      <c r="D173" s="260" t="s">
        <v>104</v>
      </c>
      <c r="E173" s="347">
        <f>3998628/2</f>
        <v>1999314</v>
      </c>
      <c r="F173" s="238">
        <f>H173/(E173-M173)</f>
        <v>0.2858510469090898</v>
      </c>
      <c r="G173" s="239">
        <f>(1235670/2)-46329</f>
        <v>571506</v>
      </c>
      <c r="H173" s="357">
        <f>1143012/2</f>
        <v>571506</v>
      </c>
      <c r="I173" s="90">
        <f>G173-H173</f>
        <v>0</v>
      </c>
      <c r="J173" s="152">
        <v>0</v>
      </c>
      <c r="K173" s="152">
        <f>I173-J173</f>
        <v>0</v>
      </c>
      <c r="L173" s="63">
        <f>E173-G173</f>
        <v>1427808</v>
      </c>
      <c r="M173" s="355">
        <f>(299840/2)-149920</f>
        <v>0</v>
      </c>
      <c r="N173" s="218">
        <v>46167</v>
      </c>
      <c r="O173" s="90">
        <f>M173-P173</f>
        <v>-147696.5</v>
      </c>
      <c r="P173" s="63">
        <v>147696.5</v>
      </c>
      <c r="Q173" s="344" t="s">
        <v>421</v>
      </c>
      <c r="R173" s="171"/>
    </row>
    <row r="174" spans="1:21" ht="12" customHeight="1">
      <c r="A174" s="143"/>
      <c r="B174" s="161"/>
      <c r="C174" s="143"/>
      <c r="D174" s="143"/>
      <c r="E174" s="162"/>
      <c r="F174" s="143"/>
      <c r="G174" s="148"/>
      <c r="H174" s="162"/>
      <c r="I174" s="148"/>
      <c r="J174" s="148"/>
      <c r="K174" s="148"/>
      <c r="L174" s="147"/>
      <c r="M174" s="147"/>
      <c r="N174" s="143"/>
      <c r="O174" s="148"/>
      <c r="P174" s="148"/>
      <c r="Q174" s="148"/>
      <c r="R174" s="163"/>
    </row>
    <row r="175" spans="1:21" ht="12" customHeight="1">
      <c r="A175" s="143"/>
      <c r="B175" s="43" t="s">
        <v>189</v>
      </c>
      <c r="C175" s="44"/>
      <c r="D175" s="45"/>
      <c r="E175" s="46"/>
      <c r="F175" s="46"/>
      <c r="G175" s="46"/>
      <c r="H175" s="47"/>
      <c r="I175" s="46"/>
      <c r="J175" s="48"/>
      <c r="K175" s="111">
        <f>K168+K170+K171+K172+K173</f>
        <v>-13984584.240823854</v>
      </c>
      <c r="L175" s="55"/>
      <c r="M175" s="55"/>
      <c r="N175" s="209"/>
      <c r="O175" s="148"/>
      <c r="P175" s="148"/>
      <c r="Q175" s="148"/>
      <c r="R175" s="163"/>
      <c r="S175" s="17" t="s">
        <v>22</v>
      </c>
      <c r="T175" s="56">
        <f>H168</f>
        <v>627981827.88999999</v>
      </c>
    </row>
    <row r="176" spans="1:21" ht="12" customHeight="1">
      <c r="A176" s="143"/>
      <c r="B176" s="43" t="s">
        <v>190</v>
      </c>
      <c r="C176" s="44"/>
      <c r="D176" s="45"/>
      <c r="E176" s="46"/>
      <c r="F176" s="46"/>
      <c r="G176" s="46"/>
      <c r="H176" s="47"/>
      <c r="I176" s="46"/>
      <c r="J176" s="48"/>
      <c r="K176" s="111">
        <v>-6955456.9963321676</v>
      </c>
      <c r="L176" s="209"/>
      <c r="M176" s="55"/>
      <c r="N176" s="209"/>
      <c r="O176" s="148"/>
      <c r="P176" s="148"/>
      <c r="Q176" s="148"/>
      <c r="R176" s="163"/>
      <c r="S176" s="17" t="s">
        <v>155</v>
      </c>
      <c r="T176" s="59">
        <v>-11754545.83</v>
      </c>
    </row>
    <row r="177" spans="1:20" ht="12" customHeight="1">
      <c r="A177" s="143"/>
      <c r="B177" s="43" t="s">
        <v>191</v>
      </c>
      <c r="C177" s="44"/>
      <c r="D177" s="45"/>
      <c r="E177" s="46"/>
      <c r="F177" s="46"/>
      <c r="G177" s="46"/>
      <c r="H177" s="47"/>
      <c r="I177" s="46"/>
      <c r="J177" s="48"/>
      <c r="K177" s="111">
        <f>K175-K176</f>
        <v>-7029127.2444916861</v>
      </c>
      <c r="L177" s="209"/>
      <c r="M177" s="55"/>
      <c r="N177" s="209"/>
      <c r="O177" s="148"/>
      <c r="P177" s="148"/>
      <c r="Q177" s="148"/>
      <c r="R177" s="163"/>
      <c r="T177" s="60">
        <f>SUM(T175:T176)</f>
        <v>616227282.05999994</v>
      </c>
    </row>
    <row r="178" spans="1:20" ht="11.25" customHeight="1">
      <c r="A178" s="143"/>
      <c r="B178" s="144"/>
      <c r="C178" s="143"/>
      <c r="D178" s="143"/>
      <c r="E178" s="147"/>
      <c r="F178" s="143"/>
      <c r="G178" s="147"/>
      <c r="H178" s="286"/>
      <c r="I178" s="147"/>
      <c r="J178" s="148"/>
      <c r="K178" s="147"/>
      <c r="L178" s="209"/>
      <c r="M178" s="55"/>
      <c r="N178" s="209"/>
      <c r="O178" s="148"/>
      <c r="P178" s="148"/>
      <c r="Q178" s="148"/>
      <c r="R178" s="163"/>
      <c r="S178" s="35"/>
    </row>
    <row r="179" spans="1:20" ht="11.25" customHeight="1">
      <c r="A179" s="143"/>
      <c r="B179" s="143"/>
      <c r="C179" s="143"/>
      <c r="D179" s="143"/>
      <c r="G179" s="147"/>
      <c r="H179" s="286"/>
      <c r="I179" s="210"/>
      <c r="K179" s="221"/>
      <c r="L179" s="221"/>
      <c r="M179" s="221"/>
      <c r="N179" s="221"/>
      <c r="Q179" s="148"/>
      <c r="R179" s="149"/>
      <c r="S179" s="55" t="s">
        <v>23</v>
      </c>
      <c r="T179" s="59">
        <v>616227282.06000006</v>
      </c>
    </row>
    <row r="180" spans="1:20" ht="12" customHeight="1">
      <c r="A180" s="19" t="s">
        <v>60</v>
      </c>
      <c r="B180" s="20" t="s">
        <v>148</v>
      </c>
      <c r="C180" s="143"/>
      <c r="D180" s="143"/>
      <c r="F180" s="18"/>
      <c r="G180" s="18"/>
      <c r="H180" s="18"/>
      <c r="I180" s="210"/>
      <c r="J180" s="18"/>
      <c r="K180" s="18"/>
      <c r="L180" s="18"/>
      <c r="M180" s="18"/>
      <c r="N180" s="18"/>
      <c r="O180" s="18"/>
      <c r="P180" s="18"/>
      <c r="Q180" s="148"/>
      <c r="R180" s="149"/>
      <c r="S180" s="55" t="s">
        <v>24</v>
      </c>
      <c r="T180" s="207">
        <f>T177-T179</f>
        <v>0</v>
      </c>
    </row>
    <row r="181" spans="1:20" ht="12" customHeight="1"/>
    <row r="182" spans="1:20" ht="29.25" customHeight="1">
      <c r="A182" s="91">
        <v>57.000300000000003</v>
      </c>
      <c r="B182" s="65" t="s">
        <v>219</v>
      </c>
      <c r="C182" s="64" t="s">
        <v>227</v>
      </c>
      <c r="D182" s="64" t="s">
        <v>122</v>
      </c>
      <c r="E182" s="246">
        <v>38165419.5</v>
      </c>
      <c r="F182" s="150">
        <f t="shared" ref="F182:F185" si="56">H182/(E182-M182)</f>
        <v>0.17665557960076636</v>
      </c>
      <c r="G182" s="239">
        <f>H182+(F182*M182)-301303</f>
        <v>6440831.3024788899</v>
      </c>
      <c r="H182" s="90">
        <v>6316909.1299999999</v>
      </c>
      <c r="I182" s="252">
        <f>G182-H182</f>
        <v>123922.17247889005</v>
      </c>
      <c r="J182" s="90">
        <v>96385.411809887213</v>
      </c>
      <c r="K182" s="151">
        <f>I182-J182</f>
        <v>27536.760669002833</v>
      </c>
      <c r="L182" s="63">
        <f t="shared" ref="L182:L185" si="57">E182-G182</f>
        <v>31724588.197521109</v>
      </c>
      <c r="M182" s="237">
        <v>2407086</v>
      </c>
      <c r="N182" s="223">
        <v>46478</v>
      </c>
      <c r="O182" s="90">
        <f>M182-P182</f>
        <v>0</v>
      </c>
      <c r="P182" s="63">
        <v>2407086</v>
      </c>
      <c r="Q182" s="66"/>
    </row>
    <row r="183" spans="1:20" ht="29.25" customHeight="1">
      <c r="A183" s="91">
        <v>57.000399999999999</v>
      </c>
      <c r="B183" s="65" t="s">
        <v>222</v>
      </c>
      <c r="C183" s="64" t="s">
        <v>227</v>
      </c>
      <c r="D183" s="64" t="s">
        <v>122</v>
      </c>
      <c r="E183" s="246">
        <v>40106224.630000003</v>
      </c>
      <c r="F183" s="150">
        <f t="shared" si="56"/>
        <v>1.9798701219217615E-2</v>
      </c>
      <c r="G183" s="90">
        <f>H183+I183</f>
        <v>750298.86</v>
      </c>
      <c r="H183" s="90">
        <v>750298.86</v>
      </c>
      <c r="I183" s="90">
        <f>IF(F183&gt;0.2,IF(M183&gt;0,IF(J183&gt;M183,M183,IF((F183*M183)&gt;J183,F183*M183,J183)),M183),0)</f>
        <v>0</v>
      </c>
      <c r="J183" s="90">
        <v>0</v>
      </c>
      <c r="K183" s="151">
        <f t="shared" ref="K183:K185" si="58">I183-J183</f>
        <v>0</v>
      </c>
      <c r="L183" s="63">
        <f t="shared" si="57"/>
        <v>39355925.770000003</v>
      </c>
      <c r="M183" s="237">
        <v>2209857</v>
      </c>
      <c r="N183" s="223">
        <v>46106</v>
      </c>
      <c r="O183" s="90">
        <f>M183-P183</f>
        <v>0</v>
      </c>
      <c r="P183" s="63">
        <v>2209857</v>
      </c>
      <c r="Q183" s="66" t="s">
        <v>417</v>
      </c>
    </row>
    <row r="184" spans="1:20" ht="29.25" customHeight="1">
      <c r="A184" s="91">
        <v>57.000700000000002</v>
      </c>
      <c r="B184" s="65" t="s">
        <v>353</v>
      </c>
      <c r="C184" s="64" t="s">
        <v>357</v>
      </c>
      <c r="D184" s="64" t="s">
        <v>104</v>
      </c>
      <c r="E184" s="246">
        <v>162630</v>
      </c>
      <c r="F184" s="150">
        <f t="shared" si="56"/>
        <v>1</v>
      </c>
      <c r="G184" s="90">
        <f>H184+I184</f>
        <v>162630</v>
      </c>
      <c r="H184" s="90">
        <v>196248.4</v>
      </c>
      <c r="I184" s="258">
        <f>IF(F184&gt;0.2,IF(M184&gt;0,IF(J184&gt;M184,M184,IF((F184*M184)&gt;J184,F184*M184,J184)),M184),0)</f>
        <v>-33618.399999999994</v>
      </c>
      <c r="J184" s="90">
        <v>0</v>
      </c>
      <c r="K184" s="151">
        <f t="shared" si="58"/>
        <v>-33618.399999999994</v>
      </c>
      <c r="L184" s="63">
        <f t="shared" si="57"/>
        <v>0</v>
      </c>
      <c r="M184" s="212">
        <v>-33618.399999999994</v>
      </c>
      <c r="N184" s="218">
        <v>46053</v>
      </c>
      <c r="O184" s="90">
        <f t="shared" ref="O184:O185" si="59">M184-P184</f>
        <v>-1383.2999999999884</v>
      </c>
      <c r="P184" s="63">
        <v>-32235.100000000006</v>
      </c>
      <c r="Q184" s="66" t="s">
        <v>392</v>
      </c>
    </row>
    <row r="185" spans="1:20" ht="29.25" customHeight="1">
      <c r="A185" s="91">
        <v>57.000799999999998</v>
      </c>
      <c r="B185" s="65" t="s">
        <v>387</v>
      </c>
      <c r="C185" s="64" t="s">
        <v>357</v>
      </c>
      <c r="D185" s="64"/>
      <c r="E185" s="246">
        <v>2876047</v>
      </c>
      <c r="F185" s="150">
        <f t="shared" si="56"/>
        <v>9.5621203054538986E-2</v>
      </c>
      <c r="G185" s="90">
        <f>H185+I185</f>
        <v>262382.86</v>
      </c>
      <c r="H185" s="90">
        <v>262382.86</v>
      </c>
      <c r="I185" s="258">
        <f>IF(F185&gt;0.2,IF(M185&gt;0,IF(J185&gt;M185,M185,IF((F185*M185)&gt;J185,F185*M185,J185)),M185),0)</f>
        <v>0</v>
      </c>
      <c r="J185" s="90">
        <v>0</v>
      </c>
      <c r="K185" s="151">
        <f t="shared" si="58"/>
        <v>0</v>
      </c>
      <c r="L185" s="63">
        <f t="shared" si="57"/>
        <v>2613664.14</v>
      </c>
      <c r="M185" s="212">
        <v>132065</v>
      </c>
      <c r="N185" s="218">
        <v>46327</v>
      </c>
      <c r="O185" s="90">
        <f t="shared" si="59"/>
        <v>0</v>
      </c>
      <c r="P185" s="63">
        <v>132065</v>
      </c>
      <c r="Q185" s="96" t="s">
        <v>418</v>
      </c>
    </row>
    <row r="186" spans="1:20" ht="14.25">
      <c r="A186" s="127"/>
      <c r="B186" s="128"/>
      <c r="C186" s="8"/>
      <c r="D186" s="8"/>
      <c r="E186" s="15"/>
      <c r="F186" s="120"/>
      <c r="G186" s="15"/>
      <c r="H186" s="15"/>
      <c r="I186" s="15"/>
      <c r="J186" s="10"/>
      <c r="K186" s="10"/>
      <c r="L186" s="10"/>
      <c r="M186" s="10"/>
      <c r="N186" s="121"/>
      <c r="O186" s="10"/>
      <c r="P186" s="10"/>
      <c r="Q186" s="129"/>
    </row>
    <row r="187" spans="1:20">
      <c r="A187" s="97"/>
      <c r="B187" s="98" t="s">
        <v>192</v>
      </c>
      <c r="C187" s="97"/>
      <c r="D187" s="99"/>
      <c r="E187" s="100">
        <f>SUM(E182:E186)</f>
        <v>81310321.129999995</v>
      </c>
      <c r="F187" s="100"/>
      <c r="G187" s="100">
        <f t="shared" ref="G187:M187" si="60">SUM(G182:G186)</f>
        <v>7616143.0224788906</v>
      </c>
      <c r="H187" s="100">
        <f t="shared" si="60"/>
        <v>7525839.2500000009</v>
      </c>
      <c r="I187" s="100">
        <f t="shared" si="60"/>
        <v>90303.772478890052</v>
      </c>
      <c r="J187" s="100">
        <f t="shared" si="60"/>
        <v>96385.411809887213</v>
      </c>
      <c r="K187" s="100">
        <f t="shared" si="60"/>
        <v>-6081.6393309971609</v>
      </c>
      <c r="L187" s="100">
        <f t="shared" si="60"/>
        <v>73694178.107521117</v>
      </c>
      <c r="M187" s="100">
        <f t="shared" si="60"/>
        <v>4715389.5999999996</v>
      </c>
      <c r="N187" s="100"/>
      <c r="O187" s="100">
        <f>SUM(O182:O186)</f>
        <v>-1383.2999999999884</v>
      </c>
      <c r="P187" s="100">
        <f>SUM(P182:P186)</f>
        <v>4716772.9000000004</v>
      </c>
      <c r="Q187" s="100"/>
    </row>
    <row r="188" spans="1:20">
      <c r="A188" s="97"/>
      <c r="B188" s="98" t="s">
        <v>193</v>
      </c>
      <c r="C188" s="101"/>
      <c r="D188" s="99"/>
      <c r="E188" s="100">
        <f>'Closed Jobs'!E158</f>
        <v>0</v>
      </c>
      <c r="F188" s="100">
        <f>'Closed Jobs'!F158</f>
        <v>0</v>
      </c>
      <c r="G188" s="100">
        <f>'Closed Jobs'!G158</f>
        <v>0</v>
      </c>
      <c r="H188" s="100">
        <f>'Closed Jobs'!H158</f>
        <v>106618.01999999999</v>
      </c>
      <c r="I188" s="100">
        <f>'Closed Jobs'!I158</f>
        <v>-106618.01999999999</v>
      </c>
      <c r="J188" s="100">
        <f>'Closed Jobs'!J158</f>
        <v>0</v>
      </c>
      <c r="K188" s="100">
        <f>'Closed Jobs'!K158</f>
        <v>-106618.01999999999</v>
      </c>
      <c r="L188" s="100">
        <f>'Closed Jobs'!L158</f>
        <v>0</v>
      </c>
      <c r="M188" s="100">
        <f>'Closed Jobs'!M158</f>
        <v>-106618.01999999999</v>
      </c>
      <c r="N188" s="100">
        <f>'Closed Jobs'!N158</f>
        <v>0</v>
      </c>
      <c r="O188" s="100">
        <f>'Closed Jobs'!O158</f>
        <v>-16243.039999999992</v>
      </c>
      <c r="P188" s="100">
        <f>'Closed Jobs'!P158</f>
        <v>-90374.98000000001</v>
      </c>
      <c r="Q188" s="49"/>
    </row>
    <row r="189" spans="1:20">
      <c r="A189" s="97"/>
      <c r="B189" s="98" t="s">
        <v>194</v>
      </c>
      <c r="C189" s="97"/>
      <c r="D189" s="99"/>
      <c r="E189" s="100">
        <f>E187+E188</f>
        <v>81310321.129999995</v>
      </c>
      <c r="F189" s="100"/>
      <c r="G189" s="100">
        <f t="shared" ref="G189:M189" si="61">+G187+G188</f>
        <v>7616143.0224788906</v>
      </c>
      <c r="H189" s="100">
        <f>+H187+H188</f>
        <v>7632457.2700000005</v>
      </c>
      <c r="I189" s="100">
        <f t="shared" si="61"/>
        <v>-16314.247521109937</v>
      </c>
      <c r="J189" s="100">
        <f t="shared" si="61"/>
        <v>96385.411809887213</v>
      </c>
      <c r="K189" s="100">
        <f>+K187+K188</f>
        <v>-112699.65933099715</v>
      </c>
      <c r="L189" s="100">
        <f t="shared" si="61"/>
        <v>73694178.107521117</v>
      </c>
      <c r="M189" s="100">
        <f t="shared" si="61"/>
        <v>4608771.58</v>
      </c>
      <c r="N189" s="100"/>
      <c r="O189" s="100">
        <f>+O187+O188</f>
        <v>-17626.339999999982</v>
      </c>
      <c r="P189" s="100">
        <f>+P187+P188</f>
        <v>4626397.92</v>
      </c>
      <c r="Q189" s="49"/>
    </row>
    <row r="190" spans="1:20" ht="12" customHeight="1">
      <c r="A190" s="103"/>
      <c r="B190" s="104"/>
      <c r="C190" s="105"/>
      <c r="D190" s="105"/>
      <c r="E190" s="106"/>
      <c r="F190" s="107"/>
      <c r="G190" s="107"/>
      <c r="H190" s="107"/>
      <c r="I190" s="107"/>
      <c r="J190" s="107"/>
      <c r="K190" s="107"/>
      <c r="L190" s="107"/>
      <c r="M190" s="108"/>
      <c r="N190" s="109"/>
      <c r="O190" s="110"/>
      <c r="P190" s="108"/>
      <c r="Q190" s="110"/>
    </row>
    <row r="191" spans="1:20" ht="12" customHeight="1">
      <c r="A191" s="131"/>
      <c r="B191" s="43" t="s">
        <v>195</v>
      </c>
      <c r="C191" s="44"/>
      <c r="D191" s="45"/>
      <c r="E191" s="46"/>
      <c r="F191" s="46"/>
      <c r="G191" s="46"/>
      <c r="H191" s="47"/>
      <c r="I191" s="46"/>
      <c r="J191" s="48"/>
      <c r="K191" s="111">
        <f>K189</f>
        <v>-112699.65933099715</v>
      </c>
      <c r="L191" s="132"/>
      <c r="O191" s="134"/>
      <c r="P191" s="133"/>
      <c r="Q191" s="134"/>
      <c r="S191" s="17" t="s">
        <v>22</v>
      </c>
      <c r="T191" s="56">
        <f>H189</f>
        <v>7632457.2700000005</v>
      </c>
    </row>
    <row r="192" spans="1:20" ht="12" customHeight="1">
      <c r="A192" s="131"/>
      <c r="B192" s="43" t="s">
        <v>196</v>
      </c>
      <c r="C192" s="44"/>
      <c r="D192" s="45"/>
      <c r="E192" s="46"/>
      <c r="F192" s="46"/>
      <c r="G192" s="46"/>
      <c r="H192" s="47"/>
      <c r="I192" s="46"/>
      <c r="J192" s="48"/>
      <c r="K192" s="111">
        <v>-122609.82243431261</v>
      </c>
      <c r="L192" s="132"/>
      <c r="O192" s="134"/>
      <c r="P192" s="133"/>
      <c r="Q192" s="134"/>
      <c r="S192" s="17" t="s">
        <v>155</v>
      </c>
      <c r="T192" s="59">
        <v>-1720763.84</v>
      </c>
    </row>
    <row r="193" spans="1:20" ht="12" customHeight="1">
      <c r="A193" s="131"/>
      <c r="B193" s="43" t="s">
        <v>197</v>
      </c>
      <c r="C193" s="44"/>
      <c r="D193" s="45"/>
      <c r="E193" s="46"/>
      <c r="F193" s="46"/>
      <c r="G193" s="46"/>
      <c r="H193" s="47"/>
      <c r="I193" s="46"/>
      <c r="J193" s="48"/>
      <c r="K193" s="111">
        <f>K191-K192</f>
        <v>9910.1631033154554</v>
      </c>
      <c r="L193" s="132"/>
      <c r="O193" s="134"/>
      <c r="P193" s="133"/>
      <c r="Q193" s="134"/>
      <c r="T193" s="60">
        <f>SUM(T191:T192)</f>
        <v>5911693.4300000006</v>
      </c>
    </row>
    <row r="194" spans="1:20" ht="12" customHeight="1">
      <c r="A194" s="4"/>
      <c r="B194" s="126"/>
      <c r="C194" s="126"/>
      <c r="D194" s="126"/>
      <c r="E194" s="116"/>
      <c r="F194" s="125"/>
      <c r="G194" s="116"/>
      <c r="H194" s="135"/>
      <c r="I194" s="116"/>
      <c r="J194" s="2"/>
      <c r="K194" s="2"/>
      <c r="L194" s="2"/>
      <c r="O194" s="2"/>
      <c r="P194" s="2"/>
      <c r="Q194" s="130"/>
      <c r="S194" s="35"/>
    </row>
    <row r="195" spans="1:20" ht="12" customHeight="1">
      <c r="A195" s="4"/>
      <c r="B195" s="126"/>
      <c r="C195" s="4"/>
      <c r="D195" s="2"/>
      <c r="E195" s="204"/>
      <c r="F195" s="204"/>
      <c r="G195" s="204"/>
      <c r="H195" s="204"/>
      <c r="I195" s="204"/>
      <c r="J195" s="204"/>
      <c r="K195" s="204"/>
      <c r="L195" s="204"/>
      <c r="O195" s="204"/>
      <c r="P195" s="204"/>
      <c r="Q195" s="130"/>
      <c r="S195" s="55" t="s">
        <v>23</v>
      </c>
      <c r="T195" s="59">
        <v>5911693.4299999997</v>
      </c>
    </row>
    <row r="196" spans="1:20" ht="14.25" customHeight="1">
      <c r="A196" s="19" t="s">
        <v>60</v>
      </c>
      <c r="B196" s="20" t="s">
        <v>149</v>
      </c>
      <c r="C196" s="4"/>
      <c r="D196" s="2"/>
      <c r="E196" s="205"/>
      <c r="F196" s="205"/>
      <c r="G196" s="205"/>
      <c r="H196" s="205"/>
      <c r="I196" s="205"/>
      <c r="J196" s="205"/>
      <c r="K196" s="205"/>
      <c r="L196" s="205"/>
      <c r="M196" s="205"/>
      <c r="N196" s="205"/>
      <c r="O196" s="205"/>
      <c r="P196" s="205"/>
      <c r="Q196" s="130"/>
      <c r="S196" s="55" t="s">
        <v>24</v>
      </c>
      <c r="T196" s="207">
        <f>T193-T195</f>
        <v>0</v>
      </c>
    </row>
    <row r="198" spans="1:20" ht="29.25" customHeight="1">
      <c r="A198" s="91">
        <v>58.000300000000003</v>
      </c>
      <c r="B198" s="65" t="s">
        <v>150</v>
      </c>
      <c r="C198" s="64" t="s">
        <v>151</v>
      </c>
      <c r="D198" s="64" t="s">
        <v>104</v>
      </c>
      <c r="E198" s="246">
        <v>22525189.199999999</v>
      </c>
      <c r="F198" s="150">
        <f>+H198/(E198-M198)</f>
        <v>0.52008725035589332</v>
      </c>
      <c r="G198" s="90">
        <f>H198+I198</f>
        <v>11715063.714774262</v>
      </c>
      <c r="H198" s="63">
        <v>11034781.789999999</v>
      </c>
      <c r="I198" s="90">
        <f>IF(F198&gt;0.2,IF(M198&gt;0,IF(J198&gt;M198,M198,IF((F198*M198)&gt;J198,F198*M198,J198)),M198),0)</f>
        <v>680281.92477426375</v>
      </c>
      <c r="J198" s="152">
        <v>0</v>
      </c>
      <c r="K198" s="151">
        <f>I198-J198</f>
        <v>680281.92477426375</v>
      </c>
      <c r="L198" s="63">
        <f>E198-G198</f>
        <v>10810125.485225737</v>
      </c>
      <c r="M198" s="237">
        <v>1308015</v>
      </c>
      <c r="N198" s="223">
        <v>46235</v>
      </c>
      <c r="O198" s="90">
        <f>M198-P198</f>
        <v>0</v>
      </c>
      <c r="P198" s="63">
        <v>1308015</v>
      </c>
      <c r="Q198" s="153"/>
    </row>
    <row r="199" spans="1:20" ht="14.25">
      <c r="A199" s="127"/>
      <c r="B199" s="128"/>
      <c r="C199" s="8"/>
      <c r="D199" s="8"/>
      <c r="E199" s="15"/>
      <c r="F199" s="120"/>
      <c r="G199" s="15"/>
      <c r="H199" s="15"/>
      <c r="I199" s="15"/>
      <c r="J199" s="10"/>
      <c r="K199" s="10"/>
      <c r="L199" s="10"/>
      <c r="M199" s="10"/>
      <c r="N199" s="121"/>
      <c r="O199" s="10"/>
      <c r="P199" s="10"/>
      <c r="Q199" s="129"/>
    </row>
    <row r="200" spans="1:20">
      <c r="A200" s="97"/>
      <c r="B200" s="98" t="s">
        <v>198</v>
      </c>
      <c r="C200" s="97"/>
      <c r="D200" s="99"/>
      <c r="E200" s="100">
        <f>SUM(E198:E199)</f>
        <v>22525189.199999999</v>
      </c>
      <c r="F200" s="100"/>
      <c r="G200" s="100">
        <f t="shared" ref="G200:M200" si="62">SUM(G198:G199)</f>
        <v>11715063.714774262</v>
      </c>
      <c r="H200" s="100">
        <f t="shared" si="62"/>
        <v>11034781.789999999</v>
      </c>
      <c r="I200" s="100">
        <f t="shared" si="62"/>
        <v>680281.92477426375</v>
      </c>
      <c r="J200" s="100">
        <f t="shared" si="62"/>
        <v>0</v>
      </c>
      <c r="K200" s="100">
        <f t="shared" si="62"/>
        <v>680281.92477426375</v>
      </c>
      <c r="L200" s="100">
        <f t="shared" si="62"/>
        <v>10810125.485225737</v>
      </c>
      <c r="M200" s="100">
        <f t="shared" si="62"/>
        <v>1308015</v>
      </c>
      <c r="N200" s="100"/>
      <c r="O200" s="100">
        <f>SUM(O198:O199)</f>
        <v>0</v>
      </c>
      <c r="P200" s="100">
        <f>SUM(P198:P199)</f>
        <v>1308015</v>
      </c>
      <c r="Q200" s="100"/>
    </row>
    <row r="201" spans="1:20">
      <c r="A201" s="97"/>
      <c r="B201" s="98" t="s">
        <v>199</v>
      </c>
      <c r="C201" s="101"/>
      <c r="D201" s="99"/>
      <c r="E201" s="100">
        <f>'Closed Jobs'!E165</f>
        <v>0</v>
      </c>
      <c r="F201" s="100">
        <f>'Closed Jobs'!F165</f>
        <v>0</v>
      </c>
      <c r="G201" s="100">
        <f>'Closed Jobs'!G165</f>
        <v>0</v>
      </c>
      <c r="H201" s="100">
        <f>'Closed Jobs'!H165</f>
        <v>282319.20999999996</v>
      </c>
      <c r="I201" s="100">
        <f>'Closed Jobs'!I165</f>
        <v>-282319.20999999996</v>
      </c>
      <c r="J201" s="100">
        <f>'Closed Jobs'!J165</f>
        <v>0</v>
      </c>
      <c r="K201" s="100">
        <f>'Closed Jobs'!K165</f>
        <v>-282319.20999999996</v>
      </c>
      <c r="L201" s="100">
        <f>'Closed Jobs'!L165</f>
        <v>0</v>
      </c>
      <c r="M201" s="100">
        <f>'Closed Jobs'!M165</f>
        <v>-282319.20999999996</v>
      </c>
      <c r="N201" s="100">
        <f>'Closed Jobs'!N165</f>
        <v>0</v>
      </c>
      <c r="O201" s="100">
        <f>'Closed Jobs'!O165</f>
        <v>-65732.75999999998</v>
      </c>
      <c r="P201" s="100">
        <f>'Closed Jobs'!P165</f>
        <v>-216586.45</v>
      </c>
      <c r="Q201" s="49"/>
    </row>
    <row r="202" spans="1:20">
      <c r="A202" s="97"/>
      <c r="B202" s="98" t="s">
        <v>200</v>
      </c>
      <c r="C202" s="97"/>
      <c r="D202" s="99"/>
      <c r="E202" s="100">
        <f>E200+E201</f>
        <v>22525189.199999999</v>
      </c>
      <c r="F202" s="100"/>
      <c r="G202" s="100">
        <f t="shared" ref="G202:M202" si="63">+G200+G201</f>
        <v>11715063.714774262</v>
      </c>
      <c r="H202" s="100">
        <f>+H200+H201</f>
        <v>11317101</v>
      </c>
      <c r="I202" s="100">
        <f t="shared" si="63"/>
        <v>397962.71477426379</v>
      </c>
      <c r="J202" s="100">
        <f t="shared" si="63"/>
        <v>0</v>
      </c>
      <c r="K202" s="100">
        <f>+K200+K201</f>
        <v>397962.71477426379</v>
      </c>
      <c r="L202" s="100">
        <f t="shared" si="63"/>
        <v>10810125.485225737</v>
      </c>
      <c r="M202" s="100">
        <f t="shared" si="63"/>
        <v>1025695.79</v>
      </c>
      <c r="N202" s="100"/>
      <c r="O202" s="100">
        <f>+O200+O201</f>
        <v>-65732.75999999998</v>
      </c>
      <c r="P202" s="100">
        <f>+P200+P201</f>
        <v>1091428.55</v>
      </c>
      <c r="Q202" s="49"/>
    </row>
    <row r="203" spans="1:20" ht="12" customHeight="1">
      <c r="A203" s="103"/>
      <c r="B203" s="104"/>
      <c r="C203" s="105"/>
      <c r="D203" s="105"/>
      <c r="E203" s="106"/>
      <c r="F203" s="107"/>
      <c r="G203" s="107"/>
      <c r="H203" s="107"/>
      <c r="I203" s="107"/>
      <c r="J203" s="107"/>
      <c r="K203" s="107"/>
      <c r="L203" s="107"/>
      <c r="M203" s="108"/>
      <c r="N203" s="109"/>
      <c r="O203" s="110"/>
      <c r="P203" s="108"/>
      <c r="Q203" s="110"/>
    </row>
    <row r="204" spans="1:20" ht="14.25">
      <c r="A204" s="131"/>
      <c r="B204" s="43" t="s">
        <v>201</v>
      </c>
      <c r="C204" s="44"/>
      <c r="D204" s="45"/>
      <c r="E204" s="46"/>
      <c r="F204" s="46"/>
      <c r="G204" s="46"/>
      <c r="H204" s="47"/>
      <c r="I204" s="46"/>
      <c r="J204" s="48"/>
      <c r="K204" s="111">
        <f>K202</f>
        <v>397962.71477426379</v>
      </c>
      <c r="L204" s="132"/>
      <c r="O204" s="134"/>
      <c r="P204" s="133"/>
      <c r="Q204" s="134"/>
      <c r="S204" s="17" t="s">
        <v>22</v>
      </c>
      <c r="T204" s="56">
        <f>H202</f>
        <v>11317101</v>
      </c>
    </row>
    <row r="205" spans="1:20" ht="14.25">
      <c r="A205" s="131"/>
      <c r="B205" s="43" t="s">
        <v>202</v>
      </c>
      <c r="C205" s="44"/>
      <c r="D205" s="45"/>
      <c r="E205" s="46"/>
      <c r="F205" s="46"/>
      <c r="G205" s="46"/>
      <c r="H205" s="47"/>
      <c r="I205" s="46"/>
      <c r="J205" s="48"/>
      <c r="K205" s="111">
        <v>307817.8883247794</v>
      </c>
      <c r="L205" s="132"/>
      <c r="O205" s="134"/>
      <c r="P205" s="133"/>
      <c r="Q205" s="134"/>
      <c r="S205" s="17" t="s">
        <v>155</v>
      </c>
      <c r="T205" s="59">
        <v>-2770322.88</v>
      </c>
    </row>
    <row r="206" spans="1:20" ht="14.25">
      <c r="A206" s="131"/>
      <c r="B206" s="43" t="s">
        <v>203</v>
      </c>
      <c r="C206" s="44"/>
      <c r="D206" s="45"/>
      <c r="E206" s="46"/>
      <c r="F206" s="46"/>
      <c r="G206" s="46"/>
      <c r="H206" s="47"/>
      <c r="I206" s="46"/>
      <c r="J206" s="48"/>
      <c r="K206" s="111">
        <f>K204-K205</f>
        <v>90144.82644948439</v>
      </c>
      <c r="L206" s="132"/>
      <c r="O206" s="134"/>
      <c r="P206" s="133"/>
      <c r="Q206" s="134"/>
      <c r="T206" s="60">
        <f>SUM(T204:T205)</f>
        <v>8546778.120000001</v>
      </c>
    </row>
    <row r="207" spans="1:20" ht="12.75" customHeight="1">
      <c r="A207" s="4"/>
      <c r="B207" s="126"/>
      <c r="C207" s="126"/>
      <c r="D207" s="126"/>
      <c r="E207" s="116"/>
      <c r="F207" s="125"/>
      <c r="G207" s="116"/>
      <c r="H207" s="135"/>
      <c r="I207" s="116"/>
      <c r="J207" s="2"/>
      <c r="K207" s="2"/>
      <c r="L207" s="2"/>
      <c r="O207" s="2"/>
      <c r="P207" s="2"/>
      <c r="Q207" s="130"/>
      <c r="S207" s="35"/>
    </row>
    <row r="208" spans="1:20" ht="12.75" customHeight="1">
      <c r="E208" s="204"/>
      <c r="F208" s="204"/>
      <c r="G208" s="204"/>
      <c r="H208" s="204"/>
      <c r="I208" s="204"/>
      <c r="J208" s="204"/>
      <c r="K208" s="204"/>
      <c r="L208" s="204"/>
      <c r="O208" s="204"/>
      <c r="P208" s="204"/>
      <c r="S208" s="55" t="s">
        <v>23</v>
      </c>
      <c r="T208" s="59">
        <v>8546778.1199999992</v>
      </c>
    </row>
    <row r="209" spans="1:20" ht="15">
      <c r="A209" s="145" t="s">
        <v>152</v>
      </c>
      <c r="B209" s="126"/>
      <c r="C209" s="4"/>
      <c r="D209" s="2"/>
      <c r="E209" s="205"/>
      <c r="F209" s="205"/>
      <c r="G209" s="205"/>
      <c r="H209" s="205"/>
      <c r="I209" s="205"/>
      <c r="J209" s="205"/>
      <c r="K209" s="205"/>
      <c r="L209" s="205"/>
      <c r="M209" s="205"/>
      <c r="N209" s="205"/>
      <c r="O209" s="205"/>
      <c r="P209" s="205"/>
      <c r="Q209" s="130"/>
      <c r="S209" s="55" t="s">
        <v>24</v>
      </c>
      <c r="T209" s="207">
        <f>T206-T208</f>
        <v>0</v>
      </c>
    </row>
    <row r="210" spans="1:20" ht="12" customHeight="1">
      <c r="A210" s="126"/>
      <c r="B210" s="126"/>
      <c r="C210" s="4"/>
      <c r="D210" s="2"/>
      <c r="E210" s="116"/>
      <c r="F210" s="125"/>
      <c r="G210" s="55"/>
      <c r="H210" s="59"/>
      <c r="I210" s="141"/>
      <c r="J210" s="2"/>
      <c r="K210" s="5"/>
      <c r="L210" s="5"/>
      <c r="M210" s="6"/>
      <c r="N210" s="142"/>
      <c r="O210" s="6"/>
      <c r="P210" s="140"/>
      <c r="Q210" s="130"/>
    </row>
    <row r="211" spans="1:20">
      <c r="A211" s="97"/>
      <c r="B211" s="98" t="s">
        <v>204</v>
      </c>
      <c r="C211" s="97"/>
      <c r="D211" s="99"/>
      <c r="E211" s="100">
        <f t="shared" ref="E211:P211" si="64">E166+E187+E200</f>
        <v>937525568.40999997</v>
      </c>
      <c r="F211" s="100">
        <f t="shared" si="64"/>
        <v>0</v>
      </c>
      <c r="G211" s="100">
        <f t="shared" si="64"/>
        <v>660784564.56187356</v>
      </c>
      <c r="H211" s="100">
        <f t="shared" si="64"/>
        <v>638755790.13</v>
      </c>
      <c r="I211" s="100">
        <f t="shared" si="64"/>
        <v>22028774.431873694</v>
      </c>
      <c r="J211" s="100">
        <f t="shared" si="64"/>
        <v>21778423.618543912</v>
      </c>
      <c r="K211" s="100">
        <f t="shared" si="64"/>
        <v>250350.8133297927</v>
      </c>
      <c r="L211" s="100">
        <f t="shared" si="64"/>
        <v>276741003.84812629</v>
      </c>
      <c r="M211" s="100">
        <f t="shared" si="64"/>
        <v>36430519.600000001</v>
      </c>
      <c r="N211" s="100">
        <f t="shared" si="64"/>
        <v>0</v>
      </c>
      <c r="O211" s="100">
        <f t="shared" si="64"/>
        <v>-1396010.97</v>
      </c>
      <c r="P211" s="100">
        <f t="shared" si="64"/>
        <v>37826530.57</v>
      </c>
      <c r="Q211" s="164"/>
    </row>
    <row r="212" spans="1:20">
      <c r="A212" s="97"/>
      <c r="B212" s="98" t="s">
        <v>205</v>
      </c>
      <c r="C212" s="101"/>
      <c r="D212" s="99"/>
      <c r="E212" s="100">
        <f t="shared" ref="E212:P212" si="65">E167+E188+E201</f>
        <v>6861630.3499999996</v>
      </c>
      <c r="F212" s="100">
        <f t="shared" si="65"/>
        <v>0</v>
      </c>
      <c r="G212" s="100">
        <f t="shared" si="65"/>
        <v>6861630.3499999996</v>
      </c>
      <c r="H212" s="100">
        <f t="shared" si="65"/>
        <v>8175596.0300000012</v>
      </c>
      <c r="I212" s="100">
        <f t="shared" si="65"/>
        <v>-1313965.68</v>
      </c>
      <c r="J212" s="100">
        <f t="shared" si="65"/>
        <v>1217319.06871038</v>
      </c>
      <c r="K212" s="100">
        <f t="shared" si="65"/>
        <v>-2531284.7487103799</v>
      </c>
      <c r="L212" s="100">
        <f t="shared" si="65"/>
        <v>0</v>
      </c>
      <c r="M212" s="100">
        <f t="shared" si="65"/>
        <v>-1313965.68</v>
      </c>
      <c r="N212" s="100">
        <f t="shared" si="65"/>
        <v>0</v>
      </c>
      <c r="O212" s="100">
        <f t="shared" si="65"/>
        <v>-257212.9199999999</v>
      </c>
      <c r="P212" s="100">
        <f t="shared" si="65"/>
        <v>-1056752.76</v>
      </c>
      <c r="Q212" s="165"/>
    </row>
    <row r="213" spans="1:20">
      <c r="A213" s="97"/>
      <c r="B213" s="98" t="s">
        <v>206</v>
      </c>
      <c r="C213" s="97"/>
      <c r="D213" s="99"/>
      <c r="E213" s="100">
        <f t="shared" ref="E213:P213" si="66">E168+E189+E202</f>
        <v>944387198.75999999</v>
      </c>
      <c r="F213" s="100">
        <f t="shared" si="66"/>
        <v>0</v>
      </c>
      <c r="G213" s="100">
        <f t="shared" si="66"/>
        <v>667646194.91187358</v>
      </c>
      <c r="H213" s="100">
        <f t="shared" si="66"/>
        <v>646931386.15999997</v>
      </c>
      <c r="I213" s="100">
        <f t="shared" si="66"/>
        <v>20714808.751873557</v>
      </c>
      <c r="J213" s="100">
        <f t="shared" si="66"/>
        <v>22995742.687254291</v>
      </c>
      <c r="K213" s="100">
        <f t="shared" si="66"/>
        <v>-2280933.9353805874</v>
      </c>
      <c r="L213" s="100">
        <f t="shared" si="66"/>
        <v>276741003.84812629</v>
      </c>
      <c r="M213" s="100">
        <f t="shared" si="66"/>
        <v>35116553.920000002</v>
      </c>
      <c r="N213" s="100">
        <f t="shared" si="66"/>
        <v>0</v>
      </c>
      <c r="O213" s="100">
        <f t="shared" si="66"/>
        <v>-1653223.89</v>
      </c>
      <c r="P213" s="100">
        <f t="shared" si="66"/>
        <v>36769777.809999995</v>
      </c>
      <c r="Q213" s="165"/>
    </row>
    <row r="215" spans="1:20">
      <c r="A215" s="103"/>
      <c r="B215" s="43" t="s">
        <v>207</v>
      </c>
      <c r="C215" s="44"/>
      <c r="D215" s="45"/>
      <c r="E215" s="46"/>
      <c r="F215" s="46"/>
      <c r="G215" s="46"/>
      <c r="H215" s="47"/>
      <c r="I215" s="46"/>
      <c r="J215" s="48"/>
      <c r="K215" s="111">
        <f>K175+K191+K204</f>
        <v>-13699321.185380587</v>
      </c>
      <c r="L215" s="107"/>
      <c r="M215" s="108"/>
      <c r="N215" s="109"/>
      <c r="O215" s="110"/>
      <c r="P215" s="108"/>
      <c r="Q215" s="110"/>
    </row>
    <row r="216" spans="1:20">
      <c r="A216" s="103"/>
      <c r="B216" s="43" t="s">
        <v>208</v>
      </c>
      <c r="C216" s="44"/>
      <c r="D216" s="45"/>
      <c r="E216" s="46"/>
      <c r="F216" s="46"/>
      <c r="G216" s="46"/>
      <c r="H216" s="47"/>
      <c r="I216" s="46"/>
      <c r="J216" s="48"/>
      <c r="K216" s="111">
        <f>K176+K192+K205</f>
        <v>-6770248.9304417009</v>
      </c>
      <c r="L216" s="107"/>
      <c r="M216" s="108"/>
      <c r="N216" s="109"/>
      <c r="O216" s="110"/>
      <c r="P216" s="108"/>
      <c r="Q216" s="110"/>
    </row>
    <row r="217" spans="1:20">
      <c r="A217" s="103"/>
      <c r="B217" s="43" t="s">
        <v>209</v>
      </c>
      <c r="C217" s="44"/>
      <c r="D217" s="45"/>
      <c r="E217" s="46"/>
      <c r="F217" s="46"/>
      <c r="G217" s="46"/>
      <c r="H217" s="47"/>
      <c r="I217" s="46"/>
      <c r="J217" s="48"/>
      <c r="K217" s="111">
        <f>K215-K216</f>
        <v>-6929072.2549388865</v>
      </c>
      <c r="L217" s="107"/>
      <c r="M217" s="108"/>
      <c r="N217" s="109"/>
      <c r="O217" s="110"/>
      <c r="P217" s="108"/>
      <c r="Q217" s="110"/>
    </row>
    <row r="219" spans="1:20">
      <c r="G219" s="55"/>
      <c r="H219" s="173"/>
    </row>
    <row r="220" spans="1:20" ht="15">
      <c r="A220" s="145" t="s">
        <v>154</v>
      </c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</row>
    <row r="221" spans="1:20">
      <c r="G221" s="55"/>
      <c r="H221" s="173"/>
    </row>
    <row r="222" spans="1:20">
      <c r="A222" s="97"/>
      <c r="B222" s="98" t="s">
        <v>213</v>
      </c>
      <c r="C222" s="97"/>
      <c r="D222" s="99"/>
      <c r="E222" s="100">
        <f t="shared" ref="E222:P222" si="67">E139+E211</f>
        <v>1857926358.3600001</v>
      </c>
      <c r="F222" s="100">
        <f t="shared" si="67"/>
        <v>0</v>
      </c>
      <c r="G222" s="100">
        <f t="shared" si="67"/>
        <v>1100240948.7851443</v>
      </c>
      <c r="H222" s="100">
        <f t="shared" si="67"/>
        <v>1035075649.36</v>
      </c>
      <c r="I222" s="100">
        <f t="shared" si="67"/>
        <v>65165299.425144218</v>
      </c>
      <c r="J222" s="100">
        <f t="shared" si="67"/>
        <v>40822789.399132721</v>
      </c>
      <c r="K222" s="100">
        <f t="shared" si="67"/>
        <v>24342510.026011512</v>
      </c>
      <c r="L222" s="100">
        <f t="shared" si="67"/>
        <v>757685409.5748558</v>
      </c>
      <c r="M222" s="100">
        <f t="shared" si="67"/>
        <v>124082054.53</v>
      </c>
      <c r="N222" s="100">
        <f t="shared" si="67"/>
        <v>0</v>
      </c>
      <c r="O222" s="100">
        <f t="shared" si="67"/>
        <v>530554.44999999972</v>
      </c>
      <c r="P222" s="100">
        <f t="shared" si="67"/>
        <v>123551500.07999998</v>
      </c>
      <c r="Q222" s="164"/>
    </row>
    <row r="223" spans="1:20">
      <c r="A223" s="97"/>
      <c r="B223" s="98" t="s">
        <v>214</v>
      </c>
      <c r="C223" s="101"/>
      <c r="D223" s="99"/>
      <c r="E223" s="100">
        <f t="shared" ref="E223:P223" si="68">E140+E212</f>
        <v>148056766.65000001</v>
      </c>
      <c r="F223" s="100">
        <f t="shared" si="68"/>
        <v>0</v>
      </c>
      <c r="G223" s="100">
        <f t="shared" si="68"/>
        <v>148056766.65000001</v>
      </c>
      <c r="H223" s="100">
        <f t="shared" si="68"/>
        <v>136063098.07999998</v>
      </c>
      <c r="I223" s="100">
        <f t="shared" si="68"/>
        <v>11993668.569999995</v>
      </c>
      <c r="J223" s="100">
        <f t="shared" si="68"/>
        <v>17498674.654450722</v>
      </c>
      <c r="K223" s="100">
        <f t="shared" si="68"/>
        <v>-5505006.0844507236</v>
      </c>
      <c r="L223" s="100">
        <f t="shared" si="68"/>
        <v>0</v>
      </c>
      <c r="M223" s="100">
        <f t="shared" si="68"/>
        <v>11993668.569999995</v>
      </c>
      <c r="N223" s="100">
        <f t="shared" si="68"/>
        <v>0</v>
      </c>
      <c r="O223" s="100">
        <f t="shared" si="68"/>
        <v>-986896.58</v>
      </c>
      <c r="P223" s="100">
        <f t="shared" si="68"/>
        <v>12980565.149999995</v>
      </c>
      <c r="Q223" s="165"/>
    </row>
    <row r="224" spans="1:20">
      <c r="A224" s="97"/>
      <c r="B224" s="98" t="s">
        <v>215</v>
      </c>
      <c r="C224" s="97"/>
      <c r="D224" s="99"/>
      <c r="E224" s="100">
        <f t="shared" ref="E224:P224" si="69">E141+E213</f>
        <v>2005983125.01</v>
      </c>
      <c r="F224" s="100">
        <f t="shared" si="69"/>
        <v>0</v>
      </c>
      <c r="G224" s="100">
        <f t="shared" si="69"/>
        <v>1248297715.4351442</v>
      </c>
      <c r="H224" s="100">
        <f t="shared" si="69"/>
        <v>1171138747.4400001</v>
      </c>
      <c r="I224" s="100">
        <f t="shared" si="69"/>
        <v>77158967.995144084</v>
      </c>
      <c r="J224" s="100">
        <f t="shared" si="69"/>
        <v>58321464.053583443</v>
      </c>
      <c r="K224" s="100">
        <f t="shared" si="69"/>
        <v>18837503.94156079</v>
      </c>
      <c r="L224" s="100">
        <f t="shared" si="69"/>
        <v>757685409.5748558</v>
      </c>
      <c r="M224" s="100">
        <f t="shared" si="69"/>
        <v>136075723.09999999</v>
      </c>
      <c r="N224" s="100">
        <f t="shared" si="69"/>
        <v>0</v>
      </c>
      <c r="O224" s="100">
        <f t="shared" si="69"/>
        <v>-456342.13000000012</v>
      </c>
      <c r="P224" s="100">
        <f t="shared" si="69"/>
        <v>136532065.22999999</v>
      </c>
      <c r="Q224" s="165"/>
    </row>
    <row r="226" spans="1:17">
      <c r="A226" s="103"/>
      <c r="B226" s="43" t="s">
        <v>216</v>
      </c>
      <c r="C226" s="44"/>
      <c r="D226" s="45"/>
      <c r="E226" s="46"/>
      <c r="F226" s="46"/>
      <c r="G226" s="46"/>
      <c r="H226" s="47"/>
      <c r="I226" s="46"/>
      <c r="J226" s="48"/>
      <c r="K226" s="111">
        <f>K143+K215</f>
        <v>6564181.0115607884</v>
      </c>
      <c r="L226" s="107"/>
      <c r="M226" s="108"/>
      <c r="N226" s="109"/>
      <c r="O226" s="110"/>
      <c r="P226" s="108"/>
      <c r="Q226" s="110"/>
    </row>
    <row r="227" spans="1:17">
      <c r="A227" s="103"/>
      <c r="B227" s="43" t="s">
        <v>217</v>
      </c>
      <c r="C227" s="44"/>
      <c r="D227" s="45"/>
      <c r="E227" s="46"/>
      <c r="F227" s="46"/>
      <c r="G227" s="46"/>
      <c r="H227" s="47"/>
      <c r="I227" s="46"/>
      <c r="J227" s="48"/>
      <c r="K227" s="111">
        <v>10641359.06874533</v>
      </c>
      <c r="L227" s="107"/>
      <c r="M227" s="108"/>
      <c r="N227" s="109"/>
      <c r="O227" s="110"/>
      <c r="P227" s="108"/>
      <c r="Q227" s="110"/>
    </row>
    <row r="228" spans="1:17">
      <c r="A228" s="103"/>
      <c r="B228" s="43" t="s">
        <v>218</v>
      </c>
      <c r="C228" s="44"/>
      <c r="D228" s="45"/>
      <c r="E228" s="46"/>
      <c r="F228" s="46"/>
      <c r="G228" s="46"/>
      <c r="H228" s="47"/>
      <c r="I228" s="46"/>
      <c r="J228" s="48"/>
      <c r="K228" s="111">
        <f>K226-K227</f>
        <v>-4077178.0571845416</v>
      </c>
      <c r="L228" s="107"/>
      <c r="M228" s="108"/>
      <c r="N228" s="109"/>
      <c r="O228" s="110"/>
      <c r="P228" s="108"/>
      <c r="Q228" s="110"/>
    </row>
    <row r="230" spans="1:17" ht="10.5" customHeight="1"/>
    <row r="231" spans="1:17" ht="15">
      <c r="A231" s="145" t="s">
        <v>369</v>
      </c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</row>
    <row r="233" spans="1:17">
      <c r="A233" s="97"/>
      <c r="B233" s="98" t="s">
        <v>366</v>
      </c>
      <c r="C233" s="97"/>
      <c r="D233" s="99"/>
      <c r="E233" s="100">
        <v>14022847.25</v>
      </c>
      <c r="F233" s="100"/>
      <c r="G233" s="100">
        <v>7566720.7015791805</v>
      </c>
      <c r="H233" s="100">
        <v>6459348.9100000001</v>
      </c>
      <c r="I233" s="100">
        <v>1107371.7915791802</v>
      </c>
      <c r="J233" s="100">
        <v>247627.68362803198</v>
      </c>
      <c r="K233" s="100">
        <v>859744.1079511483</v>
      </c>
      <c r="L233" s="100">
        <v>6456126.5484208176</v>
      </c>
      <c r="M233" s="100">
        <v>2055056.8599999999</v>
      </c>
      <c r="N233" s="100"/>
      <c r="O233" s="100">
        <v>-30581.310000000012</v>
      </c>
      <c r="P233" s="100">
        <v>2085638.17</v>
      </c>
      <c r="Q233" s="164"/>
    </row>
    <row r="234" spans="1:17">
      <c r="A234" s="97"/>
      <c r="B234" s="98" t="s">
        <v>367</v>
      </c>
      <c r="C234" s="101"/>
      <c r="D234" s="99"/>
      <c r="E234" s="100">
        <v>4511779.6499999976</v>
      </c>
      <c r="F234" s="100">
        <v>0</v>
      </c>
      <c r="G234" s="100">
        <v>4511779.6499999976</v>
      </c>
      <c r="H234" s="100">
        <v>7995768.9399999985</v>
      </c>
      <c r="I234" s="100">
        <v>-3483989.29</v>
      </c>
      <c r="J234" s="100">
        <v>335306.4276492052</v>
      </c>
      <c r="K234" s="100">
        <v>-3819295.7176492056</v>
      </c>
      <c r="L234" s="100">
        <v>0</v>
      </c>
      <c r="M234" s="100">
        <v>-3483989.29</v>
      </c>
      <c r="N234" s="100">
        <v>0</v>
      </c>
      <c r="O234" s="100">
        <v>79234.050000000032</v>
      </c>
      <c r="P234" s="100">
        <v>-3563223.3400000003</v>
      </c>
      <c r="Q234" s="165"/>
    </row>
    <row r="235" spans="1:17">
      <c r="A235" s="97"/>
      <c r="B235" s="98" t="s">
        <v>368</v>
      </c>
      <c r="C235" s="97"/>
      <c r="D235" s="99"/>
      <c r="E235" s="100">
        <v>18534626.899999999</v>
      </c>
      <c r="F235" s="100"/>
      <c r="G235" s="100">
        <v>12078500.351579178</v>
      </c>
      <c r="H235" s="100">
        <v>14455117.849999998</v>
      </c>
      <c r="I235" s="100">
        <v>-2376617.4984208196</v>
      </c>
      <c r="J235" s="100">
        <v>582934.11127723719</v>
      </c>
      <c r="K235" s="100">
        <v>-2959551.6096980572</v>
      </c>
      <c r="L235" s="100">
        <v>6456126.5484208176</v>
      </c>
      <c r="M235" s="100">
        <v>-1428932.4300000002</v>
      </c>
      <c r="N235" s="100"/>
      <c r="O235" s="100">
        <v>48652.74000000002</v>
      </c>
      <c r="P235" s="100">
        <v>-1477585.1700000004</v>
      </c>
      <c r="Q235" s="165"/>
    </row>
    <row r="237" spans="1:17">
      <c r="B237" s="43" t="s">
        <v>371</v>
      </c>
      <c r="C237" s="44"/>
      <c r="D237" s="45"/>
      <c r="E237" s="46"/>
      <c r="F237" s="46"/>
      <c r="G237" s="46"/>
      <c r="H237" s="47"/>
      <c r="I237" s="46"/>
      <c r="J237" s="48"/>
      <c r="K237" s="111">
        <f>K235</f>
        <v>-2959551.6096980572</v>
      </c>
    </row>
    <row r="238" spans="1:17">
      <c r="B238" s="43" t="s">
        <v>372</v>
      </c>
      <c r="C238" s="44"/>
      <c r="D238" s="45"/>
      <c r="E238" s="46"/>
      <c r="F238" s="46"/>
      <c r="G238" s="46"/>
      <c r="H238" s="47"/>
      <c r="I238" s="46"/>
      <c r="J238" s="48"/>
      <c r="K238" s="111">
        <v>-3153564.4264124143</v>
      </c>
    </row>
    <row r="239" spans="1:17">
      <c r="B239" s="43" t="s">
        <v>373</v>
      </c>
      <c r="C239" s="44"/>
      <c r="D239" s="45"/>
      <c r="E239" s="46"/>
      <c r="F239" s="46"/>
      <c r="G239" s="46"/>
      <c r="H239" s="47"/>
      <c r="I239" s="46"/>
      <c r="J239" s="48"/>
      <c r="K239" s="111">
        <f>K237-K238</f>
        <v>194012.81671435712</v>
      </c>
    </row>
    <row r="240" spans="1:17" ht="10.5" customHeight="1"/>
    <row r="241" spans="1:17" ht="10.5" customHeight="1"/>
    <row r="242" spans="1:17" ht="15">
      <c r="A242" s="145" t="s">
        <v>370</v>
      </c>
    </row>
    <row r="244" spans="1:17">
      <c r="A244" s="97"/>
      <c r="B244" s="98" t="s">
        <v>428</v>
      </c>
      <c r="C244" s="97"/>
      <c r="D244" s="99"/>
      <c r="E244" s="100">
        <f>E222+E233</f>
        <v>1871949205.6100001</v>
      </c>
      <c r="F244" s="100">
        <f t="shared" ref="F244:P244" si="70">F222+F233</f>
        <v>0</v>
      </c>
      <c r="G244" s="100">
        <f t="shared" si="70"/>
        <v>1107807669.4867234</v>
      </c>
      <c r="H244" s="100">
        <f t="shared" si="70"/>
        <v>1041534998.27</v>
      </c>
      <c r="I244" s="100">
        <f t="shared" si="70"/>
        <v>66272671.216723397</v>
      </c>
      <c r="J244" s="100">
        <f t="shared" si="70"/>
        <v>41070417.082760751</v>
      </c>
      <c r="K244" s="100">
        <f t="shared" si="70"/>
        <v>25202254.133962661</v>
      </c>
      <c r="L244" s="100">
        <f t="shared" si="70"/>
        <v>764141536.12327659</v>
      </c>
      <c r="M244" s="100">
        <f t="shared" si="70"/>
        <v>126137111.39</v>
      </c>
      <c r="N244" s="100">
        <f t="shared" si="70"/>
        <v>0</v>
      </c>
      <c r="O244" s="100">
        <f t="shared" si="70"/>
        <v>499973.13999999972</v>
      </c>
      <c r="P244" s="100">
        <f t="shared" si="70"/>
        <v>125637138.24999999</v>
      </c>
      <c r="Q244" s="164"/>
    </row>
    <row r="245" spans="1:17">
      <c r="A245" s="97"/>
      <c r="B245" s="98" t="s">
        <v>429</v>
      </c>
      <c r="C245" s="101"/>
      <c r="D245" s="99"/>
      <c r="E245" s="100">
        <f t="shared" ref="E245:P246" si="71">E223+E234</f>
        <v>152568546.30000001</v>
      </c>
      <c r="F245" s="100">
        <f t="shared" si="71"/>
        <v>0</v>
      </c>
      <c r="G245" s="100">
        <f t="shared" si="71"/>
        <v>152568546.30000001</v>
      </c>
      <c r="H245" s="100">
        <f t="shared" si="71"/>
        <v>144058867.01999998</v>
      </c>
      <c r="I245" s="100">
        <f t="shared" si="71"/>
        <v>8509679.2799999937</v>
      </c>
      <c r="J245" s="100">
        <f t="shared" si="71"/>
        <v>17833981.082099926</v>
      </c>
      <c r="K245" s="100">
        <f t="shared" si="71"/>
        <v>-9324301.8020999283</v>
      </c>
      <c r="L245" s="100">
        <f t="shared" si="71"/>
        <v>0</v>
      </c>
      <c r="M245" s="100">
        <f t="shared" si="71"/>
        <v>8509679.2799999937</v>
      </c>
      <c r="N245" s="100">
        <f t="shared" si="71"/>
        <v>0</v>
      </c>
      <c r="O245" s="100">
        <f t="shared" si="71"/>
        <v>-907662.52999999991</v>
      </c>
      <c r="P245" s="100">
        <f t="shared" si="71"/>
        <v>9417341.8099999949</v>
      </c>
      <c r="Q245" s="165"/>
    </row>
    <row r="246" spans="1:17">
      <c r="A246" s="97"/>
      <c r="B246" s="98" t="s">
        <v>430</v>
      </c>
      <c r="C246" s="97"/>
      <c r="D246" s="99"/>
      <c r="E246" s="100">
        <f t="shared" si="71"/>
        <v>2024517751.9100001</v>
      </c>
      <c r="F246" s="100">
        <f t="shared" si="71"/>
        <v>0</v>
      </c>
      <c r="G246" s="100">
        <f t="shared" si="71"/>
        <v>1260376215.7867234</v>
      </c>
      <c r="H246" s="100">
        <f t="shared" si="71"/>
        <v>1185593865.29</v>
      </c>
      <c r="I246" s="100">
        <f t="shared" si="71"/>
        <v>74782350.496723264</v>
      </c>
      <c r="J246" s="100">
        <f t="shared" si="71"/>
        <v>58904398.164860681</v>
      </c>
      <c r="K246" s="100">
        <f t="shared" si="71"/>
        <v>15877952.331862733</v>
      </c>
      <c r="L246" s="100">
        <f t="shared" si="71"/>
        <v>764141536.12327659</v>
      </c>
      <c r="M246" s="100">
        <f t="shared" si="71"/>
        <v>134646790.66999999</v>
      </c>
      <c r="N246" s="100">
        <f t="shared" si="71"/>
        <v>0</v>
      </c>
      <c r="O246" s="100">
        <f t="shared" si="71"/>
        <v>-407689.39000000013</v>
      </c>
      <c r="P246" s="100">
        <f t="shared" si="71"/>
        <v>135054480.06</v>
      </c>
      <c r="Q246" s="165"/>
    </row>
    <row r="248" spans="1:17">
      <c r="B248" s="43" t="s">
        <v>374</v>
      </c>
      <c r="C248" s="44"/>
      <c r="D248" s="45"/>
      <c r="E248" s="46"/>
      <c r="F248" s="46"/>
      <c r="G248" s="46"/>
      <c r="H248" s="47"/>
      <c r="I248" s="46"/>
      <c r="J248" s="48"/>
      <c r="K248" s="111">
        <f>K226+K237</f>
        <v>3604629.4018627312</v>
      </c>
    </row>
    <row r="249" spans="1:17">
      <c r="B249" s="43" t="s">
        <v>375</v>
      </c>
      <c r="C249" s="44"/>
      <c r="D249" s="45"/>
      <c r="E249" s="46"/>
      <c r="F249" s="46"/>
      <c r="G249" s="46"/>
      <c r="H249" s="47"/>
      <c r="I249" s="46"/>
      <c r="J249" s="48"/>
      <c r="K249" s="111">
        <f>K227+K238</f>
        <v>7487794.6423329152</v>
      </c>
    </row>
    <row r="250" spans="1:17">
      <c r="B250" s="43" t="s">
        <v>376</v>
      </c>
      <c r="C250" s="44"/>
      <c r="D250" s="45"/>
      <c r="E250" s="46"/>
      <c r="F250" s="46"/>
      <c r="G250" s="46"/>
      <c r="H250" s="47"/>
      <c r="I250" s="46"/>
      <c r="J250" s="48"/>
      <c r="K250" s="111">
        <f>K248-K249</f>
        <v>-3883165.240470184</v>
      </c>
    </row>
    <row r="251" spans="1:17"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</row>
    <row r="252" spans="1:17">
      <c r="G252" s="17" t="s">
        <v>22</v>
      </c>
      <c r="H252" s="56">
        <f>H224</f>
        <v>1171138747.4400001</v>
      </c>
    </row>
    <row r="253" spans="1:17">
      <c r="G253" s="17" t="s">
        <v>155</v>
      </c>
      <c r="H253" s="59">
        <f>T40+T75+T84+T129+T176+T192+T205</f>
        <v>-39411618.950000003</v>
      </c>
    </row>
    <row r="254" spans="1:17">
      <c r="H254" s="60">
        <f>SUM(H252:H253)</f>
        <v>1131727128.49</v>
      </c>
    </row>
    <row r="255" spans="1:17">
      <c r="G255" s="35"/>
    </row>
    <row r="256" spans="1:17">
      <c r="G256" s="55" t="s">
        <v>23</v>
      </c>
      <c r="H256" s="59">
        <v>1131727128.49</v>
      </c>
    </row>
    <row r="257" spans="6:16">
      <c r="G257" s="55" t="s">
        <v>24</v>
      </c>
      <c r="H257" s="207">
        <f>H254-H256</f>
        <v>0</v>
      </c>
    </row>
    <row r="261" spans="6:16"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</row>
    <row r="262" spans="6:16">
      <c r="H262" s="210"/>
    </row>
    <row r="263" spans="6:16">
      <c r="H263" s="210"/>
    </row>
  </sheetData>
  <phoneticPr fontId="0" type="noConversion"/>
  <conditionalFormatting sqref="F14:F31 F46:F66 F81 F94:F126 F150:F164 F182:F185">
    <cfRule type="cellIs" dxfId="15" priority="7" operator="greaterThan">
      <formula>1</formula>
    </cfRule>
  </conditionalFormatting>
  <conditionalFormatting sqref="F37 F170:F173">
    <cfRule type="cellIs" dxfId="14" priority="17" operator="greaterThan">
      <formula>1</formula>
    </cfRule>
  </conditionalFormatting>
  <conditionalFormatting sqref="F72">
    <cfRule type="cellIs" dxfId="13" priority="15" operator="greaterThan">
      <formula>1</formula>
    </cfRule>
  </conditionalFormatting>
  <conditionalFormatting sqref="F78">
    <cfRule type="cellIs" dxfId="12" priority="278" operator="greaterThan">
      <formula>1</formula>
    </cfRule>
  </conditionalFormatting>
  <conditionalFormatting sqref="F91">
    <cfRule type="cellIs" dxfId="11" priority="289" operator="greaterThan">
      <formula>1</formula>
    </cfRule>
  </conditionalFormatting>
  <conditionalFormatting sqref="F136">
    <cfRule type="cellIs" dxfId="10" priority="291" operator="greaterThan">
      <formula>1</formula>
    </cfRule>
  </conditionalFormatting>
  <conditionalFormatting sqref="F195">
    <cfRule type="cellIs" dxfId="9" priority="295" operator="greaterThan">
      <formula>1</formula>
    </cfRule>
  </conditionalFormatting>
  <conditionalFormatting sqref="F198">
    <cfRule type="cellIs" dxfId="8" priority="1" operator="greaterThan">
      <formula>1</formula>
    </cfRule>
  </conditionalFormatting>
  <conditionalFormatting sqref="F208">
    <cfRule type="cellIs" dxfId="7" priority="294" operator="greaterThan">
      <formula>1</formula>
    </cfRule>
  </conditionalFormatting>
  <printOptions horizontalCentered="1"/>
  <pageMargins left="0.25" right="0.25" top="0.83" bottom="0.67" header="0.42" footer="0.21"/>
  <pageSetup paperSize="5" scale="58" fitToHeight="0" orientation="landscape" r:id="rId1"/>
  <headerFooter alignWithMargins="0">
    <oddHeader>&amp;C&amp;14W.   M.   L Y L E S   C O.
&amp;12Job Summary
Open Jobs</oddHeader>
    <oddFooter>&amp;L&amp;6&amp;F&amp;C&amp;D&amp;R&amp;T</oddFooter>
  </headerFooter>
  <rowBreaks count="4" manualBreakCount="4">
    <brk id="31" max="16" man="1"/>
    <brk id="136" max="16" man="1"/>
    <brk id="173" max="16" man="1"/>
    <brk id="225" max="16" man="1"/>
  </rowBreaks>
  <colBreaks count="8" manualBreakCount="8">
    <brk id="8" max="381" man="1"/>
    <brk id="9" max="381" man="1"/>
    <brk id="10" max="381" man="1"/>
    <brk id="11" max="381" man="1"/>
    <brk id="13" max="381" man="1"/>
    <brk id="14" max="381" man="1"/>
    <brk id="15" max="381" man="1"/>
    <brk id="16" max="381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P180"/>
  <sheetViews>
    <sheetView showZeros="0" zoomScale="80" zoomScaleNormal="80" zoomScaleSheetLayoutView="85" workbookViewId="0">
      <pane ySplit="6" topLeftCell="A7" activePane="bottomLeft" state="frozen"/>
      <selection activeCell="G50" sqref="G50"/>
      <selection pane="bottomLeft" activeCell="K159" sqref="K159"/>
    </sheetView>
  </sheetViews>
  <sheetFormatPr defaultColWidth="9.140625" defaultRowHeight="14.25"/>
  <cols>
    <col min="1" max="1" width="9" style="4" customWidth="1"/>
    <col min="2" max="2" width="43.42578125" style="4" customWidth="1"/>
    <col min="3" max="3" width="8.140625" style="2" customWidth="1"/>
    <col min="4" max="4" width="8" style="2" customWidth="1"/>
    <col min="5" max="5" width="14.140625" style="6" bestFit="1" customWidth="1"/>
    <col min="6" max="6" width="10.5703125" style="2" bestFit="1" customWidth="1"/>
    <col min="7" max="8" width="14.7109375" style="2" customWidth="1"/>
    <col min="9" max="9" width="14.7109375" style="2" bestFit="1" customWidth="1"/>
    <col min="10" max="10" width="12.7109375" style="2" bestFit="1" customWidth="1"/>
    <col min="11" max="11" width="12.85546875" style="2" bestFit="1" customWidth="1"/>
    <col min="12" max="12" width="12.28515625" style="2" bestFit="1" customWidth="1"/>
    <col min="13" max="13" width="14.7109375" style="2" bestFit="1" customWidth="1"/>
    <col min="14" max="14" width="15.5703125" style="2" bestFit="1" customWidth="1"/>
    <col min="15" max="15" width="12.7109375" style="2" customWidth="1"/>
    <col min="16" max="16" width="13" style="2" bestFit="1" customWidth="1"/>
    <col min="17" max="16384" width="9.140625" style="2"/>
  </cols>
  <sheetData>
    <row r="2" spans="1:16">
      <c r="M2" s="2" t="s">
        <v>15</v>
      </c>
      <c r="N2" s="12">
        <f>'Open Jobs'!N6</f>
        <v>46022</v>
      </c>
      <c r="O2" s="7"/>
    </row>
    <row r="4" spans="1:16">
      <c r="A4" s="184"/>
      <c r="B4" s="185"/>
      <c r="C4" s="186"/>
      <c r="D4" s="187"/>
      <c r="E4" s="188"/>
      <c r="F4" s="189"/>
      <c r="G4" s="189"/>
      <c r="H4" s="189"/>
      <c r="I4" s="190"/>
      <c r="J4" s="190"/>
      <c r="K4" s="190"/>
      <c r="L4" s="189"/>
      <c r="M4" s="359" t="s">
        <v>11</v>
      </c>
      <c r="N4" s="360"/>
      <c r="O4" s="185" t="s">
        <v>14</v>
      </c>
      <c r="P4" s="185" t="s">
        <v>25</v>
      </c>
    </row>
    <row r="5" spans="1:16">
      <c r="A5" s="191" t="s">
        <v>0</v>
      </c>
      <c r="B5" s="192" t="s">
        <v>18</v>
      </c>
      <c r="C5" s="361" t="s">
        <v>3</v>
      </c>
      <c r="D5" s="362"/>
      <c r="E5" s="193" t="s">
        <v>4</v>
      </c>
      <c r="F5" s="192" t="s">
        <v>6</v>
      </c>
      <c r="G5" s="192" t="s">
        <v>16</v>
      </c>
      <c r="H5" s="192" t="s">
        <v>9</v>
      </c>
      <c r="I5" s="194" t="s">
        <v>12</v>
      </c>
      <c r="J5" s="194" t="s">
        <v>27</v>
      </c>
      <c r="K5" s="194" t="s">
        <v>28</v>
      </c>
      <c r="L5" s="192" t="s">
        <v>16</v>
      </c>
      <c r="M5" s="185" t="s">
        <v>8</v>
      </c>
      <c r="N5" s="185" t="s">
        <v>13</v>
      </c>
      <c r="O5" s="192" t="s">
        <v>11</v>
      </c>
      <c r="P5" s="192" t="s">
        <v>11</v>
      </c>
    </row>
    <row r="6" spans="1:16">
      <c r="A6" s="195" t="s">
        <v>1</v>
      </c>
      <c r="B6" s="196" t="s">
        <v>2</v>
      </c>
      <c r="C6" s="195" t="s">
        <v>20</v>
      </c>
      <c r="D6" s="197" t="s">
        <v>21</v>
      </c>
      <c r="E6" s="198" t="s">
        <v>5</v>
      </c>
      <c r="F6" s="196" t="s">
        <v>7</v>
      </c>
      <c r="G6" s="196" t="s">
        <v>19</v>
      </c>
      <c r="H6" s="196" t="s">
        <v>19</v>
      </c>
      <c r="I6" s="199" t="s">
        <v>19</v>
      </c>
      <c r="J6" s="199" t="s">
        <v>12</v>
      </c>
      <c r="K6" s="199" t="s">
        <v>12</v>
      </c>
      <c r="L6" s="196" t="s">
        <v>17</v>
      </c>
      <c r="M6" s="196" t="s">
        <v>12</v>
      </c>
      <c r="N6" s="196" t="s">
        <v>10</v>
      </c>
      <c r="O6" s="196" t="s">
        <v>12</v>
      </c>
      <c r="P6" s="196" t="s">
        <v>26</v>
      </c>
    </row>
    <row r="7" spans="1:16">
      <c r="C7" s="4"/>
      <c r="D7" s="4"/>
      <c r="E7" s="142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1:16" ht="15">
      <c r="A8" s="145" t="s">
        <v>146</v>
      </c>
      <c r="C8" s="4"/>
      <c r="D8" s="4"/>
      <c r="E8" s="142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 ht="14.25" customHeight="1">
      <c r="I9" s="5"/>
      <c r="J9" s="5"/>
      <c r="K9" s="5"/>
    </row>
    <row r="10" spans="1:16" ht="12" customHeight="1">
      <c r="A10" s="4" t="s">
        <v>60</v>
      </c>
      <c r="B10" s="1" t="s">
        <v>59</v>
      </c>
      <c r="C10" s="114"/>
      <c r="D10" s="115"/>
      <c r="E10" s="116"/>
      <c r="F10" s="116"/>
      <c r="G10" s="116"/>
      <c r="H10" s="116"/>
      <c r="I10" s="116"/>
      <c r="J10" s="116"/>
      <c r="K10" s="116"/>
      <c r="L10" s="117"/>
      <c r="M10" s="116"/>
      <c r="N10" s="174"/>
      <c r="O10" s="116"/>
      <c r="P10" s="116"/>
    </row>
    <row r="11" spans="1:16" ht="12" customHeight="1">
      <c r="B11" s="114"/>
      <c r="C11" s="114"/>
      <c r="D11" s="115"/>
      <c r="E11" s="116"/>
      <c r="F11" s="116"/>
      <c r="G11" s="116"/>
      <c r="H11" s="116"/>
      <c r="I11" s="116"/>
      <c r="J11" s="116"/>
      <c r="K11" s="116"/>
      <c r="L11" s="117"/>
      <c r="M11" s="116"/>
      <c r="N11" s="116"/>
      <c r="O11" s="116"/>
      <c r="P11" s="116"/>
    </row>
    <row r="12" spans="1:16" ht="25.5" customHeight="1">
      <c r="A12" s="91">
        <v>51.113300000000002</v>
      </c>
      <c r="B12" s="65" t="s">
        <v>42</v>
      </c>
      <c r="C12" s="64" t="s">
        <v>102</v>
      </c>
      <c r="D12" s="64" t="s">
        <v>47</v>
      </c>
      <c r="E12" s="306">
        <v>372738</v>
      </c>
      <c r="F12" s="238">
        <f t="shared" ref="F12:F16" si="0">H12/(E12-M12)</f>
        <v>1</v>
      </c>
      <c r="G12" s="90">
        <f t="shared" ref="G12:G16" si="1">H12+I12</f>
        <v>372738</v>
      </c>
      <c r="H12" s="307">
        <v>331855.28000000003</v>
      </c>
      <c r="I12" s="90">
        <f t="shared" ref="I12:I16" si="2">IF(F12&gt;0.2,IF(M12&gt;0,IF(J12&gt;M12,M12,IF((F12*M12)&gt;J12,F12*M12,J12)),M12),0)</f>
        <v>40882.719999999972</v>
      </c>
      <c r="J12" s="63">
        <v>17359.580582792041</v>
      </c>
      <c r="K12" s="63">
        <f t="shared" ref="K12:K16" si="3">I12-J12</f>
        <v>23523.139417207931</v>
      </c>
      <c r="L12" s="63">
        <f t="shared" ref="L12:L16" si="4">E12-G12</f>
        <v>0</v>
      </c>
      <c r="M12" s="63">
        <f t="shared" ref="M12:M16" si="5">E12-H12</f>
        <v>40882.719999999972</v>
      </c>
      <c r="N12" s="308">
        <v>45747</v>
      </c>
      <c r="O12" s="63">
        <f t="shared" ref="O12:O16" si="6">M12-P12</f>
        <v>0</v>
      </c>
      <c r="P12" s="63">
        <v>40882.719999999972</v>
      </c>
    </row>
    <row r="13" spans="1:16" ht="25.5" customHeight="1">
      <c r="A13" s="91">
        <v>51.113599999999998</v>
      </c>
      <c r="B13" s="65" t="s">
        <v>43</v>
      </c>
      <c r="C13" s="64" t="s">
        <v>48</v>
      </c>
      <c r="D13" s="64" t="s">
        <v>41</v>
      </c>
      <c r="E13" s="306">
        <v>5483550</v>
      </c>
      <c r="F13" s="238">
        <f t="shared" si="0"/>
        <v>1</v>
      </c>
      <c r="G13" s="90">
        <f t="shared" si="1"/>
        <v>5483550</v>
      </c>
      <c r="H13" s="307">
        <v>4531817.8600000003</v>
      </c>
      <c r="I13" s="90">
        <f t="shared" si="2"/>
        <v>951732.13999999966</v>
      </c>
      <c r="J13" s="63">
        <v>758905.78605212795</v>
      </c>
      <c r="K13" s="63">
        <f t="shared" si="3"/>
        <v>192826.35394787171</v>
      </c>
      <c r="L13" s="63">
        <f t="shared" si="4"/>
        <v>0</v>
      </c>
      <c r="M13" s="63">
        <f t="shared" si="5"/>
        <v>951732.13999999966</v>
      </c>
      <c r="N13" s="308">
        <v>46053</v>
      </c>
      <c r="O13" s="63">
        <f t="shared" si="6"/>
        <v>-281873.86000000034</v>
      </c>
      <c r="P13" s="63">
        <v>1233606</v>
      </c>
    </row>
    <row r="14" spans="1:16" ht="25.5" customHeight="1">
      <c r="A14" s="91">
        <v>51.113799999999998</v>
      </c>
      <c r="B14" s="65" t="s">
        <v>45</v>
      </c>
      <c r="C14" s="64" t="s">
        <v>102</v>
      </c>
      <c r="D14" s="64" t="s">
        <v>47</v>
      </c>
      <c r="E14" s="306">
        <v>1120182.07</v>
      </c>
      <c r="F14" s="238">
        <f t="shared" si="0"/>
        <v>1</v>
      </c>
      <c r="G14" s="90">
        <f t="shared" si="1"/>
        <v>1120182.07</v>
      </c>
      <c r="H14" s="307">
        <v>1167704.1499999999</v>
      </c>
      <c r="I14" s="90">
        <f t="shared" si="2"/>
        <v>-47522.079999999842</v>
      </c>
      <c r="J14" s="63">
        <v>77778.099073409947</v>
      </c>
      <c r="K14" s="63">
        <f t="shared" si="3"/>
        <v>-125300.17907340979</v>
      </c>
      <c r="L14" s="63">
        <f t="shared" si="4"/>
        <v>0</v>
      </c>
      <c r="M14" s="63">
        <f t="shared" si="5"/>
        <v>-47522.079999999842</v>
      </c>
      <c r="N14" s="308">
        <v>45802</v>
      </c>
      <c r="O14" s="63">
        <f t="shared" si="6"/>
        <v>0</v>
      </c>
      <c r="P14" s="63">
        <v>-47522.079999999842</v>
      </c>
    </row>
    <row r="15" spans="1:16" ht="25.5" customHeight="1">
      <c r="A15" s="91">
        <v>51.113900000000001</v>
      </c>
      <c r="B15" s="65" t="s">
        <v>46</v>
      </c>
      <c r="C15" s="64" t="s">
        <v>102</v>
      </c>
      <c r="D15" s="64" t="s">
        <v>47</v>
      </c>
      <c r="E15" s="306">
        <v>61902</v>
      </c>
      <c r="F15" s="238">
        <f t="shared" si="0"/>
        <v>1</v>
      </c>
      <c r="G15" s="90">
        <f t="shared" si="1"/>
        <v>61902</v>
      </c>
      <c r="H15" s="307">
        <v>56994.44</v>
      </c>
      <c r="I15" s="90">
        <f t="shared" si="2"/>
        <v>4907.5599999999977</v>
      </c>
      <c r="J15" s="63">
        <v>4426.3589929115478</v>
      </c>
      <c r="K15" s="63">
        <f t="shared" si="3"/>
        <v>481.20100708844984</v>
      </c>
      <c r="L15" s="63">
        <f t="shared" si="4"/>
        <v>0</v>
      </c>
      <c r="M15" s="63">
        <f t="shared" si="5"/>
        <v>4907.5599999999977</v>
      </c>
      <c r="N15" s="308">
        <v>46053</v>
      </c>
      <c r="O15" s="63">
        <f t="shared" si="6"/>
        <v>-5300.1699999999983</v>
      </c>
      <c r="P15" s="63">
        <v>10207.729999999996</v>
      </c>
    </row>
    <row r="16" spans="1:16" ht="25.5" customHeight="1">
      <c r="A16" s="91">
        <v>51.114100000000001</v>
      </c>
      <c r="B16" s="65" t="s">
        <v>49</v>
      </c>
      <c r="C16" s="64" t="s">
        <v>50</v>
      </c>
      <c r="D16" s="64" t="s">
        <v>41</v>
      </c>
      <c r="E16" s="306">
        <v>3967189.79</v>
      </c>
      <c r="F16" s="238">
        <f t="shared" si="0"/>
        <v>1</v>
      </c>
      <c r="G16" s="90">
        <f t="shared" si="1"/>
        <v>3967189.79</v>
      </c>
      <c r="H16" s="307">
        <f>3846103.91-11009.18</f>
        <v>3835094.73</v>
      </c>
      <c r="I16" s="90">
        <f t="shared" si="2"/>
        <v>132095.06000000006</v>
      </c>
      <c r="J16" s="63">
        <v>79920.298670616976</v>
      </c>
      <c r="K16" s="63">
        <f t="shared" si="3"/>
        <v>52174.76132938308</v>
      </c>
      <c r="L16" s="63">
        <f t="shared" si="4"/>
        <v>0</v>
      </c>
      <c r="M16" s="63">
        <f t="shared" si="5"/>
        <v>132095.06000000006</v>
      </c>
      <c r="N16" s="308">
        <v>45777</v>
      </c>
      <c r="O16" s="63">
        <f t="shared" si="6"/>
        <v>0</v>
      </c>
      <c r="P16" s="63">
        <v>132095.06000000006</v>
      </c>
    </row>
    <row r="17" spans="1:16" ht="25.5" customHeight="1">
      <c r="A17" s="91">
        <v>51.1143</v>
      </c>
      <c r="B17" s="65" t="s">
        <v>51</v>
      </c>
      <c r="C17" s="64" t="s">
        <v>29</v>
      </c>
      <c r="D17" s="64" t="s">
        <v>41</v>
      </c>
      <c r="E17" s="90">
        <v>1991231.37</v>
      </c>
      <c r="F17" s="247">
        <f t="shared" ref="F17:F19" si="7">H17/(E17-M17)</f>
        <v>1</v>
      </c>
      <c r="G17" s="90">
        <f t="shared" ref="G17:G21" si="8">H17+I17</f>
        <v>1991231.37</v>
      </c>
      <c r="H17" s="90">
        <v>1758132.57</v>
      </c>
      <c r="I17" s="90">
        <f t="shared" ref="I17:I21" si="9">IF(F17&gt;0.2,IF(M17&gt;0,IF(J17&gt;M17,M17,IF((F17*M17)&gt;J17,F17*M17,J17)),M17),0)</f>
        <v>233098.80000000005</v>
      </c>
      <c r="J17" s="63">
        <v>226011.76285223232</v>
      </c>
      <c r="K17" s="63">
        <f t="shared" ref="K17:K21" si="10">I17-J17</f>
        <v>7087.0371477677254</v>
      </c>
      <c r="L17" s="63">
        <f t="shared" ref="L17:L21" si="11">E17-G17</f>
        <v>0</v>
      </c>
      <c r="M17" s="63">
        <f>E17-H17</f>
        <v>233098.80000000005</v>
      </c>
      <c r="N17" s="283">
        <v>45833</v>
      </c>
      <c r="O17" s="63">
        <f t="shared" ref="O17:O21" si="12">M17-P17</f>
        <v>0</v>
      </c>
      <c r="P17" s="63">
        <v>233098.80000000005</v>
      </c>
    </row>
    <row r="18" spans="1:16" ht="25.5" customHeight="1">
      <c r="A18" s="91">
        <v>51.114699999999999</v>
      </c>
      <c r="B18" s="65" t="s">
        <v>54</v>
      </c>
      <c r="C18" s="64" t="s">
        <v>29</v>
      </c>
      <c r="D18" s="64" t="s">
        <v>41</v>
      </c>
      <c r="E18" s="90">
        <v>2742860.08</v>
      </c>
      <c r="F18" s="247">
        <f t="shared" si="7"/>
        <v>1</v>
      </c>
      <c r="G18" s="90">
        <f t="shared" si="8"/>
        <v>2742860.08</v>
      </c>
      <c r="H18" s="90">
        <f>2547017.95+1595.47+111.5</f>
        <v>2548724.9200000004</v>
      </c>
      <c r="I18" s="90">
        <f t="shared" si="9"/>
        <v>194135.15999999968</v>
      </c>
      <c r="J18" s="63">
        <v>128284.53515962398</v>
      </c>
      <c r="K18" s="63">
        <f t="shared" si="10"/>
        <v>65850.624840375705</v>
      </c>
      <c r="L18" s="63">
        <f t="shared" si="11"/>
        <v>0</v>
      </c>
      <c r="M18" s="63">
        <f>E18-H18</f>
        <v>194135.15999999968</v>
      </c>
      <c r="N18" s="283">
        <v>46053</v>
      </c>
      <c r="O18" s="63">
        <f t="shared" si="12"/>
        <v>-111.5</v>
      </c>
      <c r="P18" s="63">
        <v>194246.65999999968</v>
      </c>
    </row>
    <row r="19" spans="1:16" ht="25.5" customHeight="1">
      <c r="A19" s="91">
        <v>51.115000000000002</v>
      </c>
      <c r="B19" s="65" t="s">
        <v>57</v>
      </c>
      <c r="C19" s="64" t="s">
        <v>41</v>
      </c>
      <c r="D19" s="64" t="s">
        <v>58</v>
      </c>
      <c r="E19" s="306">
        <v>2486231.58</v>
      </c>
      <c r="F19" s="238">
        <f t="shared" si="7"/>
        <v>1</v>
      </c>
      <c r="G19" s="90">
        <f t="shared" si="8"/>
        <v>2486231.58</v>
      </c>
      <c r="H19" s="307">
        <v>2239435.14</v>
      </c>
      <c r="I19" s="90">
        <f t="shared" si="9"/>
        <v>246796.43999999994</v>
      </c>
      <c r="J19" s="63">
        <v>166471.82949694013</v>
      </c>
      <c r="K19" s="63">
        <f t="shared" si="10"/>
        <v>80324.610503059812</v>
      </c>
      <c r="L19" s="63">
        <f t="shared" si="11"/>
        <v>0</v>
      </c>
      <c r="M19" s="63">
        <f t="shared" ref="M19" si="13">E19-H19</f>
        <v>246796.43999999994</v>
      </c>
      <c r="N19" s="283">
        <v>45747</v>
      </c>
      <c r="O19" s="63">
        <f t="shared" si="12"/>
        <v>0</v>
      </c>
      <c r="P19" s="63">
        <v>246796.43999999994</v>
      </c>
    </row>
    <row r="20" spans="1:16" ht="25.5" customHeight="1">
      <c r="A20" s="91">
        <v>51.115600000000001</v>
      </c>
      <c r="B20" s="65" t="s">
        <v>273</v>
      </c>
      <c r="C20" s="64" t="s">
        <v>37</v>
      </c>
      <c r="D20" s="64" t="s">
        <v>37</v>
      </c>
      <c r="E20" s="306"/>
      <c r="F20" s="238">
        <f>H20/(E20-M20)</f>
        <v>1</v>
      </c>
      <c r="G20" s="90">
        <f t="shared" si="8"/>
        <v>0</v>
      </c>
      <c r="H20" s="307">
        <v>1426058.69</v>
      </c>
      <c r="I20" s="90">
        <f t="shared" si="9"/>
        <v>-1426058.69</v>
      </c>
      <c r="J20" s="63">
        <v>0</v>
      </c>
      <c r="K20" s="63">
        <f t="shared" si="10"/>
        <v>-1426058.69</v>
      </c>
      <c r="L20" s="63">
        <f t="shared" si="11"/>
        <v>0</v>
      </c>
      <c r="M20" s="63">
        <f>-H20</f>
        <v>-1426058.69</v>
      </c>
      <c r="N20" s="283">
        <v>46022</v>
      </c>
      <c r="O20" s="63">
        <f t="shared" si="12"/>
        <v>-176737.45999999996</v>
      </c>
      <c r="P20" s="63">
        <v>-1249321.23</v>
      </c>
    </row>
    <row r="21" spans="1:16" ht="25.5" customHeight="1">
      <c r="A21" s="91">
        <v>51.115699999999997</v>
      </c>
      <c r="B21" s="65" t="s">
        <v>274</v>
      </c>
      <c r="C21" s="64" t="s">
        <v>37</v>
      </c>
      <c r="D21" s="64" t="s">
        <v>37</v>
      </c>
      <c r="E21" s="306"/>
      <c r="F21" s="238">
        <f>H21/(E21-M21)</f>
        <v>1</v>
      </c>
      <c r="G21" s="90">
        <f t="shared" si="8"/>
        <v>0</v>
      </c>
      <c r="H21" s="307">
        <v>613546.52</v>
      </c>
      <c r="I21" s="90">
        <f t="shared" si="9"/>
        <v>-613546.52</v>
      </c>
      <c r="J21" s="63">
        <v>0</v>
      </c>
      <c r="K21" s="63">
        <f t="shared" si="10"/>
        <v>-613546.52</v>
      </c>
      <c r="L21" s="63">
        <f t="shared" si="11"/>
        <v>0</v>
      </c>
      <c r="M21" s="63">
        <f>-H21</f>
        <v>-613546.52</v>
      </c>
      <c r="N21" s="283">
        <v>46022</v>
      </c>
      <c r="O21" s="63">
        <f t="shared" si="12"/>
        <v>-61155.969999999972</v>
      </c>
      <c r="P21" s="63">
        <v>-552390.55000000005</v>
      </c>
    </row>
    <row r="22" spans="1:16" ht="14.25" customHeight="1">
      <c r="A22" s="288"/>
      <c r="B22" s="289"/>
      <c r="C22" s="8"/>
      <c r="D22" s="8"/>
      <c r="E22" s="13"/>
      <c r="F22" s="9"/>
      <c r="G22" s="10"/>
      <c r="H22" s="11"/>
      <c r="I22" s="10"/>
      <c r="J22" s="10"/>
      <c r="K22" s="10"/>
      <c r="L22" s="10"/>
      <c r="M22" s="10"/>
      <c r="N22" s="14"/>
      <c r="O22" s="10"/>
      <c r="P22" s="10"/>
    </row>
    <row r="23" spans="1:16" s="203" customFormat="1" ht="15" customHeight="1">
      <c r="A23" s="200"/>
      <c r="B23" s="200" t="s">
        <v>159</v>
      </c>
      <c r="C23" s="201"/>
      <c r="D23" s="201"/>
      <c r="E23" s="202">
        <f>SUM(E12:E22)</f>
        <v>18225884.890000001</v>
      </c>
      <c r="F23" s="202"/>
      <c r="G23" s="202">
        <f t="shared" ref="G23:M23" si="14">SUM(G12:G22)</f>
        <v>18225884.890000001</v>
      </c>
      <c r="H23" s="202">
        <f t="shared" si="14"/>
        <v>18509364.300000001</v>
      </c>
      <c r="I23" s="202">
        <f t="shared" si="14"/>
        <v>-283479.41000000038</v>
      </c>
      <c r="J23" s="202">
        <f t="shared" si="14"/>
        <v>1459158.2508806547</v>
      </c>
      <c r="K23" s="202">
        <f t="shared" si="14"/>
        <v>-1742637.6608806555</v>
      </c>
      <c r="L23" s="202">
        <f t="shared" si="14"/>
        <v>0</v>
      </c>
      <c r="M23" s="202">
        <f t="shared" si="14"/>
        <v>-283479.41000000038</v>
      </c>
      <c r="N23" s="202"/>
      <c r="O23" s="202">
        <f t="shared" ref="O23:P23" si="15">SUM(O12:O22)</f>
        <v>-525178.9600000002</v>
      </c>
      <c r="P23" s="202">
        <f t="shared" si="15"/>
        <v>241699.54999999981</v>
      </c>
    </row>
    <row r="24" spans="1:16" ht="14.25" customHeight="1">
      <c r="I24" s="5"/>
      <c r="J24" s="5"/>
      <c r="K24" s="5"/>
    </row>
    <row r="25" spans="1:16" ht="12" customHeight="1">
      <c r="A25" s="4" t="s">
        <v>60</v>
      </c>
      <c r="B25" s="113" t="s">
        <v>61</v>
      </c>
      <c r="C25" s="114"/>
      <c r="D25" s="115"/>
      <c r="E25" s="116"/>
      <c r="F25" s="116"/>
      <c r="G25" s="116"/>
      <c r="H25" s="116"/>
      <c r="I25" s="116"/>
      <c r="J25" s="116"/>
      <c r="K25" s="116"/>
      <c r="L25" s="117"/>
      <c r="M25" s="116"/>
      <c r="N25" s="174"/>
      <c r="O25" s="116"/>
      <c r="P25" s="116"/>
    </row>
    <row r="26" spans="1:16" ht="12" customHeight="1">
      <c r="B26" s="114"/>
      <c r="C26" s="114"/>
      <c r="D26" s="115"/>
      <c r="E26" s="116"/>
      <c r="F26" s="116"/>
      <c r="G26" s="116"/>
      <c r="H26" s="116"/>
      <c r="I26" s="116"/>
      <c r="J26" s="116"/>
      <c r="K26" s="116"/>
      <c r="L26" s="117"/>
      <c r="M26" s="116"/>
      <c r="N26" s="116"/>
      <c r="O26" s="116"/>
      <c r="P26" s="116"/>
    </row>
    <row r="27" spans="1:16" ht="25.5" customHeight="1">
      <c r="A27" s="91">
        <v>52.856699999999996</v>
      </c>
      <c r="B27" s="65" t="s">
        <v>70</v>
      </c>
      <c r="C27" s="64" t="s">
        <v>71</v>
      </c>
      <c r="D27" s="64" t="s">
        <v>72</v>
      </c>
      <c r="E27" s="90">
        <v>3059858.99</v>
      </c>
      <c r="F27" s="247">
        <f t="shared" ref="F27:F33" si="16">+H27/(E27-M27)</f>
        <v>1</v>
      </c>
      <c r="G27" s="90">
        <f t="shared" ref="G27:G33" si="17">H27+I27</f>
        <v>3059858.99</v>
      </c>
      <c r="H27" s="90">
        <v>3128023.93</v>
      </c>
      <c r="I27" s="90">
        <f t="shared" ref="I27:I33" si="18">IF(F27&gt;0.2,IF(M27&gt;0,IF(J27&gt;M27,M27,IF((F27*M27)&gt;J27,F27*M27,J27)),M27),0)</f>
        <v>-68164.939999999944</v>
      </c>
      <c r="J27" s="63">
        <v>-83000</v>
      </c>
      <c r="K27" s="63">
        <f t="shared" ref="K27:K33" si="19">I27-J27</f>
        <v>14835.060000000056</v>
      </c>
      <c r="L27" s="63">
        <f t="shared" ref="L27:L33" si="20">E27-G27</f>
        <v>0</v>
      </c>
      <c r="M27" s="63">
        <f t="shared" ref="M27:M60" si="21">E27-H27</f>
        <v>-68164.939999999944</v>
      </c>
      <c r="N27" s="283">
        <v>45807</v>
      </c>
      <c r="O27" s="63">
        <f t="shared" ref="O27:O33" si="22">M27-P27</f>
        <v>0</v>
      </c>
      <c r="P27" s="63">
        <v>-68164.939999999944</v>
      </c>
    </row>
    <row r="28" spans="1:16" ht="25.5">
      <c r="A28" s="91">
        <v>52.860399999999998</v>
      </c>
      <c r="B28" s="65" t="s">
        <v>76</v>
      </c>
      <c r="C28" s="64" t="s">
        <v>73</v>
      </c>
      <c r="D28" s="64" t="s">
        <v>77</v>
      </c>
      <c r="E28" s="90">
        <v>5095690.97</v>
      </c>
      <c r="F28" s="247">
        <f t="shared" si="16"/>
        <v>1</v>
      </c>
      <c r="G28" s="90">
        <f t="shared" si="17"/>
        <v>5095690.97</v>
      </c>
      <c r="H28" s="90">
        <f>4573089.88-586.65</f>
        <v>4572503.2299999995</v>
      </c>
      <c r="I28" s="90">
        <f t="shared" si="18"/>
        <v>523187.74000000022</v>
      </c>
      <c r="J28" s="63">
        <v>329989.13269960659</v>
      </c>
      <c r="K28" s="63">
        <f t="shared" si="19"/>
        <v>193198.60730039363</v>
      </c>
      <c r="L28" s="63">
        <f t="shared" si="20"/>
        <v>0</v>
      </c>
      <c r="M28" s="63">
        <f t="shared" si="21"/>
        <v>523187.74000000022</v>
      </c>
      <c r="N28" s="283">
        <v>45838</v>
      </c>
      <c r="O28" s="63">
        <f t="shared" si="22"/>
        <v>0</v>
      </c>
      <c r="P28" s="63">
        <v>523187.74000000022</v>
      </c>
    </row>
    <row r="29" spans="1:16" ht="25.5">
      <c r="A29" s="91">
        <v>52.8628</v>
      </c>
      <c r="B29" s="65" t="s">
        <v>79</v>
      </c>
      <c r="C29" s="64" t="s">
        <v>78</v>
      </c>
      <c r="D29" s="64" t="s">
        <v>75</v>
      </c>
      <c r="E29" s="90">
        <v>5213345.5</v>
      </c>
      <c r="F29" s="247">
        <f t="shared" si="16"/>
        <v>1</v>
      </c>
      <c r="G29" s="90">
        <f t="shared" si="17"/>
        <v>5213345.5</v>
      </c>
      <c r="H29" s="90">
        <v>4745798.53</v>
      </c>
      <c r="I29" s="90">
        <f t="shared" si="18"/>
        <v>467546.96999999974</v>
      </c>
      <c r="J29" s="63">
        <v>197224.75376923761</v>
      </c>
      <c r="K29" s="63">
        <f t="shared" si="19"/>
        <v>270322.21623076213</v>
      </c>
      <c r="L29" s="63">
        <f t="shared" si="20"/>
        <v>0</v>
      </c>
      <c r="M29" s="63">
        <f t="shared" si="21"/>
        <v>467546.96999999974</v>
      </c>
      <c r="N29" s="283">
        <v>46022</v>
      </c>
      <c r="O29" s="63">
        <f t="shared" si="22"/>
        <v>42546.969999999739</v>
      </c>
      <c r="P29" s="63">
        <v>425000</v>
      </c>
    </row>
    <row r="30" spans="1:16" ht="25.5">
      <c r="A30" s="91">
        <v>52.863100000000003</v>
      </c>
      <c r="B30" s="65" t="s">
        <v>80</v>
      </c>
      <c r="C30" s="64" t="s">
        <v>71</v>
      </c>
      <c r="D30" s="64" t="s">
        <v>72</v>
      </c>
      <c r="E30" s="90">
        <v>2560650.14</v>
      </c>
      <c r="F30" s="247">
        <f t="shared" si="16"/>
        <v>1</v>
      </c>
      <c r="G30" s="90">
        <f t="shared" si="17"/>
        <v>2560650.14</v>
      </c>
      <c r="H30" s="90">
        <v>2448658.2599999998</v>
      </c>
      <c r="I30" s="90">
        <f t="shared" si="18"/>
        <v>111991.88000000035</v>
      </c>
      <c r="J30" s="63">
        <v>73003.700537153374</v>
      </c>
      <c r="K30" s="63">
        <f t="shared" si="19"/>
        <v>38988.17946284698</v>
      </c>
      <c r="L30" s="63">
        <f t="shared" si="20"/>
        <v>0</v>
      </c>
      <c r="M30" s="63">
        <f t="shared" si="21"/>
        <v>111991.88000000035</v>
      </c>
      <c r="N30" s="283">
        <v>46022</v>
      </c>
      <c r="O30" s="63">
        <f t="shared" si="22"/>
        <v>-5008.1199999996461</v>
      </c>
      <c r="P30" s="63">
        <v>117000</v>
      </c>
    </row>
    <row r="31" spans="1:16" ht="25.5">
      <c r="A31" s="91">
        <v>52.865200000000002</v>
      </c>
      <c r="B31" s="65" t="s">
        <v>88</v>
      </c>
      <c r="C31" s="64" t="s">
        <v>89</v>
      </c>
      <c r="D31" s="64" t="s">
        <v>72</v>
      </c>
      <c r="E31" s="90">
        <v>1290184</v>
      </c>
      <c r="F31" s="247">
        <f t="shared" si="16"/>
        <v>1</v>
      </c>
      <c r="G31" s="90">
        <f t="shared" si="17"/>
        <v>1290184</v>
      </c>
      <c r="H31" s="90">
        <f>1039279.07+97.01</f>
        <v>1039376.08</v>
      </c>
      <c r="I31" s="90">
        <f t="shared" si="18"/>
        <v>250807.92000000004</v>
      </c>
      <c r="J31" s="63">
        <v>170698.83744000029</v>
      </c>
      <c r="K31" s="63">
        <f t="shared" si="19"/>
        <v>80109.082559999748</v>
      </c>
      <c r="L31" s="63">
        <f t="shared" si="20"/>
        <v>0</v>
      </c>
      <c r="M31" s="63">
        <f t="shared" si="21"/>
        <v>250807.92000000004</v>
      </c>
      <c r="N31" s="283">
        <v>45911</v>
      </c>
      <c r="O31" s="63">
        <f t="shared" si="22"/>
        <v>0</v>
      </c>
      <c r="P31" s="63">
        <v>250807.92000000004</v>
      </c>
    </row>
    <row r="32" spans="1:16" ht="25.5">
      <c r="A32" s="91">
        <v>52.8658</v>
      </c>
      <c r="B32" s="65" t="s">
        <v>90</v>
      </c>
      <c r="C32" s="64" t="s">
        <v>91</v>
      </c>
      <c r="D32" s="64" t="s">
        <v>75</v>
      </c>
      <c r="E32" s="90">
        <v>1870914.99</v>
      </c>
      <c r="F32" s="247">
        <f t="shared" si="16"/>
        <v>1</v>
      </c>
      <c r="G32" s="90">
        <f t="shared" si="17"/>
        <v>1870914.99</v>
      </c>
      <c r="H32" s="90">
        <v>1633530.21</v>
      </c>
      <c r="I32" s="90">
        <f t="shared" si="18"/>
        <v>237384.78000000003</v>
      </c>
      <c r="J32" s="63">
        <v>148751</v>
      </c>
      <c r="K32" s="63">
        <f t="shared" si="19"/>
        <v>88633.780000000028</v>
      </c>
      <c r="L32" s="63">
        <f t="shared" si="20"/>
        <v>0</v>
      </c>
      <c r="M32" s="63">
        <f t="shared" si="21"/>
        <v>237384.78000000003</v>
      </c>
      <c r="N32" s="283">
        <v>45868</v>
      </c>
      <c r="O32" s="63">
        <f t="shared" si="22"/>
        <v>0</v>
      </c>
      <c r="P32" s="63">
        <v>237384.78000000003</v>
      </c>
    </row>
    <row r="33" spans="1:16" ht="25.5">
      <c r="A33" s="91">
        <v>52.866300000000003</v>
      </c>
      <c r="B33" s="65" t="s">
        <v>157</v>
      </c>
      <c r="C33" s="64" t="s">
        <v>52</v>
      </c>
      <c r="D33" s="64" t="s">
        <v>67</v>
      </c>
      <c r="E33" s="90">
        <v>1641800</v>
      </c>
      <c r="F33" s="247">
        <f t="shared" si="16"/>
        <v>1</v>
      </c>
      <c r="G33" s="90">
        <f t="shared" si="17"/>
        <v>1641800</v>
      </c>
      <c r="H33" s="90">
        <v>1379688.28</v>
      </c>
      <c r="I33" s="90">
        <f t="shared" si="18"/>
        <v>262111.71999999997</v>
      </c>
      <c r="J33" s="63">
        <v>42676.950827370209</v>
      </c>
      <c r="K33" s="63">
        <f t="shared" si="19"/>
        <v>219434.76917262975</v>
      </c>
      <c r="L33" s="63">
        <f t="shared" si="20"/>
        <v>0</v>
      </c>
      <c r="M33" s="63">
        <f t="shared" si="21"/>
        <v>262111.71999999997</v>
      </c>
      <c r="N33" s="283">
        <v>46081</v>
      </c>
      <c r="O33" s="63">
        <f t="shared" si="22"/>
        <v>2111.7199999999721</v>
      </c>
      <c r="P33" s="63">
        <v>260000</v>
      </c>
    </row>
    <row r="34" spans="1:16" ht="25.5">
      <c r="A34" s="91">
        <v>52.866700000000002</v>
      </c>
      <c r="B34" s="65" t="s">
        <v>229</v>
      </c>
      <c r="C34" s="64" t="s">
        <v>81</v>
      </c>
      <c r="D34" s="64" t="s">
        <v>72</v>
      </c>
      <c r="E34" s="90">
        <v>314085.77</v>
      </c>
      <c r="F34" s="247">
        <f t="shared" ref="F34" si="23">+H34/(E34-M34)</f>
        <v>1</v>
      </c>
      <c r="G34" s="90">
        <f t="shared" ref="G34" si="24">H34+I34</f>
        <v>314085.77</v>
      </c>
      <c r="H34" s="90">
        <v>290726.11</v>
      </c>
      <c r="I34" s="90">
        <f>IF(F34&gt;0.3,IF(M34&gt;0,IF(J34&gt;M34,M34,IF((F34*M34)&gt;J34,F34*M34,J34)),M34),0)</f>
        <v>23359.660000000033</v>
      </c>
      <c r="J34" s="63">
        <v>26868.865348399246</v>
      </c>
      <c r="K34" s="63">
        <f t="shared" ref="K34" si="25">I34-J34</f>
        <v>-3509.2053483992131</v>
      </c>
      <c r="L34" s="63">
        <f t="shared" ref="L34" si="26">E34-G34</f>
        <v>0</v>
      </c>
      <c r="M34" s="63">
        <f t="shared" si="21"/>
        <v>23359.660000000033</v>
      </c>
      <c r="N34" s="283">
        <v>45808</v>
      </c>
      <c r="O34" s="63">
        <f t="shared" ref="O34" si="27">M34-P34</f>
        <v>0</v>
      </c>
      <c r="P34" s="63">
        <v>23359.660000000033</v>
      </c>
    </row>
    <row r="35" spans="1:16" ht="25.5">
      <c r="A35" s="91">
        <v>52.866999999999997</v>
      </c>
      <c r="B35" s="65" t="s">
        <v>238</v>
      </c>
      <c r="C35" s="64" t="s">
        <v>81</v>
      </c>
      <c r="D35" s="64" t="s">
        <v>75</v>
      </c>
      <c r="E35" s="90">
        <v>274166.01</v>
      </c>
      <c r="F35" s="247">
        <f t="shared" ref="F35" si="28">+H35/(E35-M35)</f>
        <v>1</v>
      </c>
      <c r="G35" s="90">
        <f t="shared" ref="G35" si="29">H35+I35</f>
        <v>274166.01</v>
      </c>
      <c r="H35" s="90">
        <v>267282.05</v>
      </c>
      <c r="I35" s="90">
        <f>IF(F35&gt;0.3,IF(M35&gt;0,IF(J35&gt;M35,M35,IF((F35*M35)&gt;J35,F35*M35,J35)),M35),0)</f>
        <v>6883.960000000021</v>
      </c>
      <c r="J35" s="63">
        <v>10404.4355848992</v>
      </c>
      <c r="K35" s="63">
        <f t="shared" ref="K35" si="30">I35-J35</f>
        <v>-3520.475584899179</v>
      </c>
      <c r="L35" s="63">
        <f t="shared" ref="L35" si="31">E35-G35</f>
        <v>0</v>
      </c>
      <c r="M35" s="63">
        <f t="shared" si="21"/>
        <v>6883.960000000021</v>
      </c>
      <c r="N35" s="283">
        <v>45838</v>
      </c>
      <c r="O35" s="63">
        <f t="shared" ref="O35" si="32">M35-P35</f>
        <v>0</v>
      </c>
      <c r="P35" s="63">
        <v>6883.960000000021</v>
      </c>
    </row>
    <row r="36" spans="1:16" ht="25.5">
      <c r="A36" s="91">
        <v>52.867400000000004</v>
      </c>
      <c r="B36" s="65" t="s">
        <v>235</v>
      </c>
      <c r="C36" s="64" t="s">
        <v>71</v>
      </c>
      <c r="D36" s="64" t="s">
        <v>75</v>
      </c>
      <c r="E36" s="90">
        <v>279244</v>
      </c>
      <c r="F36" s="247">
        <f t="shared" ref="F36:F60" si="33">+H36/(E36-M36)</f>
        <v>1</v>
      </c>
      <c r="G36" s="90">
        <f t="shared" ref="G36:G60" si="34">H36+I36</f>
        <v>279244</v>
      </c>
      <c r="H36" s="90">
        <v>251088.2</v>
      </c>
      <c r="I36" s="90">
        <f t="shared" ref="I36:I60" si="35">IF(F36&gt;0.2,IF(M36&gt;0,IF(J36&gt;M36,M36,IF((F36*M36)&gt;J36,F36*M36,J36)),M36),0)</f>
        <v>28155.799999999988</v>
      </c>
      <c r="J36" s="63">
        <v>15534.58355022051</v>
      </c>
      <c r="K36" s="63">
        <f>I36-J36</f>
        <v>12621.216449779478</v>
      </c>
      <c r="L36" s="63">
        <f t="shared" ref="L36:L60" si="36">E36-G36</f>
        <v>0</v>
      </c>
      <c r="M36" s="63">
        <f t="shared" si="21"/>
        <v>28155.799999999988</v>
      </c>
      <c r="N36" s="283">
        <v>45688</v>
      </c>
      <c r="O36" s="63">
        <f t="shared" ref="O36:O60" si="37">M36-P36</f>
        <v>0</v>
      </c>
      <c r="P36" s="63">
        <v>28155.799999999988</v>
      </c>
    </row>
    <row r="37" spans="1:16" ht="25.5">
      <c r="A37" s="91">
        <v>52.867699999999999</v>
      </c>
      <c r="B37" s="65" t="s">
        <v>239</v>
      </c>
      <c r="C37" s="64" t="s">
        <v>71</v>
      </c>
      <c r="D37" s="64" t="s">
        <v>75</v>
      </c>
      <c r="E37" s="90">
        <v>796055.3</v>
      </c>
      <c r="F37" s="247">
        <f t="shared" si="33"/>
        <v>1</v>
      </c>
      <c r="G37" s="90">
        <f t="shared" si="34"/>
        <v>796055.3</v>
      </c>
      <c r="H37" s="90">
        <v>689831.96</v>
      </c>
      <c r="I37" s="90">
        <f t="shared" si="35"/>
        <v>106223.34000000008</v>
      </c>
      <c r="J37" s="63">
        <v>0</v>
      </c>
      <c r="K37" s="63">
        <f t="shared" ref="K37" si="38">I37-J37</f>
        <v>106223.34000000008</v>
      </c>
      <c r="L37" s="63">
        <f t="shared" si="36"/>
        <v>0</v>
      </c>
      <c r="M37" s="63">
        <f t="shared" si="21"/>
        <v>106223.34000000008</v>
      </c>
      <c r="N37" s="283">
        <v>46022</v>
      </c>
      <c r="O37" s="63">
        <f t="shared" si="37"/>
        <v>18223.340000000084</v>
      </c>
      <c r="P37" s="63">
        <v>88000</v>
      </c>
    </row>
    <row r="38" spans="1:16" ht="25.5">
      <c r="A38" s="91">
        <v>52.868000000000002</v>
      </c>
      <c r="B38" s="65" t="s">
        <v>261</v>
      </c>
      <c r="C38" s="64" t="s">
        <v>71</v>
      </c>
      <c r="D38" s="64" t="s">
        <v>71</v>
      </c>
      <c r="E38" s="90">
        <v>29838.25</v>
      </c>
      <c r="F38" s="247">
        <f t="shared" si="33"/>
        <v>1</v>
      </c>
      <c r="G38" s="90">
        <f t="shared" si="34"/>
        <v>29838.25</v>
      </c>
      <c r="H38" s="90">
        <v>26088.33</v>
      </c>
      <c r="I38" s="90">
        <f t="shared" si="35"/>
        <v>3749.9199999999983</v>
      </c>
      <c r="J38" s="63">
        <v>0</v>
      </c>
      <c r="K38" s="63">
        <f t="shared" ref="K38:K42" si="39">I38-J38</f>
        <v>3749.9199999999983</v>
      </c>
      <c r="L38" s="63">
        <f t="shared" si="36"/>
        <v>0</v>
      </c>
      <c r="M38" s="63">
        <f t="shared" si="21"/>
        <v>3749.9199999999983</v>
      </c>
      <c r="N38" s="283">
        <v>45838</v>
      </c>
      <c r="O38" s="63">
        <f t="shared" si="37"/>
        <v>0</v>
      </c>
      <c r="P38" s="63">
        <v>3749.9199999999983</v>
      </c>
    </row>
    <row r="39" spans="1:16" ht="25.5" customHeight="1">
      <c r="A39" s="91">
        <v>52.868200000000002</v>
      </c>
      <c r="B39" s="65" t="s">
        <v>275</v>
      </c>
      <c r="C39" s="64" t="s">
        <v>67</v>
      </c>
      <c r="D39" s="64" t="s">
        <v>67</v>
      </c>
      <c r="E39" s="90"/>
      <c r="F39" s="247">
        <f t="shared" si="33"/>
        <v>1</v>
      </c>
      <c r="G39" s="90">
        <f t="shared" si="34"/>
        <v>0</v>
      </c>
      <c r="H39" s="90">
        <v>1121157.1000000001</v>
      </c>
      <c r="I39" s="90">
        <f t="shared" si="35"/>
        <v>-1121157.1000000001</v>
      </c>
      <c r="J39" s="63">
        <v>0</v>
      </c>
      <c r="K39" s="63">
        <f t="shared" si="39"/>
        <v>-1121157.1000000001</v>
      </c>
      <c r="L39" s="63">
        <f t="shared" si="36"/>
        <v>0</v>
      </c>
      <c r="M39" s="63">
        <f>-H39</f>
        <v>-1121157.1000000001</v>
      </c>
      <c r="N39" s="283">
        <v>46022</v>
      </c>
      <c r="O39" s="63">
        <f t="shared" si="37"/>
        <v>-156002.7300000001</v>
      </c>
      <c r="P39" s="63">
        <v>-965154.37</v>
      </c>
    </row>
    <row r="40" spans="1:16" ht="25.5" customHeight="1">
      <c r="A40" s="91">
        <v>52.868299999999998</v>
      </c>
      <c r="B40" s="65" t="s">
        <v>276</v>
      </c>
      <c r="C40" s="64" t="s">
        <v>67</v>
      </c>
      <c r="D40" s="64" t="s">
        <v>67</v>
      </c>
      <c r="E40" s="90"/>
      <c r="F40" s="247">
        <f t="shared" si="33"/>
        <v>1</v>
      </c>
      <c r="G40" s="90">
        <f t="shared" si="34"/>
        <v>0</v>
      </c>
      <c r="H40" s="90">
        <v>415452.52</v>
      </c>
      <c r="I40" s="90">
        <f t="shared" si="35"/>
        <v>-415452.52</v>
      </c>
      <c r="J40" s="63">
        <v>0</v>
      </c>
      <c r="K40" s="63">
        <f t="shared" si="39"/>
        <v>-415452.52</v>
      </c>
      <c r="L40" s="63">
        <f t="shared" si="36"/>
        <v>0</v>
      </c>
      <c r="M40" s="63">
        <f>-H40</f>
        <v>-415452.52</v>
      </c>
      <c r="N40" s="283">
        <v>46022</v>
      </c>
      <c r="O40" s="63">
        <f t="shared" si="37"/>
        <v>-64541.140000000014</v>
      </c>
      <c r="P40" s="63">
        <v>-350911.38</v>
      </c>
    </row>
    <row r="41" spans="1:16" ht="25.5">
      <c r="A41" s="91">
        <v>52.868400000000001</v>
      </c>
      <c r="B41" s="65" t="s">
        <v>333</v>
      </c>
      <c r="C41" s="64" t="s">
        <v>29</v>
      </c>
      <c r="D41" s="64" t="s">
        <v>29</v>
      </c>
      <c r="E41" s="90">
        <v>50568.05</v>
      </c>
      <c r="F41" s="247">
        <f t="shared" si="33"/>
        <v>1</v>
      </c>
      <c r="G41" s="90">
        <f t="shared" si="34"/>
        <v>50568.05</v>
      </c>
      <c r="H41" s="90">
        <f>45194.09+97.3</f>
        <v>45291.39</v>
      </c>
      <c r="I41" s="90">
        <f t="shared" si="35"/>
        <v>5276.6600000000035</v>
      </c>
      <c r="J41" s="63">
        <v>0</v>
      </c>
      <c r="K41" s="63">
        <f t="shared" si="39"/>
        <v>5276.6600000000035</v>
      </c>
      <c r="L41" s="63">
        <f t="shared" si="36"/>
        <v>0</v>
      </c>
      <c r="M41" s="63">
        <f t="shared" si="21"/>
        <v>5276.6600000000035</v>
      </c>
      <c r="N41" s="283">
        <v>45939</v>
      </c>
      <c r="O41" s="63">
        <f t="shared" si="37"/>
        <v>830.02999999999884</v>
      </c>
      <c r="P41" s="63">
        <v>4446.6300000000047</v>
      </c>
    </row>
    <row r="42" spans="1:16" ht="25.5">
      <c r="A42" s="91">
        <v>52.868499999999997</v>
      </c>
      <c r="B42" s="65" t="s">
        <v>277</v>
      </c>
      <c r="C42" s="64" t="s">
        <v>71</v>
      </c>
      <c r="D42" s="64" t="s">
        <v>223</v>
      </c>
      <c r="E42" s="90">
        <v>451254</v>
      </c>
      <c r="F42" s="247">
        <f t="shared" si="33"/>
        <v>1</v>
      </c>
      <c r="G42" s="90">
        <f t="shared" si="34"/>
        <v>451254</v>
      </c>
      <c r="H42" s="90">
        <v>382067.32</v>
      </c>
      <c r="I42" s="90">
        <f t="shared" si="35"/>
        <v>69186.679999999993</v>
      </c>
      <c r="J42" s="63">
        <v>0</v>
      </c>
      <c r="K42" s="63">
        <f t="shared" si="39"/>
        <v>69186.679999999993</v>
      </c>
      <c r="L42" s="63">
        <f t="shared" si="36"/>
        <v>0</v>
      </c>
      <c r="M42" s="63">
        <f t="shared" si="21"/>
        <v>69186.679999999993</v>
      </c>
      <c r="N42" s="283">
        <v>46022</v>
      </c>
      <c r="O42" s="63">
        <f t="shared" si="37"/>
        <v>34186.679999999993</v>
      </c>
      <c r="P42" s="63">
        <v>35000</v>
      </c>
    </row>
    <row r="43" spans="1:16" ht="25.5">
      <c r="A43" s="91">
        <v>52.868600000000001</v>
      </c>
      <c r="B43" s="65" t="s">
        <v>262</v>
      </c>
      <c r="C43" s="64" t="s">
        <v>52</v>
      </c>
      <c r="D43" s="64" t="s">
        <v>52</v>
      </c>
      <c r="E43" s="90">
        <v>23957</v>
      </c>
      <c r="F43" s="247">
        <f t="shared" si="33"/>
        <v>0.99999999999999978</v>
      </c>
      <c r="G43" s="90">
        <f t="shared" si="34"/>
        <v>23956.999999999993</v>
      </c>
      <c r="H43" s="90">
        <f>7389.72+115.54</f>
        <v>7505.26</v>
      </c>
      <c r="I43" s="90">
        <f t="shared" si="35"/>
        <v>16451.739999999994</v>
      </c>
      <c r="J43" s="63">
        <v>15372.256719850511</v>
      </c>
      <c r="K43" s="63">
        <f t="shared" ref="K43:K60" si="40">I43-J43</f>
        <v>1079.4832801494831</v>
      </c>
      <c r="L43" s="63">
        <f t="shared" si="36"/>
        <v>0</v>
      </c>
      <c r="M43" s="63">
        <f t="shared" si="21"/>
        <v>16451.739999999998</v>
      </c>
      <c r="N43" s="283">
        <v>46022</v>
      </c>
      <c r="O43" s="63">
        <f t="shared" si="37"/>
        <v>0</v>
      </c>
      <c r="P43" s="63">
        <v>16451.739999999998</v>
      </c>
    </row>
    <row r="44" spans="1:16" ht="25.5">
      <c r="A44" s="91">
        <v>52.8688</v>
      </c>
      <c r="B44" s="65" t="s">
        <v>279</v>
      </c>
      <c r="C44" s="64" t="s">
        <v>71</v>
      </c>
      <c r="D44" s="64" t="s">
        <v>71</v>
      </c>
      <c r="E44" s="90">
        <v>132492.20000000001</v>
      </c>
      <c r="F44" s="247">
        <f t="shared" si="33"/>
        <v>1</v>
      </c>
      <c r="G44" s="90">
        <f t="shared" si="34"/>
        <v>132492.20000000001</v>
      </c>
      <c r="H44" s="90">
        <v>116972.75</v>
      </c>
      <c r="I44" s="90">
        <f t="shared" si="35"/>
        <v>15519.450000000012</v>
      </c>
      <c r="J44" s="63">
        <v>0</v>
      </c>
      <c r="K44" s="63">
        <f t="shared" si="40"/>
        <v>15519.450000000012</v>
      </c>
      <c r="L44" s="63">
        <f t="shared" si="36"/>
        <v>0</v>
      </c>
      <c r="M44" s="63">
        <f t="shared" si="21"/>
        <v>15519.450000000012</v>
      </c>
      <c r="N44" s="283">
        <v>45900</v>
      </c>
      <c r="O44" s="63">
        <f t="shared" si="37"/>
        <v>0</v>
      </c>
      <c r="P44" s="63">
        <v>15519.450000000012</v>
      </c>
    </row>
    <row r="45" spans="1:16" ht="25.5">
      <c r="A45" s="91">
        <v>52.868899999999996</v>
      </c>
      <c r="B45" s="65" t="s">
        <v>280</v>
      </c>
      <c r="C45" s="64" t="s">
        <v>71</v>
      </c>
      <c r="D45" s="64" t="s">
        <v>71</v>
      </c>
      <c r="E45" s="90">
        <v>16665.830000000002</v>
      </c>
      <c r="F45" s="247">
        <f t="shared" si="33"/>
        <v>1</v>
      </c>
      <c r="G45" s="90">
        <f t="shared" si="34"/>
        <v>16665.830000000002</v>
      </c>
      <c r="H45" s="90">
        <v>16095.58</v>
      </c>
      <c r="I45" s="90">
        <f t="shared" si="35"/>
        <v>570.25000000000182</v>
      </c>
      <c r="J45" s="63"/>
      <c r="K45" s="63">
        <f t="shared" si="40"/>
        <v>570.25000000000182</v>
      </c>
      <c r="L45" s="63">
        <f t="shared" si="36"/>
        <v>0</v>
      </c>
      <c r="M45" s="63">
        <f t="shared" si="21"/>
        <v>570.25000000000182</v>
      </c>
      <c r="N45" s="283">
        <v>45808</v>
      </c>
      <c r="O45" s="63">
        <f t="shared" si="37"/>
        <v>0</v>
      </c>
      <c r="P45" s="63">
        <v>570.25000000000182</v>
      </c>
    </row>
    <row r="46" spans="1:16" ht="25.5" customHeight="1">
      <c r="A46" s="91">
        <v>52.869</v>
      </c>
      <c r="B46" s="65" t="s">
        <v>281</v>
      </c>
      <c r="C46" s="64" t="s">
        <v>71</v>
      </c>
      <c r="D46" s="64" t="s">
        <v>71</v>
      </c>
      <c r="E46" s="90">
        <v>14151.97</v>
      </c>
      <c r="F46" s="247">
        <f t="shared" si="33"/>
        <v>1</v>
      </c>
      <c r="G46" s="90">
        <f t="shared" si="34"/>
        <v>14151.97</v>
      </c>
      <c r="H46" s="90">
        <v>13155.83</v>
      </c>
      <c r="I46" s="90">
        <f t="shared" si="35"/>
        <v>996.13999999999942</v>
      </c>
      <c r="J46" s="63"/>
      <c r="K46" s="63">
        <f t="shared" si="40"/>
        <v>996.13999999999942</v>
      </c>
      <c r="L46" s="63">
        <f t="shared" si="36"/>
        <v>0</v>
      </c>
      <c r="M46" s="63">
        <f t="shared" si="21"/>
        <v>996.13999999999942</v>
      </c>
      <c r="N46" s="283">
        <v>45779</v>
      </c>
      <c r="O46" s="63">
        <f t="shared" si="37"/>
        <v>0</v>
      </c>
      <c r="P46" s="63">
        <v>996.13999999999942</v>
      </c>
    </row>
    <row r="47" spans="1:16" ht="25.5" customHeight="1">
      <c r="A47" s="91">
        <v>52.869100000000003</v>
      </c>
      <c r="B47" s="65" t="s">
        <v>282</v>
      </c>
      <c r="C47" s="64" t="s">
        <v>73</v>
      </c>
      <c r="D47" s="64" t="s">
        <v>73</v>
      </c>
      <c r="E47" s="90">
        <v>11302.84</v>
      </c>
      <c r="F47" s="247">
        <f t="shared" si="33"/>
        <v>1</v>
      </c>
      <c r="G47" s="90">
        <f t="shared" si="34"/>
        <v>11302.84</v>
      </c>
      <c r="H47" s="90">
        <v>8287.82</v>
      </c>
      <c r="I47" s="90">
        <f t="shared" si="35"/>
        <v>3015.0200000000004</v>
      </c>
      <c r="J47" s="63">
        <v>0</v>
      </c>
      <c r="K47" s="63">
        <f t="shared" si="40"/>
        <v>3015.0200000000004</v>
      </c>
      <c r="L47" s="63">
        <f t="shared" si="36"/>
        <v>0</v>
      </c>
      <c r="M47" s="63">
        <f t="shared" si="21"/>
        <v>3015.0200000000004</v>
      </c>
      <c r="N47" s="283">
        <v>45838</v>
      </c>
      <c r="O47" s="63">
        <f t="shared" si="37"/>
        <v>0</v>
      </c>
      <c r="P47" s="63">
        <v>3015.0200000000004</v>
      </c>
    </row>
    <row r="48" spans="1:16" ht="25.5" customHeight="1">
      <c r="A48" s="91">
        <v>52.869300000000003</v>
      </c>
      <c r="B48" s="65" t="s">
        <v>311</v>
      </c>
      <c r="C48" s="64" t="s">
        <v>318</v>
      </c>
      <c r="D48" s="64" t="s">
        <v>258</v>
      </c>
      <c r="E48" s="90">
        <v>1120704.2</v>
      </c>
      <c r="F48" s="247">
        <f t="shared" si="33"/>
        <v>1</v>
      </c>
      <c r="G48" s="90">
        <f t="shared" si="34"/>
        <v>1120704.2</v>
      </c>
      <c r="H48" s="90">
        <v>663140.99</v>
      </c>
      <c r="I48" s="90">
        <f t="shared" si="35"/>
        <v>457563.20999999996</v>
      </c>
      <c r="J48" s="63">
        <v>0</v>
      </c>
      <c r="K48" s="63">
        <f t="shared" si="40"/>
        <v>457563.20999999996</v>
      </c>
      <c r="L48" s="63">
        <f t="shared" si="36"/>
        <v>0</v>
      </c>
      <c r="M48" s="63">
        <f t="shared" si="21"/>
        <v>457563.20999999996</v>
      </c>
      <c r="N48" s="283">
        <v>46022</v>
      </c>
      <c r="O48" s="63">
        <f t="shared" si="37"/>
        <v>27563.209999999963</v>
      </c>
      <c r="P48" s="63">
        <v>430000</v>
      </c>
    </row>
    <row r="49" spans="1:16" ht="25.5" customHeight="1">
      <c r="A49" s="91">
        <v>52.869399999999999</v>
      </c>
      <c r="B49" s="65" t="s">
        <v>313</v>
      </c>
      <c r="C49" s="64" t="s">
        <v>29</v>
      </c>
      <c r="D49" s="64" t="s">
        <v>29</v>
      </c>
      <c r="E49" s="90">
        <v>43047.45</v>
      </c>
      <c r="F49" s="247">
        <f t="shared" si="33"/>
        <v>1</v>
      </c>
      <c r="G49" s="90">
        <f t="shared" si="34"/>
        <v>43047.45</v>
      </c>
      <c r="H49" s="90">
        <v>38541.99</v>
      </c>
      <c r="I49" s="90">
        <f t="shared" si="35"/>
        <v>4505.4599999999991</v>
      </c>
      <c r="J49" s="63">
        <v>0</v>
      </c>
      <c r="K49" s="63">
        <f t="shared" si="40"/>
        <v>4505.4599999999991</v>
      </c>
      <c r="L49" s="63">
        <f t="shared" si="36"/>
        <v>0</v>
      </c>
      <c r="M49" s="63">
        <f t="shared" si="21"/>
        <v>4505.4599999999991</v>
      </c>
      <c r="N49" s="283">
        <v>45777</v>
      </c>
      <c r="O49" s="63">
        <f t="shared" si="37"/>
        <v>0</v>
      </c>
      <c r="P49" s="63">
        <v>4505.4599999999991</v>
      </c>
    </row>
    <row r="50" spans="1:16" ht="25.5" customHeight="1">
      <c r="A50" s="91">
        <v>52.869500000000002</v>
      </c>
      <c r="B50" s="65" t="s">
        <v>314</v>
      </c>
      <c r="C50" s="64" t="s">
        <v>52</v>
      </c>
      <c r="D50" s="64" t="s">
        <v>52</v>
      </c>
      <c r="E50" s="90">
        <v>13769</v>
      </c>
      <c r="F50" s="247">
        <f t="shared" si="33"/>
        <v>1</v>
      </c>
      <c r="G50" s="90">
        <f t="shared" si="34"/>
        <v>13769</v>
      </c>
      <c r="H50" s="90">
        <v>13024.37</v>
      </c>
      <c r="I50" s="90">
        <f t="shared" si="35"/>
        <v>744.6299999999992</v>
      </c>
      <c r="J50" s="63">
        <v>0</v>
      </c>
      <c r="K50" s="63">
        <f t="shared" si="40"/>
        <v>744.6299999999992</v>
      </c>
      <c r="L50" s="63">
        <f t="shared" si="36"/>
        <v>0</v>
      </c>
      <c r="M50" s="63">
        <f t="shared" si="21"/>
        <v>744.6299999999992</v>
      </c>
      <c r="N50" s="283">
        <v>45838</v>
      </c>
      <c r="O50" s="63">
        <f t="shared" si="37"/>
        <v>0</v>
      </c>
      <c r="P50" s="63">
        <v>744.6299999999992</v>
      </c>
    </row>
    <row r="51" spans="1:16" ht="25.5" customHeight="1">
      <c r="A51" s="91">
        <v>52.869599999999998</v>
      </c>
      <c r="B51" s="65" t="s">
        <v>321</v>
      </c>
      <c r="C51" s="64" t="s">
        <v>71</v>
      </c>
      <c r="D51" s="64" t="s">
        <v>71</v>
      </c>
      <c r="E51" s="90">
        <v>1059.22</v>
      </c>
      <c r="F51" s="247">
        <f t="shared" si="33"/>
        <v>1</v>
      </c>
      <c r="G51" s="90">
        <f t="shared" si="34"/>
        <v>1059.22</v>
      </c>
      <c r="H51" s="90">
        <v>887.65</v>
      </c>
      <c r="I51" s="90">
        <f t="shared" si="35"/>
        <v>171.57000000000005</v>
      </c>
      <c r="J51" s="63"/>
      <c r="K51" s="63">
        <f t="shared" si="40"/>
        <v>171.57000000000005</v>
      </c>
      <c r="L51" s="63">
        <f t="shared" si="36"/>
        <v>0</v>
      </c>
      <c r="M51" s="63">
        <f t="shared" si="21"/>
        <v>171.57000000000005</v>
      </c>
      <c r="N51" s="283">
        <v>45808</v>
      </c>
      <c r="O51" s="63">
        <f t="shared" si="37"/>
        <v>0</v>
      </c>
      <c r="P51" s="63">
        <v>171.57000000000005</v>
      </c>
    </row>
    <row r="52" spans="1:16" ht="25.5" customHeight="1">
      <c r="A52" s="91">
        <v>52.869900000000001</v>
      </c>
      <c r="B52" s="65" t="s">
        <v>331</v>
      </c>
      <c r="C52" s="64" t="s">
        <v>71</v>
      </c>
      <c r="D52" s="64" t="s">
        <v>71</v>
      </c>
      <c r="E52" s="90">
        <v>3001.12</v>
      </c>
      <c r="F52" s="247">
        <f t="shared" si="33"/>
        <v>1</v>
      </c>
      <c r="G52" s="90">
        <f t="shared" si="34"/>
        <v>3001.12</v>
      </c>
      <c r="H52" s="90">
        <v>2948.91</v>
      </c>
      <c r="I52" s="90">
        <f t="shared" si="35"/>
        <v>52.210000000000036</v>
      </c>
      <c r="J52" s="63">
        <v>0</v>
      </c>
      <c r="K52" s="63">
        <f t="shared" si="40"/>
        <v>52.210000000000036</v>
      </c>
      <c r="L52" s="63">
        <f t="shared" si="36"/>
        <v>0</v>
      </c>
      <c r="M52" s="63">
        <f t="shared" si="21"/>
        <v>52.210000000000036</v>
      </c>
      <c r="N52" s="283">
        <v>45838</v>
      </c>
      <c r="O52" s="63">
        <f t="shared" si="37"/>
        <v>0</v>
      </c>
      <c r="P52" s="63">
        <v>52.210000000000036</v>
      </c>
    </row>
    <row r="53" spans="1:16" ht="25.5" customHeight="1">
      <c r="A53" s="91">
        <v>52.87</v>
      </c>
      <c r="B53" s="65" t="s">
        <v>332</v>
      </c>
      <c r="C53" s="64" t="s">
        <v>52</v>
      </c>
      <c r="D53" s="64" t="s">
        <v>52</v>
      </c>
      <c r="E53" s="90">
        <v>5297</v>
      </c>
      <c r="F53" s="247">
        <f t="shared" si="33"/>
        <v>1</v>
      </c>
      <c r="G53" s="90">
        <f t="shared" si="34"/>
        <v>5297</v>
      </c>
      <c r="H53" s="90">
        <v>4446.13</v>
      </c>
      <c r="I53" s="90">
        <f t="shared" si="35"/>
        <v>850.86999999999989</v>
      </c>
      <c r="J53" s="63">
        <v>0</v>
      </c>
      <c r="K53" s="63">
        <f t="shared" si="40"/>
        <v>850.86999999999989</v>
      </c>
      <c r="L53" s="63">
        <f t="shared" si="36"/>
        <v>0</v>
      </c>
      <c r="M53" s="63">
        <f t="shared" si="21"/>
        <v>850.86999999999989</v>
      </c>
      <c r="N53" s="283">
        <v>46022</v>
      </c>
      <c r="O53" s="63">
        <f t="shared" si="37"/>
        <v>500.86999999999989</v>
      </c>
      <c r="P53" s="63">
        <v>350</v>
      </c>
    </row>
    <row r="54" spans="1:16" ht="25.5" customHeight="1">
      <c r="A54" s="91">
        <v>52.870100000000001</v>
      </c>
      <c r="B54" s="65" t="s">
        <v>339</v>
      </c>
      <c r="C54" s="64" t="s">
        <v>318</v>
      </c>
      <c r="D54" s="64" t="s">
        <v>318</v>
      </c>
      <c r="E54" s="90">
        <v>13433.85</v>
      </c>
      <c r="F54" s="247">
        <f t="shared" si="33"/>
        <v>1</v>
      </c>
      <c r="G54" s="90">
        <f t="shared" si="34"/>
        <v>13433.85</v>
      </c>
      <c r="H54" s="90">
        <f>10712.24+1473.95+234.89</f>
        <v>12421.08</v>
      </c>
      <c r="I54" s="90">
        <f t="shared" si="35"/>
        <v>1012.7700000000004</v>
      </c>
      <c r="J54" s="63">
        <v>0</v>
      </c>
      <c r="K54" s="63">
        <f t="shared" si="40"/>
        <v>1012.7700000000004</v>
      </c>
      <c r="L54" s="63">
        <f t="shared" si="36"/>
        <v>0</v>
      </c>
      <c r="M54" s="63">
        <f t="shared" si="21"/>
        <v>1012.7700000000004</v>
      </c>
      <c r="N54" s="283">
        <v>45900</v>
      </c>
      <c r="O54" s="63">
        <f t="shared" si="37"/>
        <v>-234.88999999999942</v>
      </c>
      <c r="P54" s="63">
        <v>1247.6599999999999</v>
      </c>
    </row>
    <row r="55" spans="1:16" ht="25.5" customHeight="1">
      <c r="A55" s="91">
        <v>52.870199999999997</v>
      </c>
      <c r="B55" s="65" t="s">
        <v>340</v>
      </c>
      <c r="C55" s="64" t="s">
        <v>71</v>
      </c>
      <c r="D55" s="64" t="s">
        <v>71</v>
      </c>
      <c r="E55" s="90">
        <v>5626.78</v>
      </c>
      <c r="F55" s="247">
        <f t="shared" si="33"/>
        <v>1</v>
      </c>
      <c r="G55" s="90">
        <f t="shared" si="34"/>
        <v>5626.78</v>
      </c>
      <c r="H55" s="90">
        <v>4725.28</v>
      </c>
      <c r="I55" s="90">
        <f t="shared" si="35"/>
        <v>901.5</v>
      </c>
      <c r="J55" s="63">
        <v>0</v>
      </c>
      <c r="K55" s="63">
        <f t="shared" si="40"/>
        <v>901.5</v>
      </c>
      <c r="L55" s="63">
        <f t="shared" si="36"/>
        <v>0</v>
      </c>
      <c r="M55" s="63">
        <f t="shared" si="21"/>
        <v>901.5</v>
      </c>
      <c r="N55" s="283">
        <v>45869</v>
      </c>
      <c r="O55" s="63">
        <f t="shared" si="37"/>
        <v>0</v>
      </c>
      <c r="P55" s="63">
        <v>901.5</v>
      </c>
    </row>
    <row r="56" spans="1:16" ht="25.5" customHeight="1">
      <c r="A56" s="91">
        <v>52.8703</v>
      </c>
      <c r="B56" s="65" t="s">
        <v>341</v>
      </c>
      <c r="C56" s="64" t="s">
        <v>318</v>
      </c>
      <c r="D56" s="64" t="s">
        <v>318</v>
      </c>
      <c r="E56" s="90">
        <v>14402.18</v>
      </c>
      <c r="F56" s="247">
        <f t="shared" si="33"/>
        <v>1</v>
      </c>
      <c r="G56" s="90">
        <f t="shared" si="34"/>
        <v>14402.18</v>
      </c>
      <c r="H56" s="90">
        <f>11468.02+762.24+341.28</f>
        <v>12571.54</v>
      </c>
      <c r="I56" s="90">
        <f t="shared" si="35"/>
        <v>1830.6399999999994</v>
      </c>
      <c r="J56" s="63">
        <v>0</v>
      </c>
      <c r="K56" s="63">
        <f t="shared" si="40"/>
        <v>1830.6399999999994</v>
      </c>
      <c r="L56" s="63">
        <f t="shared" si="36"/>
        <v>0</v>
      </c>
      <c r="M56" s="63">
        <f t="shared" si="21"/>
        <v>1830.6399999999994</v>
      </c>
      <c r="N56" s="33">
        <v>45880</v>
      </c>
      <c r="O56" s="63">
        <f t="shared" si="37"/>
        <v>-341.28000000000065</v>
      </c>
      <c r="P56" s="63">
        <v>2171.92</v>
      </c>
    </row>
    <row r="57" spans="1:16" ht="25.5" customHeight="1">
      <c r="A57" s="91">
        <v>52.870600000000003</v>
      </c>
      <c r="B57" s="65" t="s">
        <v>347</v>
      </c>
      <c r="C57" s="64" t="s">
        <v>71</v>
      </c>
      <c r="D57" s="64" t="s">
        <v>71</v>
      </c>
      <c r="E57" s="90">
        <v>2868.6</v>
      </c>
      <c r="F57" s="247">
        <f t="shared" si="33"/>
        <v>1</v>
      </c>
      <c r="G57" s="90">
        <f t="shared" si="34"/>
        <v>2868.6</v>
      </c>
      <c r="H57" s="90">
        <v>2435.7800000000002</v>
      </c>
      <c r="I57" s="90">
        <f t="shared" si="35"/>
        <v>432.81999999999971</v>
      </c>
      <c r="J57" s="63">
        <v>0</v>
      </c>
      <c r="K57" s="63">
        <f t="shared" si="40"/>
        <v>432.81999999999971</v>
      </c>
      <c r="L57" s="63">
        <f t="shared" si="36"/>
        <v>0</v>
      </c>
      <c r="M57" s="63">
        <f t="shared" si="21"/>
        <v>432.81999999999971</v>
      </c>
      <c r="N57" s="33">
        <v>45930</v>
      </c>
      <c r="O57" s="63">
        <f t="shared" si="37"/>
        <v>0</v>
      </c>
      <c r="P57" s="63">
        <v>432.81999999999971</v>
      </c>
    </row>
    <row r="58" spans="1:16" ht="25.5" customHeight="1">
      <c r="A58" s="91">
        <v>52.870899999999999</v>
      </c>
      <c r="B58" s="65" t="s">
        <v>379</v>
      </c>
      <c r="C58" s="64" t="s">
        <v>318</v>
      </c>
      <c r="D58" s="64" t="s">
        <v>318</v>
      </c>
      <c r="E58" s="90">
        <v>17765.14</v>
      </c>
      <c r="F58" s="247">
        <f t="shared" si="33"/>
        <v>1</v>
      </c>
      <c r="G58" s="90">
        <f t="shared" si="34"/>
        <v>17765.14</v>
      </c>
      <c r="H58" s="90">
        <f>14699.58+174.78</f>
        <v>14874.36</v>
      </c>
      <c r="I58" s="90">
        <f t="shared" si="35"/>
        <v>2890.7799999999988</v>
      </c>
      <c r="J58" s="63"/>
      <c r="K58" s="63">
        <f t="shared" si="40"/>
        <v>2890.7799999999988</v>
      </c>
      <c r="L58" s="63">
        <f t="shared" si="36"/>
        <v>0</v>
      </c>
      <c r="M58" s="63">
        <f t="shared" si="21"/>
        <v>2890.7799999999988</v>
      </c>
      <c r="N58" s="33">
        <v>45991</v>
      </c>
      <c r="O58" s="63">
        <f t="shared" si="37"/>
        <v>-174.78000000000065</v>
      </c>
      <c r="P58" s="63">
        <v>3065.5599999999995</v>
      </c>
    </row>
    <row r="59" spans="1:16" ht="25.5" customHeight="1">
      <c r="A59" s="91">
        <v>52.871000000000002</v>
      </c>
      <c r="B59" s="65" t="s">
        <v>380</v>
      </c>
      <c r="C59" s="64" t="s">
        <v>71</v>
      </c>
      <c r="D59" s="64" t="s">
        <v>71</v>
      </c>
      <c r="E59" s="90">
        <v>4064.54</v>
      </c>
      <c r="F59" s="247">
        <f t="shared" si="33"/>
        <v>1</v>
      </c>
      <c r="G59" s="90">
        <f t="shared" si="34"/>
        <v>4064.54</v>
      </c>
      <c r="H59" s="90">
        <v>3514.84</v>
      </c>
      <c r="I59" s="90">
        <f t="shared" si="35"/>
        <v>549.69999999999982</v>
      </c>
      <c r="J59" s="63"/>
      <c r="K59" s="63">
        <f t="shared" si="40"/>
        <v>549.69999999999982</v>
      </c>
      <c r="L59" s="63">
        <f t="shared" si="36"/>
        <v>0</v>
      </c>
      <c r="M59" s="63">
        <f t="shared" si="21"/>
        <v>549.69999999999982</v>
      </c>
      <c r="N59" s="33">
        <v>45991</v>
      </c>
      <c r="O59" s="63">
        <f t="shared" si="37"/>
        <v>0</v>
      </c>
      <c r="P59" s="63">
        <v>549.69999999999982</v>
      </c>
    </row>
    <row r="60" spans="1:16" ht="25.5" customHeight="1">
      <c r="A60" s="91">
        <v>52.871499999999997</v>
      </c>
      <c r="B60" s="65" t="s">
        <v>404</v>
      </c>
      <c r="C60" s="64" t="s">
        <v>71</v>
      </c>
      <c r="D60" s="64" t="s">
        <v>71</v>
      </c>
      <c r="E60" s="90">
        <v>10001.43</v>
      </c>
      <c r="F60" s="247">
        <f t="shared" si="33"/>
        <v>1</v>
      </c>
      <c r="G60" s="90">
        <f t="shared" si="34"/>
        <v>10001.43</v>
      </c>
      <c r="H60" s="90">
        <v>8585.44</v>
      </c>
      <c r="I60" s="90">
        <f t="shared" si="35"/>
        <v>1415.9899999999998</v>
      </c>
      <c r="J60" s="63"/>
      <c r="K60" s="63">
        <f t="shared" si="40"/>
        <v>1415.9899999999998</v>
      </c>
      <c r="L60" s="63">
        <f t="shared" si="36"/>
        <v>0</v>
      </c>
      <c r="M60" s="63">
        <f t="shared" si="21"/>
        <v>1415.9899999999998</v>
      </c>
      <c r="N60" s="283">
        <v>46053</v>
      </c>
      <c r="O60" s="63">
        <f t="shared" si="37"/>
        <v>1415.9899999999998</v>
      </c>
      <c r="P60" s="63"/>
    </row>
    <row r="61" spans="1:16" ht="14.25" customHeight="1">
      <c r="A61" s="118"/>
      <c r="B61" s="119"/>
      <c r="C61" s="8"/>
      <c r="D61" s="8"/>
      <c r="E61" s="15"/>
      <c r="F61" s="120"/>
      <c r="G61" s="15"/>
      <c r="H61" s="15"/>
      <c r="I61" s="15"/>
      <c r="J61" s="10"/>
      <c r="K61" s="10"/>
      <c r="L61" s="10"/>
      <c r="M61" s="10"/>
      <c r="N61" s="121"/>
      <c r="O61" s="10"/>
      <c r="P61" s="10"/>
    </row>
    <row r="62" spans="1:16" s="203" customFormat="1" ht="15" customHeight="1">
      <c r="A62" s="200"/>
      <c r="B62" s="200" t="s">
        <v>165</v>
      </c>
      <c r="C62" s="201"/>
      <c r="D62" s="201"/>
      <c r="E62" s="202">
        <f>SUM(E27:E61)</f>
        <v>24381266.32</v>
      </c>
      <c r="F62" s="202"/>
      <c r="G62" s="202">
        <f t="shared" ref="G62:M62" si="41">SUM(G27:G61)</f>
        <v>24381266.32</v>
      </c>
      <c r="H62" s="202">
        <f t="shared" si="41"/>
        <v>23380699.099999998</v>
      </c>
      <c r="I62" s="202">
        <f t="shared" si="41"/>
        <v>1000567.2200000002</v>
      </c>
      <c r="J62" s="202">
        <f t="shared" si="41"/>
        <v>947524.51647673734</v>
      </c>
      <c r="K62" s="202">
        <f t="shared" si="41"/>
        <v>53042.703523262971</v>
      </c>
      <c r="L62" s="202">
        <f t="shared" si="41"/>
        <v>0</v>
      </c>
      <c r="M62" s="202">
        <f t="shared" si="41"/>
        <v>1000567.2200000002</v>
      </c>
      <c r="N62" s="202"/>
      <c r="O62" s="202">
        <f>SUM(O27:O61)</f>
        <v>-98924.13</v>
      </c>
      <c r="P62" s="202">
        <f>SUM(P27:P61)</f>
        <v>1099491.3500000001</v>
      </c>
    </row>
    <row r="63" spans="1:16" ht="12.75" customHeight="1"/>
    <row r="64" spans="1:16" ht="12" customHeight="1">
      <c r="A64" s="4" t="s">
        <v>60</v>
      </c>
      <c r="B64" s="113" t="s">
        <v>95</v>
      </c>
      <c r="C64" s="114"/>
      <c r="D64" s="115"/>
      <c r="E64" s="116"/>
      <c r="F64" s="116"/>
      <c r="G64" s="116"/>
      <c r="H64" s="116"/>
      <c r="I64" s="116"/>
      <c r="J64" s="116"/>
      <c r="K64" s="116"/>
      <c r="L64" s="117"/>
      <c r="M64" s="116"/>
      <c r="N64" s="174"/>
      <c r="O64" s="116"/>
      <c r="P64" s="116"/>
    </row>
    <row r="65" spans="1:16" ht="12" customHeight="1">
      <c r="B65" s="114"/>
      <c r="C65" s="114"/>
      <c r="D65" s="115"/>
      <c r="E65" s="116"/>
      <c r="F65" s="116"/>
      <c r="G65" s="116"/>
      <c r="H65" s="116"/>
      <c r="I65" s="116"/>
      <c r="J65" s="116"/>
      <c r="K65" s="116"/>
      <c r="L65" s="117"/>
      <c r="M65" s="116"/>
      <c r="N65" s="116"/>
      <c r="O65" s="116"/>
      <c r="P65" s="116"/>
    </row>
    <row r="66" spans="1:16" ht="25.5" customHeight="1">
      <c r="A66" s="91">
        <v>53.200400000000002</v>
      </c>
      <c r="B66" s="65" t="s">
        <v>236</v>
      </c>
      <c r="C66" s="64" t="s">
        <v>96</v>
      </c>
      <c r="D66" s="64" t="s">
        <v>41</v>
      </c>
      <c r="E66" s="90">
        <v>1173753.47</v>
      </c>
      <c r="F66" s="247">
        <f>+H66/(E66-M66)</f>
        <v>1</v>
      </c>
      <c r="G66" s="90">
        <f>H66+I66</f>
        <v>1173753.47</v>
      </c>
      <c r="H66" s="90">
        <v>980791.05</v>
      </c>
      <c r="I66" s="90">
        <f>IF(F66&gt;0.2,IF(M66&gt;0,IF(J66&gt;M66,M66,IF((F66*M66)&gt;J66,F66*M66,J66)),M66),0)</f>
        <v>192962.41999999993</v>
      </c>
      <c r="J66" s="63">
        <v>0</v>
      </c>
      <c r="K66" s="63">
        <f>I66-J66</f>
        <v>192962.41999999993</v>
      </c>
      <c r="L66" s="63">
        <f>E66-G66</f>
        <v>0</v>
      </c>
      <c r="M66" s="63">
        <f t="shared" ref="M66" si="42">E66-H66</f>
        <v>192962.41999999993</v>
      </c>
      <c r="N66" s="283">
        <v>46053</v>
      </c>
      <c r="O66" s="63">
        <f>M66-P66</f>
        <v>9072.4199999999255</v>
      </c>
      <c r="P66" s="63">
        <v>183890</v>
      </c>
    </row>
    <row r="67" spans="1:16" ht="25.5" customHeight="1">
      <c r="A67" s="91">
        <v>53.200499999999998</v>
      </c>
      <c r="B67" s="65" t="s">
        <v>283</v>
      </c>
      <c r="C67" s="64" t="s">
        <v>96</v>
      </c>
      <c r="D67" s="64" t="s">
        <v>96</v>
      </c>
      <c r="E67" s="90"/>
      <c r="F67" s="247">
        <f>+H67/(E67-M67)</f>
        <v>1</v>
      </c>
      <c r="G67" s="90">
        <f>H67+I67</f>
        <v>0</v>
      </c>
      <c r="H67" s="90">
        <v>279281.96000000002</v>
      </c>
      <c r="I67" s="90">
        <f>IF(F67&gt;0.2,IF(M67&gt;0,IF(J67&gt;M67,M67,IF((F67*M67)&gt;J67,F67*M67,J67)),M67),0)</f>
        <v>-279281.96000000002</v>
      </c>
      <c r="J67" s="63">
        <v>0</v>
      </c>
      <c r="K67" s="63">
        <f>I67-J67</f>
        <v>-279281.96000000002</v>
      </c>
      <c r="L67" s="63">
        <f>E67-G67</f>
        <v>0</v>
      </c>
      <c r="M67" s="63">
        <f>-H67</f>
        <v>-279281.96000000002</v>
      </c>
      <c r="N67" s="283">
        <v>46022</v>
      </c>
      <c r="O67" s="63">
        <f t="shared" ref="O67:O68" si="43">M67-P67</f>
        <v>-36895.250000000029</v>
      </c>
      <c r="P67" s="63">
        <v>-242386.71</v>
      </c>
    </row>
    <row r="68" spans="1:16" ht="25.5" customHeight="1">
      <c r="A68" s="91">
        <v>53.200600000000001</v>
      </c>
      <c r="B68" s="65" t="s">
        <v>306</v>
      </c>
      <c r="C68" s="64" t="s">
        <v>96</v>
      </c>
      <c r="D68" s="64" t="s">
        <v>96</v>
      </c>
      <c r="E68" s="90"/>
      <c r="F68" s="247">
        <f>+H68/(E68-M68)</f>
        <v>1</v>
      </c>
      <c r="G68" s="90">
        <f>H68+I68</f>
        <v>0</v>
      </c>
      <c r="H68" s="90">
        <v>304986.32</v>
      </c>
      <c r="I68" s="90">
        <f>IF(F68&gt;0.2,IF(M68&gt;0,IF(J68&gt;M68,M68,IF((F68*M68)&gt;J68,F68*M68,J68)),M68),0)</f>
        <v>-304986.32</v>
      </c>
      <c r="J68" s="63">
        <v>0</v>
      </c>
      <c r="K68" s="63">
        <f>I68-J68</f>
        <v>-304986.32</v>
      </c>
      <c r="L68" s="63">
        <f>E68-G68</f>
        <v>0</v>
      </c>
      <c r="M68" s="63">
        <f>-H68</f>
        <v>-304986.32</v>
      </c>
      <c r="N68" s="283">
        <v>46022</v>
      </c>
      <c r="O68" s="63">
        <f t="shared" si="43"/>
        <v>-37.100000000034925</v>
      </c>
      <c r="P68" s="63">
        <v>-304949.21999999997</v>
      </c>
    </row>
    <row r="69" spans="1:16">
      <c r="A69" s="127"/>
      <c r="B69" s="128"/>
      <c r="C69" s="8"/>
      <c r="D69" s="8"/>
      <c r="E69" s="15"/>
      <c r="F69" s="120"/>
      <c r="G69" s="15"/>
      <c r="H69" s="15"/>
      <c r="I69" s="15"/>
      <c r="J69" s="10"/>
      <c r="K69" s="10"/>
      <c r="L69" s="10"/>
      <c r="M69" s="10"/>
      <c r="N69" s="121"/>
      <c r="O69" s="10"/>
      <c r="P69" s="10"/>
    </row>
    <row r="70" spans="1:16" s="203" customFormat="1" ht="15" customHeight="1">
      <c r="A70" s="200"/>
      <c r="B70" s="200" t="s">
        <v>171</v>
      </c>
      <c r="C70" s="201"/>
      <c r="D70" s="201"/>
      <c r="E70" s="202">
        <f>SUM(E64:E69)</f>
        <v>1173753.47</v>
      </c>
      <c r="F70" s="202"/>
      <c r="G70" s="202">
        <f t="shared" ref="G70" si="44">SUM(G64:G69)</f>
        <v>1173753.47</v>
      </c>
      <c r="H70" s="202">
        <f t="shared" ref="H70" si="45">SUM(H64:H69)</f>
        <v>1565059.33</v>
      </c>
      <c r="I70" s="202">
        <f t="shared" ref="I70" si="46">SUM(I64:I69)</f>
        <v>-391305.8600000001</v>
      </c>
      <c r="J70" s="202">
        <f t="shared" ref="J70" si="47">SUM(J64:J69)</f>
        <v>0</v>
      </c>
      <c r="K70" s="202">
        <f t="shared" ref="K70" si="48">SUM(K64:K69)</f>
        <v>-391305.8600000001</v>
      </c>
      <c r="L70" s="202">
        <f t="shared" ref="L70" si="49">SUM(L64:L69)</f>
        <v>0</v>
      </c>
      <c r="M70" s="202">
        <f t="shared" ref="M70" si="50">SUM(M64:M69)</f>
        <v>-391305.8600000001</v>
      </c>
      <c r="N70" s="202"/>
      <c r="O70" s="202">
        <f t="shared" ref="O70" si="51">SUM(O64:O69)</f>
        <v>-27859.930000000139</v>
      </c>
      <c r="P70" s="202">
        <f t="shared" ref="P70" si="52">SUM(P64:P69)</f>
        <v>-363445.92999999993</v>
      </c>
    </row>
    <row r="71" spans="1:16" ht="11.25" customHeight="1"/>
    <row r="72" spans="1:16" ht="12" customHeight="1">
      <c r="A72" s="4" t="s">
        <v>60</v>
      </c>
      <c r="B72" s="113" t="s">
        <v>97</v>
      </c>
      <c r="C72" s="114"/>
      <c r="D72" s="115"/>
      <c r="E72" s="116"/>
      <c r="F72" s="116"/>
      <c r="G72" s="116"/>
      <c r="H72" s="116"/>
      <c r="I72" s="116"/>
      <c r="J72" s="116"/>
      <c r="K72" s="116"/>
      <c r="L72" s="117"/>
      <c r="M72" s="116"/>
      <c r="N72" s="174"/>
      <c r="O72" s="116"/>
      <c r="P72" s="116"/>
    </row>
    <row r="73" spans="1:16" ht="12" customHeight="1">
      <c r="B73" s="114"/>
      <c r="C73" s="114"/>
      <c r="D73" s="115"/>
      <c r="E73" s="116"/>
      <c r="F73" s="116"/>
      <c r="G73" s="116"/>
      <c r="H73" s="116"/>
      <c r="I73" s="116"/>
      <c r="J73" s="116"/>
      <c r="K73" s="116"/>
      <c r="L73" s="117"/>
      <c r="M73" s="116"/>
      <c r="N73" s="116"/>
      <c r="O73" s="116"/>
      <c r="P73" s="116"/>
    </row>
    <row r="74" spans="1:16" ht="25.5">
      <c r="A74" s="91">
        <v>54.9099</v>
      </c>
      <c r="B74" s="65" t="s">
        <v>100</v>
      </c>
      <c r="C74" s="64" t="s">
        <v>89</v>
      </c>
      <c r="D74" s="64" t="s">
        <v>83</v>
      </c>
      <c r="E74" s="90">
        <v>55712110</v>
      </c>
      <c r="F74" s="247">
        <f t="shared" ref="F74" si="53">+H74/(E74-M74)</f>
        <v>1</v>
      </c>
      <c r="G74" s="90">
        <f t="shared" ref="G74" si="54">H74+I74</f>
        <v>55712110</v>
      </c>
      <c r="H74" s="90">
        <v>45328892.68</v>
      </c>
      <c r="I74" s="90">
        <f t="shared" ref="I74" si="55">IF(F74&gt;0.2,IF(M74&gt;0,IF(J74&gt;M74,M74,IF((F74*M74)&gt;J74,F74*M74,J74)),M74),0)</f>
        <v>10383217.32</v>
      </c>
      <c r="J74" s="63">
        <v>10372751.581458578</v>
      </c>
      <c r="K74" s="63">
        <f t="shared" ref="K74" si="56">I74-J74</f>
        <v>10465.738541422412</v>
      </c>
      <c r="L74" s="63">
        <f t="shared" ref="L74" si="57">E74-G74</f>
        <v>0</v>
      </c>
      <c r="M74" s="29">
        <f t="shared" ref="M74" si="58">E74-H74</f>
        <v>10383217.32</v>
      </c>
      <c r="N74" s="33">
        <v>46022</v>
      </c>
      <c r="O74" s="63">
        <f>M74-P74</f>
        <v>8217.320000000298</v>
      </c>
      <c r="P74" s="63">
        <v>10375000</v>
      </c>
    </row>
    <row r="75" spans="1:16" ht="25.5">
      <c r="A75" s="91">
        <v>54.917200000000001</v>
      </c>
      <c r="B75" s="65" t="s">
        <v>103</v>
      </c>
      <c r="C75" s="64" t="s">
        <v>102</v>
      </c>
      <c r="D75" s="64" t="s">
        <v>104</v>
      </c>
      <c r="E75" s="90">
        <v>24160002.440000001</v>
      </c>
      <c r="F75" s="247">
        <f t="shared" ref="F75:F85" si="59">+H75/(E75-M75)</f>
        <v>1</v>
      </c>
      <c r="G75" s="90">
        <f t="shared" ref="G75:G77" si="60">H75+I75</f>
        <v>24160002.440000001</v>
      </c>
      <c r="H75" s="90">
        <f>21054098.14+74.71+836.87-36577.5</f>
        <v>21018432.220000003</v>
      </c>
      <c r="I75" s="90">
        <f t="shared" ref="I75:I85" si="61">IF(F75&gt;0.2,IF(M75&gt;0,IF(J75&gt;M75,M75,IF((F75*M75)&gt;J75,F75*M75,J75)),M75),0)</f>
        <v>3141570.2199999988</v>
      </c>
      <c r="J75" s="63">
        <v>3076351.4491544566</v>
      </c>
      <c r="K75" s="63">
        <f t="shared" ref="K75:K130" si="62">I75-J75</f>
        <v>65218.770845542196</v>
      </c>
      <c r="L75" s="63">
        <f t="shared" ref="L75:L85" si="63">E75-G75</f>
        <v>0</v>
      </c>
      <c r="M75" s="29">
        <f>E75-H75</f>
        <v>3141570.2199999988</v>
      </c>
      <c r="N75" s="33">
        <v>45717</v>
      </c>
      <c r="O75" s="63">
        <f t="shared" ref="O75:O130" si="64">M75-P75</f>
        <v>0</v>
      </c>
      <c r="P75" s="63">
        <v>3141570.2199999988</v>
      </c>
    </row>
    <row r="76" spans="1:16" ht="25.5" customHeight="1">
      <c r="A76" s="91">
        <v>54.921599999999998</v>
      </c>
      <c r="B76" s="65" t="s">
        <v>106</v>
      </c>
      <c r="C76" s="64" t="s">
        <v>107</v>
      </c>
      <c r="D76" s="64" t="s">
        <v>107</v>
      </c>
      <c r="E76" s="309">
        <v>2472164.0499999998</v>
      </c>
      <c r="F76" s="247">
        <f t="shared" si="59"/>
        <v>1</v>
      </c>
      <c r="G76" s="90">
        <f t="shared" si="60"/>
        <v>2472164.0499999998</v>
      </c>
      <c r="H76" s="90">
        <f>2286067.7+196.73</f>
        <v>2286264.4300000002</v>
      </c>
      <c r="I76" s="90">
        <f t="shared" si="61"/>
        <v>185899.61999999965</v>
      </c>
      <c r="J76" s="63">
        <v>140849.75354732186</v>
      </c>
      <c r="K76" s="63">
        <f t="shared" si="62"/>
        <v>45049.866452677787</v>
      </c>
      <c r="L76" s="63">
        <f t="shared" si="63"/>
        <v>0</v>
      </c>
      <c r="M76" s="63">
        <f t="shared" ref="M76:M77" si="65">E76-H76</f>
        <v>185899.61999999965</v>
      </c>
      <c r="N76" s="33">
        <v>45925</v>
      </c>
      <c r="O76" s="63">
        <f t="shared" si="64"/>
        <v>-196.72999999998137</v>
      </c>
      <c r="P76" s="63">
        <v>186096.34999999963</v>
      </c>
    </row>
    <row r="77" spans="1:16" ht="25.5" customHeight="1">
      <c r="A77" s="91">
        <v>54.924599999999998</v>
      </c>
      <c r="B77" s="65" t="s">
        <v>319</v>
      </c>
      <c r="C77" s="64" t="s">
        <v>107</v>
      </c>
      <c r="D77" s="64" t="s">
        <v>75</v>
      </c>
      <c r="E77" s="90">
        <v>1777852</v>
      </c>
      <c r="F77" s="247">
        <f t="shared" si="59"/>
        <v>1</v>
      </c>
      <c r="G77" s="90">
        <f t="shared" si="60"/>
        <v>1777852</v>
      </c>
      <c r="H77" s="90">
        <v>1708475.32</v>
      </c>
      <c r="I77" s="90">
        <f t="shared" si="61"/>
        <v>69376.679999999935</v>
      </c>
      <c r="J77" s="63">
        <v>69196.454275845856</v>
      </c>
      <c r="K77" s="63">
        <f t="shared" si="62"/>
        <v>180.22572415407922</v>
      </c>
      <c r="L77" s="63">
        <f t="shared" si="63"/>
        <v>0</v>
      </c>
      <c r="M77" s="63">
        <f t="shared" si="65"/>
        <v>69376.679999999935</v>
      </c>
      <c r="N77" s="33">
        <v>46022</v>
      </c>
      <c r="O77" s="63">
        <f t="shared" si="64"/>
        <v>9376.6799999999348</v>
      </c>
      <c r="P77" s="63">
        <v>60000</v>
      </c>
    </row>
    <row r="78" spans="1:16" ht="25.5">
      <c r="A78" s="91">
        <v>54.926499999999997</v>
      </c>
      <c r="B78" s="65" t="s">
        <v>109</v>
      </c>
      <c r="C78" s="64" t="s">
        <v>107</v>
      </c>
      <c r="D78" s="64" t="s">
        <v>107</v>
      </c>
      <c r="E78" s="90">
        <v>223896.47</v>
      </c>
      <c r="F78" s="247">
        <f t="shared" si="59"/>
        <v>1</v>
      </c>
      <c r="G78" s="90">
        <f>H78+I78</f>
        <v>223896.47</v>
      </c>
      <c r="H78" s="90">
        <v>220754.51</v>
      </c>
      <c r="I78" s="90">
        <f t="shared" si="61"/>
        <v>3141.9599999999919</v>
      </c>
      <c r="J78" s="63">
        <v>0</v>
      </c>
      <c r="K78" s="63">
        <f t="shared" si="62"/>
        <v>3141.9599999999919</v>
      </c>
      <c r="L78" s="63">
        <f t="shared" si="63"/>
        <v>0</v>
      </c>
      <c r="M78" s="29">
        <f t="shared" ref="M78:M80" si="66">E78-H78</f>
        <v>3141.9599999999919</v>
      </c>
      <c r="N78" s="33">
        <v>45807</v>
      </c>
      <c r="O78" s="63">
        <f t="shared" si="64"/>
        <v>0</v>
      </c>
      <c r="P78" s="63">
        <v>3141.9599999999919</v>
      </c>
    </row>
    <row r="79" spans="1:16" ht="25.5">
      <c r="A79" s="91">
        <v>54.927900000000001</v>
      </c>
      <c r="B79" s="65" t="s">
        <v>113</v>
      </c>
      <c r="C79" s="64" t="s">
        <v>112</v>
      </c>
      <c r="D79" s="64" t="s">
        <v>72</v>
      </c>
      <c r="E79" s="90">
        <v>3216240.01</v>
      </c>
      <c r="F79" s="247">
        <f t="shared" si="59"/>
        <v>1</v>
      </c>
      <c r="G79" s="90">
        <f t="shared" ref="G79:G80" si="67">H79+I79</f>
        <v>3216240.01</v>
      </c>
      <c r="H79" s="90">
        <f>3153374.79-137.39</f>
        <v>3153237.4</v>
      </c>
      <c r="I79" s="90">
        <f t="shared" si="61"/>
        <v>63002.60999999987</v>
      </c>
      <c r="J79" s="63">
        <v>-15000</v>
      </c>
      <c r="K79" s="63">
        <f t="shared" si="62"/>
        <v>78002.60999999987</v>
      </c>
      <c r="L79" s="63">
        <f t="shared" si="63"/>
        <v>0</v>
      </c>
      <c r="M79" s="29">
        <f t="shared" si="66"/>
        <v>63002.60999999987</v>
      </c>
      <c r="N79" s="33">
        <v>45870</v>
      </c>
      <c r="O79" s="63">
        <f t="shared" si="64"/>
        <v>0</v>
      </c>
      <c r="P79" s="63">
        <v>63002.60999999987</v>
      </c>
    </row>
    <row r="80" spans="1:16" ht="25.5">
      <c r="A80" s="91">
        <v>54.928899999999999</v>
      </c>
      <c r="B80" s="65" t="s">
        <v>115</v>
      </c>
      <c r="C80" s="64" t="s">
        <v>83</v>
      </c>
      <c r="D80" s="64" t="s">
        <v>83</v>
      </c>
      <c r="E80" s="90">
        <v>44560</v>
      </c>
      <c r="F80" s="247">
        <f t="shared" si="59"/>
        <v>1</v>
      </c>
      <c r="G80" s="90">
        <f t="shared" si="67"/>
        <v>44560</v>
      </c>
      <c r="H80" s="90">
        <v>25097.25</v>
      </c>
      <c r="I80" s="90">
        <f t="shared" si="61"/>
        <v>19462.75</v>
      </c>
      <c r="J80" s="63">
        <v>669.80999999999949</v>
      </c>
      <c r="K80" s="63">
        <f t="shared" si="62"/>
        <v>18792.940000000002</v>
      </c>
      <c r="L80" s="63">
        <f t="shared" si="63"/>
        <v>0</v>
      </c>
      <c r="M80" s="29">
        <f t="shared" si="66"/>
        <v>19462.75</v>
      </c>
      <c r="N80" s="33">
        <v>46357</v>
      </c>
      <c r="O80" s="63">
        <f t="shared" si="64"/>
        <v>0</v>
      </c>
      <c r="P80" s="63">
        <v>19462.75</v>
      </c>
    </row>
    <row r="81" spans="1:16" ht="25.5">
      <c r="A81" s="91">
        <v>54.929200000000002</v>
      </c>
      <c r="B81" s="65" t="s">
        <v>116</v>
      </c>
      <c r="C81" s="64" t="s">
        <v>83</v>
      </c>
      <c r="D81" s="64" t="s">
        <v>83</v>
      </c>
      <c r="E81" s="90">
        <v>4300</v>
      </c>
      <c r="F81" s="247">
        <f t="shared" si="59"/>
        <v>1.0000000000000002</v>
      </c>
      <c r="G81" s="90">
        <f t="shared" ref="G81:G85" si="68">H81+I81</f>
        <v>4300.0000000000009</v>
      </c>
      <c r="H81" s="90">
        <v>1313.45</v>
      </c>
      <c r="I81" s="90">
        <f t="shared" si="61"/>
        <v>2986.5500000000006</v>
      </c>
      <c r="J81" s="63">
        <v>2986.5500000000006</v>
      </c>
      <c r="K81" s="63">
        <f t="shared" si="62"/>
        <v>0</v>
      </c>
      <c r="L81" s="63">
        <f t="shared" si="63"/>
        <v>0</v>
      </c>
      <c r="M81" s="29">
        <f t="shared" ref="M81:M82" si="69">E81-H81</f>
        <v>2986.55</v>
      </c>
      <c r="N81" s="33">
        <v>46022</v>
      </c>
      <c r="O81" s="63">
        <f t="shared" si="64"/>
        <v>0</v>
      </c>
      <c r="P81" s="63">
        <v>2986.55</v>
      </c>
    </row>
    <row r="82" spans="1:16" ht="25.5">
      <c r="A82" s="91">
        <v>54.930900000000001</v>
      </c>
      <c r="B82" s="65" t="s">
        <v>117</v>
      </c>
      <c r="C82" s="64" t="s">
        <v>102</v>
      </c>
      <c r="D82" s="64" t="s">
        <v>75</v>
      </c>
      <c r="E82" s="90">
        <v>3968668.9</v>
      </c>
      <c r="F82" s="247">
        <f t="shared" si="59"/>
        <v>1</v>
      </c>
      <c r="G82" s="90">
        <f t="shared" si="68"/>
        <v>3968668.9</v>
      </c>
      <c r="H82" s="90">
        <v>3790858.34</v>
      </c>
      <c r="I82" s="90">
        <f t="shared" si="61"/>
        <v>177810.56000000006</v>
      </c>
      <c r="J82" s="63">
        <v>62853.415841272123</v>
      </c>
      <c r="K82" s="63">
        <f t="shared" si="62"/>
        <v>114957.14415872793</v>
      </c>
      <c r="L82" s="63">
        <f t="shared" si="63"/>
        <v>0</v>
      </c>
      <c r="M82" s="29">
        <f t="shared" si="69"/>
        <v>177810.56000000006</v>
      </c>
      <c r="N82" s="33">
        <v>46016</v>
      </c>
      <c r="O82" s="63">
        <f t="shared" si="64"/>
        <v>12810.560000000056</v>
      </c>
      <c r="P82" s="63">
        <v>165000</v>
      </c>
    </row>
    <row r="83" spans="1:16" ht="25.5">
      <c r="A83" s="91">
        <v>54.932299999999998</v>
      </c>
      <c r="B83" s="65" t="s">
        <v>158</v>
      </c>
      <c r="C83" s="64" t="s">
        <v>107</v>
      </c>
      <c r="D83" s="64" t="s">
        <v>107</v>
      </c>
      <c r="E83" s="90">
        <v>110661.47</v>
      </c>
      <c r="F83" s="247">
        <f t="shared" si="59"/>
        <v>1</v>
      </c>
      <c r="G83" s="90">
        <f t="shared" si="68"/>
        <v>110661.47</v>
      </c>
      <c r="H83" s="90">
        <f>86308.26+2536.57+5638.38</f>
        <v>94483.21</v>
      </c>
      <c r="I83" s="90">
        <f t="shared" si="61"/>
        <v>16178.259999999995</v>
      </c>
      <c r="J83" s="63">
        <v>0</v>
      </c>
      <c r="K83" s="63">
        <f t="shared" si="62"/>
        <v>16178.259999999995</v>
      </c>
      <c r="L83" s="63">
        <f t="shared" si="63"/>
        <v>0</v>
      </c>
      <c r="M83" s="29">
        <f>E83-H83</f>
        <v>16178.259999999995</v>
      </c>
      <c r="N83" s="33">
        <v>45747</v>
      </c>
      <c r="O83" s="63">
        <f t="shared" si="64"/>
        <v>0</v>
      </c>
      <c r="P83" s="63">
        <v>16178.259999999995</v>
      </c>
    </row>
    <row r="84" spans="1:16" ht="25.5">
      <c r="A84" s="91">
        <v>54.932899999999997</v>
      </c>
      <c r="B84" s="65" t="s">
        <v>381</v>
      </c>
      <c r="C84" s="64" t="s">
        <v>107</v>
      </c>
      <c r="D84" s="64" t="s">
        <v>107</v>
      </c>
      <c r="E84" s="90">
        <v>18201.12</v>
      </c>
      <c r="F84" s="247">
        <f>+H84/(E84-M84)</f>
        <v>1</v>
      </c>
      <c r="G84" s="90">
        <f>H84+I84</f>
        <v>18201.12</v>
      </c>
      <c r="H84" s="90">
        <v>16466.72</v>
      </c>
      <c r="I84" s="90">
        <f>IF(F84&gt;0.2,IF(M84&gt;0,IF(J84&gt;M84,M84,IF((F84*M84)&gt;J84,F84*M84,J84)),M84),0)</f>
        <v>1734.3999999999978</v>
      </c>
      <c r="J84" s="63"/>
      <c r="K84" s="63">
        <f>I84-J84</f>
        <v>1734.3999999999978</v>
      </c>
      <c r="L84" s="63">
        <f>E84-G84</f>
        <v>0</v>
      </c>
      <c r="M84" s="29">
        <f>E84-H84</f>
        <v>1734.3999999999978</v>
      </c>
      <c r="N84" s="33">
        <v>45931</v>
      </c>
      <c r="O84" s="63">
        <f t="shared" si="64"/>
        <v>0</v>
      </c>
      <c r="P84" s="63">
        <v>1734.3999999999978</v>
      </c>
    </row>
    <row r="85" spans="1:16" ht="25.5">
      <c r="A85" s="91">
        <v>54.933300000000003</v>
      </c>
      <c r="B85" s="65" t="s">
        <v>221</v>
      </c>
      <c r="C85" s="64" t="s">
        <v>107</v>
      </c>
      <c r="D85" s="64" t="s">
        <v>107</v>
      </c>
      <c r="E85" s="90">
        <v>427464.77</v>
      </c>
      <c r="F85" s="247">
        <f t="shared" si="59"/>
        <v>1</v>
      </c>
      <c r="G85" s="90">
        <f t="shared" si="68"/>
        <v>427464.77</v>
      </c>
      <c r="H85" s="90">
        <f>368815.29+3099.97</f>
        <v>371915.25999999995</v>
      </c>
      <c r="I85" s="90">
        <f t="shared" si="61"/>
        <v>55549.510000000068</v>
      </c>
      <c r="J85" s="63">
        <v>14888.679999999993</v>
      </c>
      <c r="K85" s="63">
        <f t="shared" si="62"/>
        <v>40660.830000000075</v>
      </c>
      <c r="L85" s="63">
        <f t="shared" si="63"/>
        <v>0</v>
      </c>
      <c r="M85" s="29">
        <f>E85-H85</f>
        <v>55549.510000000068</v>
      </c>
      <c r="N85" s="33">
        <v>45717</v>
      </c>
      <c r="O85" s="63">
        <f t="shared" si="64"/>
        <v>-3099.9699999999721</v>
      </c>
      <c r="P85" s="63">
        <v>58649.48000000004</v>
      </c>
    </row>
    <row r="86" spans="1:16" ht="25.5">
      <c r="A86" s="91">
        <v>54.933799999999998</v>
      </c>
      <c r="B86" s="65" t="s">
        <v>259</v>
      </c>
      <c r="C86" s="64" t="s">
        <v>89</v>
      </c>
      <c r="D86" s="64" t="s">
        <v>85</v>
      </c>
      <c r="E86" s="90">
        <v>175884.64</v>
      </c>
      <c r="F86" s="247">
        <f>+H86/(E86-M86)</f>
        <v>1</v>
      </c>
      <c r="G86" s="90">
        <f>H86+I86</f>
        <v>175884.64</v>
      </c>
      <c r="H86" s="90">
        <v>119186.11</v>
      </c>
      <c r="I86" s="90">
        <f>IF(F86&gt;0.2,IF(M86&gt;0,IF(J86&gt;M86,M86,IF((F86*M86)&gt;J86,F86*M86,J86)),M86),0)</f>
        <v>56698.530000000013</v>
      </c>
      <c r="J86" s="63">
        <v>54179.797702390708</v>
      </c>
      <c r="K86" s="63">
        <f t="shared" si="62"/>
        <v>2518.7322976093055</v>
      </c>
      <c r="L86" s="63">
        <f>E86-G86</f>
        <v>0</v>
      </c>
      <c r="M86" s="29">
        <f>E86-H86</f>
        <v>56698.530000000013</v>
      </c>
      <c r="N86" s="33">
        <v>45688</v>
      </c>
      <c r="O86" s="63">
        <f t="shared" si="64"/>
        <v>0</v>
      </c>
      <c r="P86" s="63">
        <v>56698.530000000013</v>
      </c>
    </row>
    <row r="87" spans="1:16" ht="25.5">
      <c r="A87" s="91">
        <v>54.934100000000001</v>
      </c>
      <c r="B87" s="65" t="s">
        <v>241</v>
      </c>
      <c r="C87" s="64" t="s">
        <v>89</v>
      </c>
      <c r="D87" s="64" t="s">
        <v>85</v>
      </c>
      <c r="E87" s="90">
        <v>1251279</v>
      </c>
      <c r="F87" s="247">
        <f t="shared" ref="F87" si="70">+H87/(E87-M87)</f>
        <v>1</v>
      </c>
      <c r="G87" s="90">
        <f t="shared" ref="G87" si="71">H87+I87</f>
        <v>1251279</v>
      </c>
      <c r="H87" s="90">
        <v>1063532.3999999999</v>
      </c>
      <c r="I87" s="90">
        <f t="shared" ref="I87" si="72">IF(F87&gt;0.2,IF(M87&gt;0,IF(J87&gt;M87,M87,IF((F87*M87)&gt;J87,F87*M87,J87)),M87),0)</f>
        <v>187746.60000000009</v>
      </c>
      <c r="J87" s="63">
        <v>0</v>
      </c>
      <c r="K87" s="63">
        <f t="shared" si="62"/>
        <v>187746.60000000009</v>
      </c>
      <c r="L87" s="63">
        <f t="shared" ref="L87" si="73">E87-G87</f>
        <v>0</v>
      </c>
      <c r="M87" s="29">
        <f t="shared" ref="M87" si="74">E87-H87</f>
        <v>187746.60000000009</v>
      </c>
      <c r="N87" s="33">
        <v>46022</v>
      </c>
      <c r="O87" s="63">
        <f t="shared" si="64"/>
        <v>415.60000000009313</v>
      </c>
      <c r="P87" s="63">
        <v>187331</v>
      </c>
    </row>
    <row r="88" spans="1:16" ht="25.5">
      <c r="A88" s="91">
        <v>54.934199999999997</v>
      </c>
      <c r="B88" s="65" t="s">
        <v>237</v>
      </c>
      <c r="C88" s="64" t="s">
        <v>107</v>
      </c>
      <c r="D88" s="64" t="s">
        <v>107</v>
      </c>
      <c r="E88" s="90">
        <v>199161.5</v>
      </c>
      <c r="F88" s="247">
        <f t="shared" ref="F88:F130" si="75">+H88/(E88-M88)</f>
        <v>1</v>
      </c>
      <c r="G88" s="90">
        <f t="shared" ref="G88:G130" si="76">H88+I88</f>
        <v>199161.5</v>
      </c>
      <c r="H88" s="90">
        <v>124146.3</v>
      </c>
      <c r="I88" s="90">
        <f t="shared" ref="I88:I130" si="77">IF(F88&gt;0.2,IF(M88&gt;0,IF(J88&gt;M88,M88,IF((F88*M88)&gt;J88,F88*M88,J88)),M88),0)</f>
        <v>75015.199999999997</v>
      </c>
      <c r="J88" s="63">
        <v>41394.11273245293</v>
      </c>
      <c r="K88" s="63">
        <f t="shared" si="62"/>
        <v>33621.087267547067</v>
      </c>
      <c r="L88" s="63">
        <f t="shared" ref="L88:L130" si="78">E88-G88</f>
        <v>0</v>
      </c>
      <c r="M88" s="29">
        <f>E88-H88</f>
        <v>75015.199999999997</v>
      </c>
      <c r="N88" s="33">
        <v>45688</v>
      </c>
      <c r="O88" s="63">
        <f t="shared" si="64"/>
        <v>0</v>
      </c>
      <c r="P88" s="63">
        <v>75015.199999999997</v>
      </c>
    </row>
    <row r="89" spans="1:16" ht="25.5">
      <c r="A89" s="91">
        <v>54.934699999999999</v>
      </c>
      <c r="B89" s="65" t="s">
        <v>284</v>
      </c>
      <c r="C89" s="64" t="s">
        <v>307</v>
      </c>
      <c r="D89" s="64" t="s">
        <v>85</v>
      </c>
      <c r="E89" s="90">
        <v>7100</v>
      </c>
      <c r="F89" s="247">
        <f t="shared" si="75"/>
        <v>1</v>
      </c>
      <c r="G89" s="90">
        <f t="shared" si="76"/>
        <v>7100</v>
      </c>
      <c r="H89" s="90">
        <v>3227.7</v>
      </c>
      <c r="I89" s="90">
        <f t="shared" si="77"/>
        <v>3872.3</v>
      </c>
      <c r="J89" s="63"/>
      <c r="K89" s="63">
        <f t="shared" si="62"/>
        <v>3872.3</v>
      </c>
      <c r="L89" s="63">
        <f t="shared" si="78"/>
        <v>0</v>
      </c>
      <c r="M89" s="29">
        <f t="shared" ref="M89:M92" si="79">E89-H89</f>
        <v>3872.3</v>
      </c>
      <c r="N89" s="33">
        <v>45716</v>
      </c>
      <c r="O89" s="63">
        <f t="shared" si="64"/>
        <v>0</v>
      </c>
      <c r="P89" s="63">
        <v>3872.3</v>
      </c>
    </row>
    <row r="90" spans="1:16" ht="25.5">
      <c r="A90" s="91">
        <v>54.934899999999999</v>
      </c>
      <c r="B90" s="65" t="s">
        <v>245</v>
      </c>
      <c r="C90" s="64" t="s">
        <v>107</v>
      </c>
      <c r="D90" s="64" t="s">
        <v>107</v>
      </c>
      <c r="E90" s="90">
        <v>290129</v>
      </c>
      <c r="F90" s="247">
        <f t="shared" si="75"/>
        <v>1</v>
      </c>
      <c r="G90" s="90">
        <f t="shared" si="76"/>
        <v>290129</v>
      </c>
      <c r="H90" s="90">
        <v>197889.31</v>
      </c>
      <c r="I90" s="90">
        <f t="shared" si="77"/>
        <v>92239.69</v>
      </c>
      <c r="J90" s="63">
        <v>4519.6836518046712</v>
      </c>
      <c r="K90" s="63">
        <f t="shared" si="62"/>
        <v>87720.006348195326</v>
      </c>
      <c r="L90" s="63">
        <f t="shared" si="78"/>
        <v>0</v>
      </c>
      <c r="M90" s="29">
        <f t="shared" si="79"/>
        <v>92239.69</v>
      </c>
      <c r="N90" s="33">
        <v>45716</v>
      </c>
      <c r="O90" s="63">
        <f t="shared" si="64"/>
        <v>0</v>
      </c>
      <c r="P90" s="63">
        <v>92239.69</v>
      </c>
    </row>
    <row r="91" spans="1:16" ht="25.5">
      <c r="A91" s="91">
        <v>54.935000000000002</v>
      </c>
      <c r="B91" s="65" t="s">
        <v>246</v>
      </c>
      <c r="C91" s="64" t="s">
        <v>107</v>
      </c>
      <c r="D91" s="64" t="s">
        <v>107</v>
      </c>
      <c r="E91" s="90">
        <v>129965.06</v>
      </c>
      <c r="F91" s="247">
        <f t="shared" si="75"/>
        <v>1</v>
      </c>
      <c r="G91" s="90">
        <f t="shared" si="76"/>
        <v>129965.06</v>
      </c>
      <c r="H91" s="90">
        <f>104443.06+2267.9+914.22+718.5-718.5+12693.5</f>
        <v>120318.68</v>
      </c>
      <c r="I91" s="90">
        <f t="shared" si="77"/>
        <v>9646.3800000000047</v>
      </c>
      <c r="J91" s="63">
        <v>0</v>
      </c>
      <c r="K91" s="63">
        <f t="shared" si="62"/>
        <v>9646.3800000000047</v>
      </c>
      <c r="L91" s="63">
        <f t="shared" si="78"/>
        <v>0</v>
      </c>
      <c r="M91" s="29">
        <f>E91-H91</f>
        <v>9646.3800000000047</v>
      </c>
      <c r="N91" s="33">
        <v>45747</v>
      </c>
      <c r="O91" s="63">
        <f t="shared" si="64"/>
        <v>0</v>
      </c>
      <c r="P91" s="63">
        <v>9646.3800000000047</v>
      </c>
    </row>
    <row r="92" spans="1:16" ht="25.5">
      <c r="A92" s="91">
        <v>54.935099999999998</v>
      </c>
      <c r="B92" s="65" t="s">
        <v>247</v>
      </c>
      <c r="C92" s="64" t="s">
        <v>112</v>
      </c>
      <c r="D92" s="64" t="s">
        <v>112</v>
      </c>
      <c r="E92" s="90">
        <v>153298.79</v>
      </c>
      <c r="F92" s="247">
        <f t="shared" si="75"/>
        <v>1</v>
      </c>
      <c r="G92" s="90">
        <f t="shared" si="76"/>
        <v>153298.79</v>
      </c>
      <c r="H92" s="90">
        <v>136808.29999999999</v>
      </c>
      <c r="I92" s="90">
        <f t="shared" si="77"/>
        <v>16490.49000000002</v>
      </c>
      <c r="J92" s="63">
        <v>11095.267103478103</v>
      </c>
      <c r="K92" s="63">
        <f t="shared" si="62"/>
        <v>5395.2228965219165</v>
      </c>
      <c r="L92" s="63">
        <f t="shared" si="78"/>
        <v>0</v>
      </c>
      <c r="M92" s="29">
        <f t="shared" si="79"/>
        <v>16490.49000000002</v>
      </c>
      <c r="N92" s="33">
        <v>45688</v>
      </c>
      <c r="O92" s="63">
        <f t="shared" si="64"/>
        <v>0</v>
      </c>
      <c r="P92" s="63">
        <v>16490.49000000002</v>
      </c>
    </row>
    <row r="93" spans="1:16" ht="25.5">
      <c r="A93" s="91">
        <v>54.935299999999998</v>
      </c>
      <c r="B93" s="65" t="s">
        <v>248</v>
      </c>
      <c r="C93" s="64" t="s">
        <v>107</v>
      </c>
      <c r="D93" s="64" t="s">
        <v>107</v>
      </c>
      <c r="E93" s="90">
        <v>2008.42</v>
      </c>
      <c r="F93" s="247">
        <f t="shared" si="75"/>
        <v>1</v>
      </c>
      <c r="G93" s="90">
        <f t="shared" si="76"/>
        <v>2008.42</v>
      </c>
      <c r="H93" s="90">
        <v>1117.5</v>
      </c>
      <c r="I93" s="90">
        <f t="shared" si="77"/>
        <v>890.92000000000007</v>
      </c>
      <c r="J93" s="63">
        <v>0</v>
      </c>
      <c r="K93" s="63">
        <f t="shared" si="62"/>
        <v>890.92000000000007</v>
      </c>
      <c r="L93" s="63">
        <f t="shared" si="78"/>
        <v>0</v>
      </c>
      <c r="M93" s="29">
        <f t="shared" ref="M93:M95" si="80">E93-H93</f>
        <v>890.92000000000007</v>
      </c>
      <c r="N93" s="33">
        <v>45747</v>
      </c>
      <c r="O93" s="63">
        <f t="shared" si="64"/>
        <v>0</v>
      </c>
      <c r="P93" s="63">
        <v>890.92000000000007</v>
      </c>
    </row>
    <row r="94" spans="1:16" ht="25.5">
      <c r="A94" s="91">
        <v>54.935400000000001</v>
      </c>
      <c r="B94" s="65" t="s">
        <v>249</v>
      </c>
      <c r="C94" s="64" t="s">
        <v>107</v>
      </c>
      <c r="D94" s="64" t="s">
        <v>107</v>
      </c>
      <c r="E94" s="90">
        <v>9571.2000000000007</v>
      </c>
      <c r="F94" s="247">
        <f t="shared" si="75"/>
        <v>1</v>
      </c>
      <c r="G94" s="90">
        <f t="shared" si="76"/>
        <v>9571.2000000000007</v>
      </c>
      <c r="H94" s="90">
        <f>12351.11-3887.06-233.22</f>
        <v>8230.8300000000017</v>
      </c>
      <c r="I94" s="90">
        <f t="shared" si="77"/>
        <v>1340.369999999999</v>
      </c>
      <c r="J94" s="63">
        <v>1923.4300000000003</v>
      </c>
      <c r="K94" s="63">
        <f t="shared" si="62"/>
        <v>-583.06000000000131</v>
      </c>
      <c r="L94" s="63">
        <f t="shared" si="78"/>
        <v>0</v>
      </c>
      <c r="M94" s="29">
        <f t="shared" si="80"/>
        <v>1340.369999999999</v>
      </c>
      <c r="N94" s="33">
        <v>45688</v>
      </c>
      <c r="O94" s="63">
        <f t="shared" si="64"/>
        <v>0</v>
      </c>
      <c r="P94" s="63">
        <v>1340.369999999999</v>
      </c>
    </row>
    <row r="95" spans="1:16" ht="25.5">
      <c r="A95" s="91">
        <v>54.935499999999998</v>
      </c>
      <c r="B95" s="65" t="s">
        <v>250</v>
      </c>
      <c r="C95" s="64" t="s">
        <v>107</v>
      </c>
      <c r="D95" s="64" t="s">
        <v>107</v>
      </c>
      <c r="E95" s="90">
        <v>2806.42</v>
      </c>
      <c r="F95" s="247">
        <f t="shared" si="75"/>
        <v>1</v>
      </c>
      <c r="G95" s="90">
        <f t="shared" si="76"/>
        <v>2806.42</v>
      </c>
      <c r="H95" s="90">
        <v>1815.23</v>
      </c>
      <c r="I95" s="90">
        <f t="shared" si="77"/>
        <v>991.19</v>
      </c>
      <c r="J95" s="63">
        <v>0</v>
      </c>
      <c r="K95" s="63">
        <f t="shared" si="62"/>
        <v>991.19</v>
      </c>
      <c r="L95" s="63">
        <f t="shared" si="78"/>
        <v>0</v>
      </c>
      <c r="M95" s="29">
        <f t="shared" si="80"/>
        <v>991.19</v>
      </c>
      <c r="N95" s="33">
        <v>45747</v>
      </c>
      <c r="O95" s="63">
        <f t="shared" si="64"/>
        <v>0</v>
      </c>
      <c r="P95" s="63">
        <v>991.19</v>
      </c>
    </row>
    <row r="96" spans="1:16" ht="25.5">
      <c r="A96" s="91">
        <v>54.935699999999997</v>
      </c>
      <c r="B96" s="65" t="s">
        <v>251</v>
      </c>
      <c r="C96" s="64" t="s">
        <v>107</v>
      </c>
      <c r="D96" s="64" t="s">
        <v>107</v>
      </c>
      <c r="E96" s="90">
        <v>1760.42</v>
      </c>
      <c r="F96" s="247">
        <f t="shared" si="75"/>
        <v>1</v>
      </c>
      <c r="G96" s="90">
        <f t="shared" si="76"/>
        <v>1760.42</v>
      </c>
      <c r="H96" s="90">
        <v>889.66</v>
      </c>
      <c r="I96" s="90">
        <f t="shared" si="77"/>
        <v>870.7600000000001</v>
      </c>
      <c r="J96" s="63">
        <v>0</v>
      </c>
      <c r="K96" s="63">
        <f t="shared" si="62"/>
        <v>870.7600000000001</v>
      </c>
      <c r="L96" s="63">
        <f t="shared" si="78"/>
        <v>0</v>
      </c>
      <c r="M96" s="29">
        <f>E96-H96</f>
        <v>870.7600000000001</v>
      </c>
      <c r="N96" s="33">
        <v>45747</v>
      </c>
      <c r="O96" s="63">
        <f t="shared" si="64"/>
        <v>0</v>
      </c>
      <c r="P96" s="63">
        <v>870.7600000000001</v>
      </c>
    </row>
    <row r="97" spans="1:16" ht="25.5">
      <c r="A97" s="91">
        <v>54.9358</v>
      </c>
      <c r="B97" s="65" t="s">
        <v>260</v>
      </c>
      <c r="C97" s="64" t="s">
        <v>102</v>
      </c>
      <c r="D97" s="64" t="s">
        <v>75</v>
      </c>
      <c r="E97" s="90">
        <v>1147640</v>
      </c>
      <c r="F97" s="247">
        <f t="shared" si="75"/>
        <v>1</v>
      </c>
      <c r="G97" s="90">
        <f t="shared" si="76"/>
        <v>1147640</v>
      </c>
      <c r="H97" s="90">
        <v>1125399.83</v>
      </c>
      <c r="I97" s="90">
        <f t="shared" si="77"/>
        <v>22240.169999999925</v>
      </c>
      <c r="J97" s="63">
        <v>15917.550693127087</v>
      </c>
      <c r="K97" s="63">
        <f t="shared" si="62"/>
        <v>6322.6193068728389</v>
      </c>
      <c r="L97" s="63">
        <f t="shared" si="78"/>
        <v>0</v>
      </c>
      <c r="M97" s="29">
        <f>E97-H97</f>
        <v>22240.169999999925</v>
      </c>
      <c r="N97" s="33">
        <v>45925</v>
      </c>
      <c r="O97" s="63">
        <f t="shared" si="64"/>
        <v>0</v>
      </c>
      <c r="P97" s="63">
        <v>22240.169999999925</v>
      </c>
    </row>
    <row r="98" spans="1:16" ht="25.5">
      <c r="A98" s="91">
        <v>54.936</v>
      </c>
      <c r="B98" s="65" t="s">
        <v>252</v>
      </c>
      <c r="C98" s="64" t="s">
        <v>107</v>
      </c>
      <c r="D98" s="64" t="s">
        <v>107</v>
      </c>
      <c r="E98" s="90">
        <v>1855.92</v>
      </c>
      <c r="F98" s="247">
        <f t="shared" si="75"/>
        <v>1</v>
      </c>
      <c r="G98" s="90">
        <f t="shared" si="76"/>
        <v>1855.92</v>
      </c>
      <c r="H98" s="90">
        <v>1144.8800000000001</v>
      </c>
      <c r="I98" s="90">
        <f t="shared" si="77"/>
        <v>711.04</v>
      </c>
      <c r="J98" s="63">
        <v>0</v>
      </c>
      <c r="K98" s="63">
        <f t="shared" si="62"/>
        <v>711.04</v>
      </c>
      <c r="L98" s="63">
        <f t="shared" si="78"/>
        <v>0</v>
      </c>
      <c r="M98" s="29">
        <f>E98-H98</f>
        <v>711.04</v>
      </c>
      <c r="N98" s="33">
        <v>45747</v>
      </c>
      <c r="O98" s="63">
        <f t="shared" si="64"/>
        <v>0</v>
      </c>
      <c r="P98" s="63">
        <v>711.04</v>
      </c>
    </row>
    <row r="99" spans="1:16" ht="25.5">
      <c r="A99" s="91">
        <v>54.936100000000003</v>
      </c>
      <c r="B99" s="65" t="s">
        <v>285</v>
      </c>
      <c r="C99" s="64" t="s">
        <v>107</v>
      </c>
      <c r="D99" s="64" t="s">
        <v>107</v>
      </c>
      <c r="E99" s="90">
        <v>108668.35</v>
      </c>
      <c r="F99" s="247">
        <f t="shared" si="75"/>
        <v>1</v>
      </c>
      <c r="G99" s="90">
        <f t="shared" si="76"/>
        <v>108668.35</v>
      </c>
      <c r="H99" s="90">
        <f>100591.91+6482.96</f>
        <v>107074.87000000001</v>
      </c>
      <c r="I99" s="90">
        <f t="shared" si="77"/>
        <v>1593.4799999999959</v>
      </c>
      <c r="J99" s="63"/>
      <c r="K99" s="63">
        <f t="shared" si="62"/>
        <v>1593.4799999999959</v>
      </c>
      <c r="L99" s="63">
        <f t="shared" si="78"/>
        <v>0</v>
      </c>
      <c r="M99" s="29">
        <f>E99-H99</f>
        <v>1593.4799999999959</v>
      </c>
      <c r="N99" s="33">
        <v>45746</v>
      </c>
      <c r="O99" s="63">
        <f t="shared" si="64"/>
        <v>0</v>
      </c>
      <c r="P99" s="63">
        <v>1593.4799999999959</v>
      </c>
    </row>
    <row r="100" spans="1:16" ht="25.5">
      <c r="A100" s="91">
        <v>54.936199999999999</v>
      </c>
      <c r="B100" s="65" t="s">
        <v>264</v>
      </c>
      <c r="C100" s="64" t="s">
        <v>102</v>
      </c>
      <c r="D100" s="64" t="s">
        <v>102</v>
      </c>
      <c r="E100" s="90">
        <v>425035.04</v>
      </c>
      <c r="F100" s="247">
        <f t="shared" si="75"/>
        <v>1</v>
      </c>
      <c r="G100" s="90">
        <f t="shared" si="76"/>
        <v>425035.04</v>
      </c>
      <c r="H100" s="90">
        <v>375601.24</v>
      </c>
      <c r="I100" s="90">
        <f t="shared" si="77"/>
        <v>49433.799999999988</v>
      </c>
      <c r="J100" s="63">
        <v>18050.992222222223</v>
      </c>
      <c r="K100" s="63">
        <f t="shared" si="62"/>
        <v>31382.807777777765</v>
      </c>
      <c r="L100" s="63">
        <f t="shared" si="78"/>
        <v>0</v>
      </c>
      <c r="M100" s="29">
        <f t="shared" ref="M100:M104" si="81">E100-H100</f>
        <v>49433.799999999988</v>
      </c>
      <c r="N100" s="33">
        <v>45682</v>
      </c>
      <c r="O100" s="63">
        <f t="shared" si="64"/>
        <v>0</v>
      </c>
      <c r="P100" s="63">
        <v>49433.799999999988</v>
      </c>
    </row>
    <row r="101" spans="1:16" ht="25.5">
      <c r="A101" s="91">
        <v>54.936300000000003</v>
      </c>
      <c r="B101" s="65" t="s">
        <v>253</v>
      </c>
      <c r="C101" s="64" t="s">
        <v>107</v>
      </c>
      <c r="D101" s="64" t="s">
        <v>107</v>
      </c>
      <c r="E101" s="90">
        <v>1855.92</v>
      </c>
      <c r="F101" s="247">
        <f t="shared" si="75"/>
        <v>1</v>
      </c>
      <c r="G101" s="90">
        <f t="shared" si="76"/>
        <v>1855.92</v>
      </c>
      <c r="H101" s="90">
        <v>777.55</v>
      </c>
      <c r="I101" s="90">
        <f t="shared" si="77"/>
        <v>1078.3700000000001</v>
      </c>
      <c r="J101" s="63">
        <v>0</v>
      </c>
      <c r="K101" s="63">
        <f t="shared" si="62"/>
        <v>1078.3700000000001</v>
      </c>
      <c r="L101" s="63">
        <f t="shared" si="78"/>
        <v>0</v>
      </c>
      <c r="M101" s="29">
        <f t="shared" si="81"/>
        <v>1078.3700000000001</v>
      </c>
      <c r="N101" s="33">
        <v>45747</v>
      </c>
      <c r="O101" s="63">
        <f t="shared" si="64"/>
        <v>0</v>
      </c>
      <c r="P101" s="63">
        <v>1078.3700000000001</v>
      </c>
    </row>
    <row r="102" spans="1:16" ht="25.5">
      <c r="A102" s="91">
        <v>54.936500000000002</v>
      </c>
      <c r="B102" s="65" t="s">
        <v>254</v>
      </c>
      <c r="C102" s="64" t="s">
        <v>107</v>
      </c>
      <c r="D102" s="64" t="s">
        <v>107</v>
      </c>
      <c r="E102" s="90">
        <v>2216.42</v>
      </c>
      <c r="F102" s="247">
        <f t="shared" si="75"/>
        <v>1</v>
      </c>
      <c r="G102" s="90">
        <f t="shared" si="76"/>
        <v>2216.42</v>
      </c>
      <c r="H102" s="90">
        <v>1263.33</v>
      </c>
      <c r="I102" s="90">
        <f t="shared" si="77"/>
        <v>953.09000000000015</v>
      </c>
      <c r="J102" s="63">
        <v>0</v>
      </c>
      <c r="K102" s="63">
        <f t="shared" si="62"/>
        <v>953.09000000000015</v>
      </c>
      <c r="L102" s="63">
        <f t="shared" si="78"/>
        <v>0</v>
      </c>
      <c r="M102" s="29">
        <f t="shared" si="81"/>
        <v>953.09000000000015</v>
      </c>
      <c r="N102" s="33">
        <v>45747</v>
      </c>
      <c r="O102" s="63">
        <f t="shared" si="64"/>
        <v>0</v>
      </c>
      <c r="P102" s="63">
        <v>953.09000000000015</v>
      </c>
    </row>
    <row r="103" spans="1:16" ht="25.5">
      <c r="A103" s="91">
        <v>54.936700000000002</v>
      </c>
      <c r="B103" s="65" t="s">
        <v>255</v>
      </c>
      <c r="C103" s="64" t="s">
        <v>107</v>
      </c>
      <c r="D103" s="64" t="s">
        <v>107</v>
      </c>
      <c r="E103" s="90">
        <v>2540.42</v>
      </c>
      <c r="F103" s="247">
        <f t="shared" si="75"/>
        <v>1</v>
      </c>
      <c r="G103" s="90">
        <f t="shared" si="76"/>
        <v>2540.42</v>
      </c>
      <c r="H103" s="90">
        <v>1602.33</v>
      </c>
      <c r="I103" s="90">
        <f t="shared" si="77"/>
        <v>938.09000000000015</v>
      </c>
      <c r="J103" s="63">
        <v>0</v>
      </c>
      <c r="K103" s="63">
        <f t="shared" si="62"/>
        <v>938.09000000000015</v>
      </c>
      <c r="L103" s="63">
        <f t="shared" si="78"/>
        <v>0</v>
      </c>
      <c r="M103" s="29">
        <f t="shared" si="81"/>
        <v>938.09000000000015</v>
      </c>
      <c r="N103" s="33">
        <v>45747</v>
      </c>
      <c r="O103" s="63">
        <f t="shared" si="64"/>
        <v>0</v>
      </c>
      <c r="P103" s="63">
        <v>938.09000000000015</v>
      </c>
    </row>
    <row r="104" spans="1:16" ht="25.5">
      <c r="A104" s="91">
        <v>54.936799999999998</v>
      </c>
      <c r="B104" s="65" t="s">
        <v>266</v>
      </c>
      <c r="C104" s="64" t="s">
        <v>107</v>
      </c>
      <c r="D104" s="64" t="s">
        <v>107</v>
      </c>
      <c r="E104" s="90">
        <v>15697.91</v>
      </c>
      <c r="F104" s="247">
        <f t="shared" si="75"/>
        <v>1</v>
      </c>
      <c r="G104" s="90">
        <f t="shared" si="76"/>
        <v>15697.91</v>
      </c>
      <c r="H104" s="90">
        <v>13653.62</v>
      </c>
      <c r="I104" s="90">
        <f t="shared" si="77"/>
        <v>2044.2899999999991</v>
      </c>
      <c r="J104" s="63">
        <v>2044.2899999999991</v>
      </c>
      <c r="K104" s="63">
        <f t="shared" si="62"/>
        <v>0</v>
      </c>
      <c r="L104" s="63">
        <f t="shared" si="78"/>
        <v>0</v>
      </c>
      <c r="M104" s="29">
        <f t="shared" si="81"/>
        <v>2044.2899999999991</v>
      </c>
      <c r="N104" s="33">
        <v>45688</v>
      </c>
      <c r="O104" s="63">
        <f t="shared" si="64"/>
        <v>0</v>
      </c>
      <c r="P104" s="63">
        <v>2044.2899999999991</v>
      </c>
    </row>
    <row r="105" spans="1:16" ht="25.5">
      <c r="A105" s="91">
        <v>54.936999999999998</v>
      </c>
      <c r="B105" s="65" t="s">
        <v>256</v>
      </c>
      <c r="C105" s="64" t="s">
        <v>107</v>
      </c>
      <c r="D105" s="64" t="s">
        <v>107</v>
      </c>
      <c r="E105" s="90">
        <v>1760.42</v>
      </c>
      <c r="F105" s="247">
        <f t="shared" si="75"/>
        <v>1</v>
      </c>
      <c r="G105" s="90">
        <f t="shared" si="76"/>
        <v>1760.42</v>
      </c>
      <c r="H105" s="90">
        <v>889.64</v>
      </c>
      <c r="I105" s="90">
        <f t="shared" si="77"/>
        <v>870.78000000000009</v>
      </c>
      <c r="J105" s="63">
        <v>0</v>
      </c>
      <c r="K105" s="63">
        <f t="shared" si="62"/>
        <v>870.78000000000009</v>
      </c>
      <c r="L105" s="63">
        <f t="shared" si="78"/>
        <v>0</v>
      </c>
      <c r="M105" s="29">
        <f>E105-H105</f>
        <v>870.78000000000009</v>
      </c>
      <c r="N105" s="33">
        <v>45747</v>
      </c>
      <c r="O105" s="63">
        <f t="shared" si="64"/>
        <v>0</v>
      </c>
      <c r="P105" s="63">
        <v>870.78000000000009</v>
      </c>
    </row>
    <row r="106" spans="1:16" ht="25.5" customHeight="1">
      <c r="A106" s="91">
        <v>54.937100000000001</v>
      </c>
      <c r="B106" s="65" t="s">
        <v>286</v>
      </c>
      <c r="C106" s="64" t="s">
        <v>309</v>
      </c>
      <c r="D106" s="64" t="s">
        <v>309</v>
      </c>
      <c r="E106" s="90"/>
      <c r="F106" s="247">
        <f t="shared" si="75"/>
        <v>1</v>
      </c>
      <c r="G106" s="90">
        <f t="shared" si="76"/>
        <v>0</v>
      </c>
      <c r="H106" s="90">
        <v>1267652.77</v>
      </c>
      <c r="I106" s="90">
        <f t="shared" si="77"/>
        <v>-1267652.77</v>
      </c>
      <c r="J106" s="63">
        <v>0</v>
      </c>
      <c r="K106" s="63">
        <f t="shared" si="62"/>
        <v>-1267652.77</v>
      </c>
      <c r="L106" s="63">
        <f t="shared" si="78"/>
        <v>0</v>
      </c>
      <c r="M106" s="29">
        <v>-1267652.77</v>
      </c>
      <c r="N106" s="33">
        <v>46022</v>
      </c>
      <c r="O106" s="63">
        <f t="shared" si="64"/>
        <v>-70266.130000000121</v>
      </c>
      <c r="P106" s="63">
        <v>-1197386.6399999999</v>
      </c>
    </row>
    <row r="107" spans="1:16" ht="25.5" customHeight="1">
      <c r="A107" s="91">
        <v>54.937199999999997</v>
      </c>
      <c r="B107" s="65" t="s">
        <v>287</v>
      </c>
      <c r="C107" s="64" t="s">
        <v>309</v>
      </c>
      <c r="D107" s="64" t="s">
        <v>309</v>
      </c>
      <c r="E107" s="90"/>
      <c r="F107" s="247">
        <f t="shared" si="75"/>
        <v>1</v>
      </c>
      <c r="G107" s="90">
        <f t="shared" si="76"/>
        <v>0</v>
      </c>
      <c r="H107" s="90">
        <v>588792.6</v>
      </c>
      <c r="I107" s="90">
        <f t="shared" si="77"/>
        <v>-588792.6</v>
      </c>
      <c r="J107" s="63">
        <v>0</v>
      </c>
      <c r="K107" s="63">
        <f t="shared" si="62"/>
        <v>-588792.6</v>
      </c>
      <c r="L107" s="63">
        <f t="shared" si="78"/>
        <v>0</v>
      </c>
      <c r="M107" s="29">
        <v>-588792.6</v>
      </c>
      <c r="N107" s="33">
        <v>46022</v>
      </c>
      <c r="O107" s="63">
        <f t="shared" si="64"/>
        <v>-39388.719999999972</v>
      </c>
      <c r="P107" s="63">
        <v>-549403.88</v>
      </c>
    </row>
    <row r="108" spans="1:16" ht="25.5" customHeight="1">
      <c r="A108" s="91">
        <v>54.937399999999997</v>
      </c>
      <c r="B108" s="65" t="s">
        <v>289</v>
      </c>
      <c r="C108" s="64" t="s">
        <v>89</v>
      </c>
      <c r="D108" s="64" t="s">
        <v>85</v>
      </c>
      <c r="E108" s="90">
        <v>32962</v>
      </c>
      <c r="F108" s="247">
        <f t="shared" si="75"/>
        <v>1</v>
      </c>
      <c r="G108" s="90">
        <f t="shared" si="76"/>
        <v>32962</v>
      </c>
      <c r="H108" s="90">
        <v>19986.45</v>
      </c>
      <c r="I108" s="90">
        <f t="shared" si="77"/>
        <v>12975.55</v>
      </c>
      <c r="J108" s="63"/>
      <c r="K108" s="63">
        <f t="shared" si="62"/>
        <v>12975.55</v>
      </c>
      <c r="L108" s="63">
        <f t="shared" si="78"/>
        <v>0</v>
      </c>
      <c r="M108" s="29">
        <f>E108-H108</f>
        <v>12975.55</v>
      </c>
      <c r="N108" s="33">
        <v>45747</v>
      </c>
      <c r="O108" s="63">
        <f t="shared" si="64"/>
        <v>0</v>
      </c>
      <c r="P108" s="63">
        <v>12975.55</v>
      </c>
    </row>
    <row r="109" spans="1:16" ht="25.5" customHeight="1">
      <c r="A109" s="91">
        <v>54.9375</v>
      </c>
      <c r="B109" s="65" t="s">
        <v>290</v>
      </c>
      <c r="C109" s="64" t="s">
        <v>89</v>
      </c>
      <c r="D109" s="64" t="s">
        <v>85</v>
      </c>
      <c r="E109" s="90">
        <v>8232.73</v>
      </c>
      <c r="F109" s="247">
        <f t="shared" si="75"/>
        <v>1</v>
      </c>
      <c r="G109" s="90">
        <f t="shared" si="76"/>
        <v>8232.73</v>
      </c>
      <c r="H109" s="90">
        <v>4545.4799999999996</v>
      </c>
      <c r="I109" s="90">
        <f t="shared" si="77"/>
        <v>3687.25</v>
      </c>
      <c r="J109" s="63"/>
      <c r="K109" s="63">
        <f t="shared" si="62"/>
        <v>3687.25</v>
      </c>
      <c r="L109" s="63">
        <f t="shared" si="78"/>
        <v>0</v>
      </c>
      <c r="M109" s="29">
        <f t="shared" ref="M109:M113" si="82">E109-H109</f>
        <v>3687.25</v>
      </c>
      <c r="N109" s="33">
        <v>45729</v>
      </c>
      <c r="O109" s="63">
        <f t="shared" si="64"/>
        <v>0</v>
      </c>
      <c r="P109" s="63">
        <v>3687.25</v>
      </c>
    </row>
    <row r="110" spans="1:16" ht="25.5" customHeight="1">
      <c r="A110" s="91">
        <v>54.937899999999999</v>
      </c>
      <c r="B110" s="65" t="s">
        <v>291</v>
      </c>
      <c r="C110" s="64" t="s">
        <v>107</v>
      </c>
      <c r="D110" s="64" t="s">
        <v>107</v>
      </c>
      <c r="E110" s="90">
        <v>41679.769999999997</v>
      </c>
      <c r="F110" s="247">
        <f t="shared" si="75"/>
        <v>1</v>
      </c>
      <c r="G110" s="90">
        <f t="shared" si="76"/>
        <v>41679.769999999997</v>
      </c>
      <c r="H110" s="90">
        <v>36111.949999999997</v>
      </c>
      <c r="I110" s="90">
        <f t="shared" si="77"/>
        <v>5567.82</v>
      </c>
      <c r="J110" s="63"/>
      <c r="K110" s="63">
        <f t="shared" si="62"/>
        <v>5567.82</v>
      </c>
      <c r="L110" s="63">
        <f t="shared" si="78"/>
        <v>0</v>
      </c>
      <c r="M110" s="29">
        <f t="shared" si="82"/>
        <v>5567.82</v>
      </c>
      <c r="N110" s="33">
        <v>45716</v>
      </c>
      <c r="O110" s="63">
        <f t="shared" si="64"/>
        <v>0</v>
      </c>
      <c r="P110" s="63">
        <v>5567.82</v>
      </c>
    </row>
    <row r="111" spans="1:16" ht="25.5" customHeight="1">
      <c r="A111" s="91">
        <v>54.938000000000002</v>
      </c>
      <c r="B111" s="65" t="s">
        <v>292</v>
      </c>
      <c r="C111" s="64" t="s">
        <v>112</v>
      </c>
      <c r="D111" s="64" t="s">
        <v>102</v>
      </c>
      <c r="E111" s="90">
        <v>22446.19</v>
      </c>
      <c r="F111" s="247">
        <f t="shared" si="75"/>
        <v>1</v>
      </c>
      <c r="G111" s="90">
        <f t="shared" si="76"/>
        <v>22446.19</v>
      </c>
      <c r="H111" s="90">
        <v>18064.72</v>
      </c>
      <c r="I111" s="90">
        <f t="shared" si="77"/>
        <v>4381.4699999999975</v>
      </c>
      <c r="J111" s="63"/>
      <c r="K111" s="63">
        <f t="shared" si="62"/>
        <v>4381.4699999999975</v>
      </c>
      <c r="L111" s="63">
        <f t="shared" si="78"/>
        <v>0</v>
      </c>
      <c r="M111" s="29">
        <f t="shared" si="82"/>
        <v>4381.4699999999975</v>
      </c>
      <c r="N111" s="33">
        <v>45741</v>
      </c>
      <c r="O111" s="63">
        <f t="shared" si="64"/>
        <v>0</v>
      </c>
      <c r="P111" s="63">
        <v>4381.4699999999975</v>
      </c>
    </row>
    <row r="112" spans="1:16" ht="25.5">
      <c r="A112" s="91">
        <v>54.938099999999999</v>
      </c>
      <c r="B112" s="65" t="s">
        <v>293</v>
      </c>
      <c r="C112" s="64" t="s">
        <v>107</v>
      </c>
      <c r="D112" s="64" t="s">
        <v>107</v>
      </c>
      <c r="E112" s="90">
        <v>58900</v>
      </c>
      <c r="F112" s="247">
        <f t="shared" si="75"/>
        <v>1</v>
      </c>
      <c r="G112" s="90">
        <f t="shared" si="76"/>
        <v>58900</v>
      </c>
      <c r="H112" s="90">
        <v>28875.38</v>
      </c>
      <c r="I112" s="90">
        <f t="shared" si="77"/>
        <v>30024.62</v>
      </c>
      <c r="J112" s="63"/>
      <c r="K112" s="63">
        <f t="shared" si="62"/>
        <v>30024.62</v>
      </c>
      <c r="L112" s="63">
        <f t="shared" si="78"/>
        <v>0</v>
      </c>
      <c r="M112" s="29">
        <f t="shared" si="82"/>
        <v>30024.62</v>
      </c>
      <c r="N112" s="33">
        <v>45746</v>
      </c>
      <c r="O112" s="63">
        <f t="shared" si="64"/>
        <v>0</v>
      </c>
      <c r="P112" s="63">
        <v>30024.62</v>
      </c>
    </row>
    <row r="113" spans="1:16" ht="25.5">
      <c r="A113" s="91">
        <v>54.938200000000002</v>
      </c>
      <c r="B113" s="65" t="s">
        <v>294</v>
      </c>
      <c r="C113" s="64" t="s">
        <v>89</v>
      </c>
      <c r="D113" s="64" t="s">
        <v>85</v>
      </c>
      <c r="E113" s="90">
        <v>143799</v>
      </c>
      <c r="F113" s="247">
        <f t="shared" si="75"/>
        <v>1</v>
      </c>
      <c r="G113" s="90">
        <f t="shared" si="76"/>
        <v>143799</v>
      </c>
      <c r="H113" s="90">
        <v>108690.45</v>
      </c>
      <c r="I113" s="90">
        <f t="shared" si="77"/>
        <v>35108.550000000003</v>
      </c>
      <c r="J113" s="63">
        <v>0</v>
      </c>
      <c r="K113" s="63">
        <f t="shared" si="62"/>
        <v>35108.550000000003</v>
      </c>
      <c r="L113" s="63">
        <f t="shared" si="78"/>
        <v>0</v>
      </c>
      <c r="M113" s="29">
        <f t="shared" si="82"/>
        <v>35108.550000000003</v>
      </c>
      <c r="N113" s="33">
        <v>46053</v>
      </c>
      <c r="O113" s="63">
        <f t="shared" si="64"/>
        <v>2108.5500000000029</v>
      </c>
      <c r="P113" s="63">
        <v>33000</v>
      </c>
    </row>
    <row r="114" spans="1:16" ht="25.5">
      <c r="A114" s="91">
        <v>54.938299999999998</v>
      </c>
      <c r="B114" s="65" t="s">
        <v>295</v>
      </c>
      <c r="C114" s="64" t="s">
        <v>107</v>
      </c>
      <c r="D114" s="64" t="s">
        <v>107</v>
      </c>
      <c r="E114" s="90">
        <v>17542.439999999999</v>
      </c>
      <c r="F114" s="247">
        <f t="shared" si="75"/>
        <v>1</v>
      </c>
      <c r="G114" s="90">
        <f t="shared" si="76"/>
        <v>17542.439999999999</v>
      </c>
      <c r="H114" s="90">
        <v>15759.76</v>
      </c>
      <c r="I114" s="90">
        <f t="shared" si="77"/>
        <v>1782.6799999999985</v>
      </c>
      <c r="J114" s="63"/>
      <c r="K114" s="63">
        <f t="shared" si="62"/>
        <v>1782.6799999999985</v>
      </c>
      <c r="L114" s="63">
        <f t="shared" si="78"/>
        <v>0</v>
      </c>
      <c r="M114" s="29">
        <f>E114-H114</f>
        <v>1782.6799999999985</v>
      </c>
      <c r="N114" s="33">
        <v>46021</v>
      </c>
      <c r="O114" s="63">
        <f t="shared" si="64"/>
        <v>0</v>
      </c>
      <c r="P114" s="63">
        <v>1782.6799999999985</v>
      </c>
    </row>
    <row r="115" spans="1:16" ht="25.5">
      <c r="A115" s="91">
        <v>54.938400000000001</v>
      </c>
      <c r="B115" s="65" t="s">
        <v>296</v>
      </c>
      <c r="C115" s="64" t="s">
        <v>107</v>
      </c>
      <c r="D115" s="64" t="s">
        <v>107</v>
      </c>
      <c r="E115" s="90">
        <v>79531.98</v>
      </c>
      <c r="F115" s="247">
        <f t="shared" si="75"/>
        <v>1</v>
      </c>
      <c r="G115" s="90">
        <f t="shared" si="76"/>
        <v>79531.98</v>
      </c>
      <c r="H115" s="90">
        <v>70340.570000000007</v>
      </c>
      <c r="I115" s="90">
        <f t="shared" si="77"/>
        <v>9191.4099999999889</v>
      </c>
      <c r="J115" s="63"/>
      <c r="K115" s="63">
        <f t="shared" si="62"/>
        <v>9191.4099999999889</v>
      </c>
      <c r="L115" s="63">
        <f t="shared" si="78"/>
        <v>0</v>
      </c>
      <c r="M115" s="29">
        <f t="shared" ref="M115:M118" si="83">E115-H115</f>
        <v>9191.4099999999889</v>
      </c>
      <c r="N115" s="33">
        <v>45777</v>
      </c>
      <c r="O115" s="63">
        <f t="shared" si="64"/>
        <v>0</v>
      </c>
      <c r="P115" s="63">
        <v>9191.4099999999889</v>
      </c>
    </row>
    <row r="116" spans="1:16" ht="25.5">
      <c r="A116" s="91">
        <v>54.938499999999998</v>
      </c>
      <c r="B116" s="65" t="s">
        <v>297</v>
      </c>
      <c r="C116" s="64" t="s">
        <v>107</v>
      </c>
      <c r="D116" s="64" t="s">
        <v>107</v>
      </c>
      <c r="E116" s="90">
        <v>102913.84</v>
      </c>
      <c r="F116" s="247">
        <f t="shared" si="75"/>
        <v>1</v>
      </c>
      <c r="G116" s="90">
        <f t="shared" si="76"/>
        <v>102913.84</v>
      </c>
      <c r="H116" s="90">
        <v>98598.77</v>
      </c>
      <c r="I116" s="90">
        <f t="shared" si="77"/>
        <v>4315.0699999999924</v>
      </c>
      <c r="J116" s="63">
        <v>0</v>
      </c>
      <c r="K116" s="63">
        <f t="shared" si="62"/>
        <v>4315.0699999999924</v>
      </c>
      <c r="L116" s="63">
        <f t="shared" si="78"/>
        <v>0</v>
      </c>
      <c r="M116" s="29">
        <v>4315.0699999999924</v>
      </c>
      <c r="N116" s="33">
        <v>45802</v>
      </c>
      <c r="O116" s="63">
        <f t="shared" si="64"/>
        <v>0</v>
      </c>
      <c r="P116" s="63">
        <v>4315.0699999999924</v>
      </c>
    </row>
    <row r="117" spans="1:16" ht="25.5" customHeight="1">
      <c r="A117" s="91">
        <v>54.938600000000001</v>
      </c>
      <c r="B117" s="65" t="s">
        <v>298</v>
      </c>
      <c r="C117" s="64" t="s">
        <v>107</v>
      </c>
      <c r="D117" s="64" t="s">
        <v>107</v>
      </c>
      <c r="E117" s="309">
        <v>96086</v>
      </c>
      <c r="F117" s="247">
        <f t="shared" si="75"/>
        <v>1</v>
      </c>
      <c r="G117" s="90">
        <f t="shared" si="76"/>
        <v>96086</v>
      </c>
      <c r="H117" s="90">
        <f>75377.7+384+23.04</f>
        <v>75784.739999999991</v>
      </c>
      <c r="I117" s="90">
        <f t="shared" si="77"/>
        <v>20301.260000000009</v>
      </c>
      <c r="J117" s="63"/>
      <c r="K117" s="63">
        <f t="shared" si="62"/>
        <v>20301.260000000009</v>
      </c>
      <c r="L117" s="63">
        <f t="shared" si="78"/>
        <v>0</v>
      </c>
      <c r="M117" s="63">
        <f t="shared" si="83"/>
        <v>20301.260000000009</v>
      </c>
      <c r="N117" s="33">
        <v>45838</v>
      </c>
      <c r="O117" s="63">
        <f t="shared" si="64"/>
        <v>0</v>
      </c>
      <c r="P117" s="63">
        <v>20301.260000000009</v>
      </c>
    </row>
    <row r="118" spans="1:16" ht="25.5" customHeight="1">
      <c r="A118" s="91">
        <v>54.938699999999997</v>
      </c>
      <c r="B118" s="65" t="s">
        <v>315</v>
      </c>
      <c r="C118" s="64" t="s">
        <v>89</v>
      </c>
      <c r="D118" s="64" t="s">
        <v>85</v>
      </c>
      <c r="E118" s="309">
        <v>22619.54</v>
      </c>
      <c r="F118" s="247">
        <f t="shared" si="75"/>
        <v>1</v>
      </c>
      <c r="G118" s="90">
        <f t="shared" si="76"/>
        <v>22619.54</v>
      </c>
      <c r="H118" s="90">
        <v>19011.650000000001</v>
      </c>
      <c r="I118" s="90">
        <f t="shared" si="77"/>
        <v>3607.8899999999994</v>
      </c>
      <c r="J118" s="63"/>
      <c r="K118" s="63">
        <f t="shared" si="62"/>
        <v>3607.8899999999994</v>
      </c>
      <c r="L118" s="63">
        <f t="shared" si="78"/>
        <v>0</v>
      </c>
      <c r="M118" s="63">
        <f t="shared" si="83"/>
        <v>3607.8899999999994</v>
      </c>
      <c r="N118" s="33">
        <v>45870</v>
      </c>
      <c r="O118" s="63">
        <f t="shared" si="64"/>
        <v>0</v>
      </c>
      <c r="P118" s="63">
        <v>3607.8899999999994</v>
      </c>
    </row>
    <row r="119" spans="1:16" ht="25.5" customHeight="1">
      <c r="A119" s="91">
        <v>54.938800000000001</v>
      </c>
      <c r="B119" s="65" t="s">
        <v>316</v>
      </c>
      <c r="C119" s="64" t="s">
        <v>102</v>
      </c>
      <c r="D119" s="64" t="s">
        <v>102</v>
      </c>
      <c r="E119" s="309">
        <v>7454.07</v>
      </c>
      <c r="F119" s="247">
        <f t="shared" si="75"/>
        <v>1</v>
      </c>
      <c r="G119" s="90">
        <f t="shared" si="76"/>
        <v>7454.07</v>
      </c>
      <c r="H119" s="90">
        <v>6535.41</v>
      </c>
      <c r="I119" s="90">
        <f t="shared" si="77"/>
        <v>918.65999999999985</v>
      </c>
      <c r="J119" s="63"/>
      <c r="K119" s="63">
        <f t="shared" si="62"/>
        <v>918.65999999999985</v>
      </c>
      <c r="L119" s="63">
        <f t="shared" si="78"/>
        <v>0</v>
      </c>
      <c r="M119" s="63">
        <f>E119-H119</f>
        <v>918.65999999999985</v>
      </c>
      <c r="N119" s="33">
        <v>45839</v>
      </c>
      <c r="O119" s="63">
        <f t="shared" si="64"/>
        <v>0</v>
      </c>
      <c r="P119" s="63">
        <v>918.65999999999985</v>
      </c>
    </row>
    <row r="120" spans="1:16" ht="25.5" customHeight="1">
      <c r="A120" s="91">
        <v>54.939</v>
      </c>
      <c r="B120" s="65" t="s">
        <v>317</v>
      </c>
      <c r="C120" s="64" t="s">
        <v>112</v>
      </c>
      <c r="D120" s="64" t="s">
        <v>112</v>
      </c>
      <c r="E120" s="309">
        <v>101491.67</v>
      </c>
      <c r="F120" s="247">
        <f t="shared" si="75"/>
        <v>1</v>
      </c>
      <c r="G120" s="90">
        <f t="shared" si="76"/>
        <v>101491.67</v>
      </c>
      <c r="H120" s="90">
        <f>96090.99+238.5</f>
        <v>96329.49</v>
      </c>
      <c r="I120" s="90">
        <f t="shared" si="77"/>
        <v>5162.179999999993</v>
      </c>
      <c r="J120" s="63"/>
      <c r="K120" s="63">
        <f t="shared" si="62"/>
        <v>5162.179999999993</v>
      </c>
      <c r="L120" s="63">
        <f t="shared" si="78"/>
        <v>0</v>
      </c>
      <c r="M120" s="63">
        <f t="shared" ref="M120:M121" si="84">E120-H120</f>
        <v>5162.179999999993</v>
      </c>
      <c r="N120" s="33">
        <v>45809</v>
      </c>
      <c r="O120" s="63">
        <f t="shared" si="64"/>
        <v>0</v>
      </c>
      <c r="P120" s="63">
        <v>5162.179999999993</v>
      </c>
    </row>
    <row r="121" spans="1:16" ht="25.5" customHeight="1">
      <c r="A121" s="91">
        <v>54.9392</v>
      </c>
      <c r="B121" s="65" t="s">
        <v>324</v>
      </c>
      <c r="C121" s="64" t="s">
        <v>112</v>
      </c>
      <c r="D121" s="64" t="s">
        <v>112</v>
      </c>
      <c r="E121" s="90">
        <v>217648.89</v>
      </c>
      <c r="F121" s="247">
        <f t="shared" si="75"/>
        <v>1</v>
      </c>
      <c r="G121" s="90">
        <f t="shared" si="76"/>
        <v>217648.89</v>
      </c>
      <c r="H121" s="90">
        <v>208346.69</v>
      </c>
      <c r="I121" s="90">
        <f t="shared" si="77"/>
        <v>9302.2000000000116</v>
      </c>
      <c r="J121" s="63">
        <v>0</v>
      </c>
      <c r="K121" s="63">
        <f t="shared" si="62"/>
        <v>9302.2000000000116</v>
      </c>
      <c r="L121" s="63">
        <f t="shared" si="78"/>
        <v>0</v>
      </c>
      <c r="M121" s="63">
        <f t="shared" si="84"/>
        <v>9302.2000000000116</v>
      </c>
      <c r="N121" s="33">
        <v>46022</v>
      </c>
      <c r="O121" s="63">
        <f t="shared" si="64"/>
        <v>2302.2000000000116</v>
      </c>
      <c r="P121" s="63">
        <v>7000</v>
      </c>
    </row>
    <row r="122" spans="1:16" ht="25.5" customHeight="1">
      <c r="A122" s="91">
        <v>54.939300000000003</v>
      </c>
      <c r="B122" s="65" t="s">
        <v>325</v>
      </c>
      <c r="C122" s="64" t="s">
        <v>107</v>
      </c>
      <c r="D122" s="64" t="s">
        <v>107</v>
      </c>
      <c r="E122" s="309">
        <v>31523.02</v>
      </c>
      <c r="F122" s="247">
        <f t="shared" si="75"/>
        <v>1</v>
      </c>
      <c r="G122" s="90">
        <f t="shared" si="76"/>
        <v>31523.02</v>
      </c>
      <c r="H122" s="90">
        <f>25417.72+1826.38+295.72</f>
        <v>27539.820000000003</v>
      </c>
      <c r="I122" s="90">
        <f t="shared" si="77"/>
        <v>3983.1999999999971</v>
      </c>
      <c r="J122" s="63"/>
      <c r="K122" s="63">
        <f t="shared" si="62"/>
        <v>3983.1999999999971</v>
      </c>
      <c r="L122" s="63">
        <f t="shared" si="78"/>
        <v>0</v>
      </c>
      <c r="M122" s="63">
        <f>E122-H122</f>
        <v>3983.1999999999971</v>
      </c>
      <c r="N122" s="33">
        <v>45838</v>
      </c>
      <c r="O122" s="63">
        <f t="shared" si="64"/>
        <v>0</v>
      </c>
      <c r="P122" s="63">
        <v>3983.1999999999971</v>
      </c>
    </row>
    <row r="123" spans="1:16" ht="25.5" customHeight="1">
      <c r="A123" s="91">
        <v>54.939399999999999</v>
      </c>
      <c r="B123" s="65" t="s">
        <v>326</v>
      </c>
      <c r="C123" s="64" t="s">
        <v>107</v>
      </c>
      <c r="D123" s="64" t="s">
        <v>107</v>
      </c>
      <c r="E123" s="309">
        <v>15966.99</v>
      </c>
      <c r="F123" s="247">
        <f t="shared" si="75"/>
        <v>1</v>
      </c>
      <c r="G123" s="90">
        <f t="shared" si="76"/>
        <v>15966.99</v>
      </c>
      <c r="H123" s="90">
        <v>14039.55</v>
      </c>
      <c r="I123" s="90">
        <f t="shared" si="77"/>
        <v>1927.4400000000005</v>
      </c>
      <c r="J123" s="63"/>
      <c r="K123" s="63">
        <f t="shared" si="62"/>
        <v>1927.4400000000005</v>
      </c>
      <c r="L123" s="63">
        <f t="shared" si="78"/>
        <v>0</v>
      </c>
      <c r="M123" s="63">
        <f t="shared" ref="M123:M125" si="85">E123-H123</f>
        <v>1927.4400000000005</v>
      </c>
      <c r="N123" s="33">
        <v>45838</v>
      </c>
      <c r="O123" s="63">
        <f t="shared" si="64"/>
        <v>0</v>
      </c>
      <c r="P123" s="63">
        <v>1927.4400000000005</v>
      </c>
    </row>
    <row r="124" spans="1:16" ht="25.5" customHeight="1">
      <c r="A124" s="91">
        <v>54.939799999999998</v>
      </c>
      <c r="B124" s="65" t="s">
        <v>336</v>
      </c>
      <c r="C124" s="64" t="s">
        <v>307</v>
      </c>
      <c r="D124" s="64" t="s">
        <v>85</v>
      </c>
      <c r="E124" s="309">
        <v>14300</v>
      </c>
      <c r="F124" s="247">
        <f t="shared" si="75"/>
        <v>1</v>
      </c>
      <c r="G124" s="90">
        <f t="shared" si="76"/>
        <v>14300</v>
      </c>
      <c r="H124" s="90">
        <v>8192.7900000000009</v>
      </c>
      <c r="I124" s="90">
        <f t="shared" si="77"/>
        <v>6107.2099999999991</v>
      </c>
      <c r="J124" s="63">
        <v>0</v>
      </c>
      <c r="K124" s="63">
        <f t="shared" si="62"/>
        <v>6107.2099999999991</v>
      </c>
      <c r="L124" s="63">
        <f t="shared" si="78"/>
        <v>0</v>
      </c>
      <c r="M124" s="63">
        <f t="shared" si="85"/>
        <v>6107.2099999999991</v>
      </c>
      <c r="N124" s="33">
        <v>45863</v>
      </c>
      <c r="O124" s="63">
        <f t="shared" si="64"/>
        <v>0</v>
      </c>
      <c r="P124" s="63">
        <v>6107.2099999999991</v>
      </c>
    </row>
    <row r="125" spans="1:16" ht="25.5" customHeight="1">
      <c r="A125" s="91">
        <v>54.939900000000002</v>
      </c>
      <c r="B125" s="65" t="s">
        <v>337</v>
      </c>
      <c r="C125" s="64" t="s">
        <v>89</v>
      </c>
      <c r="D125" s="64" t="s">
        <v>85</v>
      </c>
      <c r="E125" s="309">
        <v>24775</v>
      </c>
      <c r="F125" s="247">
        <f t="shared" si="75"/>
        <v>1</v>
      </c>
      <c r="G125" s="90">
        <f t="shared" si="76"/>
        <v>24775</v>
      </c>
      <c r="H125" s="90">
        <v>11291.59</v>
      </c>
      <c r="I125" s="90">
        <f t="shared" si="77"/>
        <v>13483.41</v>
      </c>
      <c r="J125" s="63"/>
      <c r="K125" s="63">
        <f t="shared" si="62"/>
        <v>13483.41</v>
      </c>
      <c r="L125" s="63">
        <f t="shared" si="78"/>
        <v>0</v>
      </c>
      <c r="M125" s="63">
        <f t="shared" si="85"/>
        <v>13483.41</v>
      </c>
      <c r="N125" s="33">
        <v>45809</v>
      </c>
      <c r="O125" s="63">
        <f t="shared" si="64"/>
        <v>0</v>
      </c>
      <c r="P125" s="63">
        <v>13483.41</v>
      </c>
    </row>
    <row r="126" spans="1:16" ht="25.5" customHeight="1">
      <c r="A126" s="91">
        <v>54.94</v>
      </c>
      <c r="B126" s="65" t="s">
        <v>343</v>
      </c>
      <c r="C126" s="64" t="s">
        <v>112</v>
      </c>
      <c r="D126" s="64" t="s">
        <v>112</v>
      </c>
      <c r="E126" s="309">
        <v>800.69</v>
      </c>
      <c r="F126" s="247">
        <f t="shared" si="75"/>
        <v>1</v>
      </c>
      <c r="G126" s="90">
        <f t="shared" si="76"/>
        <v>800.69</v>
      </c>
      <c r="H126" s="90">
        <v>771.32</v>
      </c>
      <c r="I126" s="90">
        <f t="shared" si="77"/>
        <v>29.370000000000005</v>
      </c>
      <c r="J126" s="63"/>
      <c r="K126" s="63">
        <f t="shared" si="62"/>
        <v>29.370000000000005</v>
      </c>
      <c r="L126" s="63">
        <f t="shared" si="78"/>
        <v>0</v>
      </c>
      <c r="M126" s="63">
        <f t="shared" ref="M126:M130" si="86">E126-H126</f>
        <v>29.370000000000005</v>
      </c>
      <c r="N126" s="33">
        <v>45870</v>
      </c>
      <c r="O126" s="63">
        <f t="shared" si="64"/>
        <v>0</v>
      </c>
      <c r="P126" s="63">
        <v>29.370000000000005</v>
      </c>
    </row>
    <row r="127" spans="1:16" ht="25.5" customHeight="1">
      <c r="A127" s="91">
        <v>54.940100000000001</v>
      </c>
      <c r="B127" s="65" t="s">
        <v>348</v>
      </c>
      <c r="C127" s="64" t="s">
        <v>112</v>
      </c>
      <c r="D127" s="64" t="s">
        <v>112</v>
      </c>
      <c r="E127" s="309">
        <v>247539.61</v>
      </c>
      <c r="F127" s="247">
        <f t="shared" si="75"/>
        <v>1</v>
      </c>
      <c r="G127" s="90">
        <f t="shared" si="76"/>
        <v>247539.61</v>
      </c>
      <c r="H127" s="90">
        <v>236312.57</v>
      </c>
      <c r="I127" s="90">
        <f t="shared" si="77"/>
        <v>11227.039999999979</v>
      </c>
      <c r="J127" s="63">
        <v>0</v>
      </c>
      <c r="K127" s="63">
        <f t="shared" si="62"/>
        <v>11227.039999999979</v>
      </c>
      <c r="L127" s="63">
        <f t="shared" si="78"/>
        <v>0</v>
      </c>
      <c r="M127" s="63">
        <f t="shared" si="86"/>
        <v>11227.039999999979</v>
      </c>
      <c r="N127" s="33">
        <v>45986</v>
      </c>
      <c r="O127" s="63">
        <f t="shared" si="64"/>
        <v>0</v>
      </c>
      <c r="P127" s="63">
        <v>11227.039999999979</v>
      </c>
    </row>
    <row r="128" spans="1:16" ht="25.5" customHeight="1">
      <c r="A128" s="91">
        <v>54.9407</v>
      </c>
      <c r="B128" s="65" t="s">
        <v>363</v>
      </c>
      <c r="C128" s="64" t="s">
        <v>107</v>
      </c>
      <c r="D128" s="64" t="s">
        <v>107</v>
      </c>
      <c r="E128" s="309">
        <v>31296.85</v>
      </c>
      <c r="F128" s="247">
        <f t="shared" si="75"/>
        <v>1</v>
      </c>
      <c r="G128" s="90">
        <f t="shared" si="76"/>
        <v>31296.85</v>
      </c>
      <c r="H128" s="90">
        <v>25667.34</v>
      </c>
      <c r="I128" s="90">
        <f t="shared" si="77"/>
        <v>5629.5099999999984</v>
      </c>
      <c r="J128" s="63">
        <v>0</v>
      </c>
      <c r="K128" s="63">
        <f t="shared" si="62"/>
        <v>5629.5099999999984</v>
      </c>
      <c r="L128" s="63">
        <f t="shared" si="78"/>
        <v>0</v>
      </c>
      <c r="M128" s="63">
        <f t="shared" si="86"/>
        <v>5629.5099999999984</v>
      </c>
      <c r="N128" s="33">
        <v>45931</v>
      </c>
      <c r="O128" s="63">
        <f t="shared" si="64"/>
        <v>0</v>
      </c>
      <c r="P128" s="63">
        <v>5629.5099999999984</v>
      </c>
    </row>
    <row r="129" spans="1:16" ht="25.5" customHeight="1">
      <c r="A129" s="91">
        <v>54.940899999999999</v>
      </c>
      <c r="B129" s="65" t="s">
        <v>364</v>
      </c>
      <c r="C129" s="64" t="s">
        <v>89</v>
      </c>
      <c r="D129" s="64" t="s">
        <v>89</v>
      </c>
      <c r="E129" s="309">
        <v>20123.71</v>
      </c>
      <c r="F129" s="247">
        <f t="shared" si="75"/>
        <v>1</v>
      </c>
      <c r="G129" s="90">
        <f t="shared" si="76"/>
        <v>20123.71</v>
      </c>
      <c r="H129" s="90">
        <v>17411.71</v>
      </c>
      <c r="I129" s="90">
        <f t="shared" si="77"/>
        <v>2712</v>
      </c>
      <c r="J129" s="63">
        <v>0</v>
      </c>
      <c r="K129" s="63">
        <f t="shared" si="62"/>
        <v>2712</v>
      </c>
      <c r="L129" s="63">
        <f t="shared" si="78"/>
        <v>0</v>
      </c>
      <c r="M129" s="63">
        <f t="shared" si="86"/>
        <v>2712</v>
      </c>
      <c r="N129" s="33">
        <v>45992</v>
      </c>
      <c r="O129" s="63">
        <f t="shared" si="64"/>
        <v>0</v>
      </c>
      <c r="P129" s="63">
        <v>2712</v>
      </c>
    </row>
    <row r="130" spans="1:16" ht="25.5" customHeight="1">
      <c r="A130" s="91">
        <v>54.941000000000003</v>
      </c>
      <c r="B130" s="65" t="s">
        <v>365</v>
      </c>
      <c r="C130" s="64" t="s">
        <v>107</v>
      </c>
      <c r="D130" s="64" t="s">
        <v>107</v>
      </c>
      <c r="E130" s="309">
        <v>8241.5499999999993</v>
      </c>
      <c r="F130" s="247">
        <f t="shared" si="75"/>
        <v>1</v>
      </c>
      <c r="G130" s="90">
        <f t="shared" si="76"/>
        <v>8241.5499999999993</v>
      </c>
      <c r="H130" s="90">
        <v>6965.65</v>
      </c>
      <c r="I130" s="90">
        <f t="shared" si="77"/>
        <v>1275.8999999999996</v>
      </c>
      <c r="J130" s="63">
        <v>0</v>
      </c>
      <c r="K130" s="63">
        <f t="shared" si="62"/>
        <v>1275.8999999999996</v>
      </c>
      <c r="L130" s="63">
        <f t="shared" si="78"/>
        <v>0</v>
      </c>
      <c r="M130" s="63">
        <f t="shared" si="86"/>
        <v>1275.8999999999996</v>
      </c>
      <c r="N130" s="33">
        <v>45931</v>
      </c>
      <c r="O130" s="63">
        <f t="shared" si="64"/>
        <v>0</v>
      </c>
      <c r="P130" s="63">
        <v>1275.8999999999996</v>
      </c>
    </row>
    <row r="131" spans="1:16">
      <c r="A131" s="284"/>
      <c r="B131" s="285"/>
      <c r="C131" s="8"/>
      <c r="D131" s="8"/>
      <c r="E131" s="15"/>
      <c r="F131" s="120"/>
      <c r="G131" s="15"/>
      <c r="H131" s="15"/>
      <c r="I131" s="15"/>
      <c r="J131" s="10"/>
      <c r="K131" s="10"/>
      <c r="L131" s="10"/>
      <c r="M131" s="10"/>
      <c r="N131" s="121"/>
      <c r="O131" s="10"/>
      <c r="P131" s="10"/>
    </row>
    <row r="132" spans="1:16" s="203" customFormat="1" ht="15" customHeight="1">
      <c r="A132" s="200"/>
      <c r="B132" s="200" t="s">
        <v>177</v>
      </c>
      <c r="C132" s="201"/>
      <c r="D132" s="201"/>
      <c r="E132" s="202">
        <f>SUM(E74:E131)</f>
        <v>97414231.620000005</v>
      </c>
      <c r="F132" s="202"/>
      <c r="G132" s="202">
        <f t="shared" ref="G132:M132" si="87">SUM(G74:G131)</f>
        <v>97414231.620000005</v>
      </c>
      <c r="H132" s="202">
        <f t="shared" si="87"/>
        <v>84432379.319999993</v>
      </c>
      <c r="I132" s="202">
        <f t="shared" si="87"/>
        <v>12981852.299999995</v>
      </c>
      <c r="J132" s="202">
        <f t="shared" si="87"/>
        <v>13874672.81838295</v>
      </c>
      <c r="K132" s="202">
        <f t="shared" si="87"/>
        <v>-892820.51838295127</v>
      </c>
      <c r="L132" s="202">
        <f t="shared" si="87"/>
        <v>0</v>
      </c>
      <c r="M132" s="202">
        <f t="shared" si="87"/>
        <v>12981852.299999995</v>
      </c>
      <c r="N132" s="202"/>
      <c r="O132" s="202">
        <f>SUM(O74:O131)</f>
        <v>-77720.63999999965</v>
      </c>
      <c r="P132" s="202">
        <f>SUM(P74:P131)</f>
        <v>13059572.939999994</v>
      </c>
    </row>
    <row r="133" spans="1:16" ht="15" customHeight="1">
      <c r="E133" s="5"/>
      <c r="G133" s="5"/>
      <c r="H133" s="5"/>
      <c r="I133" s="5"/>
      <c r="J133" s="5"/>
      <c r="K133" s="5"/>
      <c r="L133" s="5"/>
      <c r="M133" s="5"/>
      <c r="N133" s="5"/>
      <c r="O133" s="5"/>
      <c r="P133" s="5"/>
    </row>
    <row r="134" spans="1:16" ht="15" customHeight="1">
      <c r="A134" s="145" t="s">
        <v>145</v>
      </c>
      <c r="E134" s="5"/>
      <c r="G134" s="5"/>
      <c r="H134" s="5"/>
      <c r="I134" s="5"/>
      <c r="J134" s="5"/>
      <c r="K134" s="5"/>
      <c r="L134" s="5"/>
      <c r="M134" s="116"/>
      <c r="N134" s="174"/>
      <c r="O134" s="116"/>
      <c r="P134" s="5"/>
    </row>
    <row r="135" spans="1:16" ht="15" customHeight="1">
      <c r="E135" s="5"/>
      <c r="G135" s="5"/>
      <c r="H135" s="5"/>
      <c r="I135" s="5"/>
      <c r="J135" s="5"/>
      <c r="K135" s="5"/>
      <c r="L135" s="5"/>
      <c r="M135" s="5"/>
      <c r="N135" s="5"/>
      <c r="O135" s="5"/>
      <c r="P135" s="5"/>
    </row>
    <row r="136" spans="1:16" s="203" customFormat="1" ht="15" customHeight="1">
      <c r="A136" s="200"/>
      <c r="B136" s="200" t="s">
        <v>212</v>
      </c>
      <c r="C136" s="201"/>
      <c r="D136" s="201"/>
      <c r="E136" s="202">
        <f>E23+E62+E70+E132</f>
        <v>141195136.30000001</v>
      </c>
      <c r="F136" s="202"/>
      <c r="G136" s="202">
        <f t="shared" ref="G136:M136" si="88">G23+G62+G70+G132</f>
        <v>141195136.30000001</v>
      </c>
      <c r="H136" s="202">
        <f t="shared" si="88"/>
        <v>127887502.04999998</v>
      </c>
      <c r="I136" s="202">
        <f t="shared" si="88"/>
        <v>13307634.249999994</v>
      </c>
      <c r="J136" s="202">
        <f t="shared" si="88"/>
        <v>16281355.585740343</v>
      </c>
      <c r="K136" s="202">
        <f t="shared" si="88"/>
        <v>-2973721.3357403441</v>
      </c>
      <c r="L136" s="202">
        <f t="shared" si="88"/>
        <v>0</v>
      </c>
      <c r="M136" s="202">
        <f t="shared" si="88"/>
        <v>13307634.249999994</v>
      </c>
      <c r="N136" s="202"/>
      <c r="O136" s="202">
        <f>O23+O62+O70+O132</f>
        <v>-729683.66</v>
      </c>
      <c r="P136" s="202">
        <f>P23+P62+P70+P132</f>
        <v>14037317.909999995</v>
      </c>
    </row>
    <row r="137" spans="1:16" ht="15" customHeight="1">
      <c r="A137" s="172"/>
      <c r="B137" s="172"/>
      <c r="C137" s="3"/>
      <c r="D137" s="3"/>
      <c r="E137" s="175"/>
      <c r="F137" s="175"/>
      <c r="G137" s="175"/>
      <c r="H137" s="175"/>
      <c r="I137" s="175"/>
      <c r="J137" s="175"/>
      <c r="K137" s="175"/>
      <c r="L137" s="175"/>
      <c r="M137" s="175"/>
      <c r="N137" s="175"/>
      <c r="O137" s="175"/>
      <c r="P137" s="175"/>
    </row>
    <row r="138" spans="1:16" ht="15" customHeight="1">
      <c r="E138" s="5"/>
      <c r="G138" s="5"/>
      <c r="H138" s="5"/>
      <c r="I138" s="5"/>
      <c r="J138" s="5"/>
      <c r="K138" s="5"/>
      <c r="L138" s="5"/>
      <c r="M138" s="5"/>
      <c r="N138" s="5"/>
      <c r="O138" s="5"/>
      <c r="P138" s="5"/>
    </row>
    <row r="139" spans="1:16" ht="15" customHeight="1">
      <c r="A139" s="145" t="s">
        <v>147</v>
      </c>
      <c r="E139" s="5"/>
      <c r="G139" s="5"/>
      <c r="H139" s="5"/>
      <c r="I139" s="5"/>
      <c r="J139" s="5"/>
      <c r="K139" s="5"/>
      <c r="L139" s="5"/>
      <c r="M139" s="5"/>
      <c r="N139" s="5"/>
      <c r="O139" s="5"/>
      <c r="P139" s="5"/>
    </row>
    <row r="141" spans="1:16">
      <c r="A141" s="143" t="s">
        <v>60</v>
      </c>
      <c r="B141" s="146" t="s">
        <v>119</v>
      </c>
      <c r="C141" s="143"/>
      <c r="D141" s="143"/>
      <c r="E141" s="148"/>
      <c r="F141" s="143"/>
      <c r="G141" s="148"/>
      <c r="H141" s="148"/>
      <c r="I141" s="148"/>
      <c r="J141" s="148"/>
      <c r="K141" s="148"/>
      <c r="L141" s="148"/>
      <c r="M141" s="116"/>
      <c r="N141" s="174"/>
      <c r="O141" s="116"/>
      <c r="P141" s="148"/>
    </row>
    <row r="142" spans="1:16">
      <c r="A142" s="143"/>
      <c r="B142" s="143"/>
      <c r="C142" s="143"/>
      <c r="D142" s="143"/>
      <c r="E142" s="148"/>
      <c r="F142" s="143"/>
      <c r="G142" s="7"/>
      <c r="H142" s="7"/>
      <c r="I142" s="7"/>
      <c r="L142" s="148"/>
      <c r="M142" s="148"/>
      <c r="N142" s="143"/>
      <c r="O142" s="148"/>
      <c r="P142" s="148"/>
    </row>
    <row r="143" spans="1:16" ht="25.5" customHeight="1">
      <c r="A143" s="91">
        <v>55.122999999999998</v>
      </c>
      <c r="B143" s="65" t="s">
        <v>138</v>
      </c>
      <c r="C143" s="30" t="s">
        <v>137</v>
      </c>
      <c r="D143" s="30" t="s">
        <v>104</v>
      </c>
      <c r="E143" s="31">
        <v>2273682.69</v>
      </c>
      <c r="F143" s="150">
        <f t="shared" ref="F143" si="89">H143/(E143-M143)</f>
        <v>1</v>
      </c>
      <c r="G143" s="90">
        <f t="shared" ref="G143" si="90">H143+I143</f>
        <v>2273682.69</v>
      </c>
      <c r="H143" s="29">
        <v>1665145.3</v>
      </c>
      <c r="I143" s="90">
        <f t="shared" ref="I143" si="91">IF(F143&gt;0.2,IF(M143&gt;0,IF(J143&gt;M143,M143,IF((F143*M143)&gt;J143,F143*M143,J143)),M143),0)</f>
        <v>608537.3899999999</v>
      </c>
      <c r="J143" s="152">
        <v>480252.03351581638</v>
      </c>
      <c r="K143" s="151">
        <f t="shared" ref="K143" si="92">I143-J143</f>
        <v>128285.35648418352</v>
      </c>
      <c r="L143" s="63">
        <f t="shared" ref="L143" si="93">E143-G143</f>
        <v>0</v>
      </c>
      <c r="M143" s="29">
        <f>E143-H143</f>
        <v>608537.3899999999</v>
      </c>
      <c r="N143" s="33">
        <v>45747</v>
      </c>
      <c r="O143" s="90">
        <f t="shared" ref="O143" si="94">M143-P143</f>
        <v>0</v>
      </c>
      <c r="P143" s="29">
        <v>608537.3899999999</v>
      </c>
    </row>
    <row r="144" spans="1:16" ht="25.5">
      <c r="A144" s="91">
        <v>55.123100000000001</v>
      </c>
      <c r="B144" s="65" t="s">
        <v>139</v>
      </c>
      <c r="C144" s="30" t="s">
        <v>140</v>
      </c>
      <c r="D144" s="30" t="s">
        <v>122</v>
      </c>
      <c r="E144" s="31">
        <v>4046200</v>
      </c>
      <c r="F144" s="150">
        <f t="shared" ref="F144:F145" si="95">H144/(E144-M144)</f>
        <v>1</v>
      </c>
      <c r="G144" s="90">
        <f t="shared" ref="G144:G145" si="96">H144+I144</f>
        <v>4046200</v>
      </c>
      <c r="H144" s="29">
        <f>3320836.69+1019.67</f>
        <v>3321856.36</v>
      </c>
      <c r="I144" s="90">
        <f t="shared" ref="I144:I145" si="97">IF(F144&gt;0.2,IF(M144&gt;0,IF(J144&gt;M144,M144,IF((F144*M144)&gt;J144,F144*M144,J144)),M144),0)</f>
        <v>724343.64000000013</v>
      </c>
      <c r="J144" s="152">
        <v>627907.39539551828</v>
      </c>
      <c r="K144" s="151">
        <f t="shared" ref="K144" si="98">I144-J144</f>
        <v>96436.24460448185</v>
      </c>
      <c r="L144" s="63">
        <f t="shared" ref="L144:L145" si="99">E144-G144</f>
        <v>0</v>
      </c>
      <c r="M144" s="29">
        <f>E144-H144</f>
        <v>724343.64000000013</v>
      </c>
      <c r="N144" s="33">
        <v>45747</v>
      </c>
      <c r="O144" s="90">
        <f t="shared" ref="O144:O145" si="100">M144-P144</f>
        <v>0</v>
      </c>
      <c r="P144" s="29">
        <v>724343.64000000013</v>
      </c>
    </row>
    <row r="145" spans="1:16" ht="25.5" customHeight="1">
      <c r="A145" s="91">
        <v>55.123800000000003</v>
      </c>
      <c r="B145" s="65" t="s">
        <v>141</v>
      </c>
      <c r="C145" s="30" t="s">
        <v>55</v>
      </c>
      <c r="D145" s="30" t="s">
        <v>122</v>
      </c>
      <c r="E145" s="31">
        <v>34207.53</v>
      </c>
      <c r="F145" s="150">
        <f t="shared" si="95"/>
        <v>1</v>
      </c>
      <c r="G145" s="90">
        <f t="shared" si="96"/>
        <v>34207.53</v>
      </c>
      <c r="H145" s="29">
        <f>29773.89+2227.42+499.55</f>
        <v>32500.859999999997</v>
      </c>
      <c r="I145" s="90">
        <f t="shared" si="97"/>
        <v>1706.6700000000019</v>
      </c>
      <c r="J145" s="152">
        <v>8107.48</v>
      </c>
      <c r="K145" s="151">
        <f>I145-J145</f>
        <v>-6400.8099999999977</v>
      </c>
      <c r="L145" s="63">
        <f t="shared" si="99"/>
        <v>0</v>
      </c>
      <c r="M145" s="29">
        <f t="shared" ref="M145" si="101">E145-H145</f>
        <v>1706.6700000000019</v>
      </c>
      <c r="N145" s="33">
        <v>46387</v>
      </c>
      <c r="O145" s="90">
        <f t="shared" si="100"/>
        <v>-499.54999999999927</v>
      </c>
      <c r="P145" s="29">
        <v>2206.2200000000012</v>
      </c>
    </row>
    <row r="146" spans="1:16" ht="25.5">
      <c r="A146" s="91">
        <v>55.125</v>
      </c>
      <c r="B146" s="65" t="s">
        <v>268</v>
      </c>
      <c r="C146" s="30" t="s">
        <v>137</v>
      </c>
      <c r="D146" s="30" t="s">
        <v>122</v>
      </c>
      <c r="E146" s="31">
        <v>184557.17</v>
      </c>
      <c r="F146" s="150">
        <f>H146/(E146-M146)</f>
        <v>1</v>
      </c>
      <c r="G146" s="90">
        <f>H146+I146</f>
        <v>184557.17</v>
      </c>
      <c r="H146" s="29">
        <v>48293.94</v>
      </c>
      <c r="I146" s="90">
        <f>IF(F146&gt;0.3,IF(M146&gt;0,IF(J146&gt;M146,M146,IF((F146*M146)&gt;J146,F146*M146,J146)),M146),0)</f>
        <v>136263.23000000001</v>
      </c>
      <c r="J146" s="152">
        <v>101052.15979904546</v>
      </c>
      <c r="K146" s="151">
        <f t="shared" ref="K146:K149" si="102">I146-J146</f>
        <v>35211.070200954549</v>
      </c>
      <c r="L146" s="63">
        <f>E146-G146</f>
        <v>0</v>
      </c>
      <c r="M146" s="29">
        <f t="shared" ref="M146" si="103">E146-H146</f>
        <v>136263.23000000001</v>
      </c>
      <c r="N146" s="33">
        <v>45747</v>
      </c>
      <c r="O146" s="90">
        <f>M146-P146</f>
        <v>0</v>
      </c>
      <c r="P146" s="29">
        <v>136263.23000000001</v>
      </c>
    </row>
    <row r="147" spans="1:16" ht="25.5">
      <c r="A147" s="91">
        <v>55.125100000000003</v>
      </c>
      <c r="B147" s="65" t="s">
        <v>301</v>
      </c>
      <c r="C147" s="30" t="s">
        <v>140</v>
      </c>
      <c r="D147" s="30" t="s">
        <v>104</v>
      </c>
      <c r="E147" s="31">
        <v>322982.96000000002</v>
      </c>
      <c r="F147" s="150">
        <f t="shared" ref="F147:F149" si="104">H147/(E147-M147)</f>
        <v>1</v>
      </c>
      <c r="G147" s="90">
        <f t="shared" ref="G147:G149" si="105">H147+I147</f>
        <v>322982.96000000002</v>
      </c>
      <c r="H147" s="29">
        <f>283682.85+539.01</f>
        <v>284221.86</v>
      </c>
      <c r="I147" s="90">
        <f t="shared" ref="I147:I149" si="106">IF(F147&gt;0.2,IF(M147&gt;0,IF(J147&gt;M147,M147,IF((F147*M147)&gt;J147,F147*M147,J147)),M147),0)</f>
        <v>38761.100000000035</v>
      </c>
      <c r="J147" s="152"/>
      <c r="K147" s="151">
        <f t="shared" si="102"/>
        <v>38761.100000000035</v>
      </c>
      <c r="L147" s="63">
        <f t="shared" ref="L147:L149" si="107">E147-G147</f>
        <v>0</v>
      </c>
      <c r="M147" s="29">
        <f>E147-H147</f>
        <v>38761.100000000035</v>
      </c>
      <c r="N147" s="33">
        <v>45772</v>
      </c>
      <c r="O147" s="90">
        <f t="shared" ref="O147:O149" si="108">M147-P147</f>
        <v>0</v>
      </c>
      <c r="P147" s="29">
        <v>38761.100000000035</v>
      </c>
    </row>
    <row r="148" spans="1:16" ht="25.5" customHeight="1">
      <c r="A148" s="91">
        <v>55.1252</v>
      </c>
      <c r="B148" s="65" t="s">
        <v>299</v>
      </c>
      <c r="C148" s="30" t="s">
        <v>124</v>
      </c>
      <c r="D148" s="30" t="s">
        <v>124</v>
      </c>
      <c r="E148" s="31"/>
      <c r="F148" s="150">
        <f t="shared" si="104"/>
        <v>1</v>
      </c>
      <c r="G148" s="90">
        <f t="shared" si="105"/>
        <v>0</v>
      </c>
      <c r="H148" s="29">
        <v>1958826.45</v>
      </c>
      <c r="I148" s="90">
        <f t="shared" si="106"/>
        <v>-1958826.45</v>
      </c>
      <c r="J148" s="152">
        <f>IF(N148&lt;0,N148,IF(G148&lt;0.3,0,G148*N148))</f>
        <v>0</v>
      </c>
      <c r="K148" s="151">
        <f t="shared" si="102"/>
        <v>-1958826.45</v>
      </c>
      <c r="L148" s="63">
        <f t="shared" si="107"/>
        <v>0</v>
      </c>
      <c r="M148" s="29">
        <f>-H148</f>
        <v>-1958826.45</v>
      </c>
      <c r="N148" s="33">
        <v>46022</v>
      </c>
      <c r="O148" s="90">
        <f t="shared" si="108"/>
        <v>-154979.8899999999</v>
      </c>
      <c r="P148" s="29">
        <v>-1803846.56</v>
      </c>
    </row>
    <row r="149" spans="1:16" ht="25.5" customHeight="1">
      <c r="A149" s="91">
        <v>55.125300000000003</v>
      </c>
      <c r="B149" s="65" t="s">
        <v>300</v>
      </c>
      <c r="C149" s="30" t="s">
        <v>124</v>
      </c>
      <c r="D149" s="30" t="s">
        <v>124</v>
      </c>
      <c r="E149" s="31"/>
      <c r="F149" s="150">
        <f t="shared" si="104"/>
        <v>1</v>
      </c>
      <c r="G149" s="90">
        <f t="shared" si="105"/>
        <v>0</v>
      </c>
      <c r="H149" s="29">
        <v>475814.03</v>
      </c>
      <c r="I149" s="90">
        <f t="shared" si="106"/>
        <v>-475814.03</v>
      </c>
      <c r="J149" s="152">
        <f>IF(N149&lt;0,N149,IF(G149&lt;0.3,0,G149*N149))</f>
        <v>0</v>
      </c>
      <c r="K149" s="151">
        <f t="shared" si="102"/>
        <v>-475814.03</v>
      </c>
      <c r="L149" s="63">
        <f t="shared" si="107"/>
        <v>0</v>
      </c>
      <c r="M149" s="29">
        <f>-H149</f>
        <v>-475814.03</v>
      </c>
      <c r="N149" s="33">
        <v>46022</v>
      </c>
      <c r="O149" s="90">
        <f t="shared" si="108"/>
        <v>-19757.680000000051</v>
      </c>
      <c r="P149" s="29">
        <v>-456056.35</v>
      </c>
    </row>
    <row r="150" spans="1:16">
      <c r="A150" s="284"/>
      <c r="B150" s="285"/>
      <c r="C150" s="8"/>
      <c r="D150" s="8"/>
      <c r="E150" s="15"/>
      <c r="F150" s="120"/>
      <c r="G150" s="15"/>
      <c r="H150" s="15"/>
      <c r="I150" s="15"/>
      <c r="J150" s="10"/>
      <c r="K150" s="10"/>
      <c r="L150" s="10"/>
      <c r="M150" s="10"/>
      <c r="N150" s="121"/>
      <c r="O150" s="10"/>
      <c r="P150" s="10"/>
    </row>
    <row r="151" spans="1:16" s="203" customFormat="1" ht="15" customHeight="1">
      <c r="A151" s="200"/>
      <c r="B151" s="200" t="s">
        <v>186</v>
      </c>
      <c r="C151" s="201"/>
      <c r="D151" s="201"/>
      <c r="E151" s="202">
        <f>SUM(E143:E150)</f>
        <v>6861630.3499999996</v>
      </c>
      <c r="F151" s="202"/>
      <c r="G151" s="202">
        <f t="shared" ref="G151:M151" si="109">SUM(G143:G150)</f>
        <v>6861630.3499999996</v>
      </c>
      <c r="H151" s="202">
        <f t="shared" si="109"/>
        <v>7786658.8000000017</v>
      </c>
      <c r="I151" s="202">
        <f t="shared" si="109"/>
        <v>-925028.45</v>
      </c>
      <c r="J151" s="202">
        <f t="shared" si="109"/>
        <v>1217319.06871038</v>
      </c>
      <c r="K151" s="202">
        <f t="shared" si="109"/>
        <v>-2142347.51871038</v>
      </c>
      <c r="L151" s="202">
        <f t="shared" si="109"/>
        <v>0</v>
      </c>
      <c r="M151" s="202">
        <f t="shared" si="109"/>
        <v>-925028.45</v>
      </c>
      <c r="N151" s="202"/>
      <c r="O151" s="202">
        <f>SUM(O143:O150)</f>
        <v>-175237.11999999994</v>
      </c>
      <c r="P151" s="202">
        <f>SUM(P143:P150)</f>
        <v>-749791.33</v>
      </c>
    </row>
    <row r="153" spans="1:16" ht="12" customHeight="1">
      <c r="A153" s="4" t="s">
        <v>60</v>
      </c>
      <c r="B153" s="113" t="s">
        <v>148</v>
      </c>
      <c r="C153" s="114"/>
      <c r="D153" s="115"/>
      <c r="E153" s="116"/>
      <c r="F153" s="116"/>
      <c r="G153" s="116"/>
      <c r="H153" s="116"/>
      <c r="I153" s="116"/>
      <c r="J153" s="116"/>
      <c r="K153" s="116"/>
      <c r="L153" s="117"/>
      <c r="M153" s="116"/>
      <c r="N153" s="174"/>
      <c r="O153" s="116"/>
      <c r="P153" s="116"/>
    </row>
    <row r="154" spans="1:16" ht="12" customHeight="1">
      <c r="B154" s="114"/>
      <c r="C154" s="114"/>
      <c r="D154" s="115"/>
      <c r="E154" s="116"/>
      <c r="F154" s="116"/>
      <c r="G154" s="116"/>
      <c r="H154" s="116"/>
      <c r="I154" s="116"/>
      <c r="J154" s="116"/>
      <c r="K154" s="116"/>
      <c r="L154" s="117"/>
      <c r="M154" s="116"/>
      <c r="N154" s="116"/>
      <c r="O154" s="116"/>
      <c r="P154" s="116"/>
    </row>
    <row r="155" spans="1:16" ht="25.5" customHeight="1">
      <c r="A155" s="91">
        <v>57.000500000000002</v>
      </c>
      <c r="B155" s="65" t="s">
        <v>302</v>
      </c>
      <c r="C155" s="30" t="s">
        <v>357</v>
      </c>
      <c r="D155" s="30" t="s">
        <v>129</v>
      </c>
      <c r="E155" s="31"/>
      <c r="F155" s="150">
        <f t="shared" ref="F155:F156" si="110">H155/(E155-M155)</f>
        <v>1</v>
      </c>
      <c r="G155" s="90">
        <f>H155+I155</f>
        <v>0</v>
      </c>
      <c r="H155" s="29">
        <v>92874.26</v>
      </c>
      <c r="I155" s="90">
        <f>IF(F155&gt;0.2,IF(M155&gt;0,IF(J155&gt;M155,M155,IF((F155*M155)&gt;J155,F155*M155,J155)),M155),0)</f>
        <v>-92874.26</v>
      </c>
      <c r="J155" s="152">
        <v>0</v>
      </c>
      <c r="K155" s="151">
        <f>I155-J155</f>
        <v>-92874.26</v>
      </c>
      <c r="L155" s="63">
        <f t="shared" ref="L155:L156" si="111">E155-G155</f>
        <v>0</v>
      </c>
      <c r="M155" s="29">
        <f>-H155</f>
        <v>-92874.26</v>
      </c>
      <c r="N155" s="33">
        <v>46022</v>
      </c>
      <c r="O155" s="90">
        <f t="shared" ref="O155:O156" si="112">M155-P155</f>
        <v>-12910.599999999991</v>
      </c>
      <c r="P155" s="29">
        <v>-79963.66</v>
      </c>
    </row>
    <row r="156" spans="1:16" ht="25.5" customHeight="1">
      <c r="A156" s="91">
        <v>57.000599999999999</v>
      </c>
      <c r="B156" s="65" t="s">
        <v>303</v>
      </c>
      <c r="C156" s="30" t="s">
        <v>357</v>
      </c>
      <c r="D156" s="30" t="s">
        <v>129</v>
      </c>
      <c r="E156" s="31"/>
      <c r="F156" s="150">
        <f t="shared" si="110"/>
        <v>1</v>
      </c>
      <c r="G156" s="90">
        <f>H156+I156</f>
        <v>0</v>
      </c>
      <c r="H156" s="29">
        <v>13743.76</v>
      </c>
      <c r="I156" s="90">
        <f>IF(F156&gt;0.2,IF(M156&gt;0,IF(J156&gt;M156,M156,IF((F156*M156)&gt;J156,F156*M156,J156)),M156),0)</f>
        <v>-13743.76</v>
      </c>
      <c r="J156" s="152">
        <v>0</v>
      </c>
      <c r="K156" s="151">
        <f t="shared" ref="K156" si="113">I156-J156</f>
        <v>-13743.76</v>
      </c>
      <c r="L156" s="63">
        <f t="shared" si="111"/>
        <v>0</v>
      </c>
      <c r="M156" s="29">
        <f>-H156</f>
        <v>-13743.76</v>
      </c>
      <c r="N156" s="33">
        <v>46022</v>
      </c>
      <c r="O156" s="90">
        <f t="shared" si="112"/>
        <v>-3332.4400000000005</v>
      </c>
      <c r="P156" s="29">
        <v>-10411.32</v>
      </c>
    </row>
    <row r="157" spans="1:16">
      <c r="A157" s="127"/>
      <c r="B157" s="128"/>
      <c r="C157" s="8"/>
      <c r="D157" s="8"/>
      <c r="E157" s="15"/>
      <c r="F157" s="120"/>
      <c r="G157" s="15"/>
      <c r="H157" s="15"/>
      <c r="I157" s="15"/>
      <c r="J157" s="10"/>
      <c r="K157" s="10"/>
      <c r="L157" s="10"/>
      <c r="M157" s="10"/>
      <c r="N157" s="121"/>
      <c r="O157" s="10"/>
      <c r="P157" s="10"/>
    </row>
    <row r="158" spans="1:16" s="203" customFormat="1" ht="15" customHeight="1">
      <c r="A158" s="200"/>
      <c r="B158" s="200" t="s">
        <v>192</v>
      </c>
      <c r="C158" s="201"/>
      <c r="D158" s="201"/>
      <c r="E158" s="202">
        <f>SUM(E153:E157)</f>
        <v>0</v>
      </c>
      <c r="F158" s="202"/>
      <c r="G158" s="202">
        <f t="shared" ref="G158" si="114">SUM(G153:G157)</f>
        <v>0</v>
      </c>
      <c r="H158" s="202">
        <f t="shared" ref="H158" si="115">SUM(H153:H157)</f>
        <v>106618.01999999999</v>
      </c>
      <c r="I158" s="202">
        <f t="shared" ref="I158" si="116">SUM(I153:I157)</f>
        <v>-106618.01999999999</v>
      </c>
      <c r="J158" s="202">
        <f t="shared" ref="J158" si="117">SUM(J153:J157)</f>
        <v>0</v>
      </c>
      <c r="K158" s="202">
        <f t="shared" ref="K158" si="118">SUM(K153:K157)</f>
        <v>-106618.01999999999</v>
      </c>
      <c r="L158" s="202">
        <f t="shared" ref="L158" si="119">SUM(L153:L157)</f>
        <v>0</v>
      </c>
      <c r="M158" s="202">
        <f t="shared" ref="M158" si="120">SUM(M153:M157)</f>
        <v>-106618.01999999999</v>
      </c>
      <c r="N158" s="202"/>
      <c r="O158" s="202">
        <f t="shared" ref="O158" si="121">SUM(O153:O157)</f>
        <v>-16243.039999999992</v>
      </c>
      <c r="P158" s="202">
        <f t="shared" ref="P158" si="122">SUM(P153:P157)</f>
        <v>-90374.98000000001</v>
      </c>
    </row>
    <row r="159" spans="1:16" ht="15" customHeight="1">
      <c r="E159" s="5"/>
      <c r="G159" s="5"/>
      <c r="H159" s="5"/>
      <c r="I159" s="5"/>
      <c r="J159" s="5"/>
      <c r="K159" s="5"/>
      <c r="L159" s="5"/>
      <c r="M159" s="5"/>
      <c r="N159" s="5"/>
      <c r="O159" s="5"/>
      <c r="P159" s="5"/>
    </row>
    <row r="160" spans="1:16" ht="12" customHeight="1">
      <c r="A160" s="4" t="s">
        <v>60</v>
      </c>
      <c r="B160" s="113" t="s">
        <v>149</v>
      </c>
      <c r="C160" s="114"/>
      <c r="D160" s="115"/>
      <c r="E160" s="116"/>
      <c r="F160" s="116"/>
      <c r="G160" s="116"/>
      <c r="H160" s="116"/>
      <c r="I160" s="116"/>
      <c r="J160" s="116"/>
      <c r="K160" s="116"/>
      <c r="L160" s="117"/>
      <c r="M160" s="116"/>
      <c r="N160" s="174"/>
      <c r="O160" s="116"/>
      <c r="P160" s="116"/>
    </row>
    <row r="161" spans="1:16" ht="12" customHeight="1">
      <c r="B161" s="114"/>
      <c r="C161" s="114"/>
      <c r="D161" s="115"/>
      <c r="E161" s="116"/>
      <c r="F161" s="116"/>
      <c r="G161" s="116"/>
      <c r="H161" s="116"/>
      <c r="I161" s="116"/>
      <c r="J161" s="116"/>
      <c r="K161" s="116"/>
      <c r="L161" s="117"/>
      <c r="M161" s="116"/>
      <c r="N161" s="116"/>
      <c r="O161" s="116"/>
      <c r="P161" s="116"/>
    </row>
    <row r="162" spans="1:16" ht="25.5" customHeight="1">
      <c r="A162" s="91">
        <v>58.000399999999999</v>
      </c>
      <c r="B162" s="65" t="s">
        <v>304</v>
      </c>
      <c r="C162" s="30" t="s">
        <v>124</v>
      </c>
      <c r="D162" s="30" t="s">
        <v>124</v>
      </c>
      <c r="E162" s="31"/>
      <c r="F162" s="150">
        <f>H162/(E162-M162)</f>
        <v>1</v>
      </c>
      <c r="G162" s="90">
        <f>H162+I162</f>
        <v>0</v>
      </c>
      <c r="H162" s="29">
        <v>147282.12</v>
      </c>
      <c r="I162" s="90">
        <f>IF(F162&gt;0.2,IF(M162&gt;0,IF(J162&gt;M162,M162,IF((F162*M162)&gt;J162,F162*M162,J162)),M162),0)</f>
        <v>-147282.12</v>
      </c>
      <c r="J162" s="152">
        <v>0</v>
      </c>
      <c r="K162" s="151">
        <f>I162-J162</f>
        <v>-147282.12</v>
      </c>
      <c r="L162" s="63">
        <f>E162-G162</f>
        <v>0</v>
      </c>
      <c r="M162" s="29">
        <f>-H162</f>
        <v>-147282.12</v>
      </c>
      <c r="N162" s="33">
        <v>46022</v>
      </c>
      <c r="O162" s="90">
        <f t="shared" ref="O162:O163" si="123">M162-P162</f>
        <v>-7983.109999999986</v>
      </c>
      <c r="P162" s="29">
        <v>-139299.01</v>
      </c>
    </row>
    <row r="163" spans="1:16" ht="25.5" customHeight="1">
      <c r="A163" s="91">
        <v>58.000500000000002</v>
      </c>
      <c r="B163" s="65" t="s">
        <v>305</v>
      </c>
      <c r="C163" s="30" t="s">
        <v>124</v>
      </c>
      <c r="D163" s="30" t="s">
        <v>124</v>
      </c>
      <c r="E163" s="31"/>
      <c r="F163" s="150">
        <f>H163/(E163-M163)</f>
        <v>1</v>
      </c>
      <c r="G163" s="90">
        <f>H163+I163</f>
        <v>0</v>
      </c>
      <c r="H163" s="29">
        <v>135037.09</v>
      </c>
      <c r="I163" s="90">
        <f>IF(F163&gt;0.2,IF(M163&gt;0,IF(J163&gt;M163,M163,IF((F163*M163)&gt;J163,F163*M163,J163)),M163),0)</f>
        <v>-135037.09</v>
      </c>
      <c r="J163" s="152">
        <v>0</v>
      </c>
      <c r="K163" s="151">
        <f>I163-J163</f>
        <v>-135037.09</v>
      </c>
      <c r="L163" s="63">
        <f>E163-G163</f>
        <v>0</v>
      </c>
      <c r="M163" s="29">
        <f>-H163</f>
        <v>-135037.09</v>
      </c>
      <c r="N163" s="33">
        <v>46022</v>
      </c>
      <c r="O163" s="90">
        <f t="shared" si="123"/>
        <v>-57749.649999999994</v>
      </c>
      <c r="P163" s="29">
        <v>-77287.44</v>
      </c>
    </row>
    <row r="164" spans="1:16">
      <c r="A164" s="127"/>
      <c r="B164" s="128"/>
      <c r="C164" s="8"/>
      <c r="D164" s="8"/>
      <c r="E164" s="15"/>
      <c r="F164" s="120"/>
      <c r="G164" s="15"/>
      <c r="H164" s="15"/>
      <c r="I164" s="15"/>
      <c r="J164" s="10"/>
      <c r="K164" s="10"/>
      <c r="L164" s="10"/>
      <c r="M164" s="10"/>
      <c r="N164" s="121"/>
      <c r="O164" s="10"/>
      <c r="P164" s="10"/>
    </row>
    <row r="165" spans="1:16" s="203" customFormat="1" ht="15" customHeight="1">
      <c r="A165" s="200"/>
      <c r="B165" s="200" t="s">
        <v>198</v>
      </c>
      <c r="C165" s="201"/>
      <c r="D165" s="201"/>
      <c r="E165" s="202">
        <f>SUM(E160:E164)</f>
        <v>0</v>
      </c>
      <c r="F165" s="202"/>
      <c r="G165" s="202">
        <f t="shared" ref="G165" si="124">SUM(G160:G164)</f>
        <v>0</v>
      </c>
      <c r="H165" s="202">
        <f t="shared" ref="H165" si="125">SUM(H160:H164)</f>
        <v>282319.20999999996</v>
      </c>
      <c r="I165" s="202">
        <f t="shared" ref="I165" si="126">SUM(I160:I164)</f>
        <v>-282319.20999999996</v>
      </c>
      <c r="J165" s="202">
        <f t="shared" ref="J165" si="127">SUM(J160:J164)</f>
        <v>0</v>
      </c>
      <c r="K165" s="202">
        <f t="shared" ref="K165" si="128">SUM(K160:K164)</f>
        <v>-282319.20999999996</v>
      </c>
      <c r="L165" s="202">
        <f t="shared" ref="L165" si="129">SUM(L160:L164)</f>
        <v>0</v>
      </c>
      <c r="M165" s="202">
        <f t="shared" ref="M165" si="130">SUM(M160:M164)</f>
        <v>-282319.20999999996</v>
      </c>
      <c r="N165" s="202"/>
      <c r="O165" s="202">
        <f t="shared" ref="O165" si="131">SUM(O160:O164)</f>
        <v>-65732.75999999998</v>
      </c>
      <c r="P165" s="202">
        <f t="shared" ref="P165" si="132">SUM(P160:P164)</f>
        <v>-216586.45</v>
      </c>
    </row>
    <row r="167" spans="1:16" ht="15" customHeight="1">
      <c r="A167" s="145" t="s">
        <v>153</v>
      </c>
      <c r="E167" s="5"/>
      <c r="G167" s="5"/>
      <c r="H167" s="5"/>
      <c r="I167" s="5"/>
      <c r="J167" s="5"/>
      <c r="K167" s="5"/>
      <c r="L167" s="5"/>
      <c r="M167" s="116"/>
      <c r="N167" s="174"/>
      <c r="O167" s="116"/>
      <c r="P167" s="5"/>
    </row>
    <row r="168" spans="1:16" ht="15" customHeight="1">
      <c r="E168" s="5"/>
      <c r="G168" s="5"/>
      <c r="H168" s="5"/>
      <c r="I168" s="5"/>
      <c r="J168" s="5"/>
      <c r="K168" s="5"/>
      <c r="L168" s="5"/>
      <c r="M168" s="5"/>
      <c r="N168" s="5"/>
      <c r="O168" s="5"/>
      <c r="P168" s="5"/>
    </row>
    <row r="169" spans="1:16" s="203" customFormat="1" ht="15" customHeight="1">
      <c r="A169" s="200"/>
      <c r="B169" s="200" t="s">
        <v>204</v>
      </c>
      <c r="C169" s="201"/>
      <c r="D169" s="201"/>
      <c r="E169" s="202">
        <f t="shared" ref="E169:P169" si="133">E151+E158+E165</f>
        <v>6861630.3499999996</v>
      </c>
      <c r="F169" s="202">
        <f t="shared" si="133"/>
        <v>0</v>
      </c>
      <c r="G169" s="202">
        <f t="shared" si="133"/>
        <v>6861630.3499999996</v>
      </c>
      <c r="H169" s="202">
        <f t="shared" si="133"/>
        <v>8175596.0300000012</v>
      </c>
      <c r="I169" s="202">
        <f t="shared" si="133"/>
        <v>-1313965.68</v>
      </c>
      <c r="J169" s="202">
        <f t="shared" si="133"/>
        <v>1217319.06871038</v>
      </c>
      <c r="K169" s="202">
        <f t="shared" si="133"/>
        <v>-2531284.7487103799</v>
      </c>
      <c r="L169" s="202">
        <f t="shared" si="133"/>
        <v>0</v>
      </c>
      <c r="M169" s="202">
        <f t="shared" si="133"/>
        <v>-1313965.68</v>
      </c>
      <c r="N169" s="202">
        <f t="shared" si="133"/>
        <v>0</v>
      </c>
      <c r="O169" s="202">
        <f t="shared" si="133"/>
        <v>-257212.9199999999</v>
      </c>
      <c r="P169" s="202">
        <f t="shared" si="133"/>
        <v>-1056752.76</v>
      </c>
    </row>
    <row r="170" spans="1:16" ht="15" customHeight="1">
      <c r="A170" s="172"/>
      <c r="B170" s="172"/>
      <c r="C170" s="3"/>
      <c r="D170" s="3"/>
      <c r="E170" s="175"/>
      <c r="F170" s="175"/>
      <c r="G170" s="175"/>
      <c r="H170" s="175"/>
      <c r="I170" s="175"/>
      <c r="J170" s="175"/>
      <c r="K170" s="175"/>
      <c r="L170" s="175"/>
      <c r="M170" s="175"/>
      <c r="N170" s="175"/>
      <c r="O170" s="175"/>
      <c r="P170" s="175"/>
    </row>
    <row r="171" spans="1:16" ht="15" customHeight="1"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</row>
    <row r="172" spans="1:16" ht="15" customHeight="1"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</row>
    <row r="173" spans="1:16" ht="15" customHeight="1">
      <c r="A173" s="145" t="s">
        <v>156</v>
      </c>
      <c r="E173" s="5"/>
      <c r="G173" s="5"/>
      <c r="I173" s="5"/>
      <c r="J173" s="5"/>
      <c r="K173" s="5"/>
      <c r="L173" s="5"/>
      <c r="M173" s="116"/>
      <c r="N173" s="174"/>
      <c r="O173" s="116"/>
      <c r="P173" s="5"/>
    </row>
    <row r="174" spans="1:16" ht="15" customHeight="1">
      <c r="E174" s="5"/>
      <c r="G174" s="5"/>
      <c r="H174" s="5"/>
      <c r="I174" s="5"/>
      <c r="J174" s="5"/>
      <c r="K174" s="5"/>
      <c r="L174" s="5"/>
      <c r="M174" s="5"/>
      <c r="N174" s="5"/>
      <c r="O174" s="5"/>
      <c r="P174" s="5"/>
    </row>
    <row r="175" spans="1:16" s="203" customFormat="1" ht="15" customHeight="1">
      <c r="A175" s="200"/>
      <c r="B175" s="200" t="s">
        <v>213</v>
      </c>
      <c r="C175" s="201"/>
      <c r="D175" s="201"/>
      <c r="E175" s="202">
        <f t="shared" ref="E175:P175" si="134">E136+E169</f>
        <v>148056766.65000001</v>
      </c>
      <c r="F175" s="202">
        <f t="shared" si="134"/>
        <v>0</v>
      </c>
      <c r="G175" s="202">
        <f t="shared" si="134"/>
        <v>148056766.65000001</v>
      </c>
      <c r="H175" s="202">
        <f t="shared" si="134"/>
        <v>136063098.07999998</v>
      </c>
      <c r="I175" s="202">
        <f t="shared" si="134"/>
        <v>11993668.569999995</v>
      </c>
      <c r="J175" s="202">
        <f t="shared" si="134"/>
        <v>17498674.654450722</v>
      </c>
      <c r="K175" s="202">
        <f t="shared" si="134"/>
        <v>-5505006.0844507236</v>
      </c>
      <c r="L175" s="202">
        <f t="shared" si="134"/>
        <v>0</v>
      </c>
      <c r="M175" s="202">
        <f t="shared" si="134"/>
        <v>11993668.569999995</v>
      </c>
      <c r="N175" s="202">
        <f t="shared" si="134"/>
        <v>0</v>
      </c>
      <c r="O175" s="202">
        <f t="shared" si="134"/>
        <v>-986896.58</v>
      </c>
      <c r="P175" s="202">
        <f t="shared" si="134"/>
        <v>12980565.149999995</v>
      </c>
    </row>
    <row r="176" spans="1:16" ht="15" customHeight="1">
      <c r="A176" s="172"/>
      <c r="B176" s="172"/>
      <c r="C176" s="3"/>
      <c r="D176" s="3"/>
      <c r="E176" s="175"/>
      <c r="F176" s="175"/>
      <c r="G176" s="175"/>
      <c r="H176" s="175"/>
      <c r="I176" s="175"/>
      <c r="J176" s="175"/>
      <c r="K176" s="175"/>
      <c r="L176" s="175"/>
      <c r="M176" s="175"/>
      <c r="N176" s="175"/>
      <c r="O176" s="175"/>
      <c r="P176" s="175"/>
    </row>
    <row r="179" spans="6:16"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</row>
    <row r="180" spans="6:16"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</row>
  </sheetData>
  <mergeCells count="2">
    <mergeCell ref="M4:N4"/>
    <mergeCell ref="C5:D5"/>
  </mergeCells>
  <phoneticPr fontId="0" type="noConversion"/>
  <conditionalFormatting sqref="F12:F21">
    <cfRule type="cellIs" dxfId="6" priority="25" operator="greaterThan">
      <formula>1</formula>
    </cfRule>
  </conditionalFormatting>
  <conditionalFormatting sqref="F27:F60">
    <cfRule type="cellIs" dxfId="5" priority="21" operator="greaterThan">
      <formula>1</formula>
    </cfRule>
  </conditionalFormatting>
  <conditionalFormatting sqref="F66:F68">
    <cfRule type="cellIs" dxfId="4" priority="19" operator="greaterThan">
      <formula>1</formula>
    </cfRule>
  </conditionalFormatting>
  <conditionalFormatting sqref="F74:F130">
    <cfRule type="cellIs" dxfId="3" priority="17" operator="greaterThan">
      <formula>1</formula>
    </cfRule>
  </conditionalFormatting>
  <conditionalFormatting sqref="F143:F149">
    <cfRule type="cellIs" dxfId="2" priority="76" operator="greaterThan">
      <formula>1</formula>
    </cfRule>
  </conditionalFormatting>
  <conditionalFormatting sqref="F155:F156">
    <cfRule type="cellIs" dxfId="1" priority="3" operator="greaterThan">
      <formula>1</formula>
    </cfRule>
  </conditionalFormatting>
  <conditionalFormatting sqref="F162:F163">
    <cfRule type="cellIs" dxfId="0" priority="1" operator="greaterThan">
      <formula>1</formula>
    </cfRule>
  </conditionalFormatting>
  <printOptions horizontalCentered="1"/>
  <pageMargins left="0.42" right="0.42" top="1.06" bottom="0.67" header="0.42" footer="0.43"/>
  <pageSetup paperSize="5" scale="74" fitToHeight="0" orientation="landscape" horizontalDpi="1200" verticalDpi="1200" r:id="rId1"/>
  <headerFooter alignWithMargins="0">
    <oddHeader xml:space="preserve">&amp;C&amp;14W.   M.   L Y L E S   C O.
&amp;12Job Summary
Closed Jobs
</oddHeader>
    <oddFooter>&amp;L&amp;6&amp;F&amp;C&amp;D</oddFooter>
  </headerFooter>
  <rowBreaks count="1" manualBreakCount="1">
    <brk id="152" max="15" man="1"/>
  </rowBreaks>
  <ignoredErrors>
    <ignoredError sqref="I146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C0356CAFA2744F838E3F26F98B1748" ma:contentTypeVersion="28" ma:contentTypeDescription="Create a new document." ma:contentTypeScope="" ma:versionID="9aa2e671d819d115036631a080e1364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0b31ecb4e8f74c1ead5452947891cda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7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15FCC7F7-B9FF-48D1-BD49-B8E3B58D3E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BF921C3-D920-4DBA-BEA4-C7598F6935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C34EC56-E706-49C0-8023-318E3F3DB0DB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Open Jobs</vt:lpstr>
      <vt:lpstr>Closed Jobs</vt:lpstr>
      <vt:lpstr>'Closed Jobs'!Print_Area</vt:lpstr>
      <vt:lpstr>'Open Jobs'!Print_Area</vt:lpstr>
      <vt:lpstr>'Closed Jobs'!Print_Titles</vt:lpstr>
      <vt:lpstr>'Open Jobs'!Print_Titles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Looney</dc:creator>
  <cp:lastModifiedBy>Brian Platten</cp:lastModifiedBy>
  <cp:lastPrinted>2026-02-11T02:31:58Z</cp:lastPrinted>
  <dcterms:created xsi:type="dcterms:W3CDTF">2003-10-10T16:27:18Z</dcterms:created>
  <dcterms:modified xsi:type="dcterms:W3CDTF">2026-03-06T19:42:41Z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0x010100ACC0356CAFA2744F838E3F26F98B1748</vt:lpwstr>
  </property>
</Properties>
</file>