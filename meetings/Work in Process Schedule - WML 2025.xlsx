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K:\WML\Accounting Manager-WML\2025\Monthly Financials\12. December\"/>
    </mc:Choice>
  </mc:AlternateContent>
  <xr:revisionPtr revIDLastSave="0" documentId="13_ncr:1_{174534AC-39FC-4DFD-AA57-EAA2BDDEDDED}" xr6:coauthVersionLast="47" xr6:coauthVersionMax="47" xr10:uidLastSave="{00000000-0000-0000-0000-000000000000}"/>
  <bookViews>
    <workbookView xWindow="-120" yWindow="-120" windowWidth="38640" windowHeight="21120" activeTab="8" xr2:uid="{00000000-000D-0000-FFFF-FFFF00000000}"/>
  </bookViews>
  <sheets>
    <sheet name="JV GAAP WIP" sheetId="12" r:id="rId1"/>
    <sheet name="JV GAAP" sheetId="13" r:id="rId2"/>
    <sheet name="Bonus vs GAAP" sheetId="11" r:id="rId3"/>
    <sheet name="Job Status" sheetId="6" r:id="rId4"/>
    <sheet name="GAAP WIP" sheetId="1" r:id="rId5"/>
    <sheet name="GAAP" sheetId="2" r:id="rId6"/>
    <sheet name="Bonus WIP" sheetId="3" r:id="rId7"/>
    <sheet name="Bonus" sheetId="4" r:id="rId8"/>
    <sheet name="Backlog" sheetId="7" r:id="rId9"/>
    <sheet name="Job Summary" sheetId="8" r:id="rId10"/>
  </sheets>
  <definedNames>
    <definedName name="_xlnm._FilterDatabase" localSheetId="5" hidden="1">GAAP!$A$7:$AJ$154</definedName>
    <definedName name="_xlnm._FilterDatabase" localSheetId="3" hidden="1">'Job Status'!$A$10:$AA$10</definedName>
    <definedName name="_xlnm.Print_Area" localSheetId="8">Backlog!$A$1:$K$168</definedName>
    <definedName name="_xlnm.Print_Area" localSheetId="7">Bonus!$A$1:$S$459</definedName>
    <definedName name="_xlnm.Print_Area" localSheetId="2">'Bonus vs GAAP'!$A$1:$AA$435</definedName>
    <definedName name="_xlnm.Print_Area" localSheetId="6">'Bonus WIP'!$A$1:$L$145</definedName>
    <definedName name="_xlnm.Print_Area" localSheetId="5">GAAP!$A$1:$S$410</definedName>
    <definedName name="_xlnm.Print_Area" localSheetId="4">'GAAP WIP'!$A$1:$R$147</definedName>
    <definedName name="_xlnm.Print_Area" localSheetId="3">'Job Status'!$A$1:$M$348</definedName>
    <definedName name="_xlnm.Print_Area" localSheetId="9">'Job Summary'!$A$1:$P$443</definedName>
    <definedName name="_xlnm.Print_Titles" localSheetId="8">Backlog!$1:$4</definedName>
    <definedName name="_xlnm.Print_Titles" localSheetId="7">Bonus!$1:$7</definedName>
    <definedName name="_xlnm.Print_Titles" localSheetId="2">'Bonus vs GAAP'!$1:$7</definedName>
    <definedName name="_xlnm.Print_Titles" localSheetId="6">'Bonus WIP'!$1:$7</definedName>
    <definedName name="_xlnm.Print_Titles" localSheetId="5">GAAP!$1:$7</definedName>
    <definedName name="_xlnm.Print_Titles" localSheetId="4">'GAAP WIP'!$1:$6</definedName>
    <definedName name="_xlnm.Print_Titles" localSheetId="3">'Job Status'!$5:$7</definedName>
    <definedName name="_xlnm.Print_Titles" localSheetId="9">'Job Summary'!$1:$7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7" l="1"/>
  <c r="J21" i="7"/>
  <c r="K23" i="7"/>
  <c r="K168" i="7"/>
  <c r="J168" i="7"/>
  <c r="I168" i="7"/>
  <c r="H168" i="7"/>
  <c r="G168" i="7"/>
  <c r="F168" i="7"/>
  <c r="E168" i="7"/>
  <c r="D168" i="7"/>
  <c r="K161" i="7"/>
  <c r="J161" i="7"/>
  <c r="K160" i="7"/>
  <c r="J160" i="7"/>
  <c r="K159" i="7"/>
  <c r="J159" i="7"/>
  <c r="K158" i="7"/>
  <c r="J158" i="7"/>
  <c r="K157" i="7"/>
  <c r="J157" i="7"/>
  <c r="K156" i="7"/>
  <c r="J156" i="7"/>
  <c r="K155" i="7"/>
  <c r="J155" i="7"/>
  <c r="AA426" i="11" l="1"/>
  <c r="P36" i="1" l="1"/>
  <c r="N115" i="1"/>
  <c r="O115" i="1" s="1"/>
  <c r="N111" i="1"/>
  <c r="O111" i="1" s="1"/>
  <c r="N106" i="1"/>
  <c r="O106" i="1" s="1"/>
  <c r="O62" i="1"/>
  <c r="N62" i="1"/>
  <c r="AC8" i="11"/>
  <c r="AC9" i="11"/>
  <c r="AC10" i="11"/>
  <c r="AC11" i="11"/>
  <c r="AC12" i="11"/>
  <c r="AC13" i="11"/>
  <c r="AC14" i="11"/>
  <c r="AC15" i="11"/>
  <c r="AC16" i="11"/>
  <c r="AC17" i="11"/>
  <c r="AC18" i="11"/>
  <c r="AC19" i="11"/>
  <c r="AC20" i="11"/>
  <c r="AC21" i="11"/>
  <c r="AC22" i="11"/>
  <c r="AC23" i="11"/>
  <c r="AC24" i="11"/>
  <c r="AC25" i="11"/>
  <c r="AC26" i="11"/>
  <c r="AC27" i="11"/>
  <c r="AC28" i="11"/>
  <c r="AC29" i="11"/>
  <c r="AC30" i="11"/>
  <c r="AC31" i="11"/>
  <c r="AC32" i="11"/>
  <c r="AC33" i="11"/>
  <c r="AC34" i="11"/>
  <c r="AC35" i="11"/>
  <c r="AC36" i="11"/>
  <c r="AC37" i="11"/>
  <c r="AC38" i="11"/>
  <c r="AC39" i="11"/>
  <c r="AC40" i="11"/>
  <c r="AC41" i="11"/>
  <c r="AC42" i="11"/>
  <c r="AC45" i="11"/>
  <c r="AC46" i="11"/>
  <c r="AC47" i="11"/>
  <c r="AC48" i="11"/>
  <c r="AC49" i="11"/>
  <c r="AC50" i="11"/>
  <c r="AC51" i="11"/>
  <c r="AC52" i="11"/>
  <c r="AC53" i="11"/>
  <c r="AC54" i="11"/>
  <c r="AC55" i="11"/>
  <c r="AC56" i="11"/>
  <c r="AC57" i="11"/>
  <c r="AC58" i="11"/>
  <c r="AC59" i="11"/>
  <c r="AC60" i="11"/>
  <c r="AC61" i="11"/>
  <c r="AC62" i="11"/>
  <c r="AC63" i="11"/>
  <c r="AC64" i="11"/>
  <c r="AC65" i="11"/>
  <c r="AC66" i="11"/>
  <c r="AC67" i="11"/>
  <c r="AC68" i="11"/>
  <c r="AC69" i="11"/>
  <c r="AC70" i="11"/>
  <c r="AC71" i="11"/>
  <c r="AC72" i="11"/>
  <c r="AC73" i="11"/>
  <c r="AC74" i="11"/>
  <c r="AC75" i="11"/>
  <c r="AC76" i="11"/>
  <c r="AC77" i="11"/>
  <c r="AC78" i="11"/>
  <c r="AC79" i="11"/>
  <c r="AC80" i="11"/>
  <c r="AC81" i="11"/>
  <c r="AC82" i="11"/>
  <c r="AC83" i="11"/>
  <c r="AC84" i="11"/>
  <c r="AC85" i="11"/>
  <c r="AC86" i="11"/>
  <c r="AC87" i="11"/>
  <c r="AC88" i="11"/>
  <c r="AC89" i="11"/>
  <c r="AC90" i="11"/>
  <c r="AC91" i="11"/>
  <c r="AC92" i="11"/>
  <c r="AC93" i="11"/>
  <c r="AC94" i="11"/>
  <c r="AC95" i="11"/>
  <c r="AC96" i="11"/>
  <c r="AC97" i="11"/>
  <c r="AC98" i="11"/>
  <c r="AC99" i="11"/>
  <c r="AC100" i="11"/>
  <c r="AC101" i="11"/>
  <c r="AC102" i="11"/>
  <c r="AC103" i="11"/>
  <c r="AC104" i="11"/>
  <c r="AC106" i="11"/>
  <c r="AC109" i="11"/>
  <c r="AC110" i="11"/>
  <c r="AC111" i="11"/>
  <c r="AC114" i="11"/>
  <c r="AC115" i="11"/>
  <c r="AC116" i="11"/>
  <c r="AC117" i="11"/>
  <c r="AC118" i="11"/>
  <c r="AC120" i="11"/>
  <c r="AC123" i="11"/>
  <c r="AC124" i="11"/>
  <c r="AC125" i="11"/>
  <c r="AC126" i="11"/>
  <c r="AC127" i="11"/>
  <c r="AC128" i="11"/>
  <c r="AC129" i="11"/>
  <c r="AC130" i="11"/>
  <c r="AC131" i="11"/>
  <c r="AC132" i="11"/>
  <c r="AC133" i="11"/>
  <c r="AC134" i="11"/>
  <c r="AC135" i="11"/>
  <c r="AC136" i="11"/>
  <c r="AC137" i="11"/>
  <c r="AC138" i="11"/>
  <c r="AC139" i="11"/>
  <c r="AC140" i="11"/>
  <c r="AC141" i="11"/>
  <c r="AC142" i="11"/>
  <c r="AC143" i="11"/>
  <c r="AC144" i="11"/>
  <c r="AC145" i="11"/>
  <c r="AC146" i="11"/>
  <c r="AC147" i="11"/>
  <c r="AC148" i="11"/>
  <c r="AC149" i="11"/>
  <c r="AC150" i="11"/>
  <c r="AC151" i="11"/>
  <c r="AC152" i="11"/>
  <c r="AC153" i="11"/>
  <c r="AC154" i="11"/>
  <c r="AC155" i="11"/>
  <c r="AC156" i="11"/>
  <c r="AC157" i="11"/>
  <c r="AC160" i="11"/>
  <c r="AC161" i="11"/>
  <c r="AC162" i="11"/>
  <c r="AC163" i="11"/>
  <c r="AC164" i="11"/>
  <c r="AC165" i="11"/>
  <c r="AC166" i="11"/>
  <c r="AC167" i="11"/>
  <c r="AC168" i="11"/>
  <c r="AC169" i="11"/>
  <c r="AC170" i="11"/>
  <c r="AC171" i="11"/>
  <c r="AC172" i="11"/>
  <c r="AC173" i="11"/>
  <c r="AC174" i="11"/>
  <c r="AC175" i="11"/>
  <c r="AC176" i="11"/>
  <c r="AC177" i="11"/>
  <c r="AC178" i="11"/>
  <c r="AC179" i="11"/>
  <c r="AC180" i="11"/>
  <c r="AC181" i="11"/>
  <c r="AC182" i="11"/>
  <c r="AC183" i="11"/>
  <c r="AC184" i="11"/>
  <c r="AC185" i="11"/>
  <c r="AC186" i="11"/>
  <c r="AC187" i="11"/>
  <c r="AC188" i="11"/>
  <c r="AC189" i="11"/>
  <c r="AC190" i="11"/>
  <c r="AC191" i="11"/>
  <c r="AC192" i="11"/>
  <c r="AC193" i="11"/>
  <c r="AC194" i="11"/>
  <c r="AC195" i="11"/>
  <c r="AC196" i="11"/>
  <c r="AC197" i="11"/>
  <c r="AC198" i="11"/>
  <c r="AC199" i="11"/>
  <c r="AC200" i="11"/>
  <c r="AC201" i="11"/>
  <c r="AC202" i="11"/>
  <c r="AC203" i="11"/>
  <c r="AC204" i="11"/>
  <c r="AC205" i="11"/>
  <c r="AC206" i="11"/>
  <c r="AC207" i="11"/>
  <c r="AC208" i="11"/>
  <c r="AC209" i="11"/>
  <c r="AC210" i="11"/>
  <c r="AC211" i="11"/>
  <c r="AC212" i="11"/>
  <c r="AC213" i="11"/>
  <c r="AC214" i="11"/>
  <c r="AC215" i="11"/>
  <c r="AC216" i="11"/>
  <c r="AC217" i="11"/>
  <c r="AC218" i="11"/>
  <c r="AC219" i="11"/>
  <c r="AC220" i="11"/>
  <c r="AC221" i="11"/>
  <c r="AC222" i="11"/>
  <c r="AC223" i="11"/>
  <c r="AC224" i="11"/>
  <c r="AC227" i="11"/>
  <c r="AC228" i="11"/>
  <c r="AC229" i="11"/>
  <c r="AC230" i="11"/>
  <c r="AC231" i="11"/>
  <c r="AC232" i="11"/>
  <c r="AC233" i="11"/>
  <c r="AC234" i="11"/>
  <c r="AC235" i="11"/>
  <c r="AC236" i="11"/>
  <c r="AC237" i="11"/>
  <c r="AC238" i="11"/>
  <c r="AC239" i="11"/>
  <c r="AC240" i="11"/>
  <c r="AC241" i="11"/>
  <c r="AC244" i="11"/>
  <c r="AC245" i="11"/>
  <c r="AC246" i="11"/>
  <c r="AC247" i="11"/>
  <c r="AC248" i="11"/>
  <c r="AC249" i="11"/>
  <c r="AC250" i="11"/>
  <c r="AC251" i="11"/>
  <c r="AC252" i="11"/>
  <c r="AC253" i="11"/>
  <c r="AC254" i="11"/>
  <c r="AC257" i="11"/>
  <c r="AC258" i="11"/>
  <c r="AC259" i="11"/>
  <c r="AC260" i="11"/>
  <c r="AC261" i="11"/>
  <c r="AC262" i="11"/>
  <c r="AC265" i="11"/>
  <c r="AC266" i="11"/>
  <c r="AC267" i="11"/>
  <c r="AC268" i="11"/>
  <c r="AC269" i="11"/>
  <c r="AC272" i="11"/>
  <c r="AC273" i="11"/>
  <c r="AC274" i="11"/>
  <c r="AC277" i="11"/>
  <c r="AC278" i="11"/>
  <c r="AC279" i="11"/>
  <c r="AC280" i="11"/>
  <c r="AC281" i="11"/>
  <c r="AC283" i="11"/>
  <c r="AC284" i="11"/>
  <c r="AC285" i="11"/>
  <c r="AC288" i="11"/>
  <c r="AC289" i="11"/>
  <c r="AC290" i="11"/>
  <c r="AC291" i="11"/>
  <c r="AC292" i="11"/>
  <c r="AC293" i="11"/>
  <c r="AC294" i="11"/>
  <c r="AC295" i="11"/>
  <c r="AC296" i="11"/>
  <c r="AC297" i="11"/>
  <c r="AC298" i="11"/>
  <c r="AC299" i="11"/>
  <c r="AC300" i="11"/>
  <c r="AC301" i="11"/>
  <c r="AC302" i="11"/>
  <c r="AC303" i="11"/>
  <c r="AC304" i="11"/>
  <c r="AC305" i="11"/>
  <c r="AC306" i="11"/>
  <c r="AC307" i="11"/>
  <c r="AC308" i="11"/>
  <c r="AC309" i="11"/>
  <c r="AC310" i="11"/>
  <c r="AC311" i="11"/>
  <c r="AC312" i="11"/>
  <c r="AC313" i="11"/>
  <c r="AC314" i="11"/>
  <c r="AC315" i="11"/>
  <c r="AC316" i="11"/>
  <c r="AC317" i="11"/>
  <c r="AC318" i="11"/>
  <c r="AC319" i="11"/>
  <c r="AC320" i="11"/>
  <c r="AC321" i="11"/>
  <c r="AC322" i="11"/>
  <c r="AC325" i="11"/>
  <c r="AC326" i="11"/>
  <c r="AC327" i="11"/>
  <c r="AC328" i="11"/>
  <c r="AC329" i="11"/>
  <c r="AC330" i="11"/>
  <c r="AC331" i="11"/>
  <c r="AC332" i="11"/>
  <c r="AC333" i="11"/>
  <c r="AC334" i="11"/>
  <c r="AC335" i="11"/>
  <c r="AC336" i="11"/>
  <c r="AC337" i="11"/>
  <c r="AC338" i="11"/>
  <c r="AC339" i="11"/>
  <c r="AC340" i="11"/>
  <c r="AC341" i="11"/>
  <c r="AC342" i="11"/>
  <c r="AC343" i="11"/>
  <c r="AC344" i="11"/>
  <c r="AC345" i="11"/>
  <c r="AC346" i="11"/>
  <c r="AC347" i="11"/>
  <c r="AC348" i="11"/>
  <c r="AC349" i="11"/>
  <c r="AC350" i="11"/>
  <c r="AC351" i="11"/>
  <c r="AC352" i="11"/>
  <c r="AC353" i="11"/>
  <c r="AC354" i="11"/>
  <c r="AC355" i="11"/>
  <c r="AC356" i="11"/>
  <c r="AC357" i="11"/>
  <c r="AC358" i="11"/>
  <c r="AC359" i="11"/>
  <c r="AC360" i="11"/>
  <c r="AC361" i="11"/>
  <c r="AC362" i="11"/>
  <c r="AC363" i="11"/>
  <c r="AC364" i="11"/>
  <c r="AC365" i="11"/>
  <c r="AC366" i="11"/>
  <c r="AC367" i="11"/>
  <c r="AC368" i="11"/>
  <c r="AC369" i="11"/>
  <c r="AC370" i="11"/>
  <c r="AC371" i="11"/>
  <c r="AC372" i="11"/>
  <c r="AC373" i="11"/>
  <c r="AC374" i="11"/>
  <c r="AC375" i="11"/>
  <c r="AC376" i="11"/>
  <c r="AC377" i="11"/>
  <c r="AC378" i="11"/>
  <c r="AC379" i="11"/>
  <c r="AC380" i="11"/>
  <c r="AC381" i="11"/>
  <c r="AC382" i="11"/>
  <c r="AC383" i="11"/>
  <c r="AC384" i="11"/>
  <c r="AC385" i="11"/>
  <c r="AC386" i="11"/>
  <c r="AC387" i="11"/>
  <c r="AC388" i="11"/>
  <c r="AC389" i="11"/>
  <c r="AC390" i="11"/>
  <c r="AC393" i="11"/>
  <c r="AC394" i="11"/>
  <c r="AC395" i="11"/>
  <c r="AC396" i="11"/>
  <c r="AC397" i="11"/>
  <c r="AC398" i="11"/>
  <c r="AC399" i="11"/>
  <c r="AC400" i="11"/>
  <c r="AC401" i="11"/>
  <c r="AC403" i="11"/>
  <c r="AC404" i="11"/>
  <c r="AC405" i="11"/>
  <c r="AC411" i="11"/>
  <c r="AC412" i="11"/>
  <c r="AC413" i="11"/>
  <c r="AC416" i="11"/>
  <c r="J17" i="13" l="1"/>
  <c r="L17" i="13"/>
  <c r="I13" i="13" l="1"/>
  <c r="F13" i="13"/>
  <c r="E44" i="2" l="1"/>
  <c r="N26" i="8" l="1"/>
  <c r="N42" i="8"/>
  <c r="B417" i="4" l="1"/>
  <c r="D9" i="4"/>
  <c r="D10" i="4"/>
  <c r="D11" i="4"/>
  <c r="D12" i="4"/>
  <c r="D13" i="4"/>
  <c r="D14" i="4"/>
  <c r="D15" i="4"/>
  <c r="D16" i="4"/>
  <c r="D17" i="4"/>
  <c r="D18" i="4"/>
  <c r="D19" i="4"/>
  <c r="D20" i="4"/>
  <c r="D21" i="4"/>
  <c r="D22" i="4"/>
  <c r="D23" i="4"/>
  <c r="D24" i="4"/>
  <c r="D29" i="4"/>
  <c r="D30" i="4"/>
  <c r="D31" i="4"/>
  <c r="D32" i="4"/>
  <c r="D33" i="4"/>
  <c r="D34" i="4"/>
  <c r="D35" i="4"/>
  <c r="D36" i="4"/>
  <c r="D37" i="4"/>
  <c r="D38" i="4"/>
  <c r="D44" i="4"/>
  <c r="D45" i="4"/>
  <c r="D46" i="4"/>
  <c r="D47" i="4"/>
  <c r="D48" i="4"/>
  <c r="D49" i="4"/>
  <c r="D50" i="4"/>
  <c r="D51" i="4"/>
  <c r="D52" i="4"/>
  <c r="D53" i="4"/>
  <c r="D54" i="4"/>
  <c r="D55" i="4"/>
  <c r="D56" i="4"/>
  <c r="D57" i="4"/>
  <c r="D58" i="4"/>
  <c r="D59" i="4"/>
  <c r="D60" i="4"/>
  <c r="D61" i="4"/>
  <c r="D62" i="4"/>
  <c r="D63"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7" i="4"/>
  <c r="D109" i="4" s="1"/>
  <c r="D112" i="4"/>
  <c r="D113" i="4"/>
  <c r="D114"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23" i="4"/>
  <c r="D224" i="4"/>
  <c r="D225" i="4"/>
  <c r="D226" i="4"/>
  <c r="D227" i="4"/>
  <c r="D228" i="4"/>
  <c r="D229" i="4"/>
  <c r="D230" i="4"/>
  <c r="D231" i="4"/>
  <c r="D232" i="4"/>
  <c r="D233" i="4"/>
  <c r="D234" i="4"/>
  <c r="D235" i="4"/>
  <c r="D240" i="4"/>
  <c r="D241" i="4"/>
  <c r="D242" i="4"/>
  <c r="D243" i="4"/>
  <c r="D244" i="4"/>
  <c r="D245" i="4"/>
  <c r="D246" i="4"/>
  <c r="D252" i="4"/>
  <c r="D253" i="4"/>
  <c r="D254" i="4"/>
  <c r="D255" i="4"/>
  <c r="D260" i="4"/>
  <c r="D261" i="4"/>
  <c r="D267" i="4"/>
  <c r="D269" i="4" s="1"/>
  <c r="D272" i="4"/>
  <c r="D273"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C416" i="4"/>
  <c r="B426" i="4"/>
  <c r="B425" i="4"/>
  <c r="B424" i="4"/>
  <c r="B423" i="4"/>
  <c r="B422" i="4"/>
  <c r="B418" i="4"/>
  <c r="B416" i="4"/>
  <c r="D116" i="4" l="1"/>
  <c r="D117" i="4" s="1"/>
  <c r="D317" i="4"/>
  <c r="D257" i="4"/>
  <c r="D384" i="4"/>
  <c r="D103" i="4"/>
  <c r="D275" i="4"/>
  <c r="D276" i="4" s="1"/>
  <c r="D215" i="4"/>
  <c r="D154" i="4"/>
  <c r="D237" i="4"/>
  <c r="D248" i="4"/>
  <c r="D65" i="4"/>
  <c r="D263" i="4"/>
  <c r="D26" i="4"/>
  <c r="D40" i="4"/>
  <c r="D264" i="4" l="1"/>
  <c r="D278" i="4"/>
  <c r="D216" i="4"/>
  <c r="D41" i="4"/>
  <c r="D279" i="4"/>
  <c r="D280" i="4" s="1"/>
  <c r="D104" i="4"/>
  <c r="D218" i="4"/>
  <c r="D385" i="4"/>
  <c r="D219" i="4"/>
  <c r="D249" i="4"/>
  <c r="D398" i="4" l="1"/>
  <c r="D220" i="4"/>
  <c r="C149" i="2" l="1"/>
  <c r="C121" i="2"/>
  <c r="E121" i="2"/>
  <c r="A352" i="11" l="1"/>
  <c r="B352" i="11"/>
  <c r="F352" i="11"/>
  <c r="A277" i="11"/>
  <c r="B277" i="11"/>
  <c r="F277" i="11"/>
  <c r="A278" i="11"/>
  <c r="B278" i="11"/>
  <c r="F278" i="11"/>
  <c r="A265" i="11"/>
  <c r="B265" i="11"/>
  <c r="F265" i="11"/>
  <c r="A266" i="11"/>
  <c r="B266" i="11"/>
  <c r="F266" i="11"/>
  <c r="A249" i="11"/>
  <c r="B249" i="11"/>
  <c r="F249" i="11"/>
  <c r="A250" i="11"/>
  <c r="B250" i="11"/>
  <c r="F250" i="11"/>
  <c r="A192" i="11"/>
  <c r="B192" i="11"/>
  <c r="F192" i="11"/>
  <c r="A193" i="11"/>
  <c r="B193" i="11"/>
  <c r="F193" i="11"/>
  <c r="A115" i="11"/>
  <c r="B115" i="11"/>
  <c r="F115" i="11"/>
  <c r="A116" i="11"/>
  <c r="B116" i="11"/>
  <c r="F116" i="11"/>
  <c r="A81" i="11"/>
  <c r="B81" i="11"/>
  <c r="F81" i="11"/>
  <c r="A82" i="11"/>
  <c r="B82" i="11"/>
  <c r="F82" i="11"/>
  <c r="A37" i="11"/>
  <c r="B37" i="11"/>
  <c r="F37" i="11"/>
  <c r="A38" i="11"/>
  <c r="B38" i="11"/>
  <c r="F38" i="11"/>
  <c r="A347" i="2"/>
  <c r="A330" i="6" s="1"/>
  <c r="B347" i="2"/>
  <c r="B330" i="6" s="1"/>
  <c r="C347" i="2"/>
  <c r="E330" i="6" s="1"/>
  <c r="E347" i="2"/>
  <c r="H347" i="2" s="1"/>
  <c r="F347" i="2"/>
  <c r="J352" i="11" s="1"/>
  <c r="J347" i="2"/>
  <c r="N347" i="2"/>
  <c r="O347" i="2"/>
  <c r="P347" i="2"/>
  <c r="L330" i="6" s="1"/>
  <c r="T347" i="2"/>
  <c r="N330" i="6" s="1"/>
  <c r="U347" i="2"/>
  <c r="O330" i="6" s="1"/>
  <c r="V347" i="2"/>
  <c r="P330" i="6" s="1"/>
  <c r="A272" i="2"/>
  <c r="A334" i="6" s="1"/>
  <c r="B272" i="2"/>
  <c r="B334" i="6" s="1"/>
  <c r="C272" i="2"/>
  <c r="E334" i="6" s="1"/>
  <c r="E272" i="2"/>
  <c r="H272" i="2" s="1"/>
  <c r="K334" i="6" s="1"/>
  <c r="F272" i="2"/>
  <c r="F334" i="6" s="1"/>
  <c r="J272" i="2"/>
  <c r="N272" i="2"/>
  <c r="O272" i="2"/>
  <c r="P272" i="2"/>
  <c r="L334" i="6" s="1"/>
  <c r="T272" i="2"/>
  <c r="N334" i="6" s="1"/>
  <c r="U272" i="2"/>
  <c r="O334" i="6" s="1"/>
  <c r="V272" i="2"/>
  <c r="P334" i="6" s="1"/>
  <c r="A273" i="2"/>
  <c r="A335" i="6" s="1"/>
  <c r="B273" i="2"/>
  <c r="B335" i="6" s="1"/>
  <c r="C273" i="2"/>
  <c r="E335" i="6" s="1"/>
  <c r="E273" i="2"/>
  <c r="H273" i="2" s="1"/>
  <c r="K335" i="6" s="1"/>
  <c r="F273" i="2"/>
  <c r="F335" i="6" s="1"/>
  <c r="J273" i="2"/>
  <c r="C335" i="6" s="1"/>
  <c r="N273" i="2"/>
  <c r="O273" i="2"/>
  <c r="P273" i="2"/>
  <c r="L335" i="6" s="1"/>
  <c r="T273" i="2"/>
  <c r="N335" i="6" s="1"/>
  <c r="U273" i="2"/>
  <c r="O335" i="6" s="1"/>
  <c r="V273" i="2"/>
  <c r="P335" i="6" s="1"/>
  <c r="A260" i="2"/>
  <c r="A332" i="6" s="1"/>
  <c r="B260" i="2"/>
  <c r="B332" i="6" s="1"/>
  <c r="C260" i="2"/>
  <c r="E332" i="6" s="1"/>
  <c r="E260" i="2"/>
  <c r="H260" i="2" s="1"/>
  <c r="K332" i="6" s="1"/>
  <c r="F260" i="2"/>
  <c r="F332" i="6" s="1"/>
  <c r="J260" i="2"/>
  <c r="C332" i="6" s="1"/>
  <c r="N260" i="2"/>
  <c r="O260" i="2"/>
  <c r="P260" i="2"/>
  <c r="L332" i="6" s="1"/>
  <c r="T260" i="2"/>
  <c r="N332" i="6" s="1"/>
  <c r="U260" i="2"/>
  <c r="O332" i="6" s="1"/>
  <c r="V260" i="2"/>
  <c r="P332" i="6" s="1"/>
  <c r="A261" i="2"/>
  <c r="A333" i="6" s="1"/>
  <c r="B261" i="2"/>
  <c r="B333" i="6" s="1"/>
  <c r="C261" i="2"/>
  <c r="E333" i="6" s="1"/>
  <c r="E261" i="2"/>
  <c r="H261" i="2" s="1"/>
  <c r="K333" i="6" s="1"/>
  <c r="F261" i="2"/>
  <c r="F333" i="6" s="1"/>
  <c r="J261" i="2"/>
  <c r="C333" i="6" s="1"/>
  <c r="N261" i="2"/>
  <c r="O261" i="2"/>
  <c r="P261" i="2"/>
  <c r="L333" i="6" s="1"/>
  <c r="T261" i="2"/>
  <c r="N333" i="6" s="1"/>
  <c r="U261" i="2"/>
  <c r="O333" i="6" s="1"/>
  <c r="V261" i="2"/>
  <c r="P333" i="6" s="1"/>
  <c r="A245" i="2"/>
  <c r="A328" i="6" s="1"/>
  <c r="B245" i="2"/>
  <c r="B328" i="6" s="1"/>
  <c r="C245" i="2"/>
  <c r="E328" i="6" s="1"/>
  <c r="E245" i="2"/>
  <c r="H245" i="2" s="1"/>
  <c r="K328" i="6" s="1"/>
  <c r="F245" i="2"/>
  <c r="F328" i="6" s="1"/>
  <c r="J245" i="2"/>
  <c r="C328" i="6" s="1"/>
  <c r="N245" i="2"/>
  <c r="O245" i="2"/>
  <c r="P245" i="2"/>
  <c r="L328" i="6" s="1"/>
  <c r="T245" i="2"/>
  <c r="N328" i="6" s="1"/>
  <c r="U245" i="2"/>
  <c r="O328" i="6" s="1"/>
  <c r="V245" i="2"/>
  <c r="P328" i="6" s="1"/>
  <c r="A246" i="2"/>
  <c r="A329" i="6" s="1"/>
  <c r="B246" i="2"/>
  <c r="B329" i="6" s="1"/>
  <c r="C246" i="2"/>
  <c r="E329" i="6" s="1"/>
  <c r="E246" i="2"/>
  <c r="H246" i="2" s="1"/>
  <c r="K329" i="6" s="1"/>
  <c r="F246" i="2"/>
  <c r="F329" i="6" s="1"/>
  <c r="J246" i="2"/>
  <c r="C329" i="6" s="1"/>
  <c r="N246" i="2"/>
  <c r="O246" i="2"/>
  <c r="P246" i="2"/>
  <c r="L329" i="6" s="1"/>
  <c r="T246" i="2"/>
  <c r="N329" i="6" s="1"/>
  <c r="U246" i="2"/>
  <c r="O329" i="6" s="1"/>
  <c r="V246" i="2"/>
  <c r="P329" i="6" s="1"/>
  <c r="A189" i="2"/>
  <c r="A326" i="6" s="1"/>
  <c r="B189" i="2"/>
  <c r="B326" i="6" s="1"/>
  <c r="C189" i="2"/>
  <c r="E326" i="6" s="1"/>
  <c r="E189" i="2"/>
  <c r="H189" i="2" s="1"/>
  <c r="K326" i="6" s="1"/>
  <c r="F189" i="2"/>
  <c r="F326" i="6" s="1"/>
  <c r="J189" i="2"/>
  <c r="C326" i="6" s="1"/>
  <c r="N189" i="2"/>
  <c r="O189" i="2"/>
  <c r="P189" i="2"/>
  <c r="L326" i="6" s="1"/>
  <c r="T189" i="2"/>
  <c r="N326" i="6" s="1"/>
  <c r="U189" i="2"/>
  <c r="O326" i="6" s="1"/>
  <c r="V189" i="2"/>
  <c r="P326" i="6" s="1"/>
  <c r="A190" i="2"/>
  <c r="A327" i="6" s="1"/>
  <c r="B190" i="2"/>
  <c r="B327" i="6" s="1"/>
  <c r="C190" i="2"/>
  <c r="E327" i="6" s="1"/>
  <c r="E190" i="2"/>
  <c r="H190" i="2" s="1"/>
  <c r="K327" i="6" s="1"/>
  <c r="F190" i="2"/>
  <c r="F327" i="6" s="1"/>
  <c r="J190" i="2"/>
  <c r="C327" i="6" s="1"/>
  <c r="N190" i="2"/>
  <c r="O190" i="2"/>
  <c r="P190" i="2"/>
  <c r="L327" i="6" s="1"/>
  <c r="T190" i="2"/>
  <c r="N327" i="6" s="1"/>
  <c r="U190" i="2"/>
  <c r="O327" i="6" s="1"/>
  <c r="V190" i="2"/>
  <c r="P327" i="6" s="1"/>
  <c r="A113" i="2"/>
  <c r="A324" i="6" s="1"/>
  <c r="B113" i="2"/>
  <c r="B324" i="6" s="1"/>
  <c r="C113" i="2"/>
  <c r="E324" i="6" s="1"/>
  <c r="E113" i="2"/>
  <c r="H113" i="2" s="1"/>
  <c r="K324" i="6" s="1"/>
  <c r="F113" i="2"/>
  <c r="F324" i="6" s="1"/>
  <c r="J113" i="2"/>
  <c r="C324" i="6" s="1"/>
  <c r="N113" i="2"/>
  <c r="O113" i="2"/>
  <c r="P113" i="2"/>
  <c r="L324" i="6" s="1"/>
  <c r="T113" i="2"/>
  <c r="N324" i="6" s="1"/>
  <c r="U113" i="2"/>
  <c r="O324" i="6" s="1"/>
  <c r="V113" i="2"/>
  <c r="P324" i="6" s="1"/>
  <c r="A114" i="2"/>
  <c r="A325" i="6" s="1"/>
  <c r="B114" i="2"/>
  <c r="B325" i="6" s="1"/>
  <c r="C114" i="2"/>
  <c r="E325" i="6" s="1"/>
  <c r="E114" i="2"/>
  <c r="H114" i="2" s="1"/>
  <c r="K325" i="6" s="1"/>
  <c r="F114" i="2"/>
  <c r="F325" i="6" s="1"/>
  <c r="J114" i="2"/>
  <c r="C325" i="6" s="1"/>
  <c r="N114" i="2"/>
  <c r="O114" i="2"/>
  <c r="P114" i="2"/>
  <c r="L325" i="6" s="1"/>
  <c r="T114" i="2"/>
  <c r="N325" i="6" s="1"/>
  <c r="U114" i="2"/>
  <c r="O325" i="6" s="1"/>
  <c r="V114" i="2"/>
  <c r="P325" i="6" s="1"/>
  <c r="A80" i="2"/>
  <c r="A322" i="6" s="1"/>
  <c r="B80" i="2"/>
  <c r="B322" i="6" s="1"/>
  <c r="C80" i="2"/>
  <c r="E322" i="6" s="1"/>
  <c r="E80" i="2"/>
  <c r="H80" i="2" s="1"/>
  <c r="K322" i="6" s="1"/>
  <c r="F80" i="2"/>
  <c r="F322" i="6" s="1"/>
  <c r="J80" i="2"/>
  <c r="C322" i="6" s="1"/>
  <c r="N80" i="2"/>
  <c r="O80" i="2"/>
  <c r="P80" i="2"/>
  <c r="L322" i="6" s="1"/>
  <c r="T80" i="2"/>
  <c r="N322" i="6" s="1"/>
  <c r="U80" i="2"/>
  <c r="O322" i="6" s="1"/>
  <c r="V80" i="2"/>
  <c r="P322" i="6" s="1"/>
  <c r="A81" i="2"/>
  <c r="A323" i="6" s="1"/>
  <c r="B81" i="2"/>
  <c r="B323" i="6" s="1"/>
  <c r="C81" i="2"/>
  <c r="E323" i="6" s="1"/>
  <c r="E81" i="2"/>
  <c r="H81" i="2" s="1"/>
  <c r="K323" i="6" s="1"/>
  <c r="F81" i="2"/>
  <c r="F323" i="6" s="1"/>
  <c r="J81" i="2"/>
  <c r="C323" i="6" s="1"/>
  <c r="N81" i="2"/>
  <c r="O81" i="2"/>
  <c r="P81" i="2"/>
  <c r="L323" i="6" s="1"/>
  <c r="T81" i="2"/>
  <c r="N323" i="6" s="1"/>
  <c r="U81" i="2"/>
  <c r="O323" i="6" s="1"/>
  <c r="V81" i="2"/>
  <c r="P323" i="6" s="1"/>
  <c r="A37" i="2"/>
  <c r="A320" i="6" s="1"/>
  <c r="B37" i="2"/>
  <c r="B320" i="6" s="1"/>
  <c r="C37" i="2"/>
  <c r="E320" i="6" s="1"/>
  <c r="E37" i="2"/>
  <c r="H37" i="2" s="1"/>
  <c r="K320" i="6" s="1"/>
  <c r="F37" i="2"/>
  <c r="F320" i="6" s="1"/>
  <c r="J37" i="2"/>
  <c r="C320" i="6" s="1"/>
  <c r="N37" i="2"/>
  <c r="O37" i="2"/>
  <c r="P37" i="2"/>
  <c r="L320" i="6" s="1"/>
  <c r="T37" i="2"/>
  <c r="N320" i="6" s="1"/>
  <c r="U37" i="2"/>
  <c r="O320" i="6" s="1"/>
  <c r="V37" i="2"/>
  <c r="P320" i="6" s="1"/>
  <c r="A38" i="2"/>
  <c r="A321" i="6" s="1"/>
  <c r="B38" i="2"/>
  <c r="B321" i="6" s="1"/>
  <c r="C38" i="2"/>
  <c r="E321" i="6" s="1"/>
  <c r="E38" i="2"/>
  <c r="H38" i="2" s="1"/>
  <c r="K321" i="6" s="1"/>
  <c r="F38" i="2"/>
  <c r="F321" i="6" s="1"/>
  <c r="J38" i="2"/>
  <c r="C321" i="6" s="1"/>
  <c r="N38" i="2"/>
  <c r="O38" i="2"/>
  <c r="P38" i="2"/>
  <c r="L321" i="6" s="1"/>
  <c r="T38" i="2"/>
  <c r="N321" i="6" s="1"/>
  <c r="U38" i="2"/>
  <c r="O321" i="6" s="1"/>
  <c r="V38" i="2"/>
  <c r="P321" i="6" s="1"/>
  <c r="A383" i="8"/>
  <c r="B383" i="8"/>
  <c r="D383" i="8"/>
  <c r="E383" i="8"/>
  <c r="F383" i="8" s="1"/>
  <c r="I383" i="8"/>
  <c r="J383" i="8"/>
  <c r="K383" i="8"/>
  <c r="A299" i="8"/>
  <c r="B299" i="8"/>
  <c r="D299" i="8"/>
  <c r="E299" i="8"/>
  <c r="F299" i="8" s="1"/>
  <c r="I299" i="8"/>
  <c r="J299" i="8"/>
  <c r="K299" i="8"/>
  <c r="A300" i="8"/>
  <c r="B300" i="8"/>
  <c r="D300" i="8"/>
  <c r="E300" i="8"/>
  <c r="F300" i="8" s="1"/>
  <c r="I300" i="8"/>
  <c r="J300" i="8"/>
  <c r="K300" i="8"/>
  <c r="A283" i="8"/>
  <c r="B283" i="8"/>
  <c r="D283" i="8"/>
  <c r="E283" i="8"/>
  <c r="F283" i="8" s="1"/>
  <c r="I283" i="8"/>
  <c r="J283" i="8"/>
  <c r="K283" i="8"/>
  <c r="A284" i="8"/>
  <c r="B284" i="8"/>
  <c r="D284" i="8"/>
  <c r="E284" i="8"/>
  <c r="F284" i="8" s="1"/>
  <c r="I284" i="8"/>
  <c r="J284" i="8"/>
  <c r="K284" i="8"/>
  <c r="A263" i="8"/>
  <c r="B263" i="8"/>
  <c r="D263" i="8"/>
  <c r="E263" i="8"/>
  <c r="F263" i="8" s="1"/>
  <c r="I263" i="8"/>
  <c r="J263" i="8"/>
  <c r="K263" i="8"/>
  <c r="A264" i="8"/>
  <c r="B264" i="8"/>
  <c r="D264" i="8"/>
  <c r="E264" i="8"/>
  <c r="F264" i="8" s="1"/>
  <c r="I264" i="8"/>
  <c r="J264" i="8"/>
  <c r="K264" i="8"/>
  <c r="A202" i="8"/>
  <c r="B202" i="8"/>
  <c r="D202" i="8"/>
  <c r="E202" i="8"/>
  <c r="F202" i="8" s="1"/>
  <c r="I202" i="8"/>
  <c r="J202" i="8"/>
  <c r="K202" i="8"/>
  <c r="A203" i="8"/>
  <c r="B203" i="8"/>
  <c r="D203" i="8"/>
  <c r="E203" i="8"/>
  <c r="F203" i="8" s="1"/>
  <c r="I203" i="8"/>
  <c r="J203" i="8"/>
  <c r="K203" i="8"/>
  <c r="A122" i="8"/>
  <c r="B122" i="8"/>
  <c r="D122" i="8"/>
  <c r="E122" i="8"/>
  <c r="F122" i="8" s="1"/>
  <c r="I122" i="8"/>
  <c r="J122" i="8"/>
  <c r="K122" i="8"/>
  <c r="A123" i="8"/>
  <c r="B123" i="8"/>
  <c r="D123" i="8"/>
  <c r="E123" i="8"/>
  <c r="F123" i="8" s="1"/>
  <c r="I123" i="8"/>
  <c r="J123" i="8"/>
  <c r="K123" i="8"/>
  <c r="A84" i="8"/>
  <c r="B84" i="8"/>
  <c r="D84" i="8"/>
  <c r="E84" i="8"/>
  <c r="F84" i="8" s="1"/>
  <c r="I84" i="8"/>
  <c r="J84" i="8"/>
  <c r="K84" i="8"/>
  <c r="A85" i="8"/>
  <c r="B85" i="8"/>
  <c r="D85" i="8"/>
  <c r="E85" i="8"/>
  <c r="F85" i="8" s="1"/>
  <c r="I85" i="8"/>
  <c r="J85" i="8"/>
  <c r="K85" i="8"/>
  <c r="A37" i="8"/>
  <c r="B37" i="8"/>
  <c r="D37" i="8"/>
  <c r="E37" i="8"/>
  <c r="F37" i="8" s="1"/>
  <c r="I37" i="8"/>
  <c r="J37" i="8"/>
  <c r="K37" i="8"/>
  <c r="A38" i="8"/>
  <c r="B38" i="8"/>
  <c r="D38" i="8"/>
  <c r="E38" i="8"/>
  <c r="F38" i="8" s="1"/>
  <c r="I38" i="8"/>
  <c r="J38" i="8"/>
  <c r="K38" i="8"/>
  <c r="AO347" i="4"/>
  <c r="AH347" i="4"/>
  <c r="AJ347" i="4" s="1"/>
  <c r="AF347" i="4"/>
  <c r="AN347" i="4" s="1"/>
  <c r="S347" i="4"/>
  <c r="Z347" i="4" s="1"/>
  <c r="R347" i="4"/>
  <c r="Q347" i="4"/>
  <c r="N383" i="8" s="1"/>
  <c r="M347" i="4"/>
  <c r="AB347" i="4" s="1"/>
  <c r="I347" i="4"/>
  <c r="K347" i="4" s="1"/>
  <c r="G347" i="4"/>
  <c r="C352" i="11" s="1"/>
  <c r="P275" i="4"/>
  <c r="O275" i="4"/>
  <c r="N275" i="4"/>
  <c r="J275" i="4"/>
  <c r="H275" i="4"/>
  <c r="F275" i="4"/>
  <c r="E275" i="4"/>
  <c r="C275" i="4"/>
  <c r="AH273" i="4"/>
  <c r="AJ273" i="4" s="1"/>
  <c r="AK273" i="4" s="1"/>
  <c r="AL273" i="4" s="1"/>
  <c r="AF273" i="4"/>
  <c r="AN273" i="4" s="1"/>
  <c r="S273" i="4"/>
  <c r="Z273" i="4" s="1"/>
  <c r="R273" i="4"/>
  <c r="Q273" i="4"/>
  <c r="N300" i="8" s="1"/>
  <c r="M273" i="4"/>
  <c r="AB273" i="4" s="1"/>
  <c r="I273" i="4"/>
  <c r="K273" i="4" s="1"/>
  <c r="AG273" i="4"/>
  <c r="AO272" i="4"/>
  <c r="AH272" i="4"/>
  <c r="AJ272" i="4" s="1"/>
  <c r="AK272" i="4" s="1"/>
  <c r="AL272" i="4" s="1"/>
  <c r="AF272" i="4"/>
  <c r="AN272" i="4" s="1"/>
  <c r="S272" i="4"/>
  <c r="Z272" i="4" s="1"/>
  <c r="R272" i="4"/>
  <c r="Q272" i="4"/>
  <c r="M272" i="4"/>
  <c r="AB272" i="4" s="1"/>
  <c r="I272" i="4"/>
  <c r="K272" i="4" s="1"/>
  <c r="AG272" i="4"/>
  <c r="P263" i="4"/>
  <c r="O263" i="4"/>
  <c r="N263" i="4"/>
  <c r="J263" i="4"/>
  <c r="H263" i="4"/>
  <c r="F263" i="4"/>
  <c r="E263" i="4"/>
  <c r="C263" i="4"/>
  <c r="AH261" i="4"/>
  <c r="AJ261" i="4" s="1"/>
  <c r="AF261" i="4"/>
  <c r="AN261" i="4" s="1"/>
  <c r="S261" i="4"/>
  <c r="Z261" i="4" s="1"/>
  <c r="R261" i="4"/>
  <c r="Q261" i="4"/>
  <c r="N284" i="8" s="1"/>
  <c r="M261" i="4"/>
  <c r="AB261" i="4" s="1"/>
  <c r="I261" i="4"/>
  <c r="K261" i="4" s="1"/>
  <c r="L261" i="4"/>
  <c r="AA261" i="4" s="1"/>
  <c r="AO260" i="4"/>
  <c r="AH260" i="4"/>
  <c r="AJ260" i="4" s="1"/>
  <c r="AF260" i="4"/>
  <c r="AN260" i="4" s="1"/>
  <c r="S260" i="4"/>
  <c r="Z260" i="4" s="1"/>
  <c r="R260" i="4"/>
  <c r="Q260" i="4"/>
  <c r="N283" i="8" s="1"/>
  <c r="M260" i="4"/>
  <c r="AB260" i="4" s="1"/>
  <c r="I260" i="4"/>
  <c r="K260" i="4" s="1"/>
  <c r="G260" i="4"/>
  <c r="C265" i="11" s="1"/>
  <c r="AO246" i="4"/>
  <c r="AH246" i="4"/>
  <c r="AJ246" i="4" s="1"/>
  <c r="AF246" i="4"/>
  <c r="AN246" i="4" s="1"/>
  <c r="S246" i="4"/>
  <c r="Z246" i="4" s="1"/>
  <c r="R246" i="4"/>
  <c r="Q246" i="4"/>
  <c r="R250" i="11" s="1"/>
  <c r="M246" i="4"/>
  <c r="AB246" i="4" s="1"/>
  <c r="I246" i="4"/>
  <c r="K246" i="4" s="1"/>
  <c r="L246" i="4"/>
  <c r="AA246" i="4" s="1"/>
  <c r="AO245" i="4"/>
  <c r="AH245" i="4"/>
  <c r="AJ245" i="4" s="1"/>
  <c r="AF245" i="4"/>
  <c r="AN245" i="4" s="1"/>
  <c r="S245" i="4"/>
  <c r="Z245" i="4" s="1"/>
  <c r="R245" i="4"/>
  <c r="Q245" i="4"/>
  <c r="R249" i="11" s="1"/>
  <c r="M245" i="4"/>
  <c r="AB245" i="4" s="1"/>
  <c r="I245" i="4"/>
  <c r="K245" i="4" s="1"/>
  <c r="L245" i="4"/>
  <c r="AA245" i="4" s="1"/>
  <c r="AH190" i="4"/>
  <c r="AJ190" i="4" s="1"/>
  <c r="AF190" i="4"/>
  <c r="AN190" i="4" s="1"/>
  <c r="S190" i="4"/>
  <c r="Z190" i="4" s="1"/>
  <c r="R190" i="4"/>
  <c r="Q190" i="4"/>
  <c r="R193" i="11" s="1"/>
  <c r="M190" i="4"/>
  <c r="AB190" i="4" s="1"/>
  <c r="I190" i="4"/>
  <c r="K190" i="4" s="1"/>
  <c r="AG190" i="4"/>
  <c r="AH189" i="4"/>
  <c r="AJ189" i="4" s="1"/>
  <c r="AF189" i="4"/>
  <c r="AN189" i="4" s="1"/>
  <c r="S189" i="4"/>
  <c r="Z189" i="4" s="1"/>
  <c r="R189" i="4"/>
  <c r="Q189" i="4"/>
  <c r="R192" i="11" s="1"/>
  <c r="M189" i="4"/>
  <c r="AB189" i="4" s="1"/>
  <c r="I189" i="4"/>
  <c r="K189" i="4" s="1"/>
  <c r="L189" i="4"/>
  <c r="AA189" i="4" s="1"/>
  <c r="S347" i="2" l="1"/>
  <c r="W352" i="11" s="1"/>
  <c r="R275" i="4"/>
  <c r="N263" i="8"/>
  <c r="H300" i="8"/>
  <c r="O264" i="8"/>
  <c r="P264" i="8" s="1"/>
  <c r="J275" i="2"/>
  <c r="N264" i="8"/>
  <c r="D320" i="6"/>
  <c r="D189" i="2"/>
  <c r="G189" i="2" s="1"/>
  <c r="D246" i="2"/>
  <c r="G246" i="2" s="1"/>
  <c r="O202" i="8"/>
  <c r="P202" i="8" s="1"/>
  <c r="H299" i="8"/>
  <c r="Q275" i="4"/>
  <c r="F275" i="2"/>
  <c r="O203" i="8"/>
  <c r="P203" i="8" s="1"/>
  <c r="N202" i="8"/>
  <c r="H283" i="8"/>
  <c r="D245" i="2"/>
  <c r="G245" i="2" s="1"/>
  <c r="S193" i="11"/>
  <c r="Q193" i="11" s="1"/>
  <c r="S192" i="11"/>
  <c r="Q192" i="11" s="1"/>
  <c r="S250" i="11"/>
  <c r="Q250" i="11" s="1"/>
  <c r="S249" i="11"/>
  <c r="Q249" i="11" s="1"/>
  <c r="S266" i="11"/>
  <c r="S265" i="11"/>
  <c r="S278" i="11"/>
  <c r="S277" i="11"/>
  <c r="S352" i="11"/>
  <c r="AA352" i="11" s="1"/>
  <c r="N203" i="8"/>
  <c r="H284" i="8"/>
  <c r="H286" i="8" s="1"/>
  <c r="D261" i="2"/>
  <c r="L261" i="2" s="1"/>
  <c r="R266" i="11"/>
  <c r="R265" i="11"/>
  <c r="R278" i="11"/>
  <c r="R277" i="11"/>
  <c r="R352" i="11"/>
  <c r="H263" i="8"/>
  <c r="D260" i="2"/>
  <c r="G260" i="2" s="1"/>
  <c r="J38" i="11"/>
  <c r="N38" i="11" s="1"/>
  <c r="J37" i="11"/>
  <c r="N37" i="11" s="1"/>
  <c r="J82" i="11"/>
  <c r="N82" i="11" s="1"/>
  <c r="J81" i="11"/>
  <c r="N81" i="11" s="1"/>
  <c r="J116" i="11"/>
  <c r="N116" i="11" s="1"/>
  <c r="J115" i="11"/>
  <c r="N115" i="11" s="1"/>
  <c r="J193" i="11"/>
  <c r="N193" i="11" s="1"/>
  <c r="J192" i="11"/>
  <c r="N192" i="11" s="1"/>
  <c r="J250" i="11"/>
  <c r="N250" i="11" s="1"/>
  <c r="J249" i="11"/>
  <c r="J266" i="11"/>
  <c r="N266" i="11" s="1"/>
  <c r="J265" i="11"/>
  <c r="N265" i="11" s="1"/>
  <c r="J278" i="11"/>
  <c r="N278" i="11" s="1"/>
  <c r="J277" i="11"/>
  <c r="N277" i="11" s="1"/>
  <c r="K330" i="6"/>
  <c r="H264" i="8"/>
  <c r="C283" i="8"/>
  <c r="C383" i="8"/>
  <c r="D273" i="2"/>
  <c r="L273" i="2" s="1"/>
  <c r="R347" i="2"/>
  <c r="H202" i="8"/>
  <c r="D272" i="2"/>
  <c r="G272" i="2" s="1"/>
  <c r="Q347" i="2"/>
  <c r="V352" i="11" s="1"/>
  <c r="U352" i="11" s="1"/>
  <c r="N352" i="11"/>
  <c r="I330" i="6"/>
  <c r="H330" i="6" s="1"/>
  <c r="I335" i="6"/>
  <c r="H335" i="6" s="1"/>
  <c r="G335" i="6" s="1"/>
  <c r="I334" i="6"/>
  <c r="I333" i="6"/>
  <c r="I332" i="6"/>
  <c r="H332" i="6" s="1"/>
  <c r="G332" i="6" s="1"/>
  <c r="I329" i="6"/>
  <c r="H329" i="6" s="1"/>
  <c r="G329" i="6" s="1"/>
  <c r="I328" i="6"/>
  <c r="H328" i="6" s="1"/>
  <c r="G328" i="6" s="1"/>
  <c r="I327" i="6"/>
  <c r="H327" i="6" s="1"/>
  <c r="G327" i="6" s="1"/>
  <c r="I326" i="6"/>
  <c r="H326" i="6" s="1"/>
  <c r="G326" i="6" s="1"/>
  <c r="I325" i="6"/>
  <c r="H325" i="6" s="1"/>
  <c r="G325" i="6" s="1"/>
  <c r="I324" i="6"/>
  <c r="H324" i="6" s="1"/>
  <c r="G324" i="6" s="1"/>
  <c r="I323" i="6"/>
  <c r="H323" i="6" s="1"/>
  <c r="G323" i="6" s="1"/>
  <c r="I322" i="6"/>
  <c r="H322" i="6" s="1"/>
  <c r="G322" i="6" s="1"/>
  <c r="I321" i="6"/>
  <c r="H321" i="6" s="1"/>
  <c r="G321" i="6" s="1"/>
  <c r="I320" i="6"/>
  <c r="H203" i="8"/>
  <c r="E193" i="11"/>
  <c r="G193" i="11" s="1"/>
  <c r="E192" i="11"/>
  <c r="G192" i="11" s="1"/>
  <c r="E250" i="11"/>
  <c r="G250" i="11" s="1"/>
  <c r="E249" i="11"/>
  <c r="G249" i="11" s="1"/>
  <c r="E266" i="11"/>
  <c r="G266" i="11" s="1"/>
  <c r="E265" i="11"/>
  <c r="G265" i="11" s="1"/>
  <c r="E278" i="11"/>
  <c r="E277" i="11"/>
  <c r="E352" i="11"/>
  <c r="G352" i="11" s="1"/>
  <c r="F330" i="6"/>
  <c r="O300" i="8"/>
  <c r="P300" i="8" s="1"/>
  <c r="O299" i="8"/>
  <c r="O383" i="8"/>
  <c r="P383" i="8" s="1"/>
  <c r="D347" i="2"/>
  <c r="G347" i="2" s="1"/>
  <c r="O283" i="8"/>
  <c r="M283" i="8" s="1"/>
  <c r="N299" i="8"/>
  <c r="C330" i="6"/>
  <c r="D330" i="6" s="1"/>
  <c r="C334" i="6"/>
  <c r="D334" i="6" s="1"/>
  <c r="O284" i="8"/>
  <c r="P284" i="8" s="1"/>
  <c r="K302" i="8"/>
  <c r="H383" i="8"/>
  <c r="O263" i="8"/>
  <c r="P263" i="8" s="1"/>
  <c r="J302" i="8"/>
  <c r="D190" i="2"/>
  <c r="G190" i="2" s="1"/>
  <c r="M321" i="6"/>
  <c r="M320" i="6"/>
  <c r="D325" i="6"/>
  <c r="D326" i="6"/>
  <c r="M323" i="6"/>
  <c r="H320" i="6"/>
  <c r="G320" i="6" s="1"/>
  <c r="M325" i="6"/>
  <c r="D322" i="6"/>
  <c r="D327" i="6"/>
  <c r="D323" i="6"/>
  <c r="D321" i="6"/>
  <c r="M322" i="6"/>
  <c r="M327" i="6"/>
  <c r="M326" i="6"/>
  <c r="D324" i="6"/>
  <c r="M324" i="6"/>
  <c r="M332" i="6"/>
  <c r="D335" i="6"/>
  <c r="M328" i="6"/>
  <c r="M334" i="6"/>
  <c r="D333" i="6"/>
  <c r="M333" i="6"/>
  <c r="M335" i="6"/>
  <c r="D329" i="6"/>
  <c r="H334" i="6"/>
  <c r="G334" i="6" s="1"/>
  <c r="M330" i="6"/>
  <c r="D332" i="6"/>
  <c r="D328" i="6"/>
  <c r="M329" i="6"/>
  <c r="H333" i="6"/>
  <c r="G333" i="6" s="1"/>
  <c r="N249" i="11"/>
  <c r="S273" i="2"/>
  <c r="W278" i="11" s="1"/>
  <c r="M272" i="2"/>
  <c r="O263" i="2"/>
  <c r="E275" i="2"/>
  <c r="P275" i="2"/>
  <c r="H275" i="2"/>
  <c r="M347" i="2"/>
  <c r="Q273" i="2"/>
  <c r="V278" i="11" s="1"/>
  <c r="R272" i="2"/>
  <c r="N275" i="2"/>
  <c r="I347" i="2"/>
  <c r="Q272" i="2"/>
  <c r="S272" i="2"/>
  <c r="W277" i="11" s="1"/>
  <c r="M273" i="2"/>
  <c r="O275" i="2"/>
  <c r="C275" i="2"/>
  <c r="R273" i="2"/>
  <c r="I272" i="2"/>
  <c r="I277" i="11" s="1"/>
  <c r="I273" i="2"/>
  <c r="F263" i="2"/>
  <c r="H263" i="2"/>
  <c r="P263" i="2"/>
  <c r="N263" i="2"/>
  <c r="C263" i="2"/>
  <c r="J263" i="2"/>
  <c r="E263" i="2"/>
  <c r="R261" i="2"/>
  <c r="S261" i="2"/>
  <c r="W266" i="11" s="1"/>
  <c r="S260" i="2"/>
  <c r="I260" i="2"/>
  <c r="I265" i="11" s="1"/>
  <c r="M261" i="2"/>
  <c r="R245" i="2"/>
  <c r="Q261" i="2"/>
  <c r="V266" i="11" s="1"/>
  <c r="Q260" i="2"/>
  <c r="V265" i="11" s="1"/>
  <c r="M260" i="2"/>
  <c r="I261" i="2"/>
  <c r="R260" i="2"/>
  <c r="Q190" i="2"/>
  <c r="V193" i="11" s="1"/>
  <c r="R190" i="2"/>
  <c r="M190" i="2"/>
  <c r="I246" i="2"/>
  <c r="R113" i="2"/>
  <c r="M246" i="2"/>
  <c r="S245" i="2"/>
  <c r="W249" i="11" s="1"/>
  <c r="M245" i="2"/>
  <c r="R246" i="2"/>
  <c r="M189" i="2"/>
  <c r="S246" i="2"/>
  <c r="W250" i="11" s="1"/>
  <c r="Q246" i="2"/>
  <c r="V250" i="11" s="1"/>
  <c r="Z250" i="11" s="1"/>
  <c r="S189" i="2"/>
  <c r="W192" i="11" s="1"/>
  <c r="I245" i="2"/>
  <c r="Q245" i="2"/>
  <c r="V249" i="11" s="1"/>
  <c r="Q189" i="2"/>
  <c r="V192" i="11" s="1"/>
  <c r="R114" i="2"/>
  <c r="I189" i="2"/>
  <c r="R189" i="2"/>
  <c r="S190" i="2"/>
  <c r="W193" i="11" s="1"/>
  <c r="I190" i="2"/>
  <c r="I114" i="2"/>
  <c r="M114" i="2"/>
  <c r="S113" i="2"/>
  <c r="W115" i="11" s="1"/>
  <c r="M113" i="2"/>
  <c r="R81" i="2"/>
  <c r="M38" i="2"/>
  <c r="S80" i="2"/>
  <c r="W81" i="11" s="1"/>
  <c r="I113" i="2"/>
  <c r="S114" i="2"/>
  <c r="W116" i="11" s="1"/>
  <c r="Q114" i="2"/>
  <c r="V116" i="11" s="1"/>
  <c r="Q113" i="2"/>
  <c r="V115" i="11" s="1"/>
  <c r="S81" i="2"/>
  <c r="W82" i="11" s="1"/>
  <c r="M81" i="2"/>
  <c r="I80" i="2"/>
  <c r="R80" i="2"/>
  <c r="Q81" i="2"/>
  <c r="V82" i="11" s="1"/>
  <c r="M80" i="2"/>
  <c r="Q80" i="2"/>
  <c r="V81" i="11" s="1"/>
  <c r="I81" i="2"/>
  <c r="R38" i="2"/>
  <c r="R37" i="2"/>
  <c r="S37" i="2"/>
  <c r="W37" i="11" s="1"/>
  <c r="S38" i="2"/>
  <c r="W38" i="11" s="1"/>
  <c r="Q38" i="2"/>
  <c r="V38" i="11" s="1"/>
  <c r="Q37" i="2"/>
  <c r="V37" i="11" s="1"/>
  <c r="AP260" i="4"/>
  <c r="M37" i="2"/>
  <c r="I38" i="2"/>
  <c r="I37" i="2"/>
  <c r="F302" i="8"/>
  <c r="I302" i="8"/>
  <c r="D302" i="8"/>
  <c r="E302" i="8"/>
  <c r="N286" i="8"/>
  <c r="J286" i="8"/>
  <c r="I286" i="8"/>
  <c r="M300" i="8"/>
  <c r="K286" i="8"/>
  <c r="D286" i="8"/>
  <c r="F286" i="8"/>
  <c r="E286" i="8"/>
  <c r="M264" i="8"/>
  <c r="I275" i="4"/>
  <c r="Q263" i="4"/>
  <c r="K275" i="4"/>
  <c r="AG347" i="4"/>
  <c r="AM347" i="4" s="1"/>
  <c r="AP347" i="4"/>
  <c r="AK347" i="4"/>
  <c r="AL347" i="4" s="1"/>
  <c r="L347" i="4"/>
  <c r="AA347" i="4" s="1"/>
  <c r="M275" i="4"/>
  <c r="R263" i="4"/>
  <c r="S275" i="4"/>
  <c r="L272" i="4"/>
  <c r="L273" i="4"/>
  <c r="AA273" i="4" s="1"/>
  <c r="G272" i="4"/>
  <c r="K263" i="4"/>
  <c r="AI273" i="4"/>
  <c r="AM273" i="4"/>
  <c r="AM272" i="4"/>
  <c r="AI272" i="4"/>
  <c r="G273" i="4"/>
  <c r="AP272" i="4"/>
  <c r="S263" i="4"/>
  <c r="I263" i="4"/>
  <c r="M263" i="4"/>
  <c r="L260" i="4"/>
  <c r="AK261" i="4"/>
  <c r="AL261" i="4" s="1"/>
  <c r="AK260" i="4"/>
  <c r="AL260" i="4" s="1"/>
  <c r="AG260" i="4"/>
  <c r="G261" i="4"/>
  <c r="AG261" i="4"/>
  <c r="AG189" i="4"/>
  <c r="AM189" i="4" s="1"/>
  <c r="AG246" i="4"/>
  <c r="G246" i="4"/>
  <c r="AK245" i="4"/>
  <c r="AL245" i="4" s="1"/>
  <c r="AP245" i="4"/>
  <c r="AP246" i="4"/>
  <c r="AK246" i="4"/>
  <c r="AL246" i="4" s="1"/>
  <c r="G245" i="4"/>
  <c r="AG245" i="4"/>
  <c r="G189" i="4"/>
  <c r="L190" i="4"/>
  <c r="AA190" i="4" s="1"/>
  <c r="AK189" i="4"/>
  <c r="AL189" i="4" s="1"/>
  <c r="AI190" i="4"/>
  <c r="AM190" i="4"/>
  <c r="AK190" i="4"/>
  <c r="AL190" i="4" s="1"/>
  <c r="G190" i="4"/>
  <c r="M202" i="8" l="1"/>
  <c r="L246" i="2"/>
  <c r="G261" i="2"/>
  <c r="G273" i="2"/>
  <c r="Q277" i="11"/>
  <c r="AA250" i="11"/>
  <c r="H302" i="8"/>
  <c r="L245" i="2"/>
  <c r="M299" i="8"/>
  <c r="M302" i="8" s="1"/>
  <c r="L190" i="2"/>
  <c r="M277" i="11"/>
  <c r="Q278" i="11"/>
  <c r="L189" i="2"/>
  <c r="AA192" i="11"/>
  <c r="N302" i="8"/>
  <c r="U278" i="11"/>
  <c r="U249" i="11"/>
  <c r="Y249" i="11" s="1"/>
  <c r="U193" i="11"/>
  <c r="Y193" i="11" s="1"/>
  <c r="AA249" i="11"/>
  <c r="M284" i="8"/>
  <c r="M286" i="8" s="1"/>
  <c r="U115" i="11"/>
  <c r="L272" i="2"/>
  <c r="L275" i="2" s="1"/>
  <c r="M383" i="8"/>
  <c r="Q265" i="11"/>
  <c r="Z352" i="11"/>
  <c r="Q266" i="11"/>
  <c r="U192" i="11"/>
  <c r="Y192" i="11" s="1"/>
  <c r="L347" i="2"/>
  <c r="U37" i="11"/>
  <c r="AA193" i="11"/>
  <c r="G330" i="6"/>
  <c r="AA277" i="11"/>
  <c r="U81" i="11"/>
  <c r="Z192" i="11"/>
  <c r="AA278" i="11"/>
  <c r="Z278" i="11"/>
  <c r="U82" i="11"/>
  <c r="Z193" i="11"/>
  <c r="M203" i="8"/>
  <c r="M275" i="2"/>
  <c r="M265" i="11"/>
  <c r="U266" i="11"/>
  <c r="AA266" i="11"/>
  <c r="D275" i="2"/>
  <c r="Z266" i="11"/>
  <c r="K265" i="11"/>
  <c r="O265" i="11" s="1"/>
  <c r="U38" i="11"/>
  <c r="U116" i="11"/>
  <c r="U250" i="11"/>
  <c r="Y250" i="11" s="1"/>
  <c r="K277" i="11"/>
  <c r="D265" i="11"/>
  <c r="J332" i="6"/>
  <c r="D277" i="11"/>
  <c r="J334" i="6"/>
  <c r="C278" i="11"/>
  <c r="C300" i="8"/>
  <c r="K37" i="2"/>
  <c r="I37" i="11"/>
  <c r="K37" i="11" s="1"/>
  <c r="D266" i="11"/>
  <c r="J333" i="6"/>
  <c r="G277" i="11"/>
  <c r="K38" i="2"/>
  <c r="I38" i="11"/>
  <c r="K38" i="11" s="1"/>
  <c r="Z249" i="11"/>
  <c r="K80" i="2"/>
  <c r="I81" i="11"/>
  <c r="K81" i="11" s="1"/>
  <c r="C266" i="11"/>
  <c r="C284" i="8"/>
  <c r="K245" i="2"/>
  <c r="I249" i="11"/>
  <c r="D278" i="11"/>
  <c r="J335" i="6"/>
  <c r="C250" i="11"/>
  <c r="C264" i="8"/>
  <c r="P283" i="8"/>
  <c r="P286" i="8" s="1"/>
  <c r="O286" i="8"/>
  <c r="K273" i="2"/>
  <c r="I278" i="11"/>
  <c r="K278" i="11" s="1"/>
  <c r="D263" i="2"/>
  <c r="C192" i="11"/>
  <c r="C202" i="8"/>
  <c r="M263" i="8"/>
  <c r="K81" i="2"/>
  <c r="I82" i="11"/>
  <c r="K82" i="11" s="1"/>
  <c r="D250" i="11"/>
  <c r="J329" i="6"/>
  <c r="L260" i="2"/>
  <c r="L263" i="2" s="1"/>
  <c r="K114" i="2"/>
  <c r="I116" i="11"/>
  <c r="K116" i="11" s="1"/>
  <c r="D193" i="11"/>
  <c r="J327" i="6"/>
  <c r="D192" i="11"/>
  <c r="J326" i="6"/>
  <c r="Z265" i="11"/>
  <c r="G278" i="11"/>
  <c r="D352" i="11"/>
  <c r="J330" i="6"/>
  <c r="K261" i="2"/>
  <c r="I266" i="11"/>
  <c r="C249" i="11"/>
  <c r="C263" i="8"/>
  <c r="D249" i="11"/>
  <c r="J328" i="6"/>
  <c r="O302" i="8"/>
  <c r="P299" i="8"/>
  <c r="P302" i="8" s="1"/>
  <c r="Q352" i="11"/>
  <c r="Y352" i="11" s="1"/>
  <c r="C277" i="11"/>
  <c r="C299" i="8"/>
  <c r="K190" i="2"/>
  <c r="I193" i="11"/>
  <c r="K193" i="11" s="1"/>
  <c r="O193" i="11" s="1"/>
  <c r="K246" i="2"/>
  <c r="I250" i="11"/>
  <c r="K113" i="2"/>
  <c r="I115" i="11"/>
  <c r="K115" i="11" s="1"/>
  <c r="S263" i="2"/>
  <c r="W265" i="11"/>
  <c r="AA265" i="11" s="1"/>
  <c r="Q275" i="2"/>
  <c r="V277" i="11"/>
  <c r="C203" i="8"/>
  <c r="C193" i="11"/>
  <c r="K189" i="2"/>
  <c r="I192" i="11"/>
  <c r="K347" i="2"/>
  <c r="I352" i="11"/>
  <c r="K352" i="11" s="1"/>
  <c r="O352" i="11" s="1"/>
  <c r="R275" i="2"/>
  <c r="S275" i="2"/>
  <c r="K272" i="2"/>
  <c r="I275" i="2"/>
  <c r="R263" i="2"/>
  <c r="K260" i="2"/>
  <c r="I263" i="2"/>
  <c r="M263" i="2"/>
  <c r="Q263" i="2"/>
  <c r="AI347" i="4"/>
  <c r="AA272" i="4"/>
  <c r="L275" i="4"/>
  <c r="AA260" i="4"/>
  <c r="L263" i="4"/>
  <c r="AI260" i="4"/>
  <c r="AM260" i="4"/>
  <c r="AI261" i="4"/>
  <c r="AM261" i="4"/>
  <c r="AI189" i="4"/>
  <c r="AI246" i="4"/>
  <c r="AM246" i="4"/>
  <c r="AI245" i="4"/>
  <c r="AM245" i="4"/>
  <c r="M352" i="11" l="1"/>
  <c r="Y278" i="11"/>
  <c r="O277" i="11"/>
  <c r="Y266" i="11"/>
  <c r="O278" i="11"/>
  <c r="U265" i="11"/>
  <c r="Y265" i="11" s="1"/>
  <c r="K263" i="2"/>
  <c r="K275" i="2"/>
  <c r="M249" i="11"/>
  <c r="K249" i="11"/>
  <c r="O249" i="11" s="1"/>
  <c r="M250" i="11"/>
  <c r="K250" i="11"/>
  <c r="O250" i="11" s="1"/>
  <c r="M193" i="11"/>
  <c r="K266" i="11"/>
  <c r="O266" i="11" s="1"/>
  <c r="M266" i="11"/>
  <c r="M192" i="11"/>
  <c r="K192" i="11"/>
  <c r="O192" i="11" s="1"/>
  <c r="M278" i="11"/>
  <c r="Z277" i="11"/>
  <c r="U277" i="11"/>
  <c r="Y277" i="11" s="1"/>
  <c r="AH114" i="4"/>
  <c r="AJ114" i="4" s="1"/>
  <c r="AK114" i="4" s="1"/>
  <c r="AL114" i="4" s="1"/>
  <c r="AF114" i="4"/>
  <c r="AN114" i="4" s="1"/>
  <c r="S114" i="4"/>
  <c r="R114" i="4"/>
  <c r="Q114" i="4"/>
  <c r="M114" i="4"/>
  <c r="AB114" i="4" s="1"/>
  <c r="I114" i="4"/>
  <c r="AO113" i="4"/>
  <c r="AH113" i="4"/>
  <c r="AJ113" i="4" s="1"/>
  <c r="AF113" i="4"/>
  <c r="AN113" i="4" s="1"/>
  <c r="S113" i="4"/>
  <c r="R113" i="4"/>
  <c r="Q113" i="4"/>
  <c r="M113" i="4"/>
  <c r="AB113" i="4" s="1"/>
  <c r="I113" i="4"/>
  <c r="AH81" i="4"/>
  <c r="AJ81" i="4" s="1"/>
  <c r="AF81" i="4"/>
  <c r="AN81" i="4" s="1"/>
  <c r="S81" i="4"/>
  <c r="R81" i="4"/>
  <c r="Q81" i="4"/>
  <c r="M81" i="4"/>
  <c r="AB81" i="4" s="1"/>
  <c r="I81" i="4"/>
  <c r="AH80" i="4"/>
  <c r="AJ80" i="4" s="1"/>
  <c r="AK80" i="4" s="1"/>
  <c r="AL80" i="4" s="1"/>
  <c r="AF80" i="4"/>
  <c r="AN80" i="4" s="1"/>
  <c r="S80" i="4"/>
  <c r="R80" i="4"/>
  <c r="Q80" i="4"/>
  <c r="M80" i="4"/>
  <c r="AB80" i="4" s="1"/>
  <c r="I80" i="4"/>
  <c r="AH38" i="4"/>
  <c r="AJ38" i="4" s="1"/>
  <c r="AF38" i="4"/>
  <c r="AN38" i="4" s="1"/>
  <c r="S38" i="4"/>
  <c r="R38" i="4"/>
  <c r="Q38" i="4"/>
  <c r="M38" i="4"/>
  <c r="AB38" i="4" s="1"/>
  <c r="I38" i="4"/>
  <c r="AH37" i="4"/>
  <c r="AJ37" i="4" s="1"/>
  <c r="AF37" i="4"/>
  <c r="AN37" i="4" s="1"/>
  <c r="S37" i="4"/>
  <c r="R37" i="4"/>
  <c r="Q37" i="4"/>
  <c r="M37" i="4"/>
  <c r="AB37" i="4" s="1"/>
  <c r="I37" i="4"/>
  <c r="K37" i="4" l="1"/>
  <c r="H37" i="8"/>
  <c r="E37" i="11"/>
  <c r="Z113" i="4"/>
  <c r="O122" i="8"/>
  <c r="P122" i="8" s="1"/>
  <c r="S115" i="11"/>
  <c r="AA115" i="11" s="1"/>
  <c r="N85" i="8"/>
  <c r="R82" i="11"/>
  <c r="G114" i="4"/>
  <c r="D114" i="2"/>
  <c r="AG80" i="4"/>
  <c r="AI80" i="4" s="1"/>
  <c r="D80" i="2"/>
  <c r="N123" i="8"/>
  <c r="R116" i="11"/>
  <c r="Z37" i="4"/>
  <c r="O37" i="8"/>
  <c r="P37" i="8" s="1"/>
  <c r="S37" i="11"/>
  <c r="AA37" i="11" s="1"/>
  <c r="Z81" i="4"/>
  <c r="O85" i="8"/>
  <c r="P85" i="8" s="1"/>
  <c r="S82" i="11"/>
  <c r="AA82" i="11" s="1"/>
  <c r="N84" i="8"/>
  <c r="R81" i="11"/>
  <c r="L38" i="4"/>
  <c r="AA38" i="4" s="1"/>
  <c r="D38" i="2"/>
  <c r="K113" i="4"/>
  <c r="H122" i="8"/>
  <c r="E115" i="11"/>
  <c r="K114" i="4"/>
  <c r="H123" i="8"/>
  <c r="E116" i="11"/>
  <c r="G113" i="4"/>
  <c r="D113" i="2"/>
  <c r="Z38" i="4"/>
  <c r="O38" i="8"/>
  <c r="P38" i="8" s="1"/>
  <c r="S38" i="11"/>
  <c r="AA38" i="11" s="1"/>
  <c r="K80" i="4"/>
  <c r="H84" i="8"/>
  <c r="E81" i="11"/>
  <c r="K38" i="4"/>
  <c r="E38" i="11"/>
  <c r="H38" i="8"/>
  <c r="Z80" i="4"/>
  <c r="O84" i="8"/>
  <c r="P84" i="8" s="1"/>
  <c r="S81" i="11"/>
  <c r="AA81" i="11" s="1"/>
  <c r="K81" i="4"/>
  <c r="H85" i="8"/>
  <c r="E82" i="11"/>
  <c r="N37" i="8"/>
  <c r="M37" i="8" s="1"/>
  <c r="R37" i="11"/>
  <c r="Z114" i="4"/>
  <c r="O123" i="8"/>
  <c r="P123" i="8" s="1"/>
  <c r="S116" i="11"/>
  <c r="AA116" i="11" s="1"/>
  <c r="N38" i="8"/>
  <c r="R38" i="11"/>
  <c r="N122" i="8"/>
  <c r="R115" i="11"/>
  <c r="AG37" i="4"/>
  <c r="AM37" i="4" s="1"/>
  <c r="D37" i="2"/>
  <c r="L81" i="4"/>
  <c r="AA81" i="4" s="1"/>
  <c r="D81" i="2"/>
  <c r="AG114" i="4"/>
  <c r="AI114" i="4" s="1"/>
  <c r="AP113" i="4"/>
  <c r="L113" i="4"/>
  <c r="AA113" i="4" s="1"/>
  <c r="L114" i="4"/>
  <c r="AA114" i="4" s="1"/>
  <c r="AG81" i="4"/>
  <c r="AI81" i="4" s="1"/>
  <c r="AK113" i="4"/>
  <c r="AL113" i="4" s="1"/>
  <c r="AG113" i="4"/>
  <c r="L80" i="4"/>
  <c r="AA80" i="4" s="1"/>
  <c r="G81" i="4"/>
  <c r="AK81" i="4"/>
  <c r="AL81" i="4" s="1"/>
  <c r="G80" i="4"/>
  <c r="AK37" i="4"/>
  <c r="AL37" i="4" s="1"/>
  <c r="AK38" i="4"/>
  <c r="AL38" i="4" s="1"/>
  <c r="AG38" i="4"/>
  <c r="G37" i="4"/>
  <c r="L37" i="4"/>
  <c r="AA37" i="4" s="1"/>
  <c r="G38" i="4"/>
  <c r="AM80" i="4" l="1"/>
  <c r="M122" i="8"/>
  <c r="AI37" i="4"/>
  <c r="Q81" i="11"/>
  <c r="Y81" i="11" s="1"/>
  <c r="Z81" i="11"/>
  <c r="G114" i="2"/>
  <c r="L114" i="2"/>
  <c r="C38" i="11"/>
  <c r="C38" i="8"/>
  <c r="M84" i="8"/>
  <c r="C123" i="8"/>
  <c r="C116" i="11"/>
  <c r="C82" i="11"/>
  <c r="C85" i="8"/>
  <c r="Q115" i="11"/>
  <c r="Y115" i="11" s="1"/>
  <c r="Z115" i="11"/>
  <c r="L113" i="2"/>
  <c r="G113" i="2"/>
  <c r="Z82" i="11"/>
  <c r="Q82" i="11"/>
  <c r="Y82" i="11" s="1"/>
  <c r="G81" i="2"/>
  <c r="L81" i="2"/>
  <c r="L80" i="2"/>
  <c r="G80" i="2"/>
  <c r="G82" i="11"/>
  <c r="O82" i="11" s="1"/>
  <c r="M82" i="11"/>
  <c r="C37" i="11"/>
  <c r="C37" i="8"/>
  <c r="C122" i="8"/>
  <c r="C115" i="11"/>
  <c r="M85" i="8"/>
  <c r="Z38" i="11"/>
  <c r="Q38" i="11"/>
  <c r="Y38" i="11" s="1"/>
  <c r="M116" i="11"/>
  <c r="G116" i="11"/>
  <c r="O116" i="11" s="1"/>
  <c r="L38" i="2"/>
  <c r="G38" i="2"/>
  <c r="M38" i="11"/>
  <c r="G38" i="11"/>
  <c r="O38" i="11" s="1"/>
  <c r="M37" i="11"/>
  <c r="G37" i="11"/>
  <c r="O37" i="11" s="1"/>
  <c r="G37" i="2"/>
  <c r="L37" i="2"/>
  <c r="M38" i="8"/>
  <c r="G115" i="11"/>
  <c r="O115" i="11" s="1"/>
  <c r="M115" i="11"/>
  <c r="M81" i="11"/>
  <c r="G81" i="11"/>
  <c r="O81" i="11" s="1"/>
  <c r="Q116" i="11"/>
  <c r="Y116" i="11" s="1"/>
  <c r="Z116" i="11"/>
  <c r="C81" i="11"/>
  <c r="C84" i="8"/>
  <c r="Q37" i="11"/>
  <c r="Y37" i="11" s="1"/>
  <c r="Z37" i="11"/>
  <c r="M123" i="8"/>
  <c r="AM81" i="4"/>
  <c r="AM114" i="4"/>
  <c r="AM113" i="4"/>
  <c r="AI113" i="4"/>
  <c r="AM38" i="4"/>
  <c r="AI38" i="4"/>
  <c r="A160" i="11"/>
  <c r="B160" i="11"/>
  <c r="F160" i="11"/>
  <c r="A326" i="11"/>
  <c r="B326" i="11"/>
  <c r="F326" i="11"/>
  <c r="A327" i="11"/>
  <c r="B327" i="11"/>
  <c r="F327" i="11"/>
  <c r="A328" i="11"/>
  <c r="B328" i="11"/>
  <c r="F328" i="11"/>
  <c r="A329" i="11"/>
  <c r="B329" i="11"/>
  <c r="F329" i="11"/>
  <c r="A330" i="11"/>
  <c r="B330" i="11"/>
  <c r="F330" i="11"/>
  <c r="A331" i="11"/>
  <c r="B331" i="11"/>
  <c r="F331" i="11"/>
  <c r="A332" i="11"/>
  <c r="B332" i="11"/>
  <c r="F332" i="11"/>
  <c r="A333" i="11"/>
  <c r="B333" i="11"/>
  <c r="F333" i="11"/>
  <c r="A334" i="11"/>
  <c r="B334" i="11"/>
  <c r="F334" i="11"/>
  <c r="A335" i="11"/>
  <c r="B335" i="11"/>
  <c r="F335" i="11"/>
  <c r="A336" i="11"/>
  <c r="B336" i="11"/>
  <c r="F336" i="11"/>
  <c r="A337" i="11"/>
  <c r="B337" i="11"/>
  <c r="F337" i="11"/>
  <c r="A338" i="11"/>
  <c r="B338" i="11"/>
  <c r="F338" i="11"/>
  <c r="A339" i="11"/>
  <c r="B339" i="11"/>
  <c r="F339" i="11"/>
  <c r="A340" i="11"/>
  <c r="B340" i="11"/>
  <c r="F340" i="11"/>
  <c r="A341" i="11"/>
  <c r="B341" i="11"/>
  <c r="F341" i="11"/>
  <c r="A342" i="11"/>
  <c r="B342" i="11"/>
  <c r="F342" i="11"/>
  <c r="A343" i="11"/>
  <c r="B343" i="11"/>
  <c r="F343" i="11"/>
  <c r="A344" i="11"/>
  <c r="B344" i="11"/>
  <c r="F344" i="11"/>
  <c r="A345" i="11"/>
  <c r="B345" i="11"/>
  <c r="F345" i="11"/>
  <c r="A346" i="11"/>
  <c r="B346" i="11"/>
  <c r="F346" i="11"/>
  <c r="A347" i="11"/>
  <c r="B347" i="11"/>
  <c r="F347" i="11"/>
  <c r="A348" i="11"/>
  <c r="B348" i="11"/>
  <c r="F348" i="11"/>
  <c r="A349" i="11"/>
  <c r="B349" i="11"/>
  <c r="F349" i="11"/>
  <c r="A350" i="11"/>
  <c r="B350" i="11"/>
  <c r="F350" i="11"/>
  <c r="A351" i="11"/>
  <c r="B351" i="11"/>
  <c r="F351" i="11"/>
  <c r="A353" i="11"/>
  <c r="B353" i="11"/>
  <c r="F353" i="11"/>
  <c r="A354" i="11"/>
  <c r="B354" i="11"/>
  <c r="F354" i="11"/>
  <c r="A355" i="11"/>
  <c r="B355" i="11"/>
  <c r="F355" i="11"/>
  <c r="A356" i="11"/>
  <c r="B356" i="11"/>
  <c r="F356" i="11"/>
  <c r="A357" i="11"/>
  <c r="B357" i="11"/>
  <c r="F357" i="11"/>
  <c r="A358" i="11"/>
  <c r="B358" i="11"/>
  <c r="F358" i="11"/>
  <c r="A359" i="11"/>
  <c r="B359" i="11"/>
  <c r="F359" i="11"/>
  <c r="A360" i="11"/>
  <c r="B360" i="11"/>
  <c r="F360" i="11"/>
  <c r="A361" i="11"/>
  <c r="B361" i="11"/>
  <c r="F361" i="11"/>
  <c r="A362" i="11"/>
  <c r="B362" i="11"/>
  <c r="F362" i="11"/>
  <c r="A363" i="11"/>
  <c r="B363" i="11"/>
  <c r="F363" i="11"/>
  <c r="A364" i="11"/>
  <c r="B364" i="11"/>
  <c r="F364" i="11"/>
  <c r="A365" i="11"/>
  <c r="B365" i="11"/>
  <c r="F365" i="11"/>
  <c r="A366" i="11"/>
  <c r="B366" i="11"/>
  <c r="F366" i="11"/>
  <c r="A367" i="11"/>
  <c r="B367" i="11"/>
  <c r="F367" i="11"/>
  <c r="A368" i="11"/>
  <c r="B368" i="11"/>
  <c r="F368" i="11"/>
  <c r="A369" i="11"/>
  <c r="B369" i="11"/>
  <c r="F369" i="11"/>
  <c r="A370" i="11"/>
  <c r="B370" i="11"/>
  <c r="F370" i="11"/>
  <c r="A371" i="11"/>
  <c r="B371" i="11"/>
  <c r="F371" i="11"/>
  <c r="A372" i="11"/>
  <c r="B372" i="11"/>
  <c r="F372" i="11"/>
  <c r="A373" i="11"/>
  <c r="B373" i="11"/>
  <c r="F373" i="11"/>
  <c r="A374" i="11"/>
  <c r="B374" i="11"/>
  <c r="F374" i="11"/>
  <c r="A375" i="11"/>
  <c r="B375" i="11"/>
  <c r="F375" i="11"/>
  <c r="A376" i="11"/>
  <c r="B376" i="11"/>
  <c r="F376" i="11"/>
  <c r="A377" i="11"/>
  <c r="B377" i="11"/>
  <c r="F377" i="11"/>
  <c r="A378" i="11"/>
  <c r="B378" i="11"/>
  <c r="F378" i="11"/>
  <c r="A379" i="11"/>
  <c r="B379" i="11"/>
  <c r="F379" i="11"/>
  <c r="A380" i="11"/>
  <c r="B380" i="11"/>
  <c r="F380" i="11"/>
  <c r="A381" i="11"/>
  <c r="B381" i="11"/>
  <c r="F381" i="11"/>
  <c r="A382" i="11"/>
  <c r="B382" i="11"/>
  <c r="F382" i="11"/>
  <c r="A383" i="11"/>
  <c r="B383" i="11"/>
  <c r="F383" i="11"/>
  <c r="A384" i="11"/>
  <c r="B384" i="11"/>
  <c r="F384" i="11"/>
  <c r="A385" i="11"/>
  <c r="B385" i="11"/>
  <c r="F385" i="11"/>
  <c r="A386" i="11"/>
  <c r="B386" i="11"/>
  <c r="F386" i="11"/>
  <c r="A387" i="11"/>
  <c r="B387" i="11"/>
  <c r="F387" i="11"/>
  <c r="A289" i="11"/>
  <c r="B289" i="11"/>
  <c r="F289" i="11"/>
  <c r="A290" i="11"/>
  <c r="B290" i="11"/>
  <c r="F290" i="11"/>
  <c r="A291" i="11"/>
  <c r="B291" i="11"/>
  <c r="F291" i="11"/>
  <c r="A292" i="11"/>
  <c r="B292" i="11"/>
  <c r="F292" i="11"/>
  <c r="A293" i="11"/>
  <c r="B293" i="11"/>
  <c r="F293" i="11"/>
  <c r="A294" i="11"/>
  <c r="B294" i="11"/>
  <c r="F294" i="11"/>
  <c r="A295" i="11"/>
  <c r="B295" i="11"/>
  <c r="F295" i="11"/>
  <c r="A296" i="11"/>
  <c r="B296" i="11"/>
  <c r="F296" i="11"/>
  <c r="A297" i="11"/>
  <c r="B297" i="11"/>
  <c r="F297" i="11"/>
  <c r="A298" i="11"/>
  <c r="B298" i="11"/>
  <c r="F298" i="11"/>
  <c r="A299" i="11"/>
  <c r="B299" i="11"/>
  <c r="F299" i="11"/>
  <c r="A300" i="11"/>
  <c r="B300" i="11"/>
  <c r="F300" i="11"/>
  <c r="A301" i="11"/>
  <c r="B301" i="11"/>
  <c r="F301" i="11"/>
  <c r="A302" i="11"/>
  <c r="B302" i="11"/>
  <c r="F302" i="11"/>
  <c r="A303" i="11"/>
  <c r="B303" i="11"/>
  <c r="F303" i="11"/>
  <c r="A304" i="11"/>
  <c r="B304" i="11"/>
  <c r="F304" i="11"/>
  <c r="A305" i="11"/>
  <c r="B305" i="11"/>
  <c r="F305" i="11"/>
  <c r="A306" i="11"/>
  <c r="B306" i="11"/>
  <c r="F306" i="11"/>
  <c r="A307" i="11"/>
  <c r="B307" i="11"/>
  <c r="F307" i="11"/>
  <c r="A308" i="11"/>
  <c r="B308" i="11"/>
  <c r="F308" i="11"/>
  <c r="A309" i="11"/>
  <c r="B309" i="11"/>
  <c r="F309" i="11"/>
  <c r="A310" i="11"/>
  <c r="B310" i="11"/>
  <c r="F310" i="11"/>
  <c r="A311" i="11"/>
  <c r="B311" i="11"/>
  <c r="F311" i="11"/>
  <c r="A312" i="11"/>
  <c r="B312" i="11"/>
  <c r="F312" i="11"/>
  <c r="A313" i="11"/>
  <c r="B313" i="11"/>
  <c r="F313" i="11"/>
  <c r="A314" i="11"/>
  <c r="B314" i="11"/>
  <c r="F314" i="11"/>
  <c r="A315" i="11"/>
  <c r="B315" i="11"/>
  <c r="F315" i="11"/>
  <c r="A316" i="11"/>
  <c r="B316" i="11"/>
  <c r="F316" i="11"/>
  <c r="A317" i="11"/>
  <c r="B317" i="11"/>
  <c r="F317" i="11"/>
  <c r="A318" i="11"/>
  <c r="B318" i="11"/>
  <c r="F318" i="11"/>
  <c r="A319" i="11"/>
  <c r="B319" i="11"/>
  <c r="F319" i="11"/>
  <c r="A320" i="11"/>
  <c r="B320" i="11"/>
  <c r="F320" i="11"/>
  <c r="A258" i="11"/>
  <c r="B258" i="11"/>
  <c r="F258" i="11"/>
  <c r="A259" i="11"/>
  <c r="B259" i="11"/>
  <c r="F259" i="11"/>
  <c r="A260" i="11"/>
  <c r="B260" i="11"/>
  <c r="F260" i="11"/>
  <c r="A228" i="11"/>
  <c r="B228" i="11"/>
  <c r="F228" i="11"/>
  <c r="A229" i="11"/>
  <c r="B229" i="11"/>
  <c r="F229" i="11"/>
  <c r="A230" i="11"/>
  <c r="B230" i="11"/>
  <c r="F230" i="11"/>
  <c r="A231" i="11"/>
  <c r="B231" i="11"/>
  <c r="F231" i="11"/>
  <c r="A232" i="11"/>
  <c r="B232" i="11"/>
  <c r="F232" i="11"/>
  <c r="A233" i="11"/>
  <c r="B233" i="11"/>
  <c r="F233" i="11"/>
  <c r="A234" i="11"/>
  <c r="B234" i="11"/>
  <c r="F234" i="11"/>
  <c r="A235" i="11"/>
  <c r="B235" i="11"/>
  <c r="F235" i="11"/>
  <c r="A236" i="11"/>
  <c r="B236" i="11"/>
  <c r="F236" i="11"/>
  <c r="A237" i="11"/>
  <c r="B237" i="11"/>
  <c r="F237" i="11"/>
  <c r="A238" i="11"/>
  <c r="B238" i="11"/>
  <c r="F238" i="11"/>
  <c r="A239" i="11"/>
  <c r="B239" i="11"/>
  <c r="F239" i="11"/>
  <c r="A162" i="11"/>
  <c r="B162" i="11"/>
  <c r="F162" i="11"/>
  <c r="A163" i="11"/>
  <c r="B163" i="11"/>
  <c r="F163" i="11"/>
  <c r="A164" i="11"/>
  <c r="B164" i="11"/>
  <c r="F164" i="11"/>
  <c r="A165" i="11"/>
  <c r="B165" i="11"/>
  <c r="F165" i="11"/>
  <c r="A166" i="11"/>
  <c r="B166" i="11"/>
  <c r="F166" i="11"/>
  <c r="A167" i="11"/>
  <c r="B167" i="11"/>
  <c r="F167" i="11"/>
  <c r="A168" i="11"/>
  <c r="B168" i="11"/>
  <c r="F168" i="11"/>
  <c r="A169" i="11"/>
  <c r="B169" i="11"/>
  <c r="F169" i="11"/>
  <c r="A170" i="11"/>
  <c r="B170" i="11"/>
  <c r="F170" i="11"/>
  <c r="A171" i="11"/>
  <c r="B171" i="11"/>
  <c r="F171" i="11"/>
  <c r="A172" i="11"/>
  <c r="B172" i="11"/>
  <c r="F172" i="11"/>
  <c r="A173" i="11"/>
  <c r="B173" i="11"/>
  <c r="F173" i="11"/>
  <c r="A174" i="11"/>
  <c r="B174" i="11"/>
  <c r="F174" i="11"/>
  <c r="A175" i="11"/>
  <c r="B175" i="11"/>
  <c r="F175" i="11"/>
  <c r="A176" i="11"/>
  <c r="B176" i="11"/>
  <c r="F176" i="11"/>
  <c r="A177" i="11"/>
  <c r="B177" i="11"/>
  <c r="F177" i="11"/>
  <c r="A178" i="11"/>
  <c r="B178" i="11"/>
  <c r="F178" i="11"/>
  <c r="A179" i="11"/>
  <c r="B179" i="11"/>
  <c r="F179" i="11"/>
  <c r="A180" i="11"/>
  <c r="B180" i="11"/>
  <c r="F180" i="11"/>
  <c r="A181" i="11"/>
  <c r="B181" i="11"/>
  <c r="F181" i="11"/>
  <c r="A182" i="11"/>
  <c r="B182" i="11"/>
  <c r="F182" i="11"/>
  <c r="A183" i="11"/>
  <c r="B183" i="11"/>
  <c r="F183" i="11"/>
  <c r="A184" i="11"/>
  <c r="B184" i="11"/>
  <c r="F184" i="11"/>
  <c r="A185" i="11"/>
  <c r="B185" i="11"/>
  <c r="F185" i="11"/>
  <c r="A186" i="11"/>
  <c r="B186" i="11"/>
  <c r="F186" i="11"/>
  <c r="A187" i="11"/>
  <c r="B187" i="11"/>
  <c r="F187" i="11"/>
  <c r="A188" i="11"/>
  <c r="B188" i="11"/>
  <c r="F188" i="11"/>
  <c r="A189" i="11"/>
  <c r="B189" i="11"/>
  <c r="F189" i="11"/>
  <c r="A190" i="11"/>
  <c r="B190" i="11"/>
  <c r="F190" i="11"/>
  <c r="A191" i="11"/>
  <c r="B191" i="11"/>
  <c r="F191" i="11"/>
  <c r="A194" i="11"/>
  <c r="B194" i="11"/>
  <c r="F194" i="11"/>
  <c r="A195" i="11"/>
  <c r="B195" i="11"/>
  <c r="F195" i="11"/>
  <c r="A196" i="11"/>
  <c r="B196" i="11"/>
  <c r="F196" i="11"/>
  <c r="A197" i="11"/>
  <c r="B197" i="11"/>
  <c r="F197" i="11"/>
  <c r="A198" i="11"/>
  <c r="B198" i="11"/>
  <c r="F198" i="11"/>
  <c r="A199" i="11"/>
  <c r="B199" i="11"/>
  <c r="F199" i="11"/>
  <c r="A200" i="11"/>
  <c r="B200" i="11"/>
  <c r="F200" i="11"/>
  <c r="A201" i="11"/>
  <c r="B201" i="11"/>
  <c r="F201" i="11"/>
  <c r="A202" i="11"/>
  <c r="B202" i="11"/>
  <c r="F202" i="11"/>
  <c r="A203" i="11"/>
  <c r="B203" i="11"/>
  <c r="F203" i="11"/>
  <c r="A204" i="11"/>
  <c r="B204" i="11"/>
  <c r="F204" i="11"/>
  <c r="A205" i="11"/>
  <c r="B205" i="11"/>
  <c r="F205" i="11"/>
  <c r="A206" i="11"/>
  <c r="B206" i="11"/>
  <c r="F206" i="11"/>
  <c r="A207" i="11"/>
  <c r="B207" i="11"/>
  <c r="F207" i="11"/>
  <c r="A208" i="11"/>
  <c r="B208" i="11"/>
  <c r="F208" i="11"/>
  <c r="A209" i="11"/>
  <c r="B209" i="11"/>
  <c r="F209" i="11"/>
  <c r="A210" i="11"/>
  <c r="B210" i="11"/>
  <c r="F210" i="11"/>
  <c r="A211" i="11"/>
  <c r="B211" i="11"/>
  <c r="F211" i="11"/>
  <c r="A212" i="11"/>
  <c r="B212" i="11"/>
  <c r="F212" i="11"/>
  <c r="A213" i="11"/>
  <c r="B213" i="11"/>
  <c r="F213" i="11"/>
  <c r="A214" i="11"/>
  <c r="B214" i="11"/>
  <c r="F214" i="11"/>
  <c r="A215" i="11"/>
  <c r="B215" i="11"/>
  <c r="F215" i="11"/>
  <c r="A216" i="11"/>
  <c r="B216" i="11"/>
  <c r="F216" i="11"/>
  <c r="A124" i="11"/>
  <c r="B124" i="11"/>
  <c r="F124" i="11"/>
  <c r="A125" i="11"/>
  <c r="B125" i="11"/>
  <c r="F125" i="11"/>
  <c r="A126" i="11"/>
  <c r="B126" i="11"/>
  <c r="F126" i="11"/>
  <c r="A127" i="11"/>
  <c r="B127" i="11"/>
  <c r="F127" i="11"/>
  <c r="A128" i="11"/>
  <c r="B128" i="11"/>
  <c r="F128" i="11"/>
  <c r="A129" i="11"/>
  <c r="B129" i="11"/>
  <c r="F129" i="11"/>
  <c r="A130" i="11"/>
  <c r="B130" i="11"/>
  <c r="F130" i="11"/>
  <c r="A131" i="11"/>
  <c r="B131" i="11"/>
  <c r="F131" i="11"/>
  <c r="A132" i="11"/>
  <c r="B132" i="11"/>
  <c r="F132" i="11"/>
  <c r="A133" i="11"/>
  <c r="B133" i="11"/>
  <c r="F133" i="11"/>
  <c r="A134" i="11"/>
  <c r="B134" i="11"/>
  <c r="F134" i="11"/>
  <c r="A135" i="11"/>
  <c r="B135" i="11"/>
  <c r="F135" i="11"/>
  <c r="A136" i="11"/>
  <c r="B136" i="11"/>
  <c r="F136" i="11"/>
  <c r="A137" i="11"/>
  <c r="B137" i="11"/>
  <c r="F137" i="11"/>
  <c r="A138" i="11"/>
  <c r="B138" i="11"/>
  <c r="F138" i="11"/>
  <c r="A139" i="11"/>
  <c r="B139" i="11"/>
  <c r="F139" i="11"/>
  <c r="A140" i="11"/>
  <c r="B140" i="11"/>
  <c r="F140" i="11"/>
  <c r="A141" i="11"/>
  <c r="B141" i="11"/>
  <c r="F141" i="11"/>
  <c r="A142" i="11"/>
  <c r="B142" i="11"/>
  <c r="F142" i="11"/>
  <c r="A143" i="11"/>
  <c r="B143" i="11"/>
  <c r="F143" i="11"/>
  <c r="A144" i="11"/>
  <c r="B144" i="11"/>
  <c r="F144" i="11"/>
  <c r="A145" i="11"/>
  <c r="B145" i="11"/>
  <c r="F145" i="11"/>
  <c r="A146" i="11"/>
  <c r="B146" i="11"/>
  <c r="F146" i="11"/>
  <c r="A147" i="11"/>
  <c r="B147" i="11"/>
  <c r="F147" i="11"/>
  <c r="A148" i="11"/>
  <c r="B148" i="11"/>
  <c r="F148" i="11"/>
  <c r="A149" i="11"/>
  <c r="B149" i="11"/>
  <c r="F149" i="11"/>
  <c r="A150" i="11"/>
  <c r="B150" i="11"/>
  <c r="F150" i="11"/>
  <c r="A151" i="11"/>
  <c r="B151" i="11"/>
  <c r="F151" i="11"/>
  <c r="A152" i="11"/>
  <c r="B152" i="11"/>
  <c r="F152" i="11"/>
  <c r="A153" i="11"/>
  <c r="B153" i="11"/>
  <c r="F153" i="11"/>
  <c r="A154" i="11"/>
  <c r="B154" i="11"/>
  <c r="F154" i="11"/>
  <c r="A155" i="11"/>
  <c r="B155" i="11"/>
  <c r="F155" i="11"/>
  <c r="A114" i="11"/>
  <c r="B114" i="11"/>
  <c r="F114" i="11"/>
  <c r="A70" i="11"/>
  <c r="B70" i="11"/>
  <c r="F70" i="11"/>
  <c r="A71" i="11"/>
  <c r="B71" i="11"/>
  <c r="F71" i="11"/>
  <c r="A72" i="11"/>
  <c r="B72" i="11"/>
  <c r="F72" i="11"/>
  <c r="A73" i="11"/>
  <c r="B73" i="11"/>
  <c r="F73" i="11"/>
  <c r="A74" i="11"/>
  <c r="B74" i="11"/>
  <c r="F74" i="11"/>
  <c r="A75" i="11"/>
  <c r="B75" i="11"/>
  <c r="F75" i="11"/>
  <c r="A76" i="11"/>
  <c r="B76" i="11"/>
  <c r="F76" i="11"/>
  <c r="A77" i="11"/>
  <c r="B77" i="11"/>
  <c r="F77" i="11"/>
  <c r="A78" i="11"/>
  <c r="B78" i="11"/>
  <c r="F78" i="11"/>
  <c r="A79" i="11"/>
  <c r="B79" i="11"/>
  <c r="F79" i="11"/>
  <c r="A80" i="11"/>
  <c r="B80" i="11"/>
  <c r="F80" i="11"/>
  <c r="A83" i="11"/>
  <c r="B83" i="11"/>
  <c r="F83" i="11"/>
  <c r="A84" i="11"/>
  <c r="B84" i="11"/>
  <c r="F84" i="11"/>
  <c r="A85" i="11"/>
  <c r="B85" i="11"/>
  <c r="F85" i="11"/>
  <c r="A86" i="11"/>
  <c r="B86" i="11"/>
  <c r="F86" i="11"/>
  <c r="A87" i="11"/>
  <c r="B87" i="11"/>
  <c r="F87" i="11"/>
  <c r="A88" i="11"/>
  <c r="B88" i="11"/>
  <c r="F88" i="11"/>
  <c r="A89" i="11"/>
  <c r="B89" i="11"/>
  <c r="F89" i="11"/>
  <c r="A90" i="11"/>
  <c r="B90" i="11"/>
  <c r="F90" i="11"/>
  <c r="A91" i="11"/>
  <c r="B91" i="11"/>
  <c r="F91" i="11"/>
  <c r="A92" i="11"/>
  <c r="B92" i="11"/>
  <c r="F92" i="11"/>
  <c r="A93" i="11"/>
  <c r="B93" i="11"/>
  <c r="F93" i="11"/>
  <c r="A94" i="11"/>
  <c r="B94" i="11"/>
  <c r="F94" i="11"/>
  <c r="A95" i="11"/>
  <c r="B95" i="11"/>
  <c r="F95" i="11"/>
  <c r="A96" i="11"/>
  <c r="B96" i="11"/>
  <c r="F96" i="11"/>
  <c r="A97" i="11"/>
  <c r="B97" i="11"/>
  <c r="F97" i="11"/>
  <c r="A98" i="11"/>
  <c r="B98" i="11"/>
  <c r="F98" i="11"/>
  <c r="A99" i="11"/>
  <c r="B99" i="11"/>
  <c r="F99" i="11"/>
  <c r="A100" i="11"/>
  <c r="B100" i="11"/>
  <c r="F100" i="11"/>
  <c r="A101" i="11"/>
  <c r="B101" i="11"/>
  <c r="F101" i="11"/>
  <c r="A102" i="11"/>
  <c r="B102" i="11"/>
  <c r="F102" i="11"/>
  <c r="A46" i="11"/>
  <c r="B46" i="11"/>
  <c r="F46" i="11"/>
  <c r="A47" i="11"/>
  <c r="B47" i="11"/>
  <c r="F47" i="11"/>
  <c r="A48" i="11"/>
  <c r="B48" i="11"/>
  <c r="F48" i="11"/>
  <c r="A49" i="11"/>
  <c r="B49" i="11"/>
  <c r="F49" i="11"/>
  <c r="A50" i="11"/>
  <c r="B50" i="11"/>
  <c r="F50" i="11"/>
  <c r="A51" i="11"/>
  <c r="B51" i="11"/>
  <c r="F51" i="11"/>
  <c r="A52" i="11"/>
  <c r="B52" i="11"/>
  <c r="F52" i="11"/>
  <c r="A53" i="11"/>
  <c r="B53" i="11"/>
  <c r="F53" i="11"/>
  <c r="A54" i="11"/>
  <c r="B54" i="11"/>
  <c r="F54" i="11"/>
  <c r="A55" i="11"/>
  <c r="B55" i="11"/>
  <c r="F55" i="11"/>
  <c r="A56" i="11"/>
  <c r="B56" i="11"/>
  <c r="F56" i="11"/>
  <c r="A57" i="11"/>
  <c r="B57" i="11"/>
  <c r="F57" i="11"/>
  <c r="A58" i="11"/>
  <c r="B58" i="11"/>
  <c r="F58" i="11"/>
  <c r="A59" i="11"/>
  <c r="B59" i="11"/>
  <c r="F59" i="11"/>
  <c r="A60" i="11"/>
  <c r="B60" i="11"/>
  <c r="F60" i="11"/>
  <c r="A61" i="11"/>
  <c r="B61" i="11"/>
  <c r="F61" i="11"/>
  <c r="A62" i="11"/>
  <c r="B62" i="11"/>
  <c r="F62" i="11"/>
  <c r="A63" i="11"/>
  <c r="B63" i="11"/>
  <c r="F63" i="11"/>
  <c r="A64" i="11"/>
  <c r="B64" i="11"/>
  <c r="F64" i="11"/>
  <c r="A30" i="11"/>
  <c r="B30" i="11"/>
  <c r="F30" i="11"/>
  <c r="A31" i="11"/>
  <c r="B31" i="11"/>
  <c r="F31" i="11"/>
  <c r="A32" i="11"/>
  <c r="B32" i="11"/>
  <c r="F32" i="11"/>
  <c r="A33" i="11"/>
  <c r="B33" i="11"/>
  <c r="F33" i="11"/>
  <c r="A34" i="11"/>
  <c r="B34" i="11"/>
  <c r="F34" i="11"/>
  <c r="A35" i="11"/>
  <c r="B35" i="11"/>
  <c r="F35" i="11"/>
  <c r="A36" i="11"/>
  <c r="B36" i="11"/>
  <c r="F36" i="11"/>
  <c r="A10" i="11"/>
  <c r="B10" i="11"/>
  <c r="F10" i="11"/>
  <c r="A11" i="11"/>
  <c r="B11" i="11"/>
  <c r="F11" i="11"/>
  <c r="A12" i="11"/>
  <c r="B12" i="11"/>
  <c r="F12" i="11"/>
  <c r="A13" i="11"/>
  <c r="B13" i="11"/>
  <c r="F13" i="11"/>
  <c r="A14" i="11"/>
  <c r="B14" i="11"/>
  <c r="F14" i="11"/>
  <c r="A15" i="11"/>
  <c r="B15" i="11"/>
  <c r="F15" i="11"/>
  <c r="A16" i="11"/>
  <c r="B16" i="11"/>
  <c r="F16" i="11"/>
  <c r="A17" i="11"/>
  <c r="B17" i="11"/>
  <c r="F17" i="11"/>
  <c r="A18" i="11"/>
  <c r="B18" i="11"/>
  <c r="F18" i="11"/>
  <c r="A19" i="11"/>
  <c r="B19" i="11"/>
  <c r="F19" i="11"/>
  <c r="A20" i="11"/>
  <c r="B20" i="11"/>
  <c r="F20" i="11"/>
  <c r="A21" i="11"/>
  <c r="B21" i="11"/>
  <c r="F21" i="11"/>
  <c r="A22" i="11"/>
  <c r="B22" i="11"/>
  <c r="F22" i="11"/>
  <c r="A23" i="11"/>
  <c r="B23" i="11"/>
  <c r="F23" i="11"/>
  <c r="A24" i="11"/>
  <c r="B24" i="11"/>
  <c r="F24" i="11"/>
  <c r="A157" i="2"/>
  <c r="A30" i="6" s="1"/>
  <c r="B157" i="2"/>
  <c r="B30" i="6" s="1"/>
  <c r="C157" i="2"/>
  <c r="E30" i="6" s="1"/>
  <c r="E157" i="2"/>
  <c r="F157" i="2"/>
  <c r="J157" i="2"/>
  <c r="N157" i="2"/>
  <c r="O157" i="2"/>
  <c r="P157" i="2"/>
  <c r="L30" i="6" s="1"/>
  <c r="T157" i="2"/>
  <c r="N30" i="6" s="1"/>
  <c r="U157" i="2"/>
  <c r="O30" i="6" s="1"/>
  <c r="A321" i="2"/>
  <c r="A43" i="6" s="1"/>
  <c r="B321" i="2"/>
  <c r="B43" i="6" s="1"/>
  <c r="C321" i="2"/>
  <c r="E43" i="6" s="1"/>
  <c r="E321" i="2"/>
  <c r="I43" i="6" s="1"/>
  <c r="F321" i="2"/>
  <c r="J321" i="2"/>
  <c r="C43" i="6" s="1"/>
  <c r="N321" i="2"/>
  <c r="O321" i="2"/>
  <c r="P321" i="2"/>
  <c r="L43" i="6" s="1"/>
  <c r="T321" i="2"/>
  <c r="N43" i="6" s="1"/>
  <c r="U321" i="2"/>
  <c r="O43" i="6" s="1"/>
  <c r="A322" i="2"/>
  <c r="A261" i="6" s="1"/>
  <c r="B322" i="2"/>
  <c r="B261" i="6" s="1"/>
  <c r="C322" i="2"/>
  <c r="E261" i="6" s="1"/>
  <c r="E322" i="2"/>
  <c r="F322" i="2"/>
  <c r="J322" i="2"/>
  <c r="C261" i="6" s="1"/>
  <c r="N322" i="2"/>
  <c r="O322" i="2"/>
  <c r="P322" i="2"/>
  <c r="L261" i="6" s="1"/>
  <c r="T322" i="2"/>
  <c r="N261" i="6" s="1"/>
  <c r="U322" i="2"/>
  <c r="O261" i="6" s="1"/>
  <c r="A323" i="2"/>
  <c r="A262" i="6" s="1"/>
  <c r="B323" i="2"/>
  <c r="B262" i="6" s="1"/>
  <c r="C323" i="2"/>
  <c r="E262" i="6" s="1"/>
  <c r="E323" i="2"/>
  <c r="I262" i="6" s="1"/>
  <c r="F323" i="2"/>
  <c r="J323" i="2"/>
  <c r="C262" i="6" s="1"/>
  <c r="N323" i="2"/>
  <c r="O323" i="2"/>
  <c r="P323" i="2"/>
  <c r="L262" i="6" s="1"/>
  <c r="T323" i="2"/>
  <c r="N262" i="6" s="1"/>
  <c r="U323" i="2"/>
  <c r="O262" i="6" s="1"/>
  <c r="A324" i="2"/>
  <c r="A263" i="6" s="1"/>
  <c r="B324" i="2"/>
  <c r="B263" i="6" s="1"/>
  <c r="C324" i="2"/>
  <c r="E263" i="6" s="1"/>
  <c r="E324" i="2"/>
  <c r="I263" i="6" s="1"/>
  <c r="F324" i="2"/>
  <c r="J324" i="2"/>
  <c r="C263" i="6" s="1"/>
  <c r="N324" i="2"/>
  <c r="O324" i="2"/>
  <c r="P324" i="2"/>
  <c r="L263" i="6" s="1"/>
  <c r="T324" i="2"/>
  <c r="N263" i="6" s="1"/>
  <c r="U324" i="2"/>
  <c r="O263" i="6" s="1"/>
  <c r="V324" i="2"/>
  <c r="P263" i="6" s="1"/>
  <c r="A325" i="2"/>
  <c r="A264" i="6" s="1"/>
  <c r="B325" i="2"/>
  <c r="B264" i="6" s="1"/>
  <c r="C325" i="2"/>
  <c r="E264" i="6" s="1"/>
  <c r="E325" i="2"/>
  <c r="I264" i="6" s="1"/>
  <c r="F325" i="2"/>
  <c r="J325" i="2"/>
  <c r="C264" i="6" s="1"/>
  <c r="N325" i="2"/>
  <c r="O325" i="2"/>
  <c r="P325" i="2"/>
  <c r="L264" i="6" s="1"/>
  <c r="T325" i="2"/>
  <c r="N264" i="6" s="1"/>
  <c r="U325" i="2"/>
  <c r="O264" i="6" s="1"/>
  <c r="A326" i="2"/>
  <c r="A265" i="6" s="1"/>
  <c r="B326" i="2"/>
  <c r="B265" i="6" s="1"/>
  <c r="C326" i="2"/>
  <c r="E265" i="6" s="1"/>
  <c r="E326" i="2"/>
  <c r="I265" i="6" s="1"/>
  <c r="F326" i="2"/>
  <c r="J326" i="2"/>
  <c r="C265" i="6" s="1"/>
  <c r="N326" i="2"/>
  <c r="O326" i="2"/>
  <c r="P326" i="2"/>
  <c r="L265" i="6" s="1"/>
  <c r="T326" i="2"/>
  <c r="N265" i="6" s="1"/>
  <c r="U326" i="2"/>
  <c r="O265" i="6" s="1"/>
  <c r="A327" i="2"/>
  <c r="A266" i="6" s="1"/>
  <c r="B327" i="2"/>
  <c r="B266" i="6" s="1"/>
  <c r="C327" i="2"/>
  <c r="E327" i="2"/>
  <c r="I266" i="6" s="1"/>
  <c r="F327" i="2"/>
  <c r="J327" i="2"/>
  <c r="C266" i="6" s="1"/>
  <c r="N327" i="2"/>
  <c r="O327" i="2"/>
  <c r="P327" i="2"/>
  <c r="L266" i="6" s="1"/>
  <c r="T327" i="2"/>
  <c r="N266" i="6" s="1"/>
  <c r="U327" i="2"/>
  <c r="O266" i="6" s="1"/>
  <c r="A328" i="2"/>
  <c r="A267" i="6" s="1"/>
  <c r="B328" i="2"/>
  <c r="B267" i="6" s="1"/>
  <c r="C328" i="2"/>
  <c r="E267" i="6" s="1"/>
  <c r="E328" i="2"/>
  <c r="F328" i="2"/>
  <c r="J328" i="2"/>
  <c r="C267" i="6" s="1"/>
  <c r="N328" i="2"/>
  <c r="O328" i="2"/>
  <c r="P328" i="2"/>
  <c r="L267" i="6" s="1"/>
  <c r="T328" i="2"/>
  <c r="N267" i="6" s="1"/>
  <c r="U328" i="2"/>
  <c r="O267" i="6" s="1"/>
  <c r="V328" i="2"/>
  <c r="P267" i="6" s="1"/>
  <c r="A329" i="2"/>
  <c r="A268" i="6" s="1"/>
  <c r="B329" i="2"/>
  <c r="B268" i="6" s="1"/>
  <c r="C329" i="2"/>
  <c r="E268" i="6" s="1"/>
  <c r="E329" i="2"/>
  <c r="I268" i="6" s="1"/>
  <c r="F329" i="2"/>
  <c r="J329" i="2"/>
  <c r="C268" i="6" s="1"/>
  <c r="N329" i="2"/>
  <c r="O329" i="2"/>
  <c r="P329" i="2"/>
  <c r="L268" i="6" s="1"/>
  <c r="T329" i="2"/>
  <c r="N268" i="6" s="1"/>
  <c r="U329" i="2"/>
  <c r="O268" i="6" s="1"/>
  <c r="A330" i="2"/>
  <c r="A44" i="6" s="1"/>
  <c r="B330" i="2"/>
  <c r="B44" i="6" s="1"/>
  <c r="C330" i="2"/>
  <c r="E44" i="6" s="1"/>
  <c r="E330" i="2"/>
  <c r="I44" i="6" s="1"/>
  <c r="F330" i="2"/>
  <c r="J330" i="2"/>
  <c r="C44" i="6" s="1"/>
  <c r="N330" i="2"/>
  <c r="O330" i="2"/>
  <c r="P330" i="2"/>
  <c r="L44" i="6" s="1"/>
  <c r="T330" i="2"/>
  <c r="N44" i="6" s="1"/>
  <c r="U330" i="2"/>
  <c r="O44" i="6" s="1"/>
  <c r="A331" i="2"/>
  <c r="A269" i="6" s="1"/>
  <c r="B331" i="2"/>
  <c r="B269" i="6" s="1"/>
  <c r="C331" i="2"/>
  <c r="E269" i="6" s="1"/>
  <c r="E331" i="2"/>
  <c r="F331" i="2"/>
  <c r="J331" i="2"/>
  <c r="C269" i="6" s="1"/>
  <c r="N331" i="2"/>
  <c r="O331" i="2"/>
  <c r="P331" i="2"/>
  <c r="L269" i="6" s="1"/>
  <c r="T331" i="2"/>
  <c r="N269" i="6" s="1"/>
  <c r="U331" i="2"/>
  <c r="O269" i="6" s="1"/>
  <c r="A332" i="2"/>
  <c r="A270" i="6" s="1"/>
  <c r="B332" i="2"/>
  <c r="B270" i="6" s="1"/>
  <c r="C332" i="2"/>
  <c r="E270" i="6" s="1"/>
  <c r="E332" i="2"/>
  <c r="I270" i="6" s="1"/>
  <c r="F332" i="2"/>
  <c r="J332" i="2"/>
  <c r="C270" i="6" s="1"/>
  <c r="N332" i="2"/>
  <c r="O332" i="2"/>
  <c r="P332" i="2"/>
  <c r="L270" i="6" s="1"/>
  <c r="T332" i="2"/>
  <c r="N270" i="6" s="1"/>
  <c r="U332" i="2"/>
  <c r="O270" i="6" s="1"/>
  <c r="A333" i="2"/>
  <c r="A271" i="6" s="1"/>
  <c r="B333" i="2"/>
  <c r="B271" i="6" s="1"/>
  <c r="C333" i="2"/>
  <c r="E271" i="6" s="1"/>
  <c r="E333" i="2"/>
  <c r="I271" i="6" s="1"/>
  <c r="F333" i="2"/>
  <c r="J333" i="2"/>
  <c r="N333" i="2"/>
  <c r="O333" i="2"/>
  <c r="P333" i="2"/>
  <c r="L271" i="6" s="1"/>
  <c r="T333" i="2"/>
  <c r="N271" i="6" s="1"/>
  <c r="U333" i="2"/>
  <c r="O271" i="6" s="1"/>
  <c r="A334" i="2"/>
  <c r="A272" i="6" s="1"/>
  <c r="B334" i="2"/>
  <c r="B272" i="6" s="1"/>
  <c r="C334" i="2"/>
  <c r="E272" i="6" s="1"/>
  <c r="E334" i="2"/>
  <c r="I272" i="6" s="1"/>
  <c r="F334" i="2"/>
  <c r="J334" i="2"/>
  <c r="C272" i="6" s="1"/>
  <c r="N334" i="2"/>
  <c r="O334" i="2"/>
  <c r="P334" i="2"/>
  <c r="L272" i="6" s="1"/>
  <c r="T334" i="2"/>
  <c r="N272" i="6" s="1"/>
  <c r="U334" i="2"/>
  <c r="O272" i="6" s="1"/>
  <c r="V334" i="2"/>
  <c r="P272" i="6" s="1"/>
  <c r="A335" i="2"/>
  <c r="A273" i="6" s="1"/>
  <c r="B335" i="2"/>
  <c r="B273" i="6" s="1"/>
  <c r="C335" i="2"/>
  <c r="E273" i="6" s="1"/>
  <c r="E335" i="2"/>
  <c r="F335" i="2"/>
  <c r="J335" i="2"/>
  <c r="N335" i="2"/>
  <c r="O335" i="2"/>
  <c r="P335" i="2"/>
  <c r="L273" i="6" s="1"/>
  <c r="T335" i="2"/>
  <c r="N273" i="6" s="1"/>
  <c r="U335" i="2"/>
  <c r="O273" i="6" s="1"/>
  <c r="A336" i="2"/>
  <c r="A274" i="6" s="1"/>
  <c r="B336" i="2"/>
  <c r="B274" i="6" s="1"/>
  <c r="C336" i="2"/>
  <c r="E274" i="6" s="1"/>
  <c r="E336" i="2"/>
  <c r="F336" i="2"/>
  <c r="J336" i="2"/>
  <c r="N336" i="2"/>
  <c r="O336" i="2"/>
  <c r="P336" i="2"/>
  <c r="L274" i="6" s="1"/>
  <c r="T336" i="2"/>
  <c r="N274" i="6" s="1"/>
  <c r="U336" i="2"/>
  <c r="O274" i="6" s="1"/>
  <c r="A337" i="2"/>
  <c r="A275" i="6" s="1"/>
  <c r="B337" i="2"/>
  <c r="B275" i="6" s="1"/>
  <c r="C337" i="2"/>
  <c r="E337" i="2"/>
  <c r="F337" i="2"/>
  <c r="J337" i="2"/>
  <c r="C275" i="6" s="1"/>
  <c r="N337" i="2"/>
  <c r="O337" i="2"/>
  <c r="P337" i="2"/>
  <c r="L275" i="6" s="1"/>
  <c r="T337" i="2"/>
  <c r="N275" i="6" s="1"/>
  <c r="U337" i="2"/>
  <c r="O275" i="6" s="1"/>
  <c r="A338" i="2"/>
  <c r="A276" i="6" s="1"/>
  <c r="B338" i="2"/>
  <c r="B276" i="6" s="1"/>
  <c r="C338" i="2"/>
  <c r="E276" i="6" s="1"/>
  <c r="E338" i="2"/>
  <c r="I276" i="6" s="1"/>
  <c r="F338" i="2"/>
  <c r="J338" i="2"/>
  <c r="C276" i="6" s="1"/>
  <c r="N338" i="2"/>
  <c r="O338" i="2"/>
  <c r="P338" i="2"/>
  <c r="L276" i="6" s="1"/>
  <c r="T338" i="2"/>
  <c r="N276" i="6" s="1"/>
  <c r="U338" i="2"/>
  <c r="O276" i="6" s="1"/>
  <c r="V338" i="2"/>
  <c r="P276" i="6" s="1"/>
  <c r="A339" i="2"/>
  <c r="A45" i="6" s="1"/>
  <c r="B339" i="2"/>
  <c r="B45" i="6" s="1"/>
  <c r="C339" i="2"/>
  <c r="E45" i="6" s="1"/>
  <c r="E339" i="2"/>
  <c r="F339" i="2"/>
  <c r="J339" i="2"/>
  <c r="N339" i="2"/>
  <c r="O339" i="2"/>
  <c r="P339" i="2"/>
  <c r="L45" i="6" s="1"/>
  <c r="T339" i="2"/>
  <c r="N45" i="6" s="1"/>
  <c r="U339" i="2"/>
  <c r="O45" i="6" s="1"/>
  <c r="A340" i="2"/>
  <c r="A46" i="6" s="1"/>
  <c r="B340" i="2"/>
  <c r="B46" i="6" s="1"/>
  <c r="C340" i="2"/>
  <c r="E46" i="6" s="1"/>
  <c r="E340" i="2"/>
  <c r="I46" i="6" s="1"/>
  <c r="F340" i="2"/>
  <c r="J340" i="2"/>
  <c r="N340" i="2"/>
  <c r="O340" i="2"/>
  <c r="P340" i="2"/>
  <c r="L46" i="6" s="1"/>
  <c r="T340" i="2"/>
  <c r="N46" i="6" s="1"/>
  <c r="U340" i="2"/>
  <c r="O46" i="6" s="1"/>
  <c r="A341" i="2"/>
  <c r="A277" i="6" s="1"/>
  <c r="B341" i="2"/>
  <c r="B277" i="6" s="1"/>
  <c r="C341" i="2"/>
  <c r="E277" i="6" s="1"/>
  <c r="E341" i="2"/>
  <c r="I277" i="6" s="1"/>
  <c r="F341" i="2"/>
  <c r="J341" i="2"/>
  <c r="C277" i="6" s="1"/>
  <c r="N341" i="2"/>
  <c r="O341" i="2"/>
  <c r="P341" i="2"/>
  <c r="L277" i="6" s="1"/>
  <c r="T341" i="2"/>
  <c r="N277" i="6" s="1"/>
  <c r="U341" i="2"/>
  <c r="O277" i="6" s="1"/>
  <c r="A342" i="2"/>
  <c r="A278" i="6" s="1"/>
  <c r="B342" i="2"/>
  <c r="B278" i="6" s="1"/>
  <c r="C342" i="2"/>
  <c r="E278" i="6" s="1"/>
  <c r="E342" i="2"/>
  <c r="F342" i="2"/>
  <c r="J342" i="2"/>
  <c r="C278" i="6" s="1"/>
  <c r="N342" i="2"/>
  <c r="O342" i="2"/>
  <c r="P342" i="2"/>
  <c r="L278" i="6" s="1"/>
  <c r="T342" i="2"/>
  <c r="N278" i="6" s="1"/>
  <c r="U342" i="2"/>
  <c r="O278" i="6" s="1"/>
  <c r="A343" i="2"/>
  <c r="A279" i="6" s="1"/>
  <c r="B343" i="2"/>
  <c r="B279" i="6" s="1"/>
  <c r="C343" i="2"/>
  <c r="E279" i="6" s="1"/>
  <c r="E343" i="2"/>
  <c r="I279" i="6" s="1"/>
  <c r="F343" i="2"/>
  <c r="J343" i="2"/>
  <c r="C279" i="6" s="1"/>
  <c r="N343" i="2"/>
  <c r="O343" i="2"/>
  <c r="P343" i="2"/>
  <c r="L279" i="6" s="1"/>
  <c r="T343" i="2"/>
  <c r="N279" i="6" s="1"/>
  <c r="U343" i="2"/>
  <c r="O279" i="6" s="1"/>
  <c r="A344" i="2"/>
  <c r="A280" i="6" s="1"/>
  <c r="B344" i="2"/>
  <c r="B280" i="6" s="1"/>
  <c r="C344" i="2"/>
  <c r="E280" i="6" s="1"/>
  <c r="E344" i="2"/>
  <c r="I280" i="6" s="1"/>
  <c r="F344" i="2"/>
  <c r="J344" i="2"/>
  <c r="C280" i="6" s="1"/>
  <c r="N344" i="2"/>
  <c r="O344" i="2"/>
  <c r="P344" i="2"/>
  <c r="L280" i="6" s="1"/>
  <c r="T344" i="2"/>
  <c r="N280" i="6" s="1"/>
  <c r="U344" i="2"/>
  <c r="O280" i="6" s="1"/>
  <c r="A345" i="2"/>
  <c r="A281" i="6" s="1"/>
  <c r="B345" i="2"/>
  <c r="B281" i="6" s="1"/>
  <c r="C345" i="2"/>
  <c r="E281" i="6" s="1"/>
  <c r="E345" i="2"/>
  <c r="I281" i="6" s="1"/>
  <c r="F345" i="2"/>
  <c r="J345" i="2"/>
  <c r="C281" i="6" s="1"/>
  <c r="N345" i="2"/>
  <c r="O345" i="2"/>
  <c r="P345" i="2"/>
  <c r="L281" i="6" s="1"/>
  <c r="T345" i="2"/>
  <c r="N281" i="6" s="1"/>
  <c r="U345" i="2"/>
  <c r="O281" i="6" s="1"/>
  <c r="V345" i="2"/>
  <c r="P281" i="6" s="1"/>
  <c r="A346" i="2"/>
  <c r="A282" i="6" s="1"/>
  <c r="B346" i="2"/>
  <c r="B282" i="6" s="1"/>
  <c r="C346" i="2"/>
  <c r="E282" i="6" s="1"/>
  <c r="E346" i="2"/>
  <c r="I282" i="6" s="1"/>
  <c r="F346" i="2"/>
  <c r="J346" i="2"/>
  <c r="C282" i="6" s="1"/>
  <c r="N346" i="2"/>
  <c r="O346" i="2"/>
  <c r="P346" i="2"/>
  <c r="L282" i="6" s="1"/>
  <c r="T346" i="2"/>
  <c r="N282" i="6" s="1"/>
  <c r="U346" i="2"/>
  <c r="O282" i="6" s="1"/>
  <c r="V346" i="2"/>
  <c r="P282" i="6" s="1"/>
  <c r="A348" i="2"/>
  <c r="A283" i="6" s="1"/>
  <c r="B348" i="2"/>
  <c r="B283" i="6" s="1"/>
  <c r="C348" i="2"/>
  <c r="E283" i="6" s="1"/>
  <c r="E348" i="2"/>
  <c r="F348" i="2"/>
  <c r="F283" i="6" s="1"/>
  <c r="J348" i="2"/>
  <c r="C283" i="6" s="1"/>
  <c r="N348" i="2"/>
  <c r="O348" i="2"/>
  <c r="P348" i="2"/>
  <c r="L283" i="6" s="1"/>
  <c r="T348" i="2"/>
  <c r="N283" i="6" s="1"/>
  <c r="U348" i="2"/>
  <c r="O283" i="6" s="1"/>
  <c r="A349" i="2"/>
  <c r="A110" i="6" s="1"/>
  <c r="B349" i="2"/>
  <c r="B110" i="6" s="1"/>
  <c r="C349" i="2"/>
  <c r="E110" i="6" s="1"/>
  <c r="E349" i="2"/>
  <c r="F349" i="2"/>
  <c r="J349" i="2"/>
  <c r="C110" i="6" s="1"/>
  <c r="N349" i="2"/>
  <c r="O349" i="2"/>
  <c r="P349" i="2"/>
  <c r="L110" i="6" s="1"/>
  <c r="T349" i="2"/>
  <c r="N110" i="6" s="1"/>
  <c r="U349" i="2"/>
  <c r="O110" i="6" s="1"/>
  <c r="A350" i="2"/>
  <c r="A284" i="6" s="1"/>
  <c r="B350" i="2"/>
  <c r="B284" i="6" s="1"/>
  <c r="C350" i="2"/>
  <c r="E284" i="6" s="1"/>
  <c r="E350" i="2"/>
  <c r="I284" i="6" s="1"/>
  <c r="F350" i="2"/>
  <c r="J350" i="2"/>
  <c r="C284" i="6" s="1"/>
  <c r="N350" i="2"/>
  <c r="O350" i="2"/>
  <c r="P350" i="2"/>
  <c r="L284" i="6" s="1"/>
  <c r="T350" i="2"/>
  <c r="N284" i="6" s="1"/>
  <c r="U350" i="2"/>
  <c r="O284" i="6" s="1"/>
  <c r="A351" i="2"/>
  <c r="A285" i="6" s="1"/>
  <c r="B351" i="2"/>
  <c r="B285" i="6" s="1"/>
  <c r="C351" i="2"/>
  <c r="E285" i="6" s="1"/>
  <c r="E351" i="2"/>
  <c r="I285" i="6" s="1"/>
  <c r="F351" i="2"/>
  <c r="J351" i="2"/>
  <c r="C285" i="6" s="1"/>
  <c r="N351" i="2"/>
  <c r="O351" i="2"/>
  <c r="P351" i="2"/>
  <c r="L285" i="6" s="1"/>
  <c r="T351" i="2"/>
  <c r="N285" i="6" s="1"/>
  <c r="U351" i="2"/>
  <c r="O285" i="6" s="1"/>
  <c r="A352" i="2"/>
  <c r="A286" i="6" s="1"/>
  <c r="B352" i="2"/>
  <c r="B286" i="6" s="1"/>
  <c r="C352" i="2"/>
  <c r="E286" i="6" s="1"/>
  <c r="E352" i="2"/>
  <c r="F352" i="2"/>
  <c r="J352" i="2"/>
  <c r="C286" i="6" s="1"/>
  <c r="N352" i="2"/>
  <c r="O352" i="2"/>
  <c r="P352" i="2"/>
  <c r="L286" i="6" s="1"/>
  <c r="T352" i="2"/>
  <c r="N286" i="6" s="1"/>
  <c r="U352" i="2"/>
  <c r="O286" i="6" s="1"/>
  <c r="A353" i="2"/>
  <c r="A287" i="6" s="1"/>
  <c r="B353" i="2"/>
  <c r="B287" i="6" s="1"/>
  <c r="C353" i="2"/>
  <c r="E287" i="6" s="1"/>
  <c r="E353" i="2"/>
  <c r="F353" i="2"/>
  <c r="J353" i="2"/>
  <c r="C287" i="6" s="1"/>
  <c r="N353" i="2"/>
  <c r="O353" i="2"/>
  <c r="P353" i="2"/>
  <c r="L287" i="6" s="1"/>
  <c r="T353" i="2"/>
  <c r="N287" i="6" s="1"/>
  <c r="U353" i="2"/>
  <c r="O287" i="6" s="1"/>
  <c r="A354" i="2"/>
  <c r="A288" i="6" s="1"/>
  <c r="B354" i="2"/>
  <c r="B288" i="6" s="1"/>
  <c r="C354" i="2"/>
  <c r="E288" i="6" s="1"/>
  <c r="E354" i="2"/>
  <c r="I288" i="6" s="1"/>
  <c r="F354" i="2"/>
  <c r="F288" i="6" s="1"/>
  <c r="J354" i="2"/>
  <c r="C288" i="6" s="1"/>
  <c r="N354" i="2"/>
  <c r="O354" i="2"/>
  <c r="P354" i="2"/>
  <c r="L288" i="6" s="1"/>
  <c r="T354" i="2"/>
  <c r="N288" i="6" s="1"/>
  <c r="U354" i="2"/>
  <c r="O288" i="6" s="1"/>
  <c r="A355" i="2"/>
  <c r="A289" i="6" s="1"/>
  <c r="B355" i="2"/>
  <c r="B289" i="6" s="1"/>
  <c r="C355" i="2"/>
  <c r="E289" i="6" s="1"/>
  <c r="E355" i="2"/>
  <c r="F355" i="2"/>
  <c r="J355" i="2"/>
  <c r="N355" i="2"/>
  <c r="O355" i="2"/>
  <c r="P355" i="2"/>
  <c r="L289" i="6" s="1"/>
  <c r="T355" i="2"/>
  <c r="N289" i="6" s="1"/>
  <c r="U355" i="2"/>
  <c r="O289" i="6" s="1"/>
  <c r="A356" i="2"/>
  <c r="A290" i="6" s="1"/>
  <c r="B356" i="2"/>
  <c r="B290" i="6" s="1"/>
  <c r="C356" i="2"/>
  <c r="E356" i="2"/>
  <c r="I290" i="6" s="1"/>
  <c r="F356" i="2"/>
  <c r="J356" i="2"/>
  <c r="C290" i="6" s="1"/>
  <c r="N356" i="2"/>
  <c r="O356" i="2"/>
  <c r="P356" i="2"/>
  <c r="L290" i="6" s="1"/>
  <c r="T356" i="2"/>
  <c r="N290" i="6" s="1"/>
  <c r="U356" i="2"/>
  <c r="O290" i="6" s="1"/>
  <c r="A357" i="2"/>
  <c r="A291" i="6" s="1"/>
  <c r="B357" i="2"/>
  <c r="B291" i="6" s="1"/>
  <c r="C357" i="2"/>
  <c r="E291" i="6" s="1"/>
  <c r="E357" i="2"/>
  <c r="F357" i="2"/>
  <c r="J357" i="2"/>
  <c r="C291" i="6" s="1"/>
  <c r="N357" i="2"/>
  <c r="O357" i="2"/>
  <c r="P357" i="2"/>
  <c r="L291" i="6" s="1"/>
  <c r="T357" i="2"/>
  <c r="N291" i="6" s="1"/>
  <c r="U357" i="2"/>
  <c r="O291" i="6" s="1"/>
  <c r="A358" i="2"/>
  <c r="A292" i="6" s="1"/>
  <c r="B358" i="2"/>
  <c r="B292" i="6" s="1"/>
  <c r="C358" i="2"/>
  <c r="E358" i="2"/>
  <c r="F358" i="2"/>
  <c r="J358" i="2"/>
  <c r="C292" i="6" s="1"/>
  <c r="N358" i="2"/>
  <c r="O358" i="2"/>
  <c r="P358" i="2"/>
  <c r="L292" i="6" s="1"/>
  <c r="T358" i="2"/>
  <c r="N292" i="6" s="1"/>
  <c r="U358" i="2"/>
  <c r="O292" i="6" s="1"/>
  <c r="A359" i="2"/>
  <c r="A293" i="6" s="1"/>
  <c r="B359" i="2"/>
  <c r="B293" i="6" s="1"/>
  <c r="C359" i="2"/>
  <c r="E359" i="2"/>
  <c r="F359" i="2"/>
  <c r="J359" i="2"/>
  <c r="C293" i="6" s="1"/>
  <c r="N359" i="2"/>
  <c r="O359" i="2"/>
  <c r="P359" i="2"/>
  <c r="L293" i="6" s="1"/>
  <c r="T359" i="2"/>
  <c r="N293" i="6" s="1"/>
  <c r="U359" i="2"/>
  <c r="O293" i="6" s="1"/>
  <c r="A360" i="2"/>
  <c r="A294" i="6" s="1"/>
  <c r="B360" i="2"/>
  <c r="B294" i="6" s="1"/>
  <c r="C360" i="2"/>
  <c r="E294" i="6" s="1"/>
  <c r="E360" i="2"/>
  <c r="F360" i="2"/>
  <c r="J360" i="2"/>
  <c r="C294" i="6" s="1"/>
  <c r="N360" i="2"/>
  <c r="O360" i="2"/>
  <c r="P360" i="2"/>
  <c r="L294" i="6" s="1"/>
  <c r="T360" i="2"/>
  <c r="N294" i="6" s="1"/>
  <c r="U360" i="2"/>
  <c r="O294" i="6" s="1"/>
  <c r="A361" i="2"/>
  <c r="A295" i="6" s="1"/>
  <c r="B361" i="2"/>
  <c r="B295" i="6" s="1"/>
  <c r="C361" i="2"/>
  <c r="E295" i="6" s="1"/>
  <c r="E361" i="2"/>
  <c r="F361" i="2"/>
  <c r="J361" i="2"/>
  <c r="C295" i="6" s="1"/>
  <c r="N361" i="2"/>
  <c r="O361" i="2"/>
  <c r="P361" i="2"/>
  <c r="L295" i="6" s="1"/>
  <c r="T361" i="2"/>
  <c r="N295" i="6" s="1"/>
  <c r="U361" i="2"/>
  <c r="O295" i="6" s="1"/>
  <c r="A362" i="2"/>
  <c r="A296" i="6" s="1"/>
  <c r="B362" i="2"/>
  <c r="B296" i="6" s="1"/>
  <c r="C362" i="2"/>
  <c r="E362" i="2"/>
  <c r="F362" i="2"/>
  <c r="J362" i="2"/>
  <c r="C296" i="6" s="1"/>
  <c r="N362" i="2"/>
  <c r="O362" i="2"/>
  <c r="P362" i="2"/>
  <c r="L296" i="6" s="1"/>
  <c r="T362" i="2"/>
  <c r="N296" i="6" s="1"/>
  <c r="U362" i="2"/>
  <c r="O296" i="6" s="1"/>
  <c r="A363" i="2"/>
  <c r="A297" i="6" s="1"/>
  <c r="B363" i="2"/>
  <c r="B297" i="6" s="1"/>
  <c r="C363" i="2"/>
  <c r="E297" i="6" s="1"/>
  <c r="E363" i="2"/>
  <c r="F363" i="2"/>
  <c r="J363" i="2"/>
  <c r="C297" i="6" s="1"/>
  <c r="N363" i="2"/>
  <c r="O363" i="2"/>
  <c r="P363" i="2"/>
  <c r="L297" i="6" s="1"/>
  <c r="T363" i="2"/>
  <c r="N297" i="6" s="1"/>
  <c r="U363" i="2"/>
  <c r="O297" i="6" s="1"/>
  <c r="A364" i="2"/>
  <c r="A298" i="6" s="1"/>
  <c r="B364" i="2"/>
  <c r="B298" i="6" s="1"/>
  <c r="C364" i="2"/>
  <c r="E364" i="2"/>
  <c r="F364" i="2"/>
  <c r="J364" i="2"/>
  <c r="C298" i="6" s="1"/>
  <c r="N364" i="2"/>
  <c r="O364" i="2"/>
  <c r="P364" i="2"/>
  <c r="L298" i="6" s="1"/>
  <c r="T364" i="2"/>
  <c r="N298" i="6" s="1"/>
  <c r="U364" i="2"/>
  <c r="O298" i="6" s="1"/>
  <c r="A365" i="2"/>
  <c r="A299" i="6" s="1"/>
  <c r="B365" i="2"/>
  <c r="B299" i="6" s="1"/>
  <c r="C365" i="2"/>
  <c r="E299" i="6" s="1"/>
  <c r="E365" i="2"/>
  <c r="F365" i="2"/>
  <c r="J365" i="2"/>
  <c r="C299" i="6" s="1"/>
  <c r="N365" i="2"/>
  <c r="O365" i="2"/>
  <c r="P365" i="2"/>
  <c r="L299" i="6" s="1"/>
  <c r="T365" i="2"/>
  <c r="N299" i="6" s="1"/>
  <c r="U365" i="2"/>
  <c r="O299" i="6" s="1"/>
  <c r="A366" i="2"/>
  <c r="A300" i="6" s="1"/>
  <c r="B366" i="2"/>
  <c r="B300" i="6" s="1"/>
  <c r="C366" i="2"/>
  <c r="E300" i="6" s="1"/>
  <c r="E366" i="2"/>
  <c r="F366" i="2"/>
  <c r="J366" i="2"/>
  <c r="N366" i="2"/>
  <c r="O366" i="2"/>
  <c r="P366" i="2"/>
  <c r="L300" i="6" s="1"/>
  <c r="T366" i="2"/>
  <c r="N300" i="6" s="1"/>
  <c r="U366" i="2"/>
  <c r="O300" i="6" s="1"/>
  <c r="A367" i="2"/>
  <c r="A301" i="6" s="1"/>
  <c r="B367" i="2"/>
  <c r="B301" i="6" s="1"/>
  <c r="C367" i="2"/>
  <c r="E301" i="6" s="1"/>
  <c r="E367" i="2"/>
  <c r="F367" i="2"/>
  <c r="J367" i="2"/>
  <c r="C301" i="6" s="1"/>
  <c r="N367" i="2"/>
  <c r="O367" i="2"/>
  <c r="P367" i="2"/>
  <c r="L301" i="6" s="1"/>
  <c r="T367" i="2"/>
  <c r="N301" i="6" s="1"/>
  <c r="U367" i="2"/>
  <c r="O301" i="6" s="1"/>
  <c r="A368" i="2"/>
  <c r="A302" i="6" s="1"/>
  <c r="B368" i="2"/>
  <c r="B302" i="6" s="1"/>
  <c r="C368" i="2"/>
  <c r="E302" i="6" s="1"/>
  <c r="E368" i="2"/>
  <c r="F368" i="2"/>
  <c r="J368" i="2"/>
  <c r="C302" i="6" s="1"/>
  <c r="N368" i="2"/>
  <c r="O368" i="2"/>
  <c r="P368" i="2"/>
  <c r="L302" i="6" s="1"/>
  <c r="T368" i="2"/>
  <c r="N302" i="6" s="1"/>
  <c r="U368" i="2"/>
  <c r="O302" i="6" s="1"/>
  <c r="A369" i="2"/>
  <c r="A303" i="6" s="1"/>
  <c r="B369" i="2"/>
  <c r="B303" i="6" s="1"/>
  <c r="C369" i="2"/>
  <c r="E303" i="6" s="1"/>
  <c r="E369" i="2"/>
  <c r="F369" i="2"/>
  <c r="J369" i="2"/>
  <c r="C303" i="6" s="1"/>
  <c r="N369" i="2"/>
  <c r="O369" i="2"/>
  <c r="P369" i="2"/>
  <c r="L303" i="6" s="1"/>
  <c r="T369" i="2"/>
  <c r="N303" i="6" s="1"/>
  <c r="U369" i="2"/>
  <c r="O303" i="6" s="1"/>
  <c r="A370" i="2"/>
  <c r="A304" i="6" s="1"/>
  <c r="B370" i="2"/>
  <c r="B304" i="6" s="1"/>
  <c r="C370" i="2"/>
  <c r="E304" i="6" s="1"/>
  <c r="E370" i="2"/>
  <c r="I304" i="6" s="1"/>
  <c r="F370" i="2"/>
  <c r="J370" i="2"/>
  <c r="C304" i="6" s="1"/>
  <c r="N370" i="2"/>
  <c r="O370" i="2"/>
  <c r="P370" i="2"/>
  <c r="L304" i="6" s="1"/>
  <c r="T370" i="2"/>
  <c r="N304" i="6" s="1"/>
  <c r="U370" i="2"/>
  <c r="O304" i="6" s="1"/>
  <c r="A371" i="2"/>
  <c r="A305" i="6" s="1"/>
  <c r="B371" i="2"/>
  <c r="B305" i="6" s="1"/>
  <c r="C371" i="2"/>
  <c r="E305" i="6" s="1"/>
  <c r="E371" i="2"/>
  <c r="F371" i="2"/>
  <c r="J371" i="2"/>
  <c r="N371" i="2"/>
  <c r="O371" i="2"/>
  <c r="P371" i="2"/>
  <c r="L305" i="6" s="1"/>
  <c r="T371" i="2"/>
  <c r="N305" i="6" s="1"/>
  <c r="U371" i="2"/>
  <c r="O305" i="6" s="1"/>
  <c r="A372" i="2"/>
  <c r="A306" i="6" s="1"/>
  <c r="B372" i="2"/>
  <c r="B306" i="6" s="1"/>
  <c r="C372" i="2"/>
  <c r="E306" i="6" s="1"/>
  <c r="E372" i="2"/>
  <c r="I306" i="6" s="1"/>
  <c r="F372" i="2"/>
  <c r="J372" i="2"/>
  <c r="C306" i="6" s="1"/>
  <c r="N372" i="2"/>
  <c r="O372" i="2"/>
  <c r="P372" i="2"/>
  <c r="L306" i="6" s="1"/>
  <c r="T372" i="2"/>
  <c r="N306" i="6" s="1"/>
  <c r="U372" i="2"/>
  <c r="O306" i="6" s="1"/>
  <c r="A373" i="2"/>
  <c r="A307" i="6" s="1"/>
  <c r="B373" i="2"/>
  <c r="B307" i="6" s="1"/>
  <c r="C373" i="2"/>
  <c r="E307" i="6" s="1"/>
  <c r="E373" i="2"/>
  <c r="F373" i="2"/>
  <c r="J373" i="2"/>
  <c r="C307" i="6" s="1"/>
  <c r="N373" i="2"/>
  <c r="O373" i="2"/>
  <c r="P373" i="2"/>
  <c r="L307" i="6" s="1"/>
  <c r="T373" i="2"/>
  <c r="N307" i="6" s="1"/>
  <c r="U373" i="2"/>
  <c r="O307" i="6" s="1"/>
  <c r="A374" i="2"/>
  <c r="A308" i="6" s="1"/>
  <c r="B374" i="2"/>
  <c r="B308" i="6" s="1"/>
  <c r="C374" i="2"/>
  <c r="E374" i="2"/>
  <c r="F374" i="2"/>
  <c r="J374" i="2"/>
  <c r="C308" i="6" s="1"/>
  <c r="N374" i="2"/>
  <c r="O374" i="2"/>
  <c r="P374" i="2"/>
  <c r="L308" i="6" s="1"/>
  <c r="T374" i="2"/>
  <c r="N308" i="6" s="1"/>
  <c r="U374" i="2"/>
  <c r="O308" i="6" s="1"/>
  <c r="A375" i="2"/>
  <c r="A309" i="6" s="1"/>
  <c r="B375" i="2"/>
  <c r="B309" i="6" s="1"/>
  <c r="C375" i="2"/>
  <c r="E309" i="6" s="1"/>
  <c r="E375" i="2"/>
  <c r="F375" i="2"/>
  <c r="J375" i="2"/>
  <c r="C309" i="6" s="1"/>
  <c r="N375" i="2"/>
  <c r="O375" i="2"/>
  <c r="P375" i="2"/>
  <c r="L309" i="6" s="1"/>
  <c r="T375" i="2"/>
  <c r="N309" i="6" s="1"/>
  <c r="U375" i="2"/>
  <c r="O309" i="6" s="1"/>
  <c r="A376" i="2"/>
  <c r="A331" i="6" s="1"/>
  <c r="B376" i="2"/>
  <c r="B331" i="6" s="1"/>
  <c r="C376" i="2"/>
  <c r="E331" i="6" s="1"/>
  <c r="E376" i="2"/>
  <c r="F376" i="2"/>
  <c r="J376" i="2"/>
  <c r="C331" i="6" s="1"/>
  <c r="N376" i="2"/>
  <c r="O376" i="2"/>
  <c r="P376" i="2"/>
  <c r="L331" i="6" s="1"/>
  <c r="T376" i="2"/>
  <c r="N331" i="6" s="1"/>
  <c r="U376" i="2"/>
  <c r="O331" i="6" s="1"/>
  <c r="V376" i="2"/>
  <c r="P331" i="6" s="1"/>
  <c r="A377" i="2"/>
  <c r="A310" i="6" s="1"/>
  <c r="B377" i="2"/>
  <c r="B310" i="6" s="1"/>
  <c r="C377" i="2"/>
  <c r="E310" i="6" s="1"/>
  <c r="E377" i="2"/>
  <c r="I310" i="6" s="1"/>
  <c r="F377" i="2"/>
  <c r="J377" i="2"/>
  <c r="C310" i="6" s="1"/>
  <c r="N377" i="2"/>
  <c r="O377" i="2"/>
  <c r="P377" i="2"/>
  <c r="L310" i="6" s="1"/>
  <c r="T377" i="2"/>
  <c r="N310" i="6" s="1"/>
  <c r="U377" i="2"/>
  <c r="O310" i="6" s="1"/>
  <c r="A378" i="2"/>
  <c r="A311" i="6" s="1"/>
  <c r="B378" i="2"/>
  <c r="B311" i="6" s="1"/>
  <c r="C378" i="2"/>
  <c r="E311" i="6" s="1"/>
  <c r="E378" i="2"/>
  <c r="F378" i="2"/>
  <c r="J378" i="2"/>
  <c r="C311" i="6" s="1"/>
  <c r="N378" i="2"/>
  <c r="O378" i="2"/>
  <c r="P378" i="2"/>
  <c r="L311" i="6" s="1"/>
  <c r="T378" i="2"/>
  <c r="N311" i="6" s="1"/>
  <c r="U378" i="2"/>
  <c r="O311" i="6" s="1"/>
  <c r="A379" i="2"/>
  <c r="A312" i="6" s="1"/>
  <c r="B379" i="2"/>
  <c r="B312" i="6" s="1"/>
  <c r="C379" i="2"/>
  <c r="E312" i="6" s="1"/>
  <c r="E379" i="2"/>
  <c r="F379" i="2"/>
  <c r="J379" i="2"/>
  <c r="C312" i="6" s="1"/>
  <c r="N379" i="2"/>
  <c r="O379" i="2"/>
  <c r="P379" i="2"/>
  <c r="L312" i="6" s="1"/>
  <c r="T379" i="2"/>
  <c r="N312" i="6" s="1"/>
  <c r="U379" i="2"/>
  <c r="O312" i="6" s="1"/>
  <c r="A380" i="2"/>
  <c r="A313" i="6" s="1"/>
  <c r="B380" i="2"/>
  <c r="B313" i="6" s="1"/>
  <c r="C380" i="2"/>
  <c r="E380" i="2"/>
  <c r="F380" i="2"/>
  <c r="J380" i="2"/>
  <c r="C313" i="6" s="1"/>
  <c r="N380" i="2"/>
  <c r="O380" i="2"/>
  <c r="P380" i="2"/>
  <c r="L313" i="6" s="1"/>
  <c r="T380" i="2"/>
  <c r="N313" i="6" s="1"/>
  <c r="U380" i="2"/>
  <c r="O313" i="6" s="1"/>
  <c r="A381" i="2"/>
  <c r="A314" i="6" s="1"/>
  <c r="B381" i="2"/>
  <c r="B314" i="6" s="1"/>
  <c r="C381" i="2"/>
  <c r="E314" i="6" s="1"/>
  <c r="E381" i="2"/>
  <c r="F381" i="2"/>
  <c r="J381" i="2"/>
  <c r="C314" i="6" s="1"/>
  <c r="N381" i="2"/>
  <c r="O381" i="2"/>
  <c r="P381" i="2"/>
  <c r="L314" i="6" s="1"/>
  <c r="T381" i="2"/>
  <c r="N314" i="6" s="1"/>
  <c r="U381" i="2"/>
  <c r="O314" i="6" s="1"/>
  <c r="A382" i="2"/>
  <c r="A315" i="6" s="1"/>
  <c r="B382" i="2"/>
  <c r="B315" i="6" s="1"/>
  <c r="C382" i="2"/>
  <c r="E315" i="6" s="1"/>
  <c r="E382" i="2"/>
  <c r="I315" i="6" s="1"/>
  <c r="F382" i="2"/>
  <c r="J382" i="2"/>
  <c r="N382" i="2"/>
  <c r="O382" i="2"/>
  <c r="P382" i="2"/>
  <c r="L315" i="6" s="1"/>
  <c r="T382" i="2"/>
  <c r="N315" i="6" s="1"/>
  <c r="U382" i="2"/>
  <c r="O315" i="6" s="1"/>
  <c r="A284" i="2"/>
  <c r="B284" i="2"/>
  <c r="B242" i="6" s="1"/>
  <c r="C284" i="2"/>
  <c r="E242" i="6" s="1"/>
  <c r="E284" i="2"/>
  <c r="I242" i="6" s="1"/>
  <c r="F284" i="2"/>
  <c r="J284" i="2"/>
  <c r="C242" i="6" s="1"/>
  <c r="N284" i="2"/>
  <c r="O284" i="2"/>
  <c r="P284" i="2"/>
  <c r="L242" i="6" s="1"/>
  <c r="T284" i="2"/>
  <c r="N242" i="6" s="1"/>
  <c r="U284" i="2"/>
  <c r="O242" i="6" s="1"/>
  <c r="A285" i="2"/>
  <c r="B285" i="2"/>
  <c r="B243" i="6" s="1"/>
  <c r="F285" i="2"/>
  <c r="D285" i="2" s="1"/>
  <c r="J285" i="2"/>
  <c r="N285" i="2"/>
  <c r="O285" i="2"/>
  <c r="P285" i="2"/>
  <c r="L243" i="6" s="1"/>
  <c r="T285" i="2"/>
  <c r="N243" i="6" s="1"/>
  <c r="U285" i="2"/>
  <c r="O243" i="6" s="1"/>
  <c r="A286" i="2"/>
  <c r="B286" i="2"/>
  <c r="B244" i="6" s="1"/>
  <c r="F286" i="2"/>
  <c r="J286" i="2"/>
  <c r="N286" i="2"/>
  <c r="O286" i="2"/>
  <c r="P286" i="2"/>
  <c r="L244" i="6" s="1"/>
  <c r="T286" i="2"/>
  <c r="N244" i="6" s="1"/>
  <c r="U286" i="2"/>
  <c r="O244" i="6" s="1"/>
  <c r="A287" i="2"/>
  <c r="B287" i="2"/>
  <c r="B245" i="6" s="1"/>
  <c r="C287" i="2"/>
  <c r="E245" i="6" s="1"/>
  <c r="E287" i="2"/>
  <c r="F287" i="2"/>
  <c r="J287" i="2"/>
  <c r="C245" i="6" s="1"/>
  <c r="N287" i="2"/>
  <c r="O287" i="2"/>
  <c r="P287" i="2"/>
  <c r="L245" i="6" s="1"/>
  <c r="T287" i="2"/>
  <c r="N245" i="6" s="1"/>
  <c r="U287" i="2"/>
  <c r="O245" i="6" s="1"/>
  <c r="A288" i="2"/>
  <c r="B288" i="2"/>
  <c r="B246" i="6" s="1"/>
  <c r="C288" i="2"/>
  <c r="E246" i="6" s="1"/>
  <c r="E288" i="2"/>
  <c r="I246" i="6" s="1"/>
  <c r="F288" i="2"/>
  <c r="J288" i="2"/>
  <c r="C246" i="6" s="1"/>
  <c r="N288" i="2"/>
  <c r="O288" i="2"/>
  <c r="P288" i="2"/>
  <c r="L246" i="6" s="1"/>
  <c r="T288" i="2"/>
  <c r="N246" i="6" s="1"/>
  <c r="U288" i="2"/>
  <c r="O246" i="6" s="1"/>
  <c r="A289" i="2"/>
  <c r="B289" i="2"/>
  <c r="B247" i="6" s="1"/>
  <c r="C289" i="2"/>
  <c r="E247" i="6" s="1"/>
  <c r="E289" i="2"/>
  <c r="I247" i="6" s="1"/>
  <c r="F289" i="2"/>
  <c r="J289" i="2"/>
  <c r="C247" i="6" s="1"/>
  <c r="N289" i="2"/>
  <c r="O289" i="2"/>
  <c r="P289" i="2"/>
  <c r="L247" i="6" s="1"/>
  <c r="T289" i="2"/>
  <c r="N247" i="6" s="1"/>
  <c r="U289" i="2"/>
  <c r="O247" i="6" s="1"/>
  <c r="A290" i="2"/>
  <c r="B290" i="2"/>
  <c r="B94" i="6" s="1"/>
  <c r="C290" i="2"/>
  <c r="E94" i="6" s="1"/>
  <c r="E290" i="2"/>
  <c r="I94" i="6" s="1"/>
  <c r="F290" i="2"/>
  <c r="J290" i="2"/>
  <c r="C94" i="6" s="1"/>
  <c r="N290" i="2"/>
  <c r="O290" i="2"/>
  <c r="P290" i="2"/>
  <c r="L94" i="6" s="1"/>
  <c r="T290" i="2"/>
  <c r="N94" i="6" s="1"/>
  <c r="U290" i="2"/>
  <c r="O94" i="6" s="1"/>
  <c r="A291" i="2"/>
  <c r="B291" i="2"/>
  <c r="B248" i="6" s="1"/>
  <c r="F291" i="2"/>
  <c r="D291" i="2" s="1"/>
  <c r="J291" i="2"/>
  <c r="N291" i="2"/>
  <c r="O291" i="2"/>
  <c r="P291" i="2"/>
  <c r="L248" i="6" s="1"/>
  <c r="T291" i="2"/>
  <c r="N248" i="6" s="1"/>
  <c r="U291" i="2"/>
  <c r="O248" i="6" s="1"/>
  <c r="A292" i="2"/>
  <c r="B292" i="2"/>
  <c r="B249" i="6" s="1"/>
  <c r="C292" i="2"/>
  <c r="E249" i="6" s="1"/>
  <c r="E292" i="2"/>
  <c r="F292" i="2"/>
  <c r="J292" i="2"/>
  <c r="C249" i="6" s="1"/>
  <c r="N292" i="2"/>
  <c r="O292" i="2"/>
  <c r="P292" i="2"/>
  <c r="L249" i="6" s="1"/>
  <c r="T292" i="2"/>
  <c r="N249" i="6" s="1"/>
  <c r="U292" i="2"/>
  <c r="O249" i="6" s="1"/>
  <c r="A293" i="2"/>
  <c r="B293" i="2"/>
  <c r="B95" i="6" s="1"/>
  <c r="C293" i="2"/>
  <c r="E95" i="6" s="1"/>
  <c r="E293" i="2"/>
  <c r="I95" i="6" s="1"/>
  <c r="F293" i="2"/>
  <c r="J293" i="2"/>
  <c r="C95" i="6" s="1"/>
  <c r="N293" i="2"/>
  <c r="O293" i="2"/>
  <c r="P293" i="2"/>
  <c r="L95" i="6" s="1"/>
  <c r="T293" i="2"/>
  <c r="N95" i="6" s="1"/>
  <c r="U293" i="2"/>
  <c r="O95" i="6" s="1"/>
  <c r="A294" i="2"/>
  <c r="B294" i="2"/>
  <c r="B96" i="6" s="1"/>
  <c r="C294" i="2"/>
  <c r="E96" i="6" s="1"/>
  <c r="E294" i="2"/>
  <c r="I96" i="6" s="1"/>
  <c r="F294" i="2"/>
  <c r="J294" i="2"/>
  <c r="C96" i="6" s="1"/>
  <c r="N294" i="2"/>
  <c r="O294" i="2"/>
  <c r="P294" i="2"/>
  <c r="L96" i="6" s="1"/>
  <c r="T294" i="2"/>
  <c r="N96" i="6" s="1"/>
  <c r="U294" i="2"/>
  <c r="O96" i="6" s="1"/>
  <c r="A295" i="2"/>
  <c r="B295" i="2"/>
  <c r="B97" i="6" s="1"/>
  <c r="C295" i="2"/>
  <c r="E97" i="6" s="1"/>
  <c r="E295" i="2"/>
  <c r="I97" i="6" s="1"/>
  <c r="F295" i="2"/>
  <c r="J295" i="2"/>
  <c r="C97" i="6" s="1"/>
  <c r="N295" i="2"/>
  <c r="O295" i="2"/>
  <c r="P295" i="2"/>
  <c r="L97" i="6" s="1"/>
  <c r="T295" i="2"/>
  <c r="N97" i="6" s="1"/>
  <c r="U295" i="2"/>
  <c r="O97" i="6" s="1"/>
  <c r="A296" i="2"/>
  <c r="B296" i="2"/>
  <c r="B250" i="6" s="1"/>
  <c r="C296" i="2"/>
  <c r="E250" i="6" s="1"/>
  <c r="E296" i="2"/>
  <c r="F296" i="2"/>
  <c r="J296" i="2"/>
  <c r="C250" i="6" s="1"/>
  <c r="N296" i="2"/>
  <c r="O296" i="2"/>
  <c r="P296" i="2"/>
  <c r="L250" i="6" s="1"/>
  <c r="T296" i="2"/>
  <c r="N250" i="6" s="1"/>
  <c r="U296" i="2"/>
  <c r="O250" i="6" s="1"/>
  <c r="A297" i="2"/>
  <c r="B297" i="2"/>
  <c r="B98" i="6" s="1"/>
  <c r="C297" i="2"/>
  <c r="E98" i="6" s="1"/>
  <c r="E297" i="2"/>
  <c r="I98" i="6" s="1"/>
  <c r="F297" i="2"/>
  <c r="J297" i="2"/>
  <c r="C98" i="6" s="1"/>
  <c r="N297" i="2"/>
  <c r="O297" i="2"/>
  <c r="P297" i="2"/>
  <c r="L98" i="6" s="1"/>
  <c r="T297" i="2"/>
  <c r="N98" i="6" s="1"/>
  <c r="U297" i="2"/>
  <c r="O98" i="6" s="1"/>
  <c r="A298" i="2"/>
  <c r="B298" i="2"/>
  <c r="B251" i="6" s="1"/>
  <c r="C298" i="2"/>
  <c r="E251" i="6" s="1"/>
  <c r="E298" i="2"/>
  <c r="I251" i="6" s="1"/>
  <c r="F298" i="2"/>
  <c r="J298" i="2"/>
  <c r="C251" i="6" s="1"/>
  <c r="N298" i="2"/>
  <c r="O298" i="2"/>
  <c r="P298" i="2"/>
  <c r="L251" i="6" s="1"/>
  <c r="T298" i="2"/>
  <c r="N251" i="6" s="1"/>
  <c r="U298" i="2"/>
  <c r="O251" i="6" s="1"/>
  <c r="A299" i="2"/>
  <c r="B299" i="2"/>
  <c r="B99" i="6" s="1"/>
  <c r="C299" i="2"/>
  <c r="E99" i="6" s="1"/>
  <c r="E299" i="2"/>
  <c r="I99" i="6" s="1"/>
  <c r="F299" i="2"/>
  <c r="J299" i="2"/>
  <c r="C99" i="6" s="1"/>
  <c r="N299" i="2"/>
  <c r="O299" i="2"/>
  <c r="P299" i="2"/>
  <c r="L99" i="6" s="1"/>
  <c r="T299" i="2"/>
  <c r="N99" i="6" s="1"/>
  <c r="U299" i="2"/>
  <c r="O99" i="6" s="1"/>
  <c r="A300" i="2"/>
  <c r="B300" i="2"/>
  <c r="B100" i="6" s="1"/>
  <c r="C300" i="2"/>
  <c r="E100" i="6" s="1"/>
  <c r="E300" i="2"/>
  <c r="I100" i="6" s="1"/>
  <c r="F300" i="2"/>
  <c r="J300" i="2"/>
  <c r="C100" i="6" s="1"/>
  <c r="N300" i="2"/>
  <c r="O300" i="2"/>
  <c r="P300" i="2"/>
  <c r="L100" i="6" s="1"/>
  <c r="T300" i="2"/>
  <c r="N100" i="6" s="1"/>
  <c r="U300" i="2"/>
  <c r="O100" i="6" s="1"/>
  <c r="A301" i="2"/>
  <c r="B301" i="2"/>
  <c r="B252" i="6" s="1"/>
  <c r="C301" i="2"/>
  <c r="E252" i="6" s="1"/>
  <c r="E301" i="2"/>
  <c r="I252" i="6" s="1"/>
  <c r="F301" i="2"/>
  <c r="J301" i="2"/>
  <c r="C252" i="6" s="1"/>
  <c r="N301" i="2"/>
  <c r="O301" i="2"/>
  <c r="P301" i="2"/>
  <c r="L252" i="6" s="1"/>
  <c r="T301" i="2"/>
  <c r="N252" i="6" s="1"/>
  <c r="U301" i="2"/>
  <c r="O252" i="6" s="1"/>
  <c r="A302" i="2"/>
  <c r="B302" i="2"/>
  <c r="B101" i="6" s="1"/>
  <c r="C302" i="2"/>
  <c r="E101" i="6" s="1"/>
  <c r="E302" i="2"/>
  <c r="I101" i="6" s="1"/>
  <c r="F302" i="2"/>
  <c r="J302" i="2"/>
  <c r="C101" i="6" s="1"/>
  <c r="N302" i="2"/>
  <c r="O302" i="2"/>
  <c r="P302" i="2"/>
  <c r="L101" i="6" s="1"/>
  <c r="T302" i="2"/>
  <c r="N101" i="6" s="1"/>
  <c r="U302" i="2"/>
  <c r="O101" i="6" s="1"/>
  <c r="A303" i="2"/>
  <c r="B303" i="2"/>
  <c r="B102" i="6" s="1"/>
  <c r="C303" i="2"/>
  <c r="E102" i="6" s="1"/>
  <c r="E303" i="2"/>
  <c r="I102" i="6" s="1"/>
  <c r="F303" i="2"/>
  <c r="J303" i="2"/>
  <c r="C102" i="6" s="1"/>
  <c r="N303" i="2"/>
  <c r="O303" i="2"/>
  <c r="P303" i="2"/>
  <c r="L102" i="6" s="1"/>
  <c r="T303" i="2"/>
  <c r="N102" i="6" s="1"/>
  <c r="U303" i="2"/>
  <c r="O102" i="6" s="1"/>
  <c r="A304" i="2"/>
  <c r="B304" i="2"/>
  <c r="B253" i="6" s="1"/>
  <c r="C304" i="2"/>
  <c r="E253" i="6" s="1"/>
  <c r="E304" i="2"/>
  <c r="I253" i="6" s="1"/>
  <c r="F304" i="2"/>
  <c r="J304" i="2"/>
  <c r="C253" i="6" s="1"/>
  <c r="N304" i="2"/>
  <c r="O304" i="2"/>
  <c r="P304" i="2"/>
  <c r="L253" i="6" s="1"/>
  <c r="T304" i="2"/>
  <c r="N253" i="6" s="1"/>
  <c r="U304" i="2"/>
  <c r="O253" i="6" s="1"/>
  <c r="A305" i="2"/>
  <c r="B305" i="2"/>
  <c r="B103" i="6" s="1"/>
  <c r="C305" i="2"/>
  <c r="E103" i="6" s="1"/>
  <c r="E305" i="2"/>
  <c r="I103" i="6" s="1"/>
  <c r="F305" i="2"/>
  <c r="J305" i="2"/>
  <c r="C103" i="6" s="1"/>
  <c r="N305" i="2"/>
  <c r="O305" i="2"/>
  <c r="P305" i="2"/>
  <c r="L103" i="6" s="1"/>
  <c r="T305" i="2"/>
  <c r="N103" i="6" s="1"/>
  <c r="U305" i="2"/>
  <c r="O103" i="6" s="1"/>
  <c r="A306" i="2"/>
  <c r="B306" i="2"/>
  <c r="B104" i="6" s="1"/>
  <c r="C306" i="2"/>
  <c r="E104" i="6" s="1"/>
  <c r="E306" i="2"/>
  <c r="I104" i="6" s="1"/>
  <c r="F306" i="2"/>
  <c r="J306" i="2"/>
  <c r="C104" i="6" s="1"/>
  <c r="N306" i="2"/>
  <c r="O306" i="2"/>
  <c r="P306" i="2"/>
  <c r="L104" i="6" s="1"/>
  <c r="T306" i="2"/>
  <c r="N104" i="6" s="1"/>
  <c r="U306" i="2"/>
  <c r="O104" i="6" s="1"/>
  <c r="A307" i="2"/>
  <c r="B307" i="2"/>
  <c r="B254" i="6" s="1"/>
  <c r="C307" i="2"/>
  <c r="E254" i="6" s="1"/>
  <c r="E307" i="2"/>
  <c r="I254" i="6" s="1"/>
  <c r="F307" i="2"/>
  <c r="J307" i="2"/>
  <c r="C254" i="6" s="1"/>
  <c r="N307" i="2"/>
  <c r="O307" i="2"/>
  <c r="P307" i="2"/>
  <c r="L254" i="6" s="1"/>
  <c r="T307" i="2"/>
  <c r="N254" i="6" s="1"/>
  <c r="U307" i="2"/>
  <c r="O254" i="6" s="1"/>
  <c r="A308" i="2"/>
  <c r="B308" i="2"/>
  <c r="B140" i="6" s="1"/>
  <c r="F308" i="2"/>
  <c r="J308" i="2"/>
  <c r="C140" i="6" s="1"/>
  <c r="N308" i="2"/>
  <c r="O308" i="2"/>
  <c r="P308" i="2"/>
  <c r="L140" i="6" s="1"/>
  <c r="T308" i="2"/>
  <c r="N140" i="6" s="1"/>
  <c r="U308" i="2"/>
  <c r="O140" i="6" s="1"/>
  <c r="A309" i="2"/>
  <c r="B309" i="2"/>
  <c r="B255" i="6" s="1"/>
  <c r="F309" i="2"/>
  <c r="J309" i="2"/>
  <c r="C255" i="6" s="1"/>
  <c r="N309" i="2"/>
  <c r="O309" i="2"/>
  <c r="P309" i="2"/>
  <c r="L255" i="6" s="1"/>
  <c r="T309" i="2"/>
  <c r="N255" i="6" s="1"/>
  <c r="U309" i="2"/>
  <c r="O255" i="6" s="1"/>
  <c r="A310" i="2"/>
  <c r="B310" i="2"/>
  <c r="B256" i="6" s="1"/>
  <c r="C310" i="2"/>
  <c r="E256" i="6" s="1"/>
  <c r="E310" i="2"/>
  <c r="I256" i="6" s="1"/>
  <c r="F310" i="2"/>
  <c r="J310" i="2"/>
  <c r="C256" i="6" s="1"/>
  <c r="N310" i="2"/>
  <c r="O310" i="2"/>
  <c r="P310" i="2"/>
  <c r="L256" i="6" s="1"/>
  <c r="T310" i="2"/>
  <c r="N256" i="6" s="1"/>
  <c r="U310" i="2"/>
  <c r="O256" i="6" s="1"/>
  <c r="A311" i="2"/>
  <c r="B311" i="2"/>
  <c r="B141" i="6" s="1"/>
  <c r="C311" i="2"/>
  <c r="E141" i="6" s="1"/>
  <c r="E311" i="2"/>
  <c r="I141" i="6" s="1"/>
  <c r="F311" i="2"/>
  <c r="J311" i="2"/>
  <c r="C141" i="6" s="1"/>
  <c r="N311" i="2"/>
  <c r="O311" i="2"/>
  <c r="P311" i="2"/>
  <c r="L141" i="6" s="1"/>
  <c r="T311" i="2"/>
  <c r="N141" i="6" s="1"/>
  <c r="U311" i="2"/>
  <c r="O141" i="6" s="1"/>
  <c r="A312" i="2"/>
  <c r="B312" i="2"/>
  <c r="B257" i="6" s="1"/>
  <c r="C312" i="2"/>
  <c r="E257" i="6" s="1"/>
  <c r="E312" i="2"/>
  <c r="I257" i="6" s="1"/>
  <c r="F312" i="2"/>
  <c r="J312" i="2"/>
  <c r="C257" i="6" s="1"/>
  <c r="N312" i="2"/>
  <c r="O312" i="2"/>
  <c r="P312" i="2"/>
  <c r="L257" i="6" s="1"/>
  <c r="T312" i="2"/>
  <c r="N257" i="6" s="1"/>
  <c r="U312" i="2"/>
  <c r="O257" i="6" s="1"/>
  <c r="A313" i="2"/>
  <c r="B313" i="2"/>
  <c r="B142" i="6" s="1"/>
  <c r="C313" i="2"/>
  <c r="E142" i="6" s="1"/>
  <c r="E313" i="2"/>
  <c r="I142" i="6" s="1"/>
  <c r="F313" i="2"/>
  <c r="J313" i="2"/>
  <c r="C142" i="6" s="1"/>
  <c r="N313" i="2"/>
  <c r="O313" i="2"/>
  <c r="P313" i="2"/>
  <c r="L142" i="6" s="1"/>
  <c r="T313" i="2"/>
  <c r="N142" i="6" s="1"/>
  <c r="U313" i="2"/>
  <c r="O142" i="6" s="1"/>
  <c r="A314" i="2"/>
  <c r="B314" i="2"/>
  <c r="B258" i="6" s="1"/>
  <c r="C314" i="2"/>
  <c r="E258" i="6" s="1"/>
  <c r="E314" i="2"/>
  <c r="I258" i="6" s="1"/>
  <c r="F314" i="2"/>
  <c r="J314" i="2"/>
  <c r="C258" i="6" s="1"/>
  <c r="N314" i="2"/>
  <c r="O314" i="2"/>
  <c r="P314" i="2"/>
  <c r="L258" i="6" s="1"/>
  <c r="T314" i="2"/>
  <c r="N258" i="6" s="1"/>
  <c r="U314" i="2"/>
  <c r="O258" i="6" s="1"/>
  <c r="A315" i="2"/>
  <c r="B315" i="2"/>
  <c r="B259" i="6" s="1"/>
  <c r="C315" i="2"/>
  <c r="E259" i="6" s="1"/>
  <c r="E315" i="2"/>
  <c r="I259" i="6" s="1"/>
  <c r="F315" i="2"/>
  <c r="J315" i="2"/>
  <c r="C259" i="6" s="1"/>
  <c r="N315" i="2"/>
  <c r="O315" i="2"/>
  <c r="P315" i="2"/>
  <c r="L259" i="6" s="1"/>
  <c r="T315" i="2"/>
  <c r="N259" i="6" s="1"/>
  <c r="U315" i="2"/>
  <c r="O259" i="6" s="1"/>
  <c r="A159" i="2"/>
  <c r="A32" i="6" s="1"/>
  <c r="B159" i="2"/>
  <c r="B32" i="6" s="1"/>
  <c r="C159" i="2"/>
  <c r="E32" i="6" s="1"/>
  <c r="E159" i="2"/>
  <c r="I32" i="6" s="1"/>
  <c r="F159" i="2"/>
  <c r="J159" i="2"/>
  <c r="C32" i="6" s="1"/>
  <c r="N159" i="2"/>
  <c r="O159" i="2"/>
  <c r="P159" i="2"/>
  <c r="L32" i="6" s="1"/>
  <c r="T159" i="2"/>
  <c r="N32" i="6" s="1"/>
  <c r="U159" i="2"/>
  <c r="O32" i="6" s="1"/>
  <c r="A160" i="2"/>
  <c r="A33" i="6" s="1"/>
  <c r="B160" i="2"/>
  <c r="B33" i="6" s="1"/>
  <c r="C160" i="2"/>
  <c r="E33" i="6" s="1"/>
  <c r="E160" i="2"/>
  <c r="I33" i="6" s="1"/>
  <c r="F160" i="2"/>
  <c r="J160" i="2"/>
  <c r="C33" i="6" s="1"/>
  <c r="N160" i="2"/>
  <c r="O160" i="2"/>
  <c r="P160" i="2"/>
  <c r="L33" i="6" s="1"/>
  <c r="T160" i="2"/>
  <c r="N33" i="6" s="1"/>
  <c r="U160" i="2"/>
  <c r="O33" i="6" s="1"/>
  <c r="A161" i="2"/>
  <c r="A194" i="6" s="1"/>
  <c r="B161" i="2"/>
  <c r="B194" i="6" s="1"/>
  <c r="C161" i="2"/>
  <c r="E194" i="6" s="1"/>
  <c r="E161" i="2"/>
  <c r="I194" i="6" s="1"/>
  <c r="F161" i="2"/>
  <c r="J161" i="2"/>
  <c r="C194" i="6" s="1"/>
  <c r="N161" i="2"/>
  <c r="O161" i="2"/>
  <c r="P161" i="2"/>
  <c r="L194" i="6" s="1"/>
  <c r="T161" i="2"/>
  <c r="N194" i="6" s="1"/>
  <c r="U161" i="2"/>
  <c r="O194" i="6" s="1"/>
  <c r="A162" i="2"/>
  <c r="A34" i="6" s="1"/>
  <c r="B162" i="2"/>
  <c r="B34" i="6" s="1"/>
  <c r="C162" i="2"/>
  <c r="E34" i="6" s="1"/>
  <c r="E162" i="2"/>
  <c r="I34" i="6" s="1"/>
  <c r="F162" i="2"/>
  <c r="J162" i="2"/>
  <c r="C34" i="6" s="1"/>
  <c r="N162" i="2"/>
  <c r="O162" i="2"/>
  <c r="P162" i="2"/>
  <c r="L34" i="6" s="1"/>
  <c r="T162" i="2"/>
  <c r="N34" i="6" s="1"/>
  <c r="U162" i="2"/>
  <c r="O34" i="6" s="1"/>
  <c r="A163" i="2"/>
  <c r="A195" i="6" s="1"/>
  <c r="B163" i="2"/>
  <c r="B195" i="6" s="1"/>
  <c r="C163" i="2"/>
  <c r="E195" i="6" s="1"/>
  <c r="E163" i="2"/>
  <c r="I195" i="6" s="1"/>
  <c r="F163" i="2"/>
  <c r="J163" i="2"/>
  <c r="C195" i="6" s="1"/>
  <c r="N163" i="2"/>
  <c r="O163" i="2"/>
  <c r="P163" i="2"/>
  <c r="L195" i="6" s="1"/>
  <c r="T163" i="2"/>
  <c r="N195" i="6" s="1"/>
  <c r="U163" i="2"/>
  <c r="O195" i="6" s="1"/>
  <c r="V163" i="2"/>
  <c r="P195" i="6" s="1"/>
  <c r="A164" i="2"/>
  <c r="A196" i="6" s="1"/>
  <c r="B164" i="2"/>
  <c r="B196" i="6" s="1"/>
  <c r="C164" i="2"/>
  <c r="E196" i="6" s="1"/>
  <c r="E164" i="2"/>
  <c r="I196" i="6" s="1"/>
  <c r="F164" i="2"/>
  <c r="J164" i="2"/>
  <c r="C196" i="6" s="1"/>
  <c r="N164" i="2"/>
  <c r="O164" i="2"/>
  <c r="P164" i="2"/>
  <c r="L196" i="6" s="1"/>
  <c r="T164" i="2"/>
  <c r="N196" i="6" s="1"/>
  <c r="U164" i="2"/>
  <c r="O196" i="6" s="1"/>
  <c r="V164" i="2"/>
  <c r="P196" i="6" s="1"/>
  <c r="A165" i="2"/>
  <c r="A35" i="6" s="1"/>
  <c r="B165" i="2"/>
  <c r="B35" i="6" s="1"/>
  <c r="C165" i="2"/>
  <c r="E35" i="6" s="1"/>
  <c r="E165" i="2"/>
  <c r="I35" i="6" s="1"/>
  <c r="F165" i="2"/>
  <c r="J165" i="2"/>
  <c r="C35" i="6" s="1"/>
  <c r="N165" i="2"/>
  <c r="O165" i="2"/>
  <c r="P165" i="2"/>
  <c r="L35" i="6" s="1"/>
  <c r="T165" i="2"/>
  <c r="N35" i="6" s="1"/>
  <c r="U165" i="2"/>
  <c r="O35" i="6" s="1"/>
  <c r="A166" i="2"/>
  <c r="A197" i="6" s="1"/>
  <c r="B166" i="2"/>
  <c r="B197" i="6" s="1"/>
  <c r="C166" i="2"/>
  <c r="E197" i="6" s="1"/>
  <c r="E166" i="2"/>
  <c r="I197" i="6" s="1"/>
  <c r="F166" i="2"/>
  <c r="J166" i="2"/>
  <c r="C197" i="6" s="1"/>
  <c r="N166" i="2"/>
  <c r="O166" i="2"/>
  <c r="P166" i="2"/>
  <c r="L197" i="6" s="1"/>
  <c r="T166" i="2"/>
  <c r="N197" i="6" s="1"/>
  <c r="U166" i="2"/>
  <c r="O197" i="6" s="1"/>
  <c r="A167" i="2"/>
  <c r="A198" i="6" s="1"/>
  <c r="B167" i="2"/>
  <c r="B198" i="6" s="1"/>
  <c r="C167" i="2"/>
  <c r="E198" i="6" s="1"/>
  <c r="E167" i="2"/>
  <c r="I198" i="6" s="1"/>
  <c r="F167" i="2"/>
  <c r="J167" i="2"/>
  <c r="C198" i="6" s="1"/>
  <c r="N167" i="2"/>
  <c r="O167" i="2"/>
  <c r="P167" i="2"/>
  <c r="L198" i="6" s="1"/>
  <c r="T167" i="2"/>
  <c r="N198" i="6" s="1"/>
  <c r="U167" i="2"/>
  <c r="O198" i="6" s="1"/>
  <c r="A168" i="2"/>
  <c r="A36" i="6" s="1"/>
  <c r="B168" i="2"/>
  <c r="B36" i="6" s="1"/>
  <c r="C168" i="2"/>
  <c r="E36" i="6" s="1"/>
  <c r="E168" i="2"/>
  <c r="I36" i="6" s="1"/>
  <c r="F168" i="2"/>
  <c r="J168" i="2"/>
  <c r="C36" i="6" s="1"/>
  <c r="N168" i="2"/>
  <c r="O168" i="2"/>
  <c r="P168" i="2"/>
  <c r="L36" i="6" s="1"/>
  <c r="T168" i="2"/>
  <c r="N36" i="6" s="1"/>
  <c r="U168" i="2"/>
  <c r="O36" i="6" s="1"/>
  <c r="A169" i="2"/>
  <c r="A199" i="6" s="1"/>
  <c r="B169" i="2"/>
  <c r="B199" i="6" s="1"/>
  <c r="C169" i="2"/>
  <c r="E199" i="6" s="1"/>
  <c r="E169" i="2"/>
  <c r="I199" i="6" s="1"/>
  <c r="F169" i="2"/>
  <c r="J169" i="2"/>
  <c r="C199" i="6" s="1"/>
  <c r="N169" i="2"/>
  <c r="O169" i="2"/>
  <c r="P169" i="2"/>
  <c r="L199" i="6" s="1"/>
  <c r="T169" i="2"/>
  <c r="N199" i="6" s="1"/>
  <c r="U169" i="2"/>
  <c r="O199" i="6" s="1"/>
  <c r="V169" i="2"/>
  <c r="P199" i="6" s="1"/>
  <c r="A170" i="2"/>
  <c r="A37" i="6" s="1"/>
  <c r="B170" i="2"/>
  <c r="B37" i="6" s="1"/>
  <c r="C170" i="2"/>
  <c r="E37" i="6" s="1"/>
  <c r="E170" i="2"/>
  <c r="I37" i="6" s="1"/>
  <c r="F170" i="2"/>
  <c r="J170" i="2"/>
  <c r="C37" i="6" s="1"/>
  <c r="N170" i="2"/>
  <c r="O170" i="2"/>
  <c r="P170" i="2"/>
  <c r="L37" i="6" s="1"/>
  <c r="T170" i="2"/>
  <c r="N37" i="6" s="1"/>
  <c r="U170" i="2"/>
  <c r="O37" i="6" s="1"/>
  <c r="A171" i="2"/>
  <c r="A200" i="6" s="1"/>
  <c r="B171" i="2"/>
  <c r="B200" i="6" s="1"/>
  <c r="C171" i="2"/>
  <c r="E200" i="6" s="1"/>
  <c r="E171" i="2"/>
  <c r="I200" i="6" s="1"/>
  <c r="F171" i="2"/>
  <c r="J171" i="2"/>
  <c r="C200" i="6" s="1"/>
  <c r="N171" i="2"/>
  <c r="O171" i="2"/>
  <c r="P171" i="2"/>
  <c r="L200" i="6" s="1"/>
  <c r="T171" i="2"/>
  <c r="N200" i="6" s="1"/>
  <c r="U171" i="2"/>
  <c r="O200" i="6" s="1"/>
  <c r="V171" i="2"/>
  <c r="P200" i="6" s="1"/>
  <c r="A172" i="2"/>
  <c r="A201" i="6" s="1"/>
  <c r="B172" i="2"/>
  <c r="B201" i="6" s="1"/>
  <c r="C172" i="2"/>
  <c r="E201" i="6" s="1"/>
  <c r="E172" i="2"/>
  <c r="I201" i="6" s="1"/>
  <c r="F172" i="2"/>
  <c r="J172" i="2"/>
  <c r="C201" i="6" s="1"/>
  <c r="N172" i="2"/>
  <c r="O172" i="2"/>
  <c r="P172" i="2"/>
  <c r="L201" i="6" s="1"/>
  <c r="T172" i="2"/>
  <c r="N201" i="6" s="1"/>
  <c r="U172" i="2"/>
  <c r="O201" i="6" s="1"/>
  <c r="A173" i="2"/>
  <c r="A38" i="6" s="1"/>
  <c r="B173" i="2"/>
  <c r="B38" i="6" s="1"/>
  <c r="C173" i="2"/>
  <c r="E38" i="6" s="1"/>
  <c r="E173" i="2"/>
  <c r="I38" i="6" s="1"/>
  <c r="F173" i="2"/>
  <c r="J173" i="2"/>
  <c r="C38" i="6" s="1"/>
  <c r="N173" i="2"/>
  <c r="O173" i="2"/>
  <c r="P173" i="2"/>
  <c r="L38" i="6" s="1"/>
  <c r="T173" i="2"/>
  <c r="N38" i="6" s="1"/>
  <c r="U173" i="2"/>
  <c r="O38" i="6" s="1"/>
  <c r="A174" i="2"/>
  <c r="A202" i="6" s="1"/>
  <c r="B174" i="2"/>
  <c r="B202" i="6" s="1"/>
  <c r="C174" i="2"/>
  <c r="E202" i="6" s="1"/>
  <c r="E174" i="2"/>
  <c r="I202" i="6" s="1"/>
  <c r="F174" i="2"/>
  <c r="J174" i="2"/>
  <c r="C202" i="6" s="1"/>
  <c r="N174" i="2"/>
  <c r="O174" i="2"/>
  <c r="P174" i="2"/>
  <c r="L202" i="6" s="1"/>
  <c r="T174" i="2"/>
  <c r="N202" i="6" s="1"/>
  <c r="U174" i="2"/>
  <c r="O202" i="6" s="1"/>
  <c r="A175" i="2"/>
  <c r="A203" i="6" s="1"/>
  <c r="B175" i="2"/>
  <c r="B203" i="6" s="1"/>
  <c r="C175" i="2"/>
  <c r="E203" i="6" s="1"/>
  <c r="E175" i="2"/>
  <c r="I203" i="6" s="1"/>
  <c r="F175" i="2"/>
  <c r="J175" i="2"/>
  <c r="C203" i="6" s="1"/>
  <c r="N175" i="2"/>
  <c r="O175" i="2"/>
  <c r="P175" i="2"/>
  <c r="L203" i="6" s="1"/>
  <c r="T175" i="2"/>
  <c r="N203" i="6" s="1"/>
  <c r="U175" i="2"/>
  <c r="O203" i="6" s="1"/>
  <c r="A176" i="2"/>
  <c r="A204" i="6" s="1"/>
  <c r="B176" i="2"/>
  <c r="B204" i="6" s="1"/>
  <c r="C176" i="2"/>
  <c r="E204" i="6" s="1"/>
  <c r="E176" i="2"/>
  <c r="I204" i="6" s="1"/>
  <c r="F176" i="2"/>
  <c r="J176" i="2"/>
  <c r="C204" i="6" s="1"/>
  <c r="N176" i="2"/>
  <c r="O176" i="2"/>
  <c r="P176" i="2"/>
  <c r="L204" i="6" s="1"/>
  <c r="T176" i="2"/>
  <c r="N204" i="6" s="1"/>
  <c r="U176" i="2"/>
  <c r="O204" i="6" s="1"/>
  <c r="V176" i="2"/>
  <c r="P204" i="6" s="1"/>
  <c r="A177" i="2"/>
  <c r="A205" i="6" s="1"/>
  <c r="B177" i="2"/>
  <c r="B205" i="6" s="1"/>
  <c r="C177" i="2"/>
  <c r="E205" i="6" s="1"/>
  <c r="E177" i="2"/>
  <c r="I205" i="6" s="1"/>
  <c r="F177" i="2"/>
  <c r="J177" i="2"/>
  <c r="C205" i="6" s="1"/>
  <c r="N177" i="2"/>
  <c r="O177" i="2"/>
  <c r="P177" i="2"/>
  <c r="L205" i="6" s="1"/>
  <c r="T177" i="2"/>
  <c r="N205" i="6" s="1"/>
  <c r="U177" i="2"/>
  <c r="O205" i="6" s="1"/>
  <c r="V177" i="2"/>
  <c r="P205" i="6" s="1"/>
  <c r="A178" i="2"/>
  <c r="A206" i="6" s="1"/>
  <c r="B178" i="2"/>
  <c r="B206" i="6" s="1"/>
  <c r="C178" i="2"/>
  <c r="E206" i="6" s="1"/>
  <c r="E178" i="2"/>
  <c r="I206" i="6" s="1"/>
  <c r="F178" i="2"/>
  <c r="J178" i="2"/>
  <c r="C206" i="6" s="1"/>
  <c r="N178" i="2"/>
  <c r="O178" i="2"/>
  <c r="P178" i="2"/>
  <c r="L206" i="6" s="1"/>
  <c r="T178" i="2"/>
  <c r="N206" i="6" s="1"/>
  <c r="U178" i="2"/>
  <c r="O206" i="6" s="1"/>
  <c r="V178" i="2"/>
  <c r="P206" i="6" s="1"/>
  <c r="A179" i="2"/>
  <c r="A207" i="6" s="1"/>
  <c r="B179" i="2"/>
  <c r="B207" i="6" s="1"/>
  <c r="C179" i="2"/>
  <c r="E207" i="6" s="1"/>
  <c r="E179" i="2"/>
  <c r="I207" i="6" s="1"/>
  <c r="F179" i="2"/>
  <c r="J179" i="2"/>
  <c r="C207" i="6" s="1"/>
  <c r="N179" i="2"/>
  <c r="O179" i="2"/>
  <c r="P179" i="2"/>
  <c r="L207" i="6" s="1"/>
  <c r="T179" i="2"/>
  <c r="N207" i="6" s="1"/>
  <c r="U179" i="2"/>
  <c r="O207" i="6" s="1"/>
  <c r="V179" i="2"/>
  <c r="P207" i="6" s="1"/>
  <c r="A180" i="2"/>
  <c r="A39" i="6" s="1"/>
  <c r="B180" i="2"/>
  <c r="B39" i="6" s="1"/>
  <c r="C180" i="2"/>
  <c r="E39" i="6" s="1"/>
  <c r="E180" i="2"/>
  <c r="I39" i="6" s="1"/>
  <c r="F180" i="2"/>
  <c r="J180" i="2"/>
  <c r="C39" i="6" s="1"/>
  <c r="N180" i="2"/>
  <c r="O180" i="2"/>
  <c r="P180" i="2"/>
  <c r="L39" i="6" s="1"/>
  <c r="T180" i="2"/>
  <c r="N39" i="6" s="1"/>
  <c r="U180" i="2"/>
  <c r="O39" i="6" s="1"/>
  <c r="A181" i="2"/>
  <c r="A208" i="6" s="1"/>
  <c r="B181" i="2"/>
  <c r="B208" i="6" s="1"/>
  <c r="C181" i="2"/>
  <c r="E208" i="6" s="1"/>
  <c r="E181" i="2"/>
  <c r="I208" i="6" s="1"/>
  <c r="F181" i="2"/>
  <c r="J181" i="2"/>
  <c r="C208" i="6" s="1"/>
  <c r="N181" i="2"/>
  <c r="O181" i="2"/>
  <c r="P181" i="2"/>
  <c r="L208" i="6" s="1"/>
  <c r="T181" i="2"/>
  <c r="N208" i="6" s="1"/>
  <c r="U181" i="2"/>
  <c r="O208" i="6" s="1"/>
  <c r="V181" i="2"/>
  <c r="P208" i="6" s="1"/>
  <c r="A182" i="2"/>
  <c r="A209" i="6" s="1"/>
  <c r="B182" i="2"/>
  <c r="B209" i="6" s="1"/>
  <c r="C182" i="2"/>
  <c r="E209" i="6" s="1"/>
  <c r="E182" i="2"/>
  <c r="I209" i="6" s="1"/>
  <c r="F182" i="2"/>
  <c r="J182" i="2"/>
  <c r="C209" i="6" s="1"/>
  <c r="N182" i="2"/>
  <c r="O182" i="2"/>
  <c r="P182" i="2"/>
  <c r="L209" i="6" s="1"/>
  <c r="T182" i="2"/>
  <c r="N209" i="6" s="1"/>
  <c r="U182" i="2"/>
  <c r="O209" i="6" s="1"/>
  <c r="A183" i="2"/>
  <c r="A40" i="6" s="1"/>
  <c r="B183" i="2"/>
  <c r="B40" i="6" s="1"/>
  <c r="C183" i="2"/>
  <c r="E40" i="6" s="1"/>
  <c r="E183" i="2"/>
  <c r="I40" i="6" s="1"/>
  <c r="F183" i="2"/>
  <c r="J183" i="2"/>
  <c r="C40" i="6" s="1"/>
  <c r="N183" i="2"/>
  <c r="O183" i="2"/>
  <c r="P183" i="2"/>
  <c r="L40" i="6" s="1"/>
  <c r="T183" i="2"/>
  <c r="N40" i="6" s="1"/>
  <c r="U183" i="2"/>
  <c r="O40" i="6" s="1"/>
  <c r="V183" i="2"/>
  <c r="P40" i="6" s="1"/>
  <c r="A184" i="2"/>
  <c r="A210" i="6" s="1"/>
  <c r="B184" i="2"/>
  <c r="B210" i="6" s="1"/>
  <c r="C184" i="2"/>
  <c r="E210" i="6" s="1"/>
  <c r="E184" i="2"/>
  <c r="I210" i="6" s="1"/>
  <c r="F184" i="2"/>
  <c r="J184" i="2"/>
  <c r="C210" i="6" s="1"/>
  <c r="N184" i="2"/>
  <c r="O184" i="2"/>
  <c r="P184" i="2"/>
  <c r="L210" i="6" s="1"/>
  <c r="T184" i="2"/>
  <c r="N210" i="6" s="1"/>
  <c r="U184" i="2"/>
  <c r="O210" i="6" s="1"/>
  <c r="V184" i="2"/>
  <c r="P210" i="6" s="1"/>
  <c r="A185" i="2"/>
  <c r="A211" i="6" s="1"/>
  <c r="B185" i="2"/>
  <c r="B211" i="6" s="1"/>
  <c r="C185" i="2"/>
  <c r="E211" i="6" s="1"/>
  <c r="E185" i="2"/>
  <c r="I211" i="6" s="1"/>
  <c r="F185" i="2"/>
  <c r="J185" i="2"/>
  <c r="C211" i="6" s="1"/>
  <c r="N185" i="2"/>
  <c r="O185" i="2"/>
  <c r="P185" i="2"/>
  <c r="L211" i="6" s="1"/>
  <c r="T185" i="2"/>
  <c r="N211" i="6" s="1"/>
  <c r="U185" i="2"/>
  <c r="O211" i="6" s="1"/>
  <c r="V185" i="2"/>
  <c r="P211" i="6" s="1"/>
  <c r="A186" i="2"/>
  <c r="A212" i="6" s="1"/>
  <c r="B186" i="2"/>
  <c r="B212" i="6" s="1"/>
  <c r="C186" i="2"/>
  <c r="E212" i="6" s="1"/>
  <c r="E186" i="2"/>
  <c r="I212" i="6" s="1"/>
  <c r="F186" i="2"/>
  <c r="J186" i="2"/>
  <c r="C212" i="6" s="1"/>
  <c r="N186" i="2"/>
  <c r="O186" i="2"/>
  <c r="P186" i="2"/>
  <c r="L212" i="6" s="1"/>
  <c r="T186" i="2"/>
  <c r="N212" i="6" s="1"/>
  <c r="U186" i="2"/>
  <c r="O212" i="6" s="1"/>
  <c r="V186" i="2"/>
  <c r="P212" i="6" s="1"/>
  <c r="A187" i="2"/>
  <c r="A213" i="6" s="1"/>
  <c r="B187" i="2"/>
  <c r="B213" i="6" s="1"/>
  <c r="C187" i="2"/>
  <c r="E213" i="6" s="1"/>
  <c r="E187" i="2"/>
  <c r="I213" i="6" s="1"/>
  <c r="F187" i="2"/>
  <c r="J187" i="2"/>
  <c r="C213" i="6" s="1"/>
  <c r="N187" i="2"/>
  <c r="O187" i="2"/>
  <c r="P187" i="2"/>
  <c r="L213" i="6" s="1"/>
  <c r="T187" i="2"/>
  <c r="N213" i="6" s="1"/>
  <c r="U187" i="2"/>
  <c r="O213" i="6" s="1"/>
  <c r="V187" i="2"/>
  <c r="P213" i="6" s="1"/>
  <c r="A188" i="2"/>
  <c r="A214" i="6" s="1"/>
  <c r="B188" i="2"/>
  <c r="B214" i="6" s="1"/>
  <c r="C188" i="2"/>
  <c r="E214" i="6" s="1"/>
  <c r="E188" i="2"/>
  <c r="I214" i="6" s="1"/>
  <c r="F188" i="2"/>
  <c r="J188" i="2"/>
  <c r="C214" i="6" s="1"/>
  <c r="N188" i="2"/>
  <c r="O188" i="2"/>
  <c r="P188" i="2"/>
  <c r="L214" i="6" s="1"/>
  <c r="T188" i="2"/>
  <c r="N214" i="6" s="1"/>
  <c r="U188" i="2"/>
  <c r="O214" i="6" s="1"/>
  <c r="V188" i="2"/>
  <c r="P214" i="6" s="1"/>
  <c r="A191" i="2"/>
  <c r="A215" i="6" s="1"/>
  <c r="B191" i="2"/>
  <c r="B215" i="6" s="1"/>
  <c r="C191" i="2"/>
  <c r="E215" i="6" s="1"/>
  <c r="E191" i="2"/>
  <c r="I215" i="6" s="1"/>
  <c r="F191" i="2"/>
  <c r="J191" i="2"/>
  <c r="C215" i="6" s="1"/>
  <c r="N191" i="2"/>
  <c r="O191" i="2"/>
  <c r="P191" i="2"/>
  <c r="L215" i="6" s="1"/>
  <c r="T191" i="2"/>
  <c r="N215" i="6" s="1"/>
  <c r="U191" i="2"/>
  <c r="O215" i="6" s="1"/>
  <c r="A192" i="2"/>
  <c r="A216" i="6" s="1"/>
  <c r="B192" i="2"/>
  <c r="B216" i="6" s="1"/>
  <c r="C192" i="2"/>
  <c r="E216" i="6" s="1"/>
  <c r="E192" i="2"/>
  <c r="I216" i="6" s="1"/>
  <c r="F192" i="2"/>
  <c r="J192" i="2"/>
  <c r="C216" i="6" s="1"/>
  <c r="N192" i="2"/>
  <c r="O192" i="2"/>
  <c r="P192" i="2"/>
  <c r="L216" i="6" s="1"/>
  <c r="T192" i="2"/>
  <c r="N216" i="6" s="1"/>
  <c r="U192" i="2"/>
  <c r="O216" i="6" s="1"/>
  <c r="V192" i="2"/>
  <c r="P216" i="6" s="1"/>
  <c r="A193" i="2"/>
  <c r="A217" i="6" s="1"/>
  <c r="B193" i="2"/>
  <c r="B217" i="6" s="1"/>
  <c r="C193" i="2"/>
  <c r="E217" i="6" s="1"/>
  <c r="E193" i="2"/>
  <c r="I217" i="6" s="1"/>
  <c r="F193" i="2"/>
  <c r="J193" i="2"/>
  <c r="C217" i="6" s="1"/>
  <c r="N193" i="2"/>
  <c r="O193" i="2"/>
  <c r="P193" i="2"/>
  <c r="L217" i="6" s="1"/>
  <c r="T193" i="2"/>
  <c r="N217" i="6" s="1"/>
  <c r="U193" i="2"/>
  <c r="O217" i="6" s="1"/>
  <c r="V193" i="2"/>
  <c r="P217" i="6" s="1"/>
  <c r="A194" i="2"/>
  <c r="A218" i="6" s="1"/>
  <c r="B194" i="2"/>
  <c r="B218" i="6" s="1"/>
  <c r="C194" i="2"/>
  <c r="E218" i="6" s="1"/>
  <c r="E194" i="2"/>
  <c r="I218" i="6" s="1"/>
  <c r="F194" i="2"/>
  <c r="J194" i="2"/>
  <c r="C218" i="6" s="1"/>
  <c r="N194" i="2"/>
  <c r="O194" i="2"/>
  <c r="P194" i="2"/>
  <c r="L218" i="6" s="1"/>
  <c r="T194" i="2"/>
  <c r="N218" i="6" s="1"/>
  <c r="U194" i="2"/>
  <c r="O218" i="6" s="1"/>
  <c r="V194" i="2"/>
  <c r="P218" i="6" s="1"/>
  <c r="A195" i="2"/>
  <c r="A219" i="6" s="1"/>
  <c r="B195" i="2"/>
  <c r="B219" i="6" s="1"/>
  <c r="C195" i="2"/>
  <c r="E219" i="6" s="1"/>
  <c r="E195" i="2"/>
  <c r="I219" i="6" s="1"/>
  <c r="F195" i="2"/>
  <c r="J195" i="2"/>
  <c r="C219" i="6" s="1"/>
  <c r="N195" i="2"/>
  <c r="O195" i="2"/>
  <c r="P195" i="2"/>
  <c r="L219" i="6" s="1"/>
  <c r="T195" i="2"/>
  <c r="N219" i="6" s="1"/>
  <c r="U195" i="2"/>
  <c r="O219" i="6" s="1"/>
  <c r="A196" i="2"/>
  <c r="A220" i="6" s="1"/>
  <c r="B196" i="2"/>
  <c r="B220" i="6" s="1"/>
  <c r="C196" i="2"/>
  <c r="E220" i="6" s="1"/>
  <c r="E196" i="2"/>
  <c r="I220" i="6" s="1"/>
  <c r="F196" i="2"/>
  <c r="J196" i="2"/>
  <c r="C220" i="6" s="1"/>
  <c r="N196" i="2"/>
  <c r="O196" i="2"/>
  <c r="P196" i="2"/>
  <c r="L220" i="6" s="1"/>
  <c r="T196" i="2"/>
  <c r="N220" i="6" s="1"/>
  <c r="U196" i="2"/>
  <c r="O220" i="6" s="1"/>
  <c r="A197" i="2"/>
  <c r="A221" i="6" s="1"/>
  <c r="B197" i="2"/>
  <c r="B221" i="6" s="1"/>
  <c r="C197" i="2"/>
  <c r="E221" i="6" s="1"/>
  <c r="E197" i="2"/>
  <c r="I221" i="6" s="1"/>
  <c r="F197" i="2"/>
  <c r="J197" i="2"/>
  <c r="C221" i="6" s="1"/>
  <c r="N197" i="2"/>
  <c r="O197" i="2"/>
  <c r="P197" i="2"/>
  <c r="L221" i="6" s="1"/>
  <c r="T197" i="2"/>
  <c r="N221" i="6" s="1"/>
  <c r="U197" i="2"/>
  <c r="O221" i="6" s="1"/>
  <c r="A198" i="2"/>
  <c r="A222" i="6" s="1"/>
  <c r="B198" i="2"/>
  <c r="B222" i="6" s="1"/>
  <c r="C198" i="2"/>
  <c r="E222" i="6" s="1"/>
  <c r="E198" i="2"/>
  <c r="I222" i="6" s="1"/>
  <c r="F198" i="2"/>
  <c r="J198" i="2"/>
  <c r="C222" i="6" s="1"/>
  <c r="N198" i="2"/>
  <c r="O198" i="2"/>
  <c r="P198" i="2"/>
  <c r="L222" i="6" s="1"/>
  <c r="T198" i="2"/>
  <c r="N222" i="6" s="1"/>
  <c r="U198" i="2"/>
  <c r="O222" i="6" s="1"/>
  <c r="A199" i="2"/>
  <c r="A223" i="6" s="1"/>
  <c r="B199" i="2"/>
  <c r="B223" i="6" s="1"/>
  <c r="C199" i="2"/>
  <c r="E223" i="6" s="1"/>
  <c r="E199" i="2"/>
  <c r="I223" i="6" s="1"/>
  <c r="F199" i="2"/>
  <c r="J199" i="2"/>
  <c r="C223" i="6" s="1"/>
  <c r="N199" i="2"/>
  <c r="O199" i="2"/>
  <c r="P199" i="2"/>
  <c r="L223" i="6" s="1"/>
  <c r="T199" i="2"/>
  <c r="N223" i="6" s="1"/>
  <c r="U199" i="2"/>
  <c r="O223" i="6" s="1"/>
  <c r="A200" i="2"/>
  <c r="A224" i="6" s="1"/>
  <c r="B200" i="2"/>
  <c r="B224" i="6" s="1"/>
  <c r="C200" i="2"/>
  <c r="E224" i="6" s="1"/>
  <c r="E200" i="2"/>
  <c r="I224" i="6" s="1"/>
  <c r="F200" i="2"/>
  <c r="J200" i="2"/>
  <c r="C224" i="6" s="1"/>
  <c r="N200" i="2"/>
  <c r="O200" i="2"/>
  <c r="P200" i="2"/>
  <c r="L224" i="6" s="1"/>
  <c r="T200" i="2"/>
  <c r="N224" i="6" s="1"/>
  <c r="U200" i="2"/>
  <c r="O224" i="6" s="1"/>
  <c r="A201" i="2"/>
  <c r="A225" i="6" s="1"/>
  <c r="B201" i="2"/>
  <c r="B225" i="6" s="1"/>
  <c r="C201" i="2"/>
  <c r="E225" i="6" s="1"/>
  <c r="E201" i="2"/>
  <c r="I225" i="6" s="1"/>
  <c r="F201" i="2"/>
  <c r="J201" i="2"/>
  <c r="C225" i="6" s="1"/>
  <c r="N201" i="2"/>
  <c r="O201" i="2"/>
  <c r="P201" i="2"/>
  <c r="L225" i="6" s="1"/>
  <c r="T201" i="2"/>
  <c r="N225" i="6" s="1"/>
  <c r="U201" i="2"/>
  <c r="O225" i="6" s="1"/>
  <c r="A202" i="2"/>
  <c r="A226" i="6" s="1"/>
  <c r="B202" i="2"/>
  <c r="B226" i="6" s="1"/>
  <c r="C202" i="2"/>
  <c r="E226" i="6" s="1"/>
  <c r="E202" i="2"/>
  <c r="I226" i="6" s="1"/>
  <c r="F202" i="2"/>
  <c r="J202" i="2"/>
  <c r="C226" i="6" s="1"/>
  <c r="N202" i="2"/>
  <c r="O202" i="2"/>
  <c r="P202" i="2"/>
  <c r="L226" i="6" s="1"/>
  <c r="T202" i="2"/>
  <c r="N226" i="6" s="1"/>
  <c r="U202" i="2"/>
  <c r="O226" i="6" s="1"/>
  <c r="A203" i="2"/>
  <c r="A227" i="6" s="1"/>
  <c r="B203" i="2"/>
  <c r="B227" i="6" s="1"/>
  <c r="C203" i="2"/>
  <c r="E227" i="6" s="1"/>
  <c r="E203" i="2"/>
  <c r="I227" i="6" s="1"/>
  <c r="F203" i="2"/>
  <c r="J203" i="2"/>
  <c r="C227" i="6" s="1"/>
  <c r="N203" i="2"/>
  <c r="O203" i="2"/>
  <c r="P203" i="2"/>
  <c r="L227" i="6" s="1"/>
  <c r="T203" i="2"/>
  <c r="N227" i="6" s="1"/>
  <c r="U203" i="2"/>
  <c r="O227" i="6" s="1"/>
  <c r="A204" i="2"/>
  <c r="A228" i="6" s="1"/>
  <c r="B204" i="2"/>
  <c r="B228" i="6" s="1"/>
  <c r="C204" i="2"/>
  <c r="E228" i="6" s="1"/>
  <c r="E204" i="2"/>
  <c r="I228" i="6" s="1"/>
  <c r="F204" i="2"/>
  <c r="J204" i="2"/>
  <c r="C228" i="6" s="1"/>
  <c r="N204" i="2"/>
  <c r="O204" i="2"/>
  <c r="P204" i="2"/>
  <c r="T204" i="2"/>
  <c r="N228" i="6" s="1"/>
  <c r="U204" i="2"/>
  <c r="O228" i="6" s="1"/>
  <c r="A205" i="2"/>
  <c r="A229" i="6" s="1"/>
  <c r="B205" i="2"/>
  <c r="B229" i="6" s="1"/>
  <c r="C205" i="2"/>
  <c r="E229" i="6" s="1"/>
  <c r="E205" i="2"/>
  <c r="I229" i="6" s="1"/>
  <c r="F205" i="2"/>
  <c r="J205" i="2"/>
  <c r="C229" i="6" s="1"/>
  <c r="N205" i="2"/>
  <c r="O205" i="2"/>
  <c r="P205" i="2"/>
  <c r="T205" i="2"/>
  <c r="N229" i="6" s="1"/>
  <c r="U205" i="2"/>
  <c r="O229" i="6" s="1"/>
  <c r="A206" i="2"/>
  <c r="A230" i="6" s="1"/>
  <c r="B206" i="2"/>
  <c r="B230" i="6" s="1"/>
  <c r="C206" i="2"/>
  <c r="E230" i="6" s="1"/>
  <c r="E206" i="2"/>
  <c r="I230" i="6" s="1"/>
  <c r="F206" i="2"/>
  <c r="J206" i="2"/>
  <c r="C230" i="6" s="1"/>
  <c r="N206" i="2"/>
  <c r="O206" i="2"/>
  <c r="P206" i="2"/>
  <c r="L230" i="6" s="1"/>
  <c r="T206" i="2"/>
  <c r="N230" i="6" s="1"/>
  <c r="U206" i="2"/>
  <c r="O230" i="6" s="1"/>
  <c r="A207" i="2"/>
  <c r="A231" i="6" s="1"/>
  <c r="B207" i="2"/>
  <c r="B231" i="6" s="1"/>
  <c r="C207" i="2"/>
  <c r="E231" i="6" s="1"/>
  <c r="E207" i="2"/>
  <c r="I231" i="6" s="1"/>
  <c r="F207" i="2"/>
  <c r="J207" i="2"/>
  <c r="C231" i="6" s="1"/>
  <c r="N207" i="2"/>
  <c r="O207" i="2"/>
  <c r="P207" i="2"/>
  <c r="L231" i="6" s="1"/>
  <c r="T207" i="2"/>
  <c r="N231" i="6" s="1"/>
  <c r="U207" i="2"/>
  <c r="O231" i="6" s="1"/>
  <c r="A208" i="2"/>
  <c r="A232" i="6" s="1"/>
  <c r="B208" i="2"/>
  <c r="B232" i="6" s="1"/>
  <c r="C208" i="2"/>
  <c r="E232" i="6" s="1"/>
  <c r="E208" i="2"/>
  <c r="I232" i="6" s="1"/>
  <c r="F208" i="2"/>
  <c r="J208" i="2"/>
  <c r="C232" i="6" s="1"/>
  <c r="N208" i="2"/>
  <c r="O208" i="2"/>
  <c r="P208" i="2"/>
  <c r="L232" i="6" s="1"/>
  <c r="T208" i="2"/>
  <c r="N232" i="6" s="1"/>
  <c r="U208" i="2"/>
  <c r="O232" i="6" s="1"/>
  <c r="A209" i="2"/>
  <c r="A233" i="6" s="1"/>
  <c r="B209" i="2"/>
  <c r="B233" i="6" s="1"/>
  <c r="C209" i="2"/>
  <c r="E233" i="6" s="1"/>
  <c r="E209" i="2"/>
  <c r="I233" i="6" s="1"/>
  <c r="F209" i="2"/>
  <c r="J209" i="2"/>
  <c r="C233" i="6" s="1"/>
  <c r="N209" i="2"/>
  <c r="O209" i="2"/>
  <c r="P209" i="2"/>
  <c r="L233" i="6" s="1"/>
  <c r="T209" i="2"/>
  <c r="N233" i="6" s="1"/>
  <c r="U209" i="2"/>
  <c r="O233" i="6" s="1"/>
  <c r="A210" i="2"/>
  <c r="A234" i="6" s="1"/>
  <c r="B210" i="2"/>
  <c r="B234" i="6" s="1"/>
  <c r="C210" i="2"/>
  <c r="E234" i="6" s="1"/>
  <c r="E210" i="2"/>
  <c r="I234" i="6" s="1"/>
  <c r="F210" i="2"/>
  <c r="J210" i="2"/>
  <c r="C234" i="6" s="1"/>
  <c r="N210" i="2"/>
  <c r="O210" i="2"/>
  <c r="P210" i="2"/>
  <c r="L234" i="6" s="1"/>
  <c r="T210" i="2"/>
  <c r="N234" i="6" s="1"/>
  <c r="U210" i="2"/>
  <c r="O234" i="6" s="1"/>
  <c r="A211" i="2"/>
  <c r="A235" i="6" s="1"/>
  <c r="B211" i="2"/>
  <c r="B235" i="6" s="1"/>
  <c r="C211" i="2"/>
  <c r="E235" i="6" s="1"/>
  <c r="E211" i="2"/>
  <c r="I235" i="6" s="1"/>
  <c r="F211" i="2"/>
  <c r="J211" i="2"/>
  <c r="C235" i="6" s="1"/>
  <c r="N211" i="2"/>
  <c r="O211" i="2"/>
  <c r="P211" i="2"/>
  <c r="L235" i="6" s="1"/>
  <c r="T211" i="2"/>
  <c r="N235" i="6" s="1"/>
  <c r="U211" i="2"/>
  <c r="O235" i="6" s="1"/>
  <c r="A212" i="2"/>
  <c r="A236" i="6" s="1"/>
  <c r="B212" i="2"/>
  <c r="B236" i="6" s="1"/>
  <c r="C212" i="2"/>
  <c r="E236" i="6" s="1"/>
  <c r="E212" i="2"/>
  <c r="I236" i="6" s="1"/>
  <c r="F212" i="2"/>
  <c r="J212" i="2"/>
  <c r="C236" i="6" s="1"/>
  <c r="N212" i="2"/>
  <c r="O212" i="2"/>
  <c r="P212" i="2"/>
  <c r="L236" i="6" s="1"/>
  <c r="T212" i="2"/>
  <c r="N236" i="6" s="1"/>
  <c r="U212" i="2"/>
  <c r="O236" i="6" s="1"/>
  <c r="A213" i="2"/>
  <c r="A237" i="6" s="1"/>
  <c r="B213" i="2"/>
  <c r="B237" i="6" s="1"/>
  <c r="C213" i="2"/>
  <c r="E237" i="6" s="1"/>
  <c r="E213" i="2"/>
  <c r="I237" i="6" s="1"/>
  <c r="F213" i="2"/>
  <c r="J213" i="2"/>
  <c r="C237" i="6" s="1"/>
  <c r="N213" i="2"/>
  <c r="O213" i="2"/>
  <c r="P213" i="2"/>
  <c r="L237" i="6" s="1"/>
  <c r="T213" i="2"/>
  <c r="N237" i="6" s="1"/>
  <c r="U213" i="2"/>
  <c r="O237" i="6" s="1"/>
  <c r="A121" i="2"/>
  <c r="B121" i="2"/>
  <c r="B67" i="6" s="1"/>
  <c r="E67" i="6"/>
  <c r="I67" i="6"/>
  <c r="F121" i="2"/>
  <c r="J121" i="2"/>
  <c r="C67" i="6" s="1"/>
  <c r="N121" i="2"/>
  <c r="O121" i="2"/>
  <c r="P121" i="2"/>
  <c r="L67" i="6" s="1"/>
  <c r="T121" i="2"/>
  <c r="N67" i="6" s="1"/>
  <c r="U121" i="2"/>
  <c r="O67" i="6" s="1"/>
  <c r="A122" i="2"/>
  <c r="B122" i="2"/>
  <c r="B68" i="6" s="1"/>
  <c r="C122" i="2"/>
  <c r="E68" i="6" s="1"/>
  <c r="E122" i="2"/>
  <c r="I68" i="6" s="1"/>
  <c r="F122" i="2"/>
  <c r="J122" i="2"/>
  <c r="C68" i="6" s="1"/>
  <c r="N122" i="2"/>
  <c r="O122" i="2"/>
  <c r="P122" i="2"/>
  <c r="L68" i="6" s="1"/>
  <c r="T122" i="2"/>
  <c r="N68" i="6" s="1"/>
  <c r="U122" i="2"/>
  <c r="O68" i="6" s="1"/>
  <c r="A123" i="2"/>
  <c r="B123" i="2"/>
  <c r="B69" i="6" s="1"/>
  <c r="C123" i="2"/>
  <c r="E69" i="6" s="1"/>
  <c r="E123" i="2"/>
  <c r="I69" i="6" s="1"/>
  <c r="F123" i="2"/>
  <c r="J123" i="2"/>
  <c r="C69" i="6" s="1"/>
  <c r="N123" i="2"/>
  <c r="O123" i="2"/>
  <c r="P123" i="2"/>
  <c r="L69" i="6" s="1"/>
  <c r="T123" i="2"/>
  <c r="N69" i="6" s="1"/>
  <c r="U123" i="2"/>
  <c r="O69" i="6" s="1"/>
  <c r="A124" i="2"/>
  <c r="B124" i="2"/>
  <c r="B70" i="6" s="1"/>
  <c r="F124" i="2"/>
  <c r="J124" i="2"/>
  <c r="N124" i="2"/>
  <c r="O124" i="2"/>
  <c r="P124" i="2"/>
  <c r="L70" i="6" s="1"/>
  <c r="T124" i="2"/>
  <c r="N70" i="6" s="1"/>
  <c r="U124" i="2"/>
  <c r="O70" i="6" s="1"/>
  <c r="V124" i="2"/>
  <c r="P70" i="6" s="1"/>
  <c r="A125" i="2"/>
  <c r="B125" i="2"/>
  <c r="B71" i="6" s="1"/>
  <c r="C125" i="2"/>
  <c r="E71" i="6" s="1"/>
  <c r="E125" i="2"/>
  <c r="I71" i="6" s="1"/>
  <c r="F125" i="2"/>
  <c r="J125" i="2"/>
  <c r="C71" i="6" s="1"/>
  <c r="N125" i="2"/>
  <c r="O125" i="2"/>
  <c r="P125" i="2"/>
  <c r="L71" i="6" s="1"/>
  <c r="T125" i="2"/>
  <c r="N71" i="6" s="1"/>
  <c r="U125" i="2"/>
  <c r="O71" i="6" s="1"/>
  <c r="A126" i="2"/>
  <c r="B126" i="2"/>
  <c r="B72" i="6" s="1"/>
  <c r="C126" i="2"/>
  <c r="E72" i="6" s="1"/>
  <c r="E126" i="2"/>
  <c r="I72" i="6" s="1"/>
  <c r="F126" i="2"/>
  <c r="J126" i="2"/>
  <c r="C72" i="6" s="1"/>
  <c r="N126" i="2"/>
  <c r="O126" i="2"/>
  <c r="P126" i="2"/>
  <c r="L72" i="6" s="1"/>
  <c r="T126" i="2"/>
  <c r="N72" i="6" s="1"/>
  <c r="U126" i="2"/>
  <c r="O72" i="6" s="1"/>
  <c r="A127" i="2"/>
  <c r="B127" i="2"/>
  <c r="B73" i="6" s="1"/>
  <c r="C127" i="2"/>
  <c r="E73" i="6" s="1"/>
  <c r="E127" i="2"/>
  <c r="I73" i="6" s="1"/>
  <c r="F127" i="2"/>
  <c r="J127" i="2"/>
  <c r="C73" i="6" s="1"/>
  <c r="N127" i="2"/>
  <c r="O127" i="2"/>
  <c r="P127" i="2"/>
  <c r="L73" i="6" s="1"/>
  <c r="T127" i="2"/>
  <c r="N73" i="6" s="1"/>
  <c r="U127" i="2"/>
  <c r="O73" i="6" s="1"/>
  <c r="A128" i="2"/>
  <c r="B128" i="2"/>
  <c r="B74" i="6" s="1"/>
  <c r="C128" i="2"/>
  <c r="E74" i="6" s="1"/>
  <c r="E128" i="2"/>
  <c r="I74" i="6" s="1"/>
  <c r="F128" i="2"/>
  <c r="J128" i="2"/>
  <c r="C74" i="6" s="1"/>
  <c r="N128" i="2"/>
  <c r="O128" i="2"/>
  <c r="P128" i="2"/>
  <c r="L74" i="6" s="1"/>
  <c r="T128" i="2"/>
  <c r="N74" i="6" s="1"/>
  <c r="U128" i="2"/>
  <c r="O74" i="6" s="1"/>
  <c r="A129" i="2"/>
  <c r="B129" i="2"/>
  <c r="B75" i="6" s="1"/>
  <c r="C129" i="2"/>
  <c r="E75" i="6" s="1"/>
  <c r="E129" i="2"/>
  <c r="I75" i="6" s="1"/>
  <c r="F129" i="2"/>
  <c r="J129" i="2"/>
  <c r="C75" i="6" s="1"/>
  <c r="N129" i="2"/>
  <c r="O129" i="2"/>
  <c r="P129" i="2"/>
  <c r="L75" i="6" s="1"/>
  <c r="T129" i="2"/>
  <c r="N75" i="6" s="1"/>
  <c r="U129" i="2"/>
  <c r="O75" i="6" s="1"/>
  <c r="A130" i="2"/>
  <c r="B130" i="2"/>
  <c r="B76" i="6" s="1"/>
  <c r="C130" i="2"/>
  <c r="E76" i="6" s="1"/>
  <c r="E130" i="2"/>
  <c r="I76" i="6" s="1"/>
  <c r="F130" i="2"/>
  <c r="J130" i="2"/>
  <c r="C76" i="6" s="1"/>
  <c r="N130" i="2"/>
  <c r="O130" i="2"/>
  <c r="P130" i="2"/>
  <c r="L76" i="6" s="1"/>
  <c r="T130" i="2"/>
  <c r="N76" i="6" s="1"/>
  <c r="U130" i="2"/>
  <c r="O76" i="6" s="1"/>
  <c r="A131" i="2"/>
  <c r="B131" i="2"/>
  <c r="B77" i="6" s="1"/>
  <c r="C131" i="2"/>
  <c r="E77" i="6" s="1"/>
  <c r="E131" i="2"/>
  <c r="I77" i="6" s="1"/>
  <c r="F131" i="2"/>
  <c r="J131" i="2"/>
  <c r="C77" i="6" s="1"/>
  <c r="N131" i="2"/>
  <c r="O131" i="2"/>
  <c r="P131" i="2"/>
  <c r="L77" i="6" s="1"/>
  <c r="T131" i="2"/>
  <c r="N77" i="6" s="1"/>
  <c r="U131" i="2"/>
  <c r="O77" i="6" s="1"/>
  <c r="A132" i="2"/>
  <c r="A78" i="6" s="1"/>
  <c r="B132" i="2"/>
  <c r="B78" i="6" s="1"/>
  <c r="C132" i="2"/>
  <c r="E78" i="6" s="1"/>
  <c r="E132" i="2"/>
  <c r="I78" i="6" s="1"/>
  <c r="F132" i="2"/>
  <c r="J132" i="2"/>
  <c r="C78" i="6" s="1"/>
  <c r="N132" i="2"/>
  <c r="O132" i="2"/>
  <c r="P132" i="2"/>
  <c r="L78" i="6" s="1"/>
  <c r="T132" i="2"/>
  <c r="N78" i="6" s="1"/>
  <c r="U132" i="2"/>
  <c r="O78" i="6" s="1"/>
  <c r="A133" i="2"/>
  <c r="B133" i="2"/>
  <c r="B79" i="6" s="1"/>
  <c r="C133" i="2"/>
  <c r="E79" i="6" s="1"/>
  <c r="E133" i="2"/>
  <c r="I79" i="6" s="1"/>
  <c r="F133" i="2"/>
  <c r="J133" i="2"/>
  <c r="C79" i="6" s="1"/>
  <c r="N133" i="2"/>
  <c r="O133" i="2"/>
  <c r="P133" i="2"/>
  <c r="L79" i="6" s="1"/>
  <c r="T133" i="2"/>
  <c r="N79" i="6" s="1"/>
  <c r="U133" i="2"/>
  <c r="O79" i="6" s="1"/>
  <c r="A134" i="2"/>
  <c r="A126" i="6" s="1"/>
  <c r="B134" i="2"/>
  <c r="B126" i="6" s="1"/>
  <c r="C134" i="2"/>
  <c r="E126" i="6" s="1"/>
  <c r="E134" i="2"/>
  <c r="I126" i="6" s="1"/>
  <c r="F134" i="2"/>
  <c r="J134" i="2"/>
  <c r="C126" i="6" s="1"/>
  <c r="N134" i="2"/>
  <c r="O134" i="2"/>
  <c r="P134" i="2"/>
  <c r="L126" i="6" s="1"/>
  <c r="T134" i="2"/>
  <c r="N126" i="6" s="1"/>
  <c r="U134" i="2"/>
  <c r="O126" i="6" s="1"/>
  <c r="A135" i="2"/>
  <c r="B135" i="2"/>
  <c r="B127" i="6" s="1"/>
  <c r="C135" i="2"/>
  <c r="E127" i="6" s="1"/>
  <c r="E135" i="2"/>
  <c r="F135" i="2"/>
  <c r="J135" i="2"/>
  <c r="C127" i="6" s="1"/>
  <c r="N135" i="2"/>
  <c r="O135" i="2"/>
  <c r="P135" i="2"/>
  <c r="L127" i="6" s="1"/>
  <c r="T135" i="2"/>
  <c r="N127" i="6" s="1"/>
  <c r="U135" i="2"/>
  <c r="O127" i="6" s="1"/>
  <c r="A136" i="2"/>
  <c r="B136" i="2"/>
  <c r="B128" i="6" s="1"/>
  <c r="F136" i="2"/>
  <c r="D136" i="2" s="1"/>
  <c r="J136" i="2"/>
  <c r="N136" i="2"/>
  <c r="O136" i="2"/>
  <c r="P136" i="2"/>
  <c r="L128" i="6" s="1"/>
  <c r="T136" i="2"/>
  <c r="N128" i="6" s="1"/>
  <c r="U136" i="2"/>
  <c r="O128" i="6" s="1"/>
  <c r="A137" i="2"/>
  <c r="B137" i="2"/>
  <c r="B129" i="6" s="1"/>
  <c r="C137" i="2"/>
  <c r="E129" i="6" s="1"/>
  <c r="E137" i="2"/>
  <c r="I129" i="6" s="1"/>
  <c r="F137" i="2"/>
  <c r="J137" i="2"/>
  <c r="C129" i="6" s="1"/>
  <c r="N137" i="2"/>
  <c r="O137" i="2"/>
  <c r="P137" i="2"/>
  <c r="L129" i="6" s="1"/>
  <c r="T137" i="2"/>
  <c r="N129" i="6" s="1"/>
  <c r="U137" i="2"/>
  <c r="O129" i="6" s="1"/>
  <c r="A138" i="2"/>
  <c r="A186" i="6" s="1"/>
  <c r="B138" i="2"/>
  <c r="B186" i="6" s="1"/>
  <c r="F138" i="2"/>
  <c r="J138" i="2"/>
  <c r="C186" i="6" s="1"/>
  <c r="N138" i="2"/>
  <c r="O138" i="2"/>
  <c r="P138" i="2"/>
  <c r="L186" i="6" s="1"/>
  <c r="T138" i="2"/>
  <c r="N186" i="6" s="1"/>
  <c r="U138" i="2"/>
  <c r="O186" i="6" s="1"/>
  <c r="A139" i="2"/>
  <c r="B139" i="2"/>
  <c r="B130" i="6" s="1"/>
  <c r="C139" i="2"/>
  <c r="E130" i="6" s="1"/>
  <c r="E139" i="2"/>
  <c r="I130" i="6" s="1"/>
  <c r="F139" i="2"/>
  <c r="J139" i="2"/>
  <c r="C130" i="6" s="1"/>
  <c r="N139" i="2"/>
  <c r="O139" i="2"/>
  <c r="P139" i="2"/>
  <c r="L130" i="6" s="1"/>
  <c r="T139" i="2"/>
  <c r="N130" i="6" s="1"/>
  <c r="U139" i="2"/>
  <c r="O130" i="6" s="1"/>
  <c r="A140" i="2"/>
  <c r="B140" i="2"/>
  <c r="B131" i="6" s="1"/>
  <c r="C140" i="2"/>
  <c r="E131" i="6" s="1"/>
  <c r="E140" i="2"/>
  <c r="I131" i="6" s="1"/>
  <c r="F140" i="2"/>
  <c r="J140" i="2"/>
  <c r="C131" i="6" s="1"/>
  <c r="N140" i="2"/>
  <c r="O140" i="2"/>
  <c r="P140" i="2"/>
  <c r="L131" i="6" s="1"/>
  <c r="T140" i="2"/>
  <c r="N131" i="6" s="1"/>
  <c r="U140" i="2"/>
  <c r="O131" i="6" s="1"/>
  <c r="A141" i="2"/>
  <c r="B141" i="2"/>
  <c r="B132" i="6" s="1"/>
  <c r="C141" i="2"/>
  <c r="E132" i="6" s="1"/>
  <c r="E141" i="2"/>
  <c r="I132" i="6" s="1"/>
  <c r="F141" i="2"/>
  <c r="J141" i="2"/>
  <c r="C132" i="6" s="1"/>
  <c r="N141" i="2"/>
  <c r="O141" i="2"/>
  <c r="P141" i="2"/>
  <c r="L132" i="6" s="1"/>
  <c r="T141" i="2"/>
  <c r="N132" i="6" s="1"/>
  <c r="U141" i="2"/>
  <c r="O132" i="6" s="1"/>
  <c r="A142" i="2"/>
  <c r="B142" i="2"/>
  <c r="B133" i="6" s="1"/>
  <c r="C142" i="2"/>
  <c r="E133" i="6" s="1"/>
  <c r="E142" i="2"/>
  <c r="I133" i="6" s="1"/>
  <c r="F142" i="2"/>
  <c r="J142" i="2"/>
  <c r="C133" i="6" s="1"/>
  <c r="N142" i="2"/>
  <c r="O142" i="2"/>
  <c r="P142" i="2"/>
  <c r="L133" i="6" s="1"/>
  <c r="T142" i="2"/>
  <c r="N133" i="6" s="1"/>
  <c r="U142" i="2"/>
  <c r="O133" i="6" s="1"/>
  <c r="A143" i="2"/>
  <c r="B143" i="2"/>
  <c r="B187" i="6" s="1"/>
  <c r="F143" i="2"/>
  <c r="J143" i="2"/>
  <c r="C187" i="6" s="1"/>
  <c r="N143" i="2"/>
  <c r="O143" i="2"/>
  <c r="P143" i="2"/>
  <c r="L187" i="6" s="1"/>
  <c r="T143" i="2"/>
  <c r="N187" i="6" s="1"/>
  <c r="U143" i="2"/>
  <c r="O187" i="6" s="1"/>
  <c r="A144" i="2"/>
  <c r="B144" i="2"/>
  <c r="B134" i="6" s="1"/>
  <c r="C144" i="2"/>
  <c r="E134" i="6" s="1"/>
  <c r="E144" i="2"/>
  <c r="I134" i="6" s="1"/>
  <c r="F144" i="2"/>
  <c r="J144" i="2"/>
  <c r="C134" i="6" s="1"/>
  <c r="N144" i="2"/>
  <c r="O144" i="2"/>
  <c r="P144" i="2"/>
  <c r="L134" i="6" s="1"/>
  <c r="T144" i="2"/>
  <c r="N134" i="6" s="1"/>
  <c r="U144" i="2"/>
  <c r="O134" i="6" s="1"/>
  <c r="A145" i="2"/>
  <c r="B145" i="2"/>
  <c r="B188" i="6" s="1"/>
  <c r="C145" i="2"/>
  <c r="E188" i="6" s="1"/>
  <c r="E145" i="2"/>
  <c r="I188" i="6" s="1"/>
  <c r="F145" i="2"/>
  <c r="J145" i="2"/>
  <c r="C188" i="6" s="1"/>
  <c r="N145" i="2"/>
  <c r="O145" i="2"/>
  <c r="P145" i="2"/>
  <c r="L188" i="6" s="1"/>
  <c r="T145" i="2"/>
  <c r="N188" i="6" s="1"/>
  <c r="U145" i="2"/>
  <c r="O188" i="6" s="1"/>
  <c r="A146" i="2"/>
  <c r="B146" i="2"/>
  <c r="B189" i="6" s="1"/>
  <c r="F146" i="2"/>
  <c r="D146" i="2" s="1"/>
  <c r="J146" i="2"/>
  <c r="N146" i="2"/>
  <c r="O146" i="2"/>
  <c r="P146" i="2"/>
  <c r="L189" i="6" s="1"/>
  <c r="T146" i="2"/>
  <c r="N189" i="6" s="1"/>
  <c r="U146" i="2"/>
  <c r="O189" i="6" s="1"/>
  <c r="A147" i="2"/>
  <c r="B147" i="2"/>
  <c r="B190" i="6" s="1"/>
  <c r="F147" i="2"/>
  <c r="D147" i="2" s="1"/>
  <c r="J147" i="2"/>
  <c r="N147" i="2"/>
  <c r="O147" i="2"/>
  <c r="P147" i="2"/>
  <c r="L190" i="6" s="1"/>
  <c r="T147" i="2"/>
  <c r="N190" i="6" s="1"/>
  <c r="U147" i="2"/>
  <c r="O190" i="6" s="1"/>
  <c r="A148" i="2"/>
  <c r="B148" i="2"/>
  <c r="B135" i="6" s="1"/>
  <c r="F148" i="2"/>
  <c r="J148" i="2"/>
  <c r="C135" i="6" s="1"/>
  <c r="N148" i="2"/>
  <c r="O148" i="2"/>
  <c r="P148" i="2"/>
  <c r="L135" i="6" s="1"/>
  <c r="T148" i="2"/>
  <c r="N135" i="6" s="1"/>
  <c r="U148" i="2"/>
  <c r="O135" i="6" s="1"/>
  <c r="A149" i="2"/>
  <c r="B149" i="2"/>
  <c r="B136" i="6" s="1"/>
  <c r="E136" i="6"/>
  <c r="E149" i="2"/>
  <c r="I136" i="6" s="1"/>
  <c r="F149" i="2"/>
  <c r="J149" i="2"/>
  <c r="C136" i="6" s="1"/>
  <c r="N149" i="2"/>
  <c r="O149" i="2"/>
  <c r="P149" i="2"/>
  <c r="L136" i="6" s="1"/>
  <c r="T149" i="2"/>
  <c r="N136" i="6" s="1"/>
  <c r="U149" i="2"/>
  <c r="O136" i="6" s="1"/>
  <c r="A150" i="2"/>
  <c r="B150" i="2"/>
  <c r="B191" i="6" s="1"/>
  <c r="C150" i="2"/>
  <c r="E191" i="6" s="1"/>
  <c r="E150" i="2"/>
  <c r="I191" i="6" s="1"/>
  <c r="F150" i="2"/>
  <c r="J150" i="2"/>
  <c r="C191" i="6" s="1"/>
  <c r="N150" i="2"/>
  <c r="O150" i="2"/>
  <c r="P150" i="2"/>
  <c r="L191" i="6" s="1"/>
  <c r="T150" i="2"/>
  <c r="N191" i="6" s="1"/>
  <c r="U150" i="2"/>
  <c r="O191" i="6" s="1"/>
  <c r="A151" i="2"/>
  <c r="B151" i="2"/>
  <c r="B192" i="6" s="1"/>
  <c r="F151" i="2"/>
  <c r="J151" i="2"/>
  <c r="C192" i="6" s="1"/>
  <c r="N151" i="2"/>
  <c r="O151" i="2"/>
  <c r="P151" i="2"/>
  <c r="L192" i="6" s="1"/>
  <c r="T151" i="2"/>
  <c r="N192" i="6" s="1"/>
  <c r="U151" i="2"/>
  <c r="O192" i="6" s="1"/>
  <c r="A152" i="2"/>
  <c r="B152" i="2"/>
  <c r="B193" i="6" s="1"/>
  <c r="F152" i="2"/>
  <c r="J152" i="2"/>
  <c r="C193" i="6" s="1"/>
  <c r="N152" i="2"/>
  <c r="O152" i="2"/>
  <c r="P152" i="2"/>
  <c r="L193" i="6" s="1"/>
  <c r="T152" i="2"/>
  <c r="N193" i="6" s="1"/>
  <c r="U152" i="2"/>
  <c r="O193" i="6" s="1"/>
  <c r="A112" i="2"/>
  <c r="A29" i="6" s="1"/>
  <c r="B112" i="2"/>
  <c r="B29" i="6" s="1"/>
  <c r="C112" i="2"/>
  <c r="E112" i="2"/>
  <c r="F112" i="2"/>
  <c r="J112" i="2"/>
  <c r="N112" i="2"/>
  <c r="N116" i="2" s="1"/>
  <c r="O112" i="2"/>
  <c r="O116" i="2" s="1"/>
  <c r="P112" i="2"/>
  <c r="T112" i="2"/>
  <c r="N29" i="6" s="1"/>
  <c r="U112" i="2"/>
  <c r="O29" i="6" s="1"/>
  <c r="A69" i="2"/>
  <c r="A19" i="6" s="1"/>
  <c r="B69" i="2"/>
  <c r="B19" i="6" s="1"/>
  <c r="C69" i="2"/>
  <c r="E19" i="6" s="1"/>
  <c r="E69" i="2"/>
  <c r="I19" i="6" s="1"/>
  <c r="F69" i="2"/>
  <c r="J69" i="2"/>
  <c r="C19" i="6" s="1"/>
  <c r="N69" i="2"/>
  <c r="O69" i="2"/>
  <c r="P69" i="2"/>
  <c r="L19" i="6" s="1"/>
  <c r="T69" i="2"/>
  <c r="N19" i="6" s="1"/>
  <c r="U69" i="2"/>
  <c r="O19" i="6" s="1"/>
  <c r="A70" i="2"/>
  <c r="A20" i="6" s="1"/>
  <c r="B70" i="2"/>
  <c r="B20" i="6" s="1"/>
  <c r="C70" i="2"/>
  <c r="E20" i="6" s="1"/>
  <c r="E70" i="2"/>
  <c r="I20" i="6" s="1"/>
  <c r="F70" i="2"/>
  <c r="J70" i="2"/>
  <c r="C20" i="6" s="1"/>
  <c r="N70" i="2"/>
  <c r="O70" i="2"/>
  <c r="P70" i="2"/>
  <c r="L20" i="6" s="1"/>
  <c r="T70" i="2"/>
  <c r="N20" i="6" s="1"/>
  <c r="U70" i="2"/>
  <c r="O20" i="6" s="1"/>
  <c r="A71" i="2"/>
  <c r="A21" i="6" s="1"/>
  <c r="B71" i="2"/>
  <c r="B21" i="6" s="1"/>
  <c r="C71" i="2"/>
  <c r="E21" i="6" s="1"/>
  <c r="E71" i="2"/>
  <c r="I21" i="6" s="1"/>
  <c r="F71" i="2"/>
  <c r="J71" i="2"/>
  <c r="C21" i="6" s="1"/>
  <c r="N71" i="2"/>
  <c r="O71" i="2"/>
  <c r="P71" i="2"/>
  <c r="L21" i="6" s="1"/>
  <c r="T71" i="2"/>
  <c r="N21" i="6" s="1"/>
  <c r="U71" i="2"/>
  <c r="O21" i="6" s="1"/>
  <c r="A72" i="2"/>
  <c r="A22" i="6" s="1"/>
  <c r="B72" i="2"/>
  <c r="B22" i="6" s="1"/>
  <c r="C72" i="2"/>
  <c r="E22" i="6" s="1"/>
  <c r="E72" i="2"/>
  <c r="I22" i="6" s="1"/>
  <c r="F72" i="2"/>
  <c r="J72" i="2"/>
  <c r="C22" i="6" s="1"/>
  <c r="N72" i="2"/>
  <c r="O72" i="2"/>
  <c r="P72" i="2"/>
  <c r="L22" i="6" s="1"/>
  <c r="T72" i="2"/>
  <c r="N22" i="6" s="1"/>
  <c r="U72" i="2"/>
  <c r="O22" i="6" s="1"/>
  <c r="A73" i="2"/>
  <c r="A23" i="6" s="1"/>
  <c r="B73" i="2"/>
  <c r="B23" i="6" s="1"/>
  <c r="C73" i="2"/>
  <c r="E23" i="6" s="1"/>
  <c r="E73" i="2"/>
  <c r="I23" i="6" s="1"/>
  <c r="F73" i="2"/>
  <c r="J73" i="2"/>
  <c r="C23" i="6" s="1"/>
  <c r="N73" i="2"/>
  <c r="O73" i="2"/>
  <c r="P73" i="2"/>
  <c r="L23" i="6" s="1"/>
  <c r="T73" i="2"/>
  <c r="N23" i="6" s="1"/>
  <c r="U73" i="2"/>
  <c r="O23" i="6" s="1"/>
  <c r="A74" i="2"/>
  <c r="A24" i="6" s="1"/>
  <c r="B74" i="2"/>
  <c r="B24" i="6" s="1"/>
  <c r="C74" i="2"/>
  <c r="E24" i="6" s="1"/>
  <c r="E74" i="2"/>
  <c r="I24" i="6" s="1"/>
  <c r="F74" i="2"/>
  <c r="J74" i="2"/>
  <c r="C24" i="6" s="1"/>
  <c r="N74" i="2"/>
  <c r="O74" i="2"/>
  <c r="P74" i="2"/>
  <c r="L24" i="6" s="1"/>
  <c r="T74" i="2"/>
  <c r="N24" i="6" s="1"/>
  <c r="U74" i="2"/>
  <c r="O24" i="6" s="1"/>
  <c r="A75" i="2"/>
  <c r="A25" i="6" s="1"/>
  <c r="B75" i="2"/>
  <c r="B25" i="6" s="1"/>
  <c r="C75" i="2"/>
  <c r="E25" i="6" s="1"/>
  <c r="E75" i="2"/>
  <c r="I25" i="6" s="1"/>
  <c r="F75" i="2"/>
  <c r="J75" i="2"/>
  <c r="C25" i="6" s="1"/>
  <c r="N75" i="2"/>
  <c r="O75" i="2"/>
  <c r="P75" i="2"/>
  <c r="L25" i="6" s="1"/>
  <c r="T75" i="2"/>
  <c r="N25" i="6" s="1"/>
  <c r="U75" i="2"/>
  <c r="O25" i="6" s="1"/>
  <c r="A76" i="2"/>
  <c r="A26" i="6" s="1"/>
  <c r="B76" i="2"/>
  <c r="B26" i="6" s="1"/>
  <c r="C76" i="2"/>
  <c r="E26" i="6" s="1"/>
  <c r="E76" i="2"/>
  <c r="I26" i="6" s="1"/>
  <c r="F76" i="2"/>
  <c r="J76" i="2"/>
  <c r="C26" i="6" s="1"/>
  <c r="N76" i="2"/>
  <c r="O76" i="2"/>
  <c r="P76" i="2"/>
  <c r="L26" i="6" s="1"/>
  <c r="T76" i="2"/>
  <c r="N26" i="6" s="1"/>
  <c r="U76" i="2"/>
  <c r="O26" i="6" s="1"/>
  <c r="A77" i="2"/>
  <c r="A27" i="6" s="1"/>
  <c r="B77" i="2"/>
  <c r="B27" i="6" s="1"/>
  <c r="C77" i="2"/>
  <c r="E27" i="6" s="1"/>
  <c r="E77" i="2"/>
  <c r="I27" i="6" s="1"/>
  <c r="F77" i="2"/>
  <c r="J77" i="2"/>
  <c r="C27" i="6" s="1"/>
  <c r="N77" i="2"/>
  <c r="O77" i="2"/>
  <c r="P77" i="2"/>
  <c r="L27" i="6" s="1"/>
  <c r="T77" i="2"/>
  <c r="N27" i="6" s="1"/>
  <c r="U77" i="2"/>
  <c r="O27" i="6" s="1"/>
  <c r="A78" i="2"/>
  <c r="A28" i="6" s="1"/>
  <c r="B78" i="2"/>
  <c r="B28" i="6" s="1"/>
  <c r="C78" i="2"/>
  <c r="E28" i="6" s="1"/>
  <c r="E78" i="2"/>
  <c r="I28" i="6" s="1"/>
  <c r="F78" i="2"/>
  <c r="J78" i="2"/>
  <c r="C28" i="6" s="1"/>
  <c r="N78" i="2"/>
  <c r="O78" i="2"/>
  <c r="P78" i="2"/>
  <c r="L28" i="6" s="1"/>
  <c r="T78" i="2"/>
  <c r="N28" i="6" s="1"/>
  <c r="U78" i="2"/>
  <c r="O28" i="6" s="1"/>
  <c r="A79" i="2"/>
  <c r="A166" i="6" s="1"/>
  <c r="B79" i="2"/>
  <c r="B166" i="6" s="1"/>
  <c r="C79" i="2"/>
  <c r="E166" i="6" s="1"/>
  <c r="E79" i="2"/>
  <c r="I166" i="6" s="1"/>
  <c r="F79" i="2"/>
  <c r="J79" i="2"/>
  <c r="C166" i="6" s="1"/>
  <c r="N79" i="2"/>
  <c r="O79" i="2"/>
  <c r="P79" i="2"/>
  <c r="L166" i="6" s="1"/>
  <c r="T79" i="2"/>
  <c r="N166" i="6" s="1"/>
  <c r="U79" i="2"/>
  <c r="O166" i="6" s="1"/>
  <c r="A82" i="2"/>
  <c r="A167" i="6" s="1"/>
  <c r="B82" i="2"/>
  <c r="B167" i="6" s="1"/>
  <c r="C82" i="2"/>
  <c r="E167" i="6" s="1"/>
  <c r="E82" i="2"/>
  <c r="I167" i="6" s="1"/>
  <c r="F82" i="2"/>
  <c r="J82" i="2"/>
  <c r="C167" i="6" s="1"/>
  <c r="N82" i="2"/>
  <c r="O82" i="2"/>
  <c r="P82" i="2"/>
  <c r="L167" i="6" s="1"/>
  <c r="T82" i="2"/>
  <c r="N167" i="6" s="1"/>
  <c r="U82" i="2"/>
  <c r="O167" i="6" s="1"/>
  <c r="A83" i="2"/>
  <c r="A107" i="6" s="1"/>
  <c r="B83" i="2"/>
  <c r="B107" i="6" s="1"/>
  <c r="C83" i="2"/>
  <c r="E107" i="6" s="1"/>
  <c r="E83" i="2"/>
  <c r="I107" i="6" s="1"/>
  <c r="F83" i="2"/>
  <c r="J83" i="2"/>
  <c r="C107" i="6" s="1"/>
  <c r="N83" i="2"/>
  <c r="O83" i="2"/>
  <c r="P83" i="2"/>
  <c r="L107" i="6" s="1"/>
  <c r="T83" i="2"/>
  <c r="N107" i="6" s="1"/>
  <c r="U83" i="2"/>
  <c r="O107" i="6" s="1"/>
  <c r="A84" i="2"/>
  <c r="A168" i="6" s="1"/>
  <c r="B84" i="2"/>
  <c r="B168" i="6" s="1"/>
  <c r="C84" i="2"/>
  <c r="E168" i="6" s="1"/>
  <c r="E84" i="2"/>
  <c r="I168" i="6" s="1"/>
  <c r="F84" i="2"/>
  <c r="J84" i="2"/>
  <c r="C168" i="6" s="1"/>
  <c r="N84" i="2"/>
  <c r="O84" i="2"/>
  <c r="P84" i="2"/>
  <c r="L168" i="6" s="1"/>
  <c r="T84" i="2"/>
  <c r="N168" i="6" s="1"/>
  <c r="U84" i="2"/>
  <c r="O168" i="6" s="1"/>
  <c r="A85" i="2"/>
  <c r="A169" i="6" s="1"/>
  <c r="B85" i="2"/>
  <c r="B169" i="6" s="1"/>
  <c r="C85" i="2"/>
  <c r="E169" i="6" s="1"/>
  <c r="E85" i="2"/>
  <c r="I169" i="6" s="1"/>
  <c r="F85" i="2"/>
  <c r="J85" i="2"/>
  <c r="C169" i="6" s="1"/>
  <c r="N85" i="2"/>
  <c r="O85" i="2"/>
  <c r="P85" i="2"/>
  <c r="L169" i="6" s="1"/>
  <c r="T85" i="2"/>
  <c r="N169" i="6" s="1"/>
  <c r="U85" i="2"/>
  <c r="O169" i="6" s="1"/>
  <c r="A86" i="2"/>
  <c r="A170" i="6" s="1"/>
  <c r="B86" i="2"/>
  <c r="B170" i="6" s="1"/>
  <c r="C86" i="2"/>
  <c r="E170" i="6" s="1"/>
  <c r="E86" i="2"/>
  <c r="I170" i="6" s="1"/>
  <c r="F86" i="2"/>
  <c r="J86" i="2"/>
  <c r="C170" i="6" s="1"/>
  <c r="N86" i="2"/>
  <c r="O86" i="2"/>
  <c r="P86" i="2"/>
  <c r="L170" i="6" s="1"/>
  <c r="T86" i="2"/>
  <c r="N170" i="6" s="1"/>
  <c r="U86" i="2"/>
  <c r="O170" i="6" s="1"/>
  <c r="A87" i="2"/>
  <c r="A171" i="6" s="1"/>
  <c r="B87" i="2"/>
  <c r="B171" i="6" s="1"/>
  <c r="C87" i="2"/>
  <c r="E171" i="6" s="1"/>
  <c r="E87" i="2"/>
  <c r="I171" i="6" s="1"/>
  <c r="F87" i="2"/>
  <c r="J87" i="2"/>
  <c r="C171" i="6" s="1"/>
  <c r="N87" i="2"/>
  <c r="O87" i="2"/>
  <c r="P87" i="2"/>
  <c r="L171" i="6" s="1"/>
  <c r="T87" i="2"/>
  <c r="N171" i="6" s="1"/>
  <c r="U87" i="2"/>
  <c r="O171" i="6" s="1"/>
  <c r="A88" i="2"/>
  <c r="A172" i="6" s="1"/>
  <c r="B88" i="2"/>
  <c r="B172" i="6" s="1"/>
  <c r="C88" i="2"/>
  <c r="E172" i="6" s="1"/>
  <c r="E88" i="2"/>
  <c r="I172" i="6" s="1"/>
  <c r="F88" i="2"/>
  <c r="J88" i="2"/>
  <c r="C172" i="6" s="1"/>
  <c r="N88" i="2"/>
  <c r="O88" i="2"/>
  <c r="P88" i="2"/>
  <c r="L172" i="6" s="1"/>
  <c r="T88" i="2"/>
  <c r="N172" i="6" s="1"/>
  <c r="U88" i="2"/>
  <c r="O172" i="6" s="1"/>
  <c r="A89" i="2"/>
  <c r="A108" i="6" s="1"/>
  <c r="B89" i="2"/>
  <c r="B108" i="6" s="1"/>
  <c r="C89" i="2"/>
  <c r="E108" i="6" s="1"/>
  <c r="E89" i="2"/>
  <c r="I108" i="6" s="1"/>
  <c r="F89" i="2"/>
  <c r="J89" i="2"/>
  <c r="C108" i="6" s="1"/>
  <c r="N89" i="2"/>
  <c r="O89" i="2"/>
  <c r="P89" i="2"/>
  <c r="L108" i="6" s="1"/>
  <c r="T89" i="2"/>
  <c r="N108" i="6" s="1"/>
  <c r="U89" i="2"/>
  <c r="O108" i="6" s="1"/>
  <c r="A90" i="2"/>
  <c r="A173" i="6" s="1"/>
  <c r="B90" i="2"/>
  <c r="B173" i="6" s="1"/>
  <c r="C90" i="2"/>
  <c r="E173" i="6" s="1"/>
  <c r="E90" i="2"/>
  <c r="I173" i="6" s="1"/>
  <c r="F90" i="2"/>
  <c r="J90" i="2"/>
  <c r="C173" i="6" s="1"/>
  <c r="N90" i="2"/>
  <c r="O90" i="2"/>
  <c r="P90" i="2"/>
  <c r="L173" i="6" s="1"/>
  <c r="T90" i="2"/>
  <c r="N173" i="6" s="1"/>
  <c r="U90" i="2"/>
  <c r="O173" i="6" s="1"/>
  <c r="A91" i="2"/>
  <c r="A174" i="6" s="1"/>
  <c r="B91" i="2"/>
  <c r="B174" i="6" s="1"/>
  <c r="C91" i="2"/>
  <c r="E174" i="6" s="1"/>
  <c r="E91" i="2"/>
  <c r="I174" i="6" s="1"/>
  <c r="F91" i="2"/>
  <c r="J91" i="2"/>
  <c r="C174" i="6" s="1"/>
  <c r="N91" i="2"/>
  <c r="O91" i="2"/>
  <c r="P91" i="2"/>
  <c r="T91" i="2"/>
  <c r="N174" i="6" s="1"/>
  <c r="U91" i="2"/>
  <c r="O174" i="6" s="1"/>
  <c r="A92" i="2"/>
  <c r="A175" i="6" s="1"/>
  <c r="B92" i="2"/>
  <c r="B175" i="6" s="1"/>
  <c r="C92" i="2"/>
  <c r="E175" i="6" s="1"/>
  <c r="E92" i="2"/>
  <c r="I175" i="6" s="1"/>
  <c r="F92" i="2"/>
  <c r="J92" i="2"/>
  <c r="C175" i="6" s="1"/>
  <c r="N92" i="2"/>
  <c r="O92" i="2"/>
  <c r="P92" i="2"/>
  <c r="T92" i="2"/>
  <c r="N175" i="6" s="1"/>
  <c r="U92" i="2"/>
  <c r="O175" i="6" s="1"/>
  <c r="A93" i="2"/>
  <c r="A176" i="6" s="1"/>
  <c r="B93" i="2"/>
  <c r="B176" i="6" s="1"/>
  <c r="C93" i="2"/>
  <c r="E176" i="6" s="1"/>
  <c r="E93" i="2"/>
  <c r="I176" i="6" s="1"/>
  <c r="F93" i="2"/>
  <c r="J93" i="2"/>
  <c r="C176" i="6" s="1"/>
  <c r="N93" i="2"/>
  <c r="O93" i="2"/>
  <c r="P93" i="2"/>
  <c r="L176" i="6" s="1"/>
  <c r="T93" i="2"/>
  <c r="N176" i="6" s="1"/>
  <c r="U93" i="2"/>
  <c r="O176" i="6" s="1"/>
  <c r="A94" i="2"/>
  <c r="A177" i="6" s="1"/>
  <c r="B94" i="2"/>
  <c r="B177" i="6" s="1"/>
  <c r="C94" i="2"/>
  <c r="E177" i="6" s="1"/>
  <c r="E94" i="2"/>
  <c r="I177" i="6" s="1"/>
  <c r="F94" i="2"/>
  <c r="J94" i="2"/>
  <c r="C177" i="6" s="1"/>
  <c r="N94" i="2"/>
  <c r="O94" i="2"/>
  <c r="P94" i="2"/>
  <c r="L177" i="6" s="1"/>
  <c r="T94" i="2"/>
  <c r="N177" i="6" s="1"/>
  <c r="U94" i="2"/>
  <c r="O177" i="6" s="1"/>
  <c r="A95" i="2"/>
  <c r="A178" i="6" s="1"/>
  <c r="B95" i="2"/>
  <c r="B178" i="6" s="1"/>
  <c r="C95" i="2"/>
  <c r="E178" i="6" s="1"/>
  <c r="E95" i="2"/>
  <c r="I178" i="6" s="1"/>
  <c r="F95" i="2"/>
  <c r="J95" i="2"/>
  <c r="C178" i="6" s="1"/>
  <c r="N95" i="2"/>
  <c r="O95" i="2"/>
  <c r="P95" i="2"/>
  <c r="L178" i="6" s="1"/>
  <c r="T95" i="2"/>
  <c r="N178" i="6" s="1"/>
  <c r="U95" i="2"/>
  <c r="O178" i="6" s="1"/>
  <c r="A96" i="2"/>
  <c r="A179" i="6" s="1"/>
  <c r="B96" i="2"/>
  <c r="B179" i="6" s="1"/>
  <c r="C96" i="2"/>
  <c r="E179" i="6" s="1"/>
  <c r="E96" i="2"/>
  <c r="I179" i="6" s="1"/>
  <c r="F96" i="2"/>
  <c r="J96" i="2"/>
  <c r="C179" i="6" s="1"/>
  <c r="N96" i="2"/>
  <c r="O96" i="2"/>
  <c r="P96" i="2"/>
  <c r="L179" i="6" s="1"/>
  <c r="T96" i="2"/>
  <c r="N179" i="6" s="1"/>
  <c r="U96" i="2"/>
  <c r="O179" i="6" s="1"/>
  <c r="A97" i="2"/>
  <c r="A180" i="6" s="1"/>
  <c r="B97" i="2"/>
  <c r="B180" i="6" s="1"/>
  <c r="C97" i="2"/>
  <c r="E180" i="6" s="1"/>
  <c r="E97" i="2"/>
  <c r="I180" i="6" s="1"/>
  <c r="F97" i="2"/>
  <c r="J97" i="2"/>
  <c r="C180" i="6" s="1"/>
  <c r="N97" i="2"/>
  <c r="O97" i="2"/>
  <c r="P97" i="2"/>
  <c r="L180" i="6" s="1"/>
  <c r="T97" i="2"/>
  <c r="N180" i="6" s="1"/>
  <c r="U97" i="2"/>
  <c r="O180" i="6" s="1"/>
  <c r="A98" i="2"/>
  <c r="A181" i="6" s="1"/>
  <c r="B98" i="2"/>
  <c r="B181" i="6" s="1"/>
  <c r="C98" i="2"/>
  <c r="E181" i="6" s="1"/>
  <c r="E98" i="2"/>
  <c r="I181" i="6" s="1"/>
  <c r="F98" i="2"/>
  <c r="J98" i="2"/>
  <c r="C181" i="6" s="1"/>
  <c r="N98" i="2"/>
  <c r="O98" i="2"/>
  <c r="P98" i="2"/>
  <c r="L181" i="6" s="1"/>
  <c r="T98" i="2"/>
  <c r="N181" i="6" s="1"/>
  <c r="U98" i="2"/>
  <c r="O181" i="6" s="1"/>
  <c r="A99" i="2"/>
  <c r="A182" i="6" s="1"/>
  <c r="B99" i="2"/>
  <c r="B182" i="6" s="1"/>
  <c r="C99" i="2"/>
  <c r="E182" i="6" s="1"/>
  <c r="E99" i="2"/>
  <c r="I182" i="6" s="1"/>
  <c r="F99" i="2"/>
  <c r="J99" i="2"/>
  <c r="C182" i="6" s="1"/>
  <c r="N99" i="2"/>
  <c r="O99" i="2"/>
  <c r="P99" i="2"/>
  <c r="L182" i="6" s="1"/>
  <c r="T99" i="2"/>
  <c r="N182" i="6" s="1"/>
  <c r="U99" i="2"/>
  <c r="O182" i="6" s="1"/>
  <c r="A100" i="2"/>
  <c r="A183" i="6" s="1"/>
  <c r="B100" i="2"/>
  <c r="B183" i="6" s="1"/>
  <c r="C100" i="2"/>
  <c r="E183" i="6" s="1"/>
  <c r="E100" i="2"/>
  <c r="I183" i="6" s="1"/>
  <c r="F100" i="2"/>
  <c r="J100" i="2"/>
  <c r="C183" i="6" s="1"/>
  <c r="N100" i="2"/>
  <c r="O100" i="2"/>
  <c r="P100" i="2"/>
  <c r="L183" i="6" s="1"/>
  <c r="T100" i="2"/>
  <c r="N183" i="6" s="1"/>
  <c r="U100" i="2"/>
  <c r="O183" i="6" s="1"/>
  <c r="A101" i="2"/>
  <c r="A184" i="6" s="1"/>
  <c r="B101" i="2"/>
  <c r="B184" i="6" s="1"/>
  <c r="C101" i="2"/>
  <c r="E184" i="6" s="1"/>
  <c r="E101" i="2"/>
  <c r="I184" i="6" s="1"/>
  <c r="F101" i="2"/>
  <c r="J101" i="2"/>
  <c r="C184" i="6" s="1"/>
  <c r="N101" i="2"/>
  <c r="O101" i="2"/>
  <c r="P101" i="2"/>
  <c r="L184" i="6" s="1"/>
  <c r="T101" i="2"/>
  <c r="N184" i="6" s="1"/>
  <c r="U101" i="2"/>
  <c r="O184" i="6" s="1"/>
  <c r="A47" i="2"/>
  <c r="B47" i="2"/>
  <c r="B61" i="6" s="1"/>
  <c r="C47" i="2"/>
  <c r="E61" i="6" s="1"/>
  <c r="E47" i="2"/>
  <c r="I61" i="6" s="1"/>
  <c r="F47" i="2"/>
  <c r="J47" i="2"/>
  <c r="C61" i="6" s="1"/>
  <c r="N47" i="2"/>
  <c r="O47" i="2"/>
  <c r="P47" i="2"/>
  <c r="L61" i="6" s="1"/>
  <c r="T47" i="2"/>
  <c r="N61" i="6" s="1"/>
  <c r="U47" i="2"/>
  <c r="O61" i="6" s="1"/>
  <c r="A48" i="2"/>
  <c r="B48" i="2"/>
  <c r="B62" i="6" s="1"/>
  <c r="E62" i="6"/>
  <c r="E48" i="2"/>
  <c r="E416" i="4" s="1"/>
  <c r="F48" i="2"/>
  <c r="J48" i="2"/>
  <c r="C62" i="6" s="1"/>
  <c r="N48" i="2"/>
  <c r="O48" i="2"/>
  <c r="P48" i="2"/>
  <c r="L62" i="6" s="1"/>
  <c r="T48" i="2"/>
  <c r="N62" i="6" s="1"/>
  <c r="U48" i="2"/>
  <c r="O62" i="6" s="1"/>
  <c r="A49" i="2"/>
  <c r="B49" i="2"/>
  <c r="B63" i="6" s="1"/>
  <c r="C49" i="2"/>
  <c r="E63" i="6" s="1"/>
  <c r="E49" i="2"/>
  <c r="I63" i="6" s="1"/>
  <c r="F49" i="2"/>
  <c r="J49" i="2"/>
  <c r="C63" i="6" s="1"/>
  <c r="N49" i="2"/>
  <c r="O49" i="2"/>
  <c r="P49" i="2"/>
  <c r="L63" i="6" s="1"/>
  <c r="T49" i="2"/>
  <c r="N63" i="6" s="1"/>
  <c r="U49" i="2"/>
  <c r="O63" i="6" s="1"/>
  <c r="A50" i="2"/>
  <c r="B50" i="2"/>
  <c r="B64" i="6" s="1"/>
  <c r="C50" i="2"/>
  <c r="E64" i="6" s="1"/>
  <c r="E50" i="2"/>
  <c r="I64" i="6" s="1"/>
  <c r="F50" i="2"/>
  <c r="J50" i="2"/>
  <c r="C64" i="6" s="1"/>
  <c r="N50" i="2"/>
  <c r="O50" i="2"/>
  <c r="P50" i="2"/>
  <c r="L64" i="6" s="1"/>
  <c r="T50" i="2"/>
  <c r="N64" i="6" s="1"/>
  <c r="U50" i="2"/>
  <c r="O64" i="6" s="1"/>
  <c r="A51" i="2"/>
  <c r="B51" i="2"/>
  <c r="B65" i="6" s="1"/>
  <c r="C51" i="2"/>
  <c r="E65" i="6" s="1"/>
  <c r="E51" i="2"/>
  <c r="I65" i="6" s="1"/>
  <c r="F51" i="2"/>
  <c r="J51" i="2"/>
  <c r="C65" i="6" s="1"/>
  <c r="N51" i="2"/>
  <c r="O51" i="2"/>
  <c r="P51" i="2"/>
  <c r="L65" i="6" s="1"/>
  <c r="T51" i="2"/>
  <c r="N65" i="6" s="1"/>
  <c r="U51" i="2"/>
  <c r="O65" i="6" s="1"/>
  <c r="A52" i="2"/>
  <c r="B52" i="2"/>
  <c r="B66" i="6" s="1"/>
  <c r="C52" i="2"/>
  <c r="E66" i="6" s="1"/>
  <c r="E52" i="2"/>
  <c r="I66" i="6" s="1"/>
  <c r="F52" i="2"/>
  <c r="J52" i="2"/>
  <c r="C66" i="6" s="1"/>
  <c r="N52" i="2"/>
  <c r="O52" i="2"/>
  <c r="P52" i="2"/>
  <c r="L66" i="6" s="1"/>
  <c r="T52" i="2"/>
  <c r="N66" i="6" s="1"/>
  <c r="U52" i="2"/>
  <c r="O66" i="6" s="1"/>
  <c r="A53" i="2"/>
  <c r="B53" i="2"/>
  <c r="B119" i="6" s="1"/>
  <c r="C53" i="2"/>
  <c r="E119" i="6" s="1"/>
  <c r="E53" i="2"/>
  <c r="I119" i="6" s="1"/>
  <c r="F53" i="2"/>
  <c r="J53" i="2"/>
  <c r="C119" i="6" s="1"/>
  <c r="N53" i="2"/>
  <c r="O53" i="2"/>
  <c r="P53" i="2"/>
  <c r="L119" i="6" s="1"/>
  <c r="T53" i="2"/>
  <c r="N119" i="6" s="1"/>
  <c r="U53" i="2"/>
  <c r="O119" i="6" s="1"/>
  <c r="A54" i="2"/>
  <c r="B54" i="2"/>
  <c r="B161" i="6" s="1"/>
  <c r="C54" i="2"/>
  <c r="E161" i="6" s="1"/>
  <c r="E54" i="2"/>
  <c r="I161" i="6" s="1"/>
  <c r="F54" i="2"/>
  <c r="J54" i="2"/>
  <c r="C161" i="6" s="1"/>
  <c r="N54" i="2"/>
  <c r="O54" i="2"/>
  <c r="P54" i="2"/>
  <c r="L161" i="6" s="1"/>
  <c r="T54" i="2"/>
  <c r="N161" i="6" s="1"/>
  <c r="U54" i="2"/>
  <c r="O161" i="6" s="1"/>
  <c r="A55" i="2"/>
  <c r="B55" i="2"/>
  <c r="B120" i="6" s="1"/>
  <c r="C55" i="2"/>
  <c r="E120" i="6" s="1"/>
  <c r="E55" i="2"/>
  <c r="I120" i="6" s="1"/>
  <c r="F55" i="2"/>
  <c r="J55" i="2"/>
  <c r="C120" i="6" s="1"/>
  <c r="N55" i="2"/>
  <c r="O55" i="2"/>
  <c r="P55" i="2"/>
  <c r="L120" i="6" s="1"/>
  <c r="T55" i="2"/>
  <c r="N120" i="6" s="1"/>
  <c r="U55" i="2"/>
  <c r="O120" i="6" s="1"/>
  <c r="A56" i="2"/>
  <c r="B56" i="2"/>
  <c r="B162" i="6" s="1"/>
  <c r="C56" i="2"/>
  <c r="E162" i="6" s="1"/>
  <c r="E56" i="2"/>
  <c r="I162" i="6" s="1"/>
  <c r="F56" i="2"/>
  <c r="J56" i="2"/>
  <c r="C162" i="6" s="1"/>
  <c r="N56" i="2"/>
  <c r="O56" i="2"/>
  <c r="P56" i="2"/>
  <c r="L162" i="6" s="1"/>
  <c r="T56" i="2"/>
  <c r="N162" i="6" s="1"/>
  <c r="U56" i="2"/>
  <c r="O162" i="6" s="1"/>
  <c r="A57" i="2"/>
  <c r="B57" i="2"/>
  <c r="B121" i="6" s="1"/>
  <c r="C57" i="2"/>
  <c r="E121" i="6" s="1"/>
  <c r="E57" i="2"/>
  <c r="I121" i="6" s="1"/>
  <c r="F57" i="2"/>
  <c r="J57" i="2"/>
  <c r="C121" i="6" s="1"/>
  <c r="N57" i="2"/>
  <c r="O57" i="2"/>
  <c r="P57" i="2"/>
  <c r="L121" i="6" s="1"/>
  <c r="T57" i="2"/>
  <c r="N121" i="6" s="1"/>
  <c r="U57" i="2"/>
  <c r="O121" i="6" s="1"/>
  <c r="A58" i="2"/>
  <c r="B58" i="2"/>
  <c r="B122" i="6" s="1"/>
  <c r="C58" i="2"/>
  <c r="E122" i="6" s="1"/>
  <c r="E58" i="2"/>
  <c r="I122" i="6" s="1"/>
  <c r="F58" i="2"/>
  <c r="J58" i="2"/>
  <c r="C122" i="6" s="1"/>
  <c r="N58" i="2"/>
  <c r="O58" i="2"/>
  <c r="P58" i="2"/>
  <c r="L122" i="6" s="1"/>
  <c r="T58" i="2"/>
  <c r="N122" i="6" s="1"/>
  <c r="U58" i="2"/>
  <c r="O122" i="6" s="1"/>
  <c r="A59" i="2"/>
  <c r="B59" i="2"/>
  <c r="B123" i="6" s="1"/>
  <c r="C59" i="2"/>
  <c r="E123" i="6" s="1"/>
  <c r="E59" i="2"/>
  <c r="I123" i="6" s="1"/>
  <c r="F59" i="2"/>
  <c r="J59" i="2"/>
  <c r="C123" i="6" s="1"/>
  <c r="N59" i="2"/>
  <c r="O59" i="2"/>
  <c r="P59" i="2"/>
  <c r="L123" i="6" s="1"/>
  <c r="T59" i="2"/>
  <c r="N123" i="6" s="1"/>
  <c r="U59" i="2"/>
  <c r="O123" i="6" s="1"/>
  <c r="A60" i="2"/>
  <c r="B60" i="2"/>
  <c r="B124" i="6" s="1"/>
  <c r="C60" i="2"/>
  <c r="E124" i="6" s="1"/>
  <c r="E60" i="2"/>
  <c r="I124" i="6" s="1"/>
  <c r="F60" i="2"/>
  <c r="J60" i="2"/>
  <c r="C124" i="6" s="1"/>
  <c r="N60" i="2"/>
  <c r="O60" i="2"/>
  <c r="P60" i="2"/>
  <c r="L124" i="6" s="1"/>
  <c r="T60" i="2"/>
  <c r="N124" i="6" s="1"/>
  <c r="U60" i="2"/>
  <c r="O124" i="6" s="1"/>
  <c r="A61" i="2"/>
  <c r="B61" i="2"/>
  <c r="B163" i="6" s="1"/>
  <c r="C61" i="2"/>
  <c r="E163" i="6" s="1"/>
  <c r="E61" i="2"/>
  <c r="I163" i="6" s="1"/>
  <c r="F61" i="2"/>
  <c r="J61" i="2"/>
  <c r="C163" i="6" s="1"/>
  <c r="N61" i="2"/>
  <c r="O61" i="2"/>
  <c r="P61" i="2"/>
  <c r="L163" i="6" s="1"/>
  <c r="T61" i="2"/>
  <c r="N163" i="6" s="1"/>
  <c r="U61" i="2"/>
  <c r="O163" i="6" s="1"/>
  <c r="A62" i="2"/>
  <c r="B62" i="2"/>
  <c r="B164" i="6" s="1"/>
  <c r="C62" i="2"/>
  <c r="E164" i="6" s="1"/>
  <c r="E62" i="2"/>
  <c r="I164" i="6" s="1"/>
  <c r="F62" i="2"/>
  <c r="J62" i="2"/>
  <c r="C164" i="6" s="1"/>
  <c r="N62" i="2"/>
  <c r="O62" i="2"/>
  <c r="P62" i="2"/>
  <c r="L164" i="6" s="1"/>
  <c r="T62" i="2"/>
  <c r="N164" i="6" s="1"/>
  <c r="U62" i="2"/>
  <c r="O164" i="6" s="1"/>
  <c r="A63" i="2"/>
  <c r="B63" i="2"/>
  <c r="B165" i="6" s="1"/>
  <c r="C63" i="2"/>
  <c r="E165" i="6" s="1"/>
  <c r="E63" i="2"/>
  <c r="I165" i="6" s="1"/>
  <c r="F63" i="2"/>
  <c r="J63" i="2"/>
  <c r="C165" i="6" s="1"/>
  <c r="N63" i="2"/>
  <c r="O63" i="2"/>
  <c r="P63" i="2"/>
  <c r="L165" i="6" s="1"/>
  <c r="T63" i="2"/>
  <c r="N165" i="6" s="1"/>
  <c r="U63" i="2"/>
  <c r="O165" i="6" s="1"/>
  <c r="A30" i="2"/>
  <c r="A12" i="6" s="1"/>
  <c r="B30" i="2"/>
  <c r="B12" i="6" s="1"/>
  <c r="C30" i="2"/>
  <c r="E12" i="6" s="1"/>
  <c r="E30" i="2"/>
  <c r="I12" i="6" s="1"/>
  <c r="F30" i="2"/>
  <c r="J30" i="2"/>
  <c r="C12" i="6" s="1"/>
  <c r="N30" i="2"/>
  <c r="O30" i="2"/>
  <c r="P30" i="2"/>
  <c r="L12" i="6" s="1"/>
  <c r="T30" i="2"/>
  <c r="N12" i="6" s="1"/>
  <c r="U30" i="2"/>
  <c r="O12" i="6" s="1"/>
  <c r="A31" i="2"/>
  <c r="A13" i="6" s="1"/>
  <c r="B31" i="2"/>
  <c r="B13" i="6" s="1"/>
  <c r="C31" i="2"/>
  <c r="E13" i="6" s="1"/>
  <c r="E31" i="2"/>
  <c r="F31" i="2"/>
  <c r="J31" i="2"/>
  <c r="C13" i="6" s="1"/>
  <c r="N31" i="2"/>
  <c r="O31" i="2"/>
  <c r="P31" i="2"/>
  <c r="L13" i="6" s="1"/>
  <c r="T31" i="2"/>
  <c r="N13" i="6" s="1"/>
  <c r="U31" i="2"/>
  <c r="O13" i="6" s="1"/>
  <c r="A32" i="2"/>
  <c r="A160" i="6" s="1"/>
  <c r="B32" i="2"/>
  <c r="B160" i="6" s="1"/>
  <c r="C32" i="2"/>
  <c r="E160" i="6" s="1"/>
  <c r="E32" i="2"/>
  <c r="I160" i="6" s="1"/>
  <c r="F32" i="2"/>
  <c r="J32" i="2"/>
  <c r="C160" i="6" s="1"/>
  <c r="N32" i="2"/>
  <c r="O32" i="2"/>
  <c r="P32" i="2"/>
  <c r="L160" i="6" s="1"/>
  <c r="T32" i="2"/>
  <c r="N160" i="6" s="1"/>
  <c r="U32" i="2"/>
  <c r="O160" i="6" s="1"/>
  <c r="A33" i="2"/>
  <c r="A14" i="6" s="1"/>
  <c r="B33" i="2"/>
  <c r="B14" i="6" s="1"/>
  <c r="C33" i="2"/>
  <c r="E14" i="6" s="1"/>
  <c r="E33" i="2"/>
  <c r="I14" i="6" s="1"/>
  <c r="F33" i="2"/>
  <c r="J33" i="2"/>
  <c r="C14" i="6" s="1"/>
  <c r="N33" i="2"/>
  <c r="O33" i="2"/>
  <c r="P33" i="2"/>
  <c r="L14" i="6" s="1"/>
  <c r="T33" i="2"/>
  <c r="N14" i="6" s="1"/>
  <c r="U33" i="2"/>
  <c r="O14" i="6" s="1"/>
  <c r="A34" i="2"/>
  <c r="A15" i="6" s="1"/>
  <c r="B34" i="2"/>
  <c r="B15" i="6" s="1"/>
  <c r="C34" i="2"/>
  <c r="E15" i="6" s="1"/>
  <c r="E34" i="2"/>
  <c r="I15" i="6" s="1"/>
  <c r="F34" i="2"/>
  <c r="J34" i="2"/>
  <c r="C15" i="6" s="1"/>
  <c r="N34" i="2"/>
  <c r="O34" i="2"/>
  <c r="P34" i="2"/>
  <c r="L15" i="6" s="1"/>
  <c r="T34" i="2"/>
  <c r="N15" i="6" s="1"/>
  <c r="U34" i="2"/>
  <c r="O15" i="6" s="1"/>
  <c r="A35" i="2"/>
  <c r="A16" i="6" s="1"/>
  <c r="B35" i="2"/>
  <c r="B16" i="6" s="1"/>
  <c r="C35" i="2"/>
  <c r="E16" i="6" s="1"/>
  <c r="E35" i="2"/>
  <c r="I16" i="6" s="1"/>
  <c r="F35" i="2"/>
  <c r="J35" i="2"/>
  <c r="C16" i="6" s="1"/>
  <c r="N35" i="2"/>
  <c r="O35" i="2"/>
  <c r="P35" i="2"/>
  <c r="L16" i="6" s="1"/>
  <c r="T35" i="2"/>
  <c r="N16" i="6" s="1"/>
  <c r="U35" i="2"/>
  <c r="O16" i="6" s="1"/>
  <c r="A36" i="2"/>
  <c r="A17" i="6" s="1"/>
  <c r="B36" i="2"/>
  <c r="B17" i="6" s="1"/>
  <c r="C36" i="2"/>
  <c r="E17" i="6" s="1"/>
  <c r="E36" i="2"/>
  <c r="I17" i="6" s="1"/>
  <c r="F36" i="2"/>
  <c r="F17" i="6" s="1"/>
  <c r="J36" i="2"/>
  <c r="C17" i="6" s="1"/>
  <c r="N36" i="2"/>
  <c r="O36" i="2"/>
  <c r="P36" i="2"/>
  <c r="L17" i="6" s="1"/>
  <c r="T36" i="2"/>
  <c r="N17" i="6" s="1"/>
  <c r="U36" i="2"/>
  <c r="O17" i="6" s="1"/>
  <c r="A11" i="2"/>
  <c r="B11" i="2"/>
  <c r="B51" i="6" s="1"/>
  <c r="C11" i="2"/>
  <c r="E51" i="6" s="1"/>
  <c r="E11" i="2"/>
  <c r="I51" i="6" s="1"/>
  <c r="F11" i="2"/>
  <c r="J11" i="2"/>
  <c r="C51" i="6" s="1"/>
  <c r="N11" i="2"/>
  <c r="O11" i="2"/>
  <c r="P11" i="2"/>
  <c r="L51" i="6" s="1"/>
  <c r="T11" i="2"/>
  <c r="N51" i="6" s="1"/>
  <c r="U11" i="2"/>
  <c r="O51" i="6" s="1"/>
  <c r="A12" i="2"/>
  <c r="B12" i="2"/>
  <c r="B52" i="6" s="1"/>
  <c r="C12" i="2"/>
  <c r="E52" i="6" s="1"/>
  <c r="E12" i="2"/>
  <c r="I52" i="6" s="1"/>
  <c r="F12" i="2"/>
  <c r="J12" i="2"/>
  <c r="C52" i="6" s="1"/>
  <c r="N12" i="2"/>
  <c r="O12" i="2"/>
  <c r="P12" i="2"/>
  <c r="L52" i="6" s="1"/>
  <c r="T12" i="2"/>
  <c r="N52" i="6" s="1"/>
  <c r="U12" i="2"/>
  <c r="O52" i="6" s="1"/>
  <c r="A13" i="2"/>
  <c r="B13" i="2"/>
  <c r="B53" i="6" s="1"/>
  <c r="C13" i="2"/>
  <c r="E53" i="6" s="1"/>
  <c r="E13" i="2"/>
  <c r="I53" i="6" s="1"/>
  <c r="F13" i="2"/>
  <c r="J13" i="2"/>
  <c r="C53" i="6" s="1"/>
  <c r="N13" i="2"/>
  <c r="O13" i="2"/>
  <c r="P13" i="2"/>
  <c r="L53" i="6" s="1"/>
  <c r="T13" i="2"/>
  <c r="N53" i="6" s="1"/>
  <c r="U13" i="2"/>
  <c r="O53" i="6" s="1"/>
  <c r="A14" i="2"/>
  <c r="B14" i="2"/>
  <c r="B54" i="6" s="1"/>
  <c r="C14" i="2"/>
  <c r="E54" i="6" s="1"/>
  <c r="E14" i="2"/>
  <c r="I54" i="6" s="1"/>
  <c r="F14" i="2"/>
  <c r="J14" i="2"/>
  <c r="C54" i="6" s="1"/>
  <c r="N14" i="2"/>
  <c r="O14" i="2"/>
  <c r="P14" i="2"/>
  <c r="L54" i="6" s="1"/>
  <c r="T14" i="2"/>
  <c r="N54" i="6" s="1"/>
  <c r="U14" i="2"/>
  <c r="O54" i="6" s="1"/>
  <c r="A15" i="2"/>
  <c r="B15" i="2"/>
  <c r="B55" i="6" s="1"/>
  <c r="C15" i="2"/>
  <c r="E55" i="6" s="1"/>
  <c r="E15" i="2"/>
  <c r="I55" i="6" s="1"/>
  <c r="F15" i="2"/>
  <c r="J15" i="2"/>
  <c r="C55" i="6" s="1"/>
  <c r="N15" i="2"/>
  <c r="O15" i="2"/>
  <c r="P15" i="2"/>
  <c r="L55" i="6" s="1"/>
  <c r="T15" i="2"/>
  <c r="N55" i="6" s="1"/>
  <c r="U15" i="2"/>
  <c r="O55" i="6" s="1"/>
  <c r="A16" i="2"/>
  <c r="B16" i="2"/>
  <c r="B56" i="6" s="1"/>
  <c r="C16" i="2"/>
  <c r="E56" i="6" s="1"/>
  <c r="E16" i="2"/>
  <c r="I56" i="6" s="1"/>
  <c r="F16" i="2"/>
  <c r="J16" i="2"/>
  <c r="C56" i="6" s="1"/>
  <c r="N16" i="2"/>
  <c r="O16" i="2"/>
  <c r="P16" i="2"/>
  <c r="L56" i="6" s="1"/>
  <c r="T16" i="2"/>
  <c r="N56" i="6" s="1"/>
  <c r="U16" i="2"/>
  <c r="O56" i="6" s="1"/>
  <c r="A17" i="2"/>
  <c r="B17" i="2"/>
  <c r="B57" i="6" s="1"/>
  <c r="C17" i="2"/>
  <c r="E57" i="6" s="1"/>
  <c r="E17" i="2"/>
  <c r="I57" i="6" s="1"/>
  <c r="F17" i="2"/>
  <c r="J17" i="2"/>
  <c r="C57" i="6" s="1"/>
  <c r="N17" i="2"/>
  <c r="O17" i="2"/>
  <c r="P17" i="2"/>
  <c r="L57" i="6" s="1"/>
  <c r="T17" i="2"/>
  <c r="N57" i="6" s="1"/>
  <c r="U17" i="2"/>
  <c r="O57" i="6" s="1"/>
  <c r="A18" i="2"/>
  <c r="B18" i="2"/>
  <c r="B159" i="6" s="1"/>
  <c r="C18" i="2"/>
  <c r="E159" i="6" s="1"/>
  <c r="E18" i="2"/>
  <c r="F18" i="2"/>
  <c r="J18" i="2"/>
  <c r="C159" i="6" s="1"/>
  <c r="N18" i="2"/>
  <c r="O18" i="2"/>
  <c r="P18" i="2"/>
  <c r="L159" i="6" s="1"/>
  <c r="T18" i="2"/>
  <c r="N159" i="6" s="1"/>
  <c r="U18" i="2"/>
  <c r="O159" i="6" s="1"/>
  <c r="A19" i="2"/>
  <c r="B19" i="2"/>
  <c r="B113" i="6" s="1"/>
  <c r="C19" i="2"/>
  <c r="E113" i="6" s="1"/>
  <c r="E19" i="2"/>
  <c r="I113" i="6" s="1"/>
  <c r="F19" i="2"/>
  <c r="J19" i="2"/>
  <c r="C113" i="6" s="1"/>
  <c r="N19" i="2"/>
  <c r="O19" i="2"/>
  <c r="P19" i="2"/>
  <c r="L113" i="6" s="1"/>
  <c r="T19" i="2"/>
  <c r="N113" i="6" s="1"/>
  <c r="U19" i="2"/>
  <c r="O113" i="6" s="1"/>
  <c r="A20" i="2"/>
  <c r="B20" i="2"/>
  <c r="B114" i="6" s="1"/>
  <c r="C20" i="2"/>
  <c r="E114" i="6" s="1"/>
  <c r="E20" i="2"/>
  <c r="I114" i="6" s="1"/>
  <c r="F20" i="2"/>
  <c r="J20" i="2"/>
  <c r="C114" i="6" s="1"/>
  <c r="N20" i="2"/>
  <c r="O20" i="2"/>
  <c r="P20" i="2"/>
  <c r="L114" i="6" s="1"/>
  <c r="T20" i="2"/>
  <c r="N114" i="6" s="1"/>
  <c r="U20" i="2"/>
  <c r="O114" i="6" s="1"/>
  <c r="A21" i="2"/>
  <c r="B21" i="2"/>
  <c r="B115" i="6" s="1"/>
  <c r="C21" i="2"/>
  <c r="E115" i="6" s="1"/>
  <c r="E21" i="2"/>
  <c r="I115" i="6" s="1"/>
  <c r="F21" i="2"/>
  <c r="J21" i="2"/>
  <c r="C115" i="6" s="1"/>
  <c r="N21" i="2"/>
  <c r="O21" i="2"/>
  <c r="P21" i="2"/>
  <c r="L115" i="6" s="1"/>
  <c r="T21" i="2"/>
  <c r="N115" i="6" s="1"/>
  <c r="U21" i="2"/>
  <c r="O115" i="6" s="1"/>
  <c r="A22" i="2"/>
  <c r="B22" i="2"/>
  <c r="B116" i="6" s="1"/>
  <c r="C22" i="2"/>
  <c r="E116" i="6" s="1"/>
  <c r="E22" i="2"/>
  <c r="I116" i="6" s="1"/>
  <c r="F22" i="2"/>
  <c r="J22" i="2"/>
  <c r="C116" i="6" s="1"/>
  <c r="N22" i="2"/>
  <c r="O22" i="2"/>
  <c r="P22" i="2"/>
  <c r="L116" i="6" s="1"/>
  <c r="T22" i="2"/>
  <c r="N116" i="6" s="1"/>
  <c r="U22" i="2"/>
  <c r="O116" i="6" s="1"/>
  <c r="A23" i="2"/>
  <c r="B23" i="2"/>
  <c r="B117" i="6" s="1"/>
  <c r="C23" i="2"/>
  <c r="E117" i="6" s="1"/>
  <c r="E23" i="2"/>
  <c r="I117" i="6" s="1"/>
  <c r="F23" i="2"/>
  <c r="J23" i="2"/>
  <c r="C117" i="6" s="1"/>
  <c r="N23" i="2"/>
  <c r="O23" i="2"/>
  <c r="P23" i="2"/>
  <c r="L117" i="6" s="1"/>
  <c r="T23" i="2"/>
  <c r="N117" i="6" s="1"/>
  <c r="U23" i="2"/>
  <c r="O117" i="6" s="1"/>
  <c r="A24" i="2"/>
  <c r="B24" i="2"/>
  <c r="B118" i="6" s="1"/>
  <c r="C24" i="2"/>
  <c r="E118" i="6" s="1"/>
  <c r="E24" i="2"/>
  <c r="I118" i="6" s="1"/>
  <c r="F24" i="2"/>
  <c r="J24" i="2"/>
  <c r="C118" i="6" s="1"/>
  <c r="N24" i="2"/>
  <c r="O24" i="2"/>
  <c r="P24" i="2"/>
  <c r="L118" i="6" s="1"/>
  <c r="T24" i="2"/>
  <c r="N118" i="6" s="1"/>
  <c r="U24" i="2"/>
  <c r="O118" i="6" s="1"/>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26" i="3"/>
  <c r="B27" i="3"/>
  <c r="B28" i="3"/>
  <c r="B29" i="3"/>
  <c r="B30" i="3"/>
  <c r="B31" i="3"/>
  <c r="B32" i="3"/>
  <c r="B33" i="3"/>
  <c r="B34" i="3"/>
  <c r="B35" i="3"/>
  <c r="B36" i="3"/>
  <c r="B37" i="3"/>
  <c r="B38" i="3"/>
  <c r="B39" i="3"/>
  <c r="B40" i="3"/>
  <c r="B41" i="3"/>
  <c r="B42" i="3"/>
  <c r="B43" i="3"/>
  <c r="B44" i="3"/>
  <c r="B9" i="3"/>
  <c r="B10" i="3"/>
  <c r="B11" i="3"/>
  <c r="B12" i="3"/>
  <c r="B13" i="3"/>
  <c r="B14" i="3"/>
  <c r="B15" i="3"/>
  <c r="B16" i="3"/>
  <c r="B17" i="3"/>
  <c r="B18" i="3"/>
  <c r="B19" i="3"/>
  <c r="B20" i="3"/>
  <c r="B21" i="3"/>
  <c r="B22" i="3"/>
  <c r="B23" i="3"/>
  <c r="A115" i="7"/>
  <c r="B115" i="7"/>
  <c r="D115" i="7"/>
  <c r="G115" i="7"/>
  <c r="H115" i="7"/>
  <c r="A116" i="7"/>
  <c r="B116" i="7"/>
  <c r="D116" i="7"/>
  <c r="G116" i="7"/>
  <c r="J116" i="7" s="1"/>
  <c r="H116" i="7"/>
  <c r="A117" i="7"/>
  <c r="B117" i="7"/>
  <c r="D117" i="7"/>
  <c r="G117" i="7"/>
  <c r="J117" i="7" s="1"/>
  <c r="H117" i="7"/>
  <c r="A118" i="7"/>
  <c r="B118" i="7"/>
  <c r="D118" i="7"/>
  <c r="G118" i="7"/>
  <c r="H118" i="7"/>
  <c r="A119" i="7"/>
  <c r="B119" i="7"/>
  <c r="D119" i="7"/>
  <c r="G119" i="7"/>
  <c r="H119" i="7"/>
  <c r="A120" i="7"/>
  <c r="B120" i="7"/>
  <c r="D120" i="7"/>
  <c r="G120" i="7"/>
  <c r="J120" i="7" s="1"/>
  <c r="H120" i="7"/>
  <c r="A121" i="7"/>
  <c r="B121" i="7"/>
  <c r="D121" i="7"/>
  <c r="G121" i="7"/>
  <c r="J121" i="7" s="1"/>
  <c r="H121" i="7"/>
  <c r="A122" i="7"/>
  <c r="B122" i="7"/>
  <c r="D122" i="7"/>
  <c r="G122" i="7"/>
  <c r="J122" i="7" s="1"/>
  <c r="H122" i="7"/>
  <c r="A123" i="7"/>
  <c r="B123" i="7"/>
  <c r="D123" i="7"/>
  <c r="G123" i="7"/>
  <c r="H123" i="7"/>
  <c r="A124" i="7"/>
  <c r="B124" i="7"/>
  <c r="D124" i="7"/>
  <c r="G124" i="7"/>
  <c r="J124" i="7" s="1"/>
  <c r="H124" i="7"/>
  <c r="A125" i="7"/>
  <c r="B125" i="7"/>
  <c r="D125" i="7"/>
  <c r="G125" i="7"/>
  <c r="H125" i="7"/>
  <c r="A126" i="7"/>
  <c r="B126" i="7"/>
  <c r="D126" i="7"/>
  <c r="G126" i="7"/>
  <c r="J126" i="7" s="1"/>
  <c r="H126" i="7"/>
  <c r="A127" i="7"/>
  <c r="B127" i="7"/>
  <c r="D127" i="7"/>
  <c r="G127" i="7"/>
  <c r="H127" i="7"/>
  <c r="A128" i="7"/>
  <c r="B128" i="7"/>
  <c r="D128" i="7"/>
  <c r="G128" i="7"/>
  <c r="J128" i="7" s="1"/>
  <c r="H128" i="7"/>
  <c r="A129" i="7"/>
  <c r="B129" i="7"/>
  <c r="D129" i="7"/>
  <c r="G129" i="7"/>
  <c r="H129" i="7"/>
  <c r="A130" i="7"/>
  <c r="B130" i="7"/>
  <c r="D130" i="7"/>
  <c r="G130" i="7"/>
  <c r="H130" i="7"/>
  <c r="A131" i="7"/>
  <c r="B131" i="7"/>
  <c r="D131" i="7"/>
  <c r="G131" i="7"/>
  <c r="H131" i="7"/>
  <c r="A132" i="7"/>
  <c r="B132" i="7"/>
  <c r="D132" i="7"/>
  <c r="G132" i="7"/>
  <c r="J132" i="7" s="1"/>
  <c r="H132" i="7"/>
  <c r="A133" i="7"/>
  <c r="B133" i="7"/>
  <c r="D133" i="7"/>
  <c r="G133" i="7"/>
  <c r="J133" i="7" s="1"/>
  <c r="H133" i="7"/>
  <c r="A134" i="7"/>
  <c r="B134" i="7"/>
  <c r="D134" i="7"/>
  <c r="G134" i="7"/>
  <c r="J134" i="7" s="1"/>
  <c r="H134" i="7"/>
  <c r="A135" i="7"/>
  <c r="B135" i="7"/>
  <c r="D135" i="7"/>
  <c r="G135" i="7"/>
  <c r="H135" i="7"/>
  <c r="A136" i="7"/>
  <c r="B136" i="7"/>
  <c r="D136" i="7"/>
  <c r="G136" i="7"/>
  <c r="H136" i="7"/>
  <c r="A137" i="7"/>
  <c r="B137" i="7"/>
  <c r="D137" i="7"/>
  <c r="G137" i="7"/>
  <c r="H137" i="7"/>
  <c r="A138" i="7"/>
  <c r="B138" i="7"/>
  <c r="D138" i="7"/>
  <c r="G138" i="7"/>
  <c r="J138" i="7" s="1"/>
  <c r="H138" i="7"/>
  <c r="A139" i="7"/>
  <c r="B139" i="7"/>
  <c r="D139" i="7"/>
  <c r="G139" i="7"/>
  <c r="H139" i="7"/>
  <c r="A140" i="7"/>
  <c r="B140" i="7"/>
  <c r="D140" i="7"/>
  <c r="G140" i="7"/>
  <c r="J140" i="7" s="1"/>
  <c r="H140" i="7"/>
  <c r="A141" i="7"/>
  <c r="B141" i="7"/>
  <c r="D141" i="7"/>
  <c r="G141" i="7"/>
  <c r="H141" i="7"/>
  <c r="A142" i="7"/>
  <c r="B142" i="7"/>
  <c r="D142" i="7"/>
  <c r="G142" i="7"/>
  <c r="J142" i="7" s="1"/>
  <c r="H142" i="7"/>
  <c r="A143" i="7"/>
  <c r="B143" i="7"/>
  <c r="D143" i="7"/>
  <c r="G143" i="7"/>
  <c r="H143" i="7"/>
  <c r="A144" i="7"/>
  <c r="B144" i="7"/>
  <c r="D144" i="7"/>
  <c r="G144" i="7"/>
  <c r="J144" i="7" s="1"/>
  <c r="H144" i="7"/>
  <c r="A145" i="7"/>
  <c r="B145" i="7"/>
  <c r="D145" i="7"/>
  <c r="G145" i="7"/>
  <c r="J145" i="7" s="1"/>
  <c r="H145" i="7"/>
  <c r="A146" i="7"/>
  <c r="B146" i="7"/>
  <c r="D146" i="7"/>
  <c r="G146" i="7"/>
  <c r="J146" i="7" s="1"/>
  <c r="H146" i="7"/>
  <c r="A49" i="7"/>
  <c r="B49" i="7"/>
  <c r="D49" i="7"/>
  <c r="G49" i="7"/>
  <c r="J49" i="7" s="1"/>
  <c r="H49" i="7"/>
  <c r="A50" i="7"/>
  <c r="B50" i="7"/>
  <c r="D50" i="7"/>
  <c r="G50" i="7"/>
  <c r="J50" i="7" s="1"/>
  <c r="H50" i="7"/>
  <c r="A51" i="7"/>
  <c r="B51" i="7"/>
  <c r="D51" i="7"/>
  <c r="G51" i="7"/>
  <c r="H51" i="7"/>
  <c r="A52" i="7"/>
  <c r="B52" i="7"/>
  <c r="D52" i="7"/>
  <c r="G52" i="7"/>
  <c r="J52" i="7" s="1"/>
  <c r="H52" i="7"/>
  <c r="A53" i="7"/>
  <c r="B53" i="7"/>
  <c r="D53" i="7"/>
  <c r="G53" i="7"/>
  <c r="H53" i="7"/>
  <c r="A54" i="7"/>
  <c r="B54" i="7"/>
  <c r="D54" i="7"/>
  <c r="G54" i="7"/>
  <c r="J54" i="7" s="1"/>
  <c r="H54" i="7"/>
  <c r="A55" i="7"/>
  <c r="B55" i="7"/>
  <c r="D55" i="7"/>
  <c r="G55" i="7"/>
  <c r="H55" i="7"/>
  <c r="A56" i="7"/>
  <c r="B56" i="7"/>
  <c r="D56" i="7"/>
  <c r="G56" i="7"/>
  <c r="H56" i="7"/>
  <c r="A57" i="7"/>
  <c r="B57" i="7"/>
  <c r="D57" i="7"/>
  <c r="G57" i="7"/>
  <c r="H57" i="7"/>
  <c r="A58" i="7"/>
  <c r="B58" i="7"/>
  <c r="D58" i="7"/>
  <c r="G58" i="7"/>
  <c r="H58" i="7"/>
  <c r="A59" i="7"/>
  <c r="B59" i="7"/>
  <c r="D59" i="7"/>
  <c r="G59" i="7"/>
  <c r="J59" i="7" s="1"/>
  <c r="H59" i="7"/>
  <c r="A60" i="7"/>
  <c r="B60" i="7"/>
  <c r="D60" i="7"/>
  <c r="G60" i="7"/>
  <c r="J60" i="7" s="1"/>
  <c r="H60" i="7"/>
  <c r="A61" i="7"/>
  <c r="B61" i="7"/>
  <c r="D61" i="7"/>
  <c r="G61" i="7"/>
  <c r="H61" i="7"/>
  <c r="A62" i="7"/>
  <c r="B62" i="7"/>
  <c r="D62" i="7"/>
  <c r="G62" i="7"/>
  <c r="H62" i="7"/>
  <c r="A63" i="7"/>
  <c r="B63" i="7"/>
  <c r="D63" i="7"/>
  <c r="G63" i="7"/>
  <c r="J63" i="7" s="1"/>
  <c r="H63" i="7"/>
  <c r="A64" i="7"/>
  <c r="B64" i="7"/>
  <c r="D64" i="7"/>
  <c r="G64" i="7"/>
  <c r="J64" i="7" s="1"/>
  <c r="H64" i="7"/>
  <c r="A65" i="7"/>
  <c r="B65" i="7"/>
  <c r="D65" i="7"/>
  <c r="G65" i="7"/>
  <c r="H65" i="7"/>
  <c r="A66" i="7"/>
  <c r="B66" i="7"/>
  <c r="D66" i="7"/>
  <c r="G66" i="7"/>
  <c r="J66" i="7" s="1"/>
  <c r="H66" i="7"/>
  <c r="A67" i="7"/>
  <c r="B67" i="7"/>
  <c r="D67" i="7"/>
  <c r="G67" i="7"/>
  <c r="H67" i="7"/>
  <c r="A68" i="7"/>
  <c r="B68" i="7"/>
  <c r="D68" i="7"/>
  <c r="G68" i="7"/>
  <c r="H68" i="7"/>
  <c r="A69" i="7"/>
  <c r="B69" i="7"/>
  <c r="D69" i="7"/>
  <c r="G69" i="7"/>
  <c r="H69" i="7"/>
  <c r="A70" i="7"/>
  <c r="B70" i="7"/>
  <c r="D70" i="7"/>
  <c r="G70" i="7"/>
  <c r="J70" i="7" s="1"/>
  <c r="H70" i="7"/>
  <c r="A71" i="7"/>
  <c r="B71" i="7"/>
  <c r="D71" i="7"/>
  <c r="G71" i="7"/>
  <c r="J71" i="7" s="1"/>
  <c r="H71" i="7"/>
  <c r="A72" i="7"/>
  <c r="B72" i="7"/>
  <c r="D72" i="7"/>
  <c r="G72" i="7"/>
  <c r="H72" i="7"/>
  <c r="A73" i="7"/>
  <c r="B73" i="7"/>
  <c r="D73" i="7"/>
  <c r="G73" i="7"/>
  <c r="J73" i="7" s="1"/>
  <c r="H73" i="7"/>
  <c r="A74" i="7"/>
  <c r="B74" i="7"/>
  <c r="D74" i="7"/>
  <c r="G74" i="7"/>
  <c r="H74" i="7"/>
  <c r="A75" i="7"/>
  <c r="B75" i="7"/>
  <c r="D75" i="7"/>
  <c r="G75" i="7"/>
  <c r="J75" i="7" s="1"/>
  <c r="H75" i="7"/>
  <c r="A76" i="7"/>
  <c r="B76" i="7"/>
  <c r="D76" i="7"/>
  <c r="G76" i="7"/>
  <c r="J76" i="7" s="1"/>
  <c r="H76" i="7"/>
  <c r="A77" i="7"/>
  <c r="B77" i="7"/>
  <c r="D77" i="7"/>
  <c r="G77" i="7"/>
  <c r="H77" i="7"/>
  <c r="A78" i="7"/>
  <c r="B78" i="7"/>
  <c r="D78" i="7"/>
  <c r="G78" i="7"/>
  <c r="J78" i="7" s="1"/>
  <c r="H78" i="7"/>
  <c r="A79" i="7"/>
  <c r="B79" i="7"/>
  <c r="D79" i="7"/>
  <c r="G79" i="7"/>
  <c r="J79" i="7" s="1"/>
  <c r="H79" i="7"/>
  <c r="A80" i="7"/>
  <c r="B80" i="7"/>
  <c r="D80" i="7"/>
  <c r="G80" i="7"/>
  <c r="H80" i="7"/>
  <c r="H42" i="7"/>
  <c r="G42" i="7"/>
  <c r="D42" i="7"/>
  <c r="B42" i="7"/>
  <c r="A42" i="7"/>
  <c r="H41" i="7"/>
  <c r="G41" i="7"/>
  <c r="J41" i="7" s="1"/>
  <c r="D41" i="7"/>
  <c r="B41" i="7"/>
  <c r="A41" i="7"/>
  <c r="H40" i="7"/>
  <c r="G40" i="7"/>
  <c r="D40" i="7"/>
  <c r="B40" i="7"/>
  <c r="A40" i="7"/>
  <c r="H39" i="7"/>
  <c r="G39" i="7"/>
  <c r="D39" i="7"/>
  <c r="B39" i="7"/>
  <c r="A39" i="7"/>
  <c r="H38" i="7"/>
  <c r="G38" i="7"/>
  <c r="J38" i="7" s="1"/>
  <c r="D38" i="7"/>
  <c r="B38" i="7"/>
  <c r="A38" i="7"/>
  <c r="H37" i="7"/>
  <c r="G37" i="7"/>
  <c r="J37" i="7" s="1"/>
  <c r="D37" i="7"/>
  <c r="B37" i="7"/>
  <c r="A37" i="7"/>
  <c r="H36" i="7"/>
  <c r="G36" i="7"/>
  <c r="D36" i="7"/>
  <c r="B36" i="7"/>
  <c r="A36" i="7"/>
  <c r="H35" i="7"/>
  <c r="G35" i="7"/>
  <c r="D35" i="7"/>
  <c r="B35" i="7"/>
  <c r="A35" i="7"/>
  <c r="H34" i="7"/>
  <c r="G34" i="7"/>
  <c r="D34" i="7"/>
  <c r="B34" i="7"/>
  <c r="A34" i="7"/>
  <c r="H33" i="7"/>
  <c r="G33" i="7"/>
  <c r="D33" i="7"/>
  <c r="B33" i="7"/>
  <c r="A33" i="7"/>
  <c r="H32" i="7"/>
  <c r="G32" i="7"/>
  <c r="J32" i="7" s="1"/>
  <c r="D32" i="7"/>
  <c r="B32" i="7"/>
  <c r="A32" i="7"/>
  <c r="H31" i="7"/>
  <c r="G31" i="7"/>
  <c r="D31" i="7"/>
  <c r="B31" i="7"/>
  <c r="A31" i="7"/>
  <c r="H30" i="7"/>
  <c r="G30" i="7"/>
  <c r="D30" i="7"/>
  <c r="B30" i="7"/>
  <c r="A30" i="7"/>
  <c r="H29" i="7"/>
  <c r="G29" i="7"/>
  <c r="J29" i="7" s="1"/>
  <c r="D29" i="7"/>
  <c r="B29" i="7"/>
  <c r="A29" i="7"/>
  <c r="H28" i="7"/>
  <c r="G28" i="7"/>
  <c r="D28" i="7"/>
  <c r="B28" i="7"/>
  <c r="A28" i="7"/>
  <c r="H27" i="7"/>
  <c r="G27" i="7"/>
  <c r="D27" i="7"/>
  <c r="B27" i="7"/>
  <c r="A27" i="7"/>
  <c r="H26" i="7"/>
  <c r="G26" i="7"/>
  <c r="D26" i="7"/>
  <c r="B26" i="7"/>
  <c r="A26" i="7"/>
  <c r="H25" i="7"/>
  <c r="G25" i="7"/>
  <c r="J25" i="7" s="1"/>
  <c r="D25" i="7"/>
  <c r="B25" i="7"/>
  <c r="A25" i="7"/>
  <c r="H24" i="7"/>
  <c r="G24" i="7"/>
  <c r="J24" i="7" s="1"/>
  <c r="D24" i="7"/>
  <c r="B24" i="7"/>
  <c r="A24" i="7"/>
  <c r="A6" i="7"/>
  <c r="B6" i="7"/>
  <c r="D6" i="7"/>
  <c r="G6" i="7"/>
  <c r="J6" i="7" s="1"/>
  <c r="H6" i="7"/>
  <c r="A7" i="7"/>
  <c r="B7" i="7"/>
  <c r="D7" i="7"/>
  <c r="G7" i="7"/>
  <c r="H7" i="7"/>
  <c r="A8" i="7"/>
  <c r="B8" i="7"/>
  <c r="D8" i="7"/>
  <c r="G8" i="7"/>
  <c r="J8" i="7" s="1"/>
  <c r="H8" i="7"/>
  <c r="A9" i="7"/>
  <c r="B9" i="7"/>
  <c r="D9" i="7"/>
  <c r="G9" i="7"/>
  <c r="J9" i="7" s="1"/>
  <c r="H9" i="7"/>
  <c r="A10" i="7"/>
  <c r="B10" i="7"/>
  <c r="D10" i="7"/>
  <c r="G10" i="7"/>
  <c r="H10" i="7"/>
  <c r="A11" i="7"/>
  <c r="B11" i="7"/>
  <c r="D11" i="7"/>
  <c r="G11" i="7"/>
  <c r="H11" i="7"/>
  <c r="A12" i="7"/>
  <c r="B12" i="7"/>
  <c r="D12" i="7"/>
  <c r="G12" i="7"/>
  <c r="H12" i="7"/>
  <c r="A13" i="7"/>
  <c r="B13" i="7"/>
  <c r="D13" i="7"/>
  <c r="G13" i="7"/>
  <c r="J13" i="7" s="1"/>
  <c r="H13" i="7"/>
  <c r="A14" i="7"/>
  <c r="B14" i="7"/>
  <c r="D14" i="7"/>
  <c r="G14" i="7"/>
  <c r="J14" i="7" s="1"/>
  <c r="H14" i="7"/>
  <c r="A15" i="7"/>
  <c r="B15" i="7"/>
  <c r="D15" i="7"/>
  <c r="G15" i="7"/>
  <c r="H15" i="7"/>
  <c r="A16" i="7"/>
  <c r="B16" i="7"/>
  <c r="D16" i="7"/>
  <c r="G16" i="7"/>
  <c r="J16" i="7" s="1"/>
  <c r="H16" i="7"/>
  <c r="A17" i="7"/>
  <c r="B17" i="7"/>
  <c r="D17" i="7"/>
  <c r="G17" i="7"/>
  <c r="J17" i="7" s="1"/>
  <c r="H17" i="7"/>
  <c r="A18" i="7"/>
  <c r="B18" i="7"/>
  <c r="D18" i="7"/>
  <c r="G18" i="7"/>
  <c r="J18" i="7" s="1"/>
  <c r="H18" i="7"/>
  <c r="A19" i="7"/>
  <c r="B19" i="7"/>
  <c r="D19" i="7"/>
  <c r="G19" i="7"/>
  <c r="H19" i="7"/>
  <c r="A20" i="7"/>
  <c r="B20" i="7"/>
  <c r="D20" i="7"/>
  <c r="G20" i="7"/>
  <c r="J20" i="7" s="1"/>
  <c r="H20" i="7"/>
  <c r="J135" i="7" l="1"/>
  <c r="J123" i="7"/>
  <c r="J33" i="7"/>
  <c r="J130" i="7"/>
  <c r="J118" i="7"/>
  <c r="J26" i="7"/>
  <c r="J51" i="7"/>
  <c r="J137" i="7"/>
  <c r="J125" i="7"/>
  <c r="J65" i="7"/>
  <c r="J53" i="7"/>
  <c r="J139" i="7"/>
  <c r="J127" i="7"/>
  <c r="J115" i="7"/>
  <c r="J55" i="7"/>
  <c r="J141" i="7"/>
  <c r="J129" i="7"/>
  <c r="J136" i="7"/>
  <c r="J143" i="7"/>
  <c r="J131" i="7"/>
  <c r="J119" i="7"/>
  <c r="J35" i="7"/>
  <c r="J15" i="7"/>
  <c r="J28" i="7"/>
  <c r="J40" i="7"/>
  <c r="J61" i="7"/>
  <c r="J10" i="7"/>
  <c r="J80" i="7"/>
  <c r="J68" i="7"/>
  <c r="J56" i="7"/>
  <c r="J42" i="7"/>
  <c r="J12" i="7"/>
  <c r="J31" i="7"/>
  <c r="J58" i="7"/>
  <c r="J19" i="7"/>
  <c r="J7" i="7"/>
  <c r="J36" i="7"/>
  <c r="J77" i="7"/>
  <c r="J72" i="7"/>
  <c r="J34" i="7"/>
  <c r="J67" i="7"/>
  <c r="J30" i="7"/>
  <c r="J27" i="7"/>
  <c r="J39" i="7"/>
  <c r="J74" i="7"/>
  <c r="J62" i="7"/>
  <c r="J11" i="7"/>
  <c r="J69" i="7"/>
  <c r="J57" i="7"/>
  <c r="D124" i="2"/>
  <c r="D417" i="4" s="1"/>
  <c r="D309" i="2"/>
  <c r="C309" i="2"/>
  <c r="D38" i="11"/>
  <c r="J321" i="6"/>
  <c r="D81" i="11"/>
  <c r="J322" i="6"/>
  <c r="C138" i="2"/>
  <c r="D138" i="2"/>
  <c r="D151" i="2"/>
  <c r="C151" i="2"/>
  <c r="M151" i="2" s="1"/>
  <c r="I62" i="6"/>
  <c r="H62" i="6" s="1"/>
  <c r="D48" i="2"/>
  <c r="D416" i="4" s="1"/>
  <c r="D152" i="2"/>
  <c r="C152" i="2"/>
  <c r="D143" i="2"/>
  <c r="C143" i="2"/>
  <c r="D82" i="11"/>
  <c r="J323" i="6"/>
  <c r="C243" i="6"/>
  <c r="C285" i="2"/>
  <c r="C248" i="6"/>
  <c r="C291" i="2"/>
  <c r="M291" i="2" s="1"/>
  <c r="C128" i="6"/>
  <c r="C136" i="2"/>
  <c r="C189" i="6"/>
  <c r="C146" i="2"/>
  <c r="C190" i="6"/>
  <c r="C147" i="2"/>
  <c r="C70" i="6"/>
  <c r="C124" i="2"/>
  <c r="C417" i="4" s="1"/>
  <c r="D37" i="11"/>
  <c r="J320" i="6"/>
  <c r="D115" i="11"/>
  <c r="J324" i="6"/>
  <c r="D116" i="11"/>
  <c r="J325" i="6"/>
  <c r="D148" i="2"/>
  <c r="D418" i="4" s="1"/>
  <c r="C148" i="2"/>
  <c r="C418" i="4" s="1"/>
  <c r="E293" i="6"/>
  <c r="D293" i="6" s="1"/>
  <c r="AD347" i="4"/>
  <c r="Q157" i="2"/>
  <c r="V160" i="11" s="1"/>
  <c r="L228" i="6"/>
  <c r="AO189" i="4"/>
  <c r="AP189" i="4" s="1"/>
  <c r="L229" i="6"/>
  <c r="AO190" i="4"/>
  <c r="AP190" i="4" s="1"/>
  <c r="I117" i="7"/>
  <c r="I137" i="7"/>
  <c r="I132" i="7"/>
  <c r="I35" i="7"/>
  <c r="I146" i="7"/>
  <c r="I27" i="7"/>
  <c r="I37" i="7"/>
  <c r="I60" i="7"/>
  <c r="I116" i="7"/>
  <c r="Q369" i="2"/>
  <c r="V374" i="11" s="1"/>
  <c r="L174" i="6"/>
  <c r="AO80" i="4"/>
  <c r="AP80" i="4" s="1"/>
  <c r="I138" i="7"/>
  <c r="I28" i="7"/>
  <c r="L175" i="6"/>
  <c r="AO81" i="4"/>
  <c r="AP81" i="4" s="1"/>
  <c r="H330" i="2"/>
  <c r="K44" i="6" s="1"/>
  <c r="M44" i="6" s="1"/>
  <c r="I123" i="7"/>
  <c r="I141" i="7"/>
  <c r="H372" i="2"/>
  <c r="I372" i="2" s="1"/>
  <c r="I57" i="7"/>
  <c r="I143" i="7"/>
  <c r="I139" i="7"/>
  <c r="I134" i="7"/>
  <c r="I136" i="7"/>
  <c r="I129" i="7"/>
  <c r="I30" i="7"/>
  <c r="I40" i="7"/>
  <c r="H354" i="2"/>
  <c r="S354" i="2" s="1"/>
  <c r="W359" i="11" s="1"/>
  <c r="I140" i="7"/>
  <c r="R364" i="2"/>
  <c r="I130" i="7"/>
  <c r="I120" i="7"/>
  <c r="I125" i="7"/>
  <c r="I127" i="7"/>
  <c r="I61" i="7"/>
  <c r="R367" i="2"/>
  <c r="H350" i="2"/>
  <c r="S350" i="2" s="1"/>
  <c r="W355" i="11" s="1"/>
  <c r="I145" i="7"/>
  <c r="I118" i="7"/>
  <c r="I26" i="7"/>
  <c r="I36" i="7"/>
  <c r="I131" i="7"/>
  <c r="I124" i="7"/>
  <c r="R322" i="2"/>
  <c r="I31" i="7"/>
  <c r="M157" i="2"/>
  <c r="J353" i="11"/>
  <c r="N353" i="11" s="1"/>
  <c r="I24" i="7"/>
  <c r="I74" i="7"/>
  <c r="H356" i="2"/>
  <c r="S356" i="2" s="1"/>
  <c r="W361" i="11" s="1"/>
  <c r="I76" i="7"/>
  <c r="I29" i="7"/>
  <c r="R373" i="2"/>
  <c r="I119" i="7"/>
  <c r="I115" i="7"/>
  <c r="F116" i="6"/>
  <c r="J22" i="11"/>
  <c r="N22" i="11" s="1"/>
  <c r="D113" i="6"/>
  <c r="H113" i="6"/>
  <c r="H55" i="6"/>
  <c r="D55" i="6"/>
  <c r="A61" i="6"/>
  <c r="A27" i="1"/>
  <c r="D114" i="6"/>
  <c r="H114" i="6"/>
  <c r="D57" i="6"/>
  <c r="H57" i="6"/>
  <c r="I128" i="7"/>
  <c r="A52" i="6"/>
  <c r="A10" i="1"/>
  <c r="A51" i="6"/>
  <c r="A9" i="1"/>
  <c r="D122" i="6"/>
  <c r="H122" i="6"/>
  <c r="D227" i="6"/>
  <c r="H227" i="6"/>
  <c r="I64" i="7"/>
  <c r="I33" i="7"/>
  <c r="I42" i="7"/>
  <c r="I68" i="7"/>
  <c r="I126" i="7"/>
  <c r="I122" i="7"/>
  <c r="A116" i="6"/>
  <c r="A20" i="1"/>
  <c r="A115" i="6"/>
  <c r="A19" i="1"/>
  <c r="A114" i="6"/>
  <c r="A18" i="1"/>
  <c r="A159" i="6"/>
  <c r="A16" i="1"/>
  <c r="A135" i="6"/>
  <c r="A75" i="1"/>
  <c r="D228" i="6"/>
  <c r="H228" i="6"/>
  <c r="A162" i="6"/>
  <c r="A36" i="1"/>
  <c r="A191" i="6"/>
  <c r="A77" i="1"/>
  <c r="I144" i="7"/>
  <c r="I52" i="7"/>
  <c r="F22" i="6"/>
  <c r="J73" i="11"/>
  <c r="N73" i="11" s="1"/>
  <c r="F78" i="6"/>
  <c r="J135" i="11"/>
  <c r="N135" i="11" s="1"/>
  <c r="I9" i="7"/>
  <c r="I135" i="7"/>
  <c r="I133" i="7"/>
  <c r="D12" i="6"/>
  <c r="H12" i="6"/>
  <c r="H183" i="6"/>
  <c r="D183" i="6"/>
  <c r="I142" i="7"/>
  <c r="I80" i="7"/>
  <c r="H14" i="6"/>
  <c r="D14" i="6"/>
  <c r="H160" i="6"/>
  <c r="D160" i="6"/>
  <c r="F119" i="6"/>
  <c r="J54" i="11"/>
  <c r="N54" i="11" s="1"/>
  <c r="H184" i="6"/>
  <c r="D184" i="6"/>
  <c r="I11" i="7"/>
  <c r="I121" i="7"/>
  <c r="F57" i="6"/>
  <c r="J17" i="11"/>
  <c r="N17" i="11" s="1"/>
  <c r="F52" i="6"/>
  <c r="J12" i="11"/>
  <c r="N12" i="11" s="1"/>
  <c r="D15" i="6"/>
  <c r="H15" i="6"/>
  <c r="F161" i="6"/>
  <c r="J55" i="11"/>
  <c r="N55" i="11" s="1"/>
  <c r="H61" i="6"/>
  <c r="D61" i="6"/>
  <c r="F167" i="6"/>
  <c r="J83" i="11"/>
  <c r="N83" i="11" s="1"/>
  <c r="H21" i="6"/>
  <c r="D21" i="6"/>
  <c r="A193" i="6"/>
  <c r="A79" i="1"/>
  <c r="A136" i="6"/>
  <c r="A76" i="1"/>
  <c r="A190" i="6"/>
  <c r="A74" i="1"/>
  <c r="F79" i="6"/>
  <c r="J136" i="11"/>
  <c r="N136" i="11" s="1"/>
  <c r="D53" i="6"/>
  <c r="H53" i="6"/>
  <c r="F15" i="6"/>
  <c r="J34" i="11"/>
  <c r="N34" i="11" s="1"/>
  <c r="F14" i="6"/>
  <c r="J33" i="11"/>
  <c r="N33" i="11" s="1"/>
  <c r="H27" i="6"/>
  <c r="D27" i="6"/>
  <c r="H25" i="6"/>
  <c r="D25" i="6"/>
  <c r="D24" i="6"/>
  <c r="H24" i="6"/>
  <c r="H126" i="6"/>
  <c r="D126" i="6"/>
  <c r="A57" i="6"/>
  <c r="A15" i="1"/>
  <c r="A55" i="6"/>
  <c r="A13" i="1"/>
  <c r="D52" i="6"/>
  <c r="H52" i="6"/>
  <c r="H17" i="6"/>
  <c r="G17" i="6" s="1"/>
  <c r="F160" i="6"/>
  <c r="J32" i="11"/>
  <c r="N32" i="11" s="1"/>
  <c r="F165" i="6"/>
  <c r="J64" i="11"/>
  <c r="N64" i="11" s="1"/>
  <c r="F163" i="6"/>
  <c r="J62" i="11"/>
  <c r="N62" i="11" s="1"/>
  <c r="F172" i="6"/>
  <c r="J89" i="11"/>
  <c r="N89" i="11" s="1"/>
  <c r="F169" i="6"/>
  <c r="J86" i="11"/>
  <c r="N86" i="11" s="1"/>
  <c r="F213" i="6"/>
  <c r="J190" i="11"/>
  <c r="N190" i="11" s="1"/>
  <c r="I34" i="7"/>
  <c r="F118" i="6"/>
  <c r="J24" i="11"/>
  <c r="N24" i="11" s="1"/>
  <c r="A54" i="6"/>
  <c r="A12" i="1"/>
  <c r="A53" i="6"/>
  <c r="A11" i="1"/>
  <c r="H51" i="6"/>
  <c r="D51" i="6"/>
  <c r="D16" i="6"/>
  <c r="H16" i="6"/>
  <c r="F13" i="6"/>
  <c r="J31" i="11"/>
  <c r="N31" i="11" s="1"/>
  <c r="F12" i="6"/>
  <c r="J30" i="11"/>
  <c r="N30" i="11" s="1"/>
  <c r="F170" i="6"/>
  <c r="J87" i="11"/>
  <c r="N87" i="11" s="1"/>
  <c r="F236" i="6"/>
  <c r="J215" i="11"/>
  <c r="N215" i="11" s="1"/>
  <c r="H31" i="2"/>
  <c r="K13" i="6" s="1"/>
  <c r="M13" i="6" s="1"/>
  <c r="I13" i="6"/>
  <c r="H13" i="6" s="1"/>
  <c r="H123" i="6"/>
  <c r="D123" i="6"/>
  <c r="F162" i="6"/>
  <c r="J57" i="11"/>
  <c r="N57" i="11" s="1"/>
  <c r="F120" i="6"/>
  <c r="J56" i="11"/>
  <c r="N56" i="11" s="1"/>
  <c r="F177" i="6"/>
  <c r="J95" i="11"/>
  <c r="N95" i="11" s="1"/>
  <c r="D169" i="6"/>
  <c r="H169" i="6"/>
  <c r="P116" i="2"/>
  <c r="AO114" i="4" s="1"/>
  <c r="AP114" i="4" s="1"/>
  <c r="L29" i="6"/>
  <c r="A128" i="6"/>
  <c r="A63" i="1"/>
  <c r="A127" i="6"/>
  <c r="A62" i="1"/>
  <c r="F237" i="6"/>
  <c r="J216" i="11"/>
  <c r="N216" i="11" s="1"/>
  <c r="H216" i="6"/>
  <c r="D216" i="6"/>
  <c r="H174" i="6"/>
  <c r="D174" i="6"/>
  <c r="D108" i="6"/>
  <c r="H108" i="6"/>
  <c r="H172" i="6"/>
  <c r="D172" i="6"/>
  <c r="F133" i="6"/>
  <c r="J145" i="11"/>
  <c r="N145" i="11" s="1"/>
  <c r="D118" i="6"/>
  <c r="H118" i="6"/>
  <c r="D117" i="6"/>
  <c r="H117" i="6"/>
  <c r="F114" i="6"/>
  <c r="J20" i="11"/>
  <c r="N20" i="11" s="1"/>
  <c r="F113" i="6"/>
  <c r="J19" i="11"/>
  <c r="N19" i="11" s="1"/>
  <c r="A163" i="6"/>
  <c r="A41" i="1"/>
  <c r="A124" i="6"/>
  <c r="A40" i="1"/>
  <c r="A123" i="6"/>
  <c r="A39" i="1"/>
  <c r="H121" i="6"/>
  <c r="D121" i="6"/>
  <c r="F65" i="6"/>
  <c r="J52" i="11"/>
  <c r="N52" i="11" s="1"/>
  <c r="F183" i="6"/>
  <c r="J101" i="11"/>
  <c r="N101" i="11" s="1"/>
  <c r="F180" i="6"/>
  <c r="J98" i="11"/>
  <c r="N98" i="11" s="1"/>
  <c r="F187" i="6"/>
  <c r="J146" i="11"/>
  <c r="N146" i="11" s="1"/>
  <c r="I39" i="7"/>
  <c r="I73" i="7"/>
  <c r="I55" i="7"/>
  <c r="H116" i="6"/>
  <c r="D116" i="6"/>
  <c r="F159" i="6"/>
  <c r="J18" i="11"/>
  <c r="N18" i="11" s="1"/>
  <c r="A122" i="6"/>
  <c r="A38" i="1"/>
  <c r="H162" i="6"/>
  <c r="D162" i="6"/>
  <c r="D120" i="6"/>
  <c r="H120" i="6"/>
  <c r="F182" i="6"/>
  <c r="J100" i="11"/>
  <c r="N100" i="11" s="1"/>
  <c r="F181" i="6"/>
  <c r="J99" i="11"/>
  <c r="N99" i="11" s="1"/>
  <c r="H69" i="6"/>
  <c r="D69" i="6"/>
  <c r="D68" i="6"/>
  <c r="H68" i="6"/>
  <c r="F224" i="6"/>
  <c r="J203" i="11"/>
  <c r="N203" i="11" s="1"/>
  <c r="A118" i="6"/>
  <c r="A22" i="1"/>
  <c r="A117" i="6"/>
  <c r="A21" i="1"/>
  <c r="H115" i="6"/>
  <c r="D115" i="6"/>
  <c r="H18" i="2"/>
  <c r="K159" i="6" s="1"/>
  <c r="M159" i="6" s="1"/>
  <c r="I159" i="6"/>
  <c r="H159" i="6" s="1"/>
  <c r="A121" i="6"/>
  <c r="A37" i="1"/>
  <c r="H161" i="6"/>
  <c r="D161" i="6"/>
  <c r="D62" i="6"/>
  <c r="H180" i="6"/>
  <c r="D180" i="6"/>
  <c r="F29" i="6"/>
  <c r="J114" i="11"/>
  <c r="N114" i="11" s="1"/>
  <c r="F225" i="6"/>
  <c r="J204" i="11"/>
  <c r="N204" i="11" s="1"/>
  <c r="D191" i="6"/>
  <c r="H191" i="6"/>
  <c r="H188" i="6"/>
  <c r="D188" i="6"/>
  <c r="D159" i="6"/>
  <c r="F55" i="6"/>
  <c r="J15" i="11"/>
  <c r="N15" i="11" s="1"/>
  <c r="F54" i="6"/>
  <c r="J14" i="11"/>
  <c r="N14" i="11" s="1"/>
  <c r="A161" i="6"/>
  <c r="A34" i="1"/>
  <c r="A65" i="6"/>
  <c r="A31" i="1"/>
  <c r="A64" i="6"/>
  <c r="A30" i="1"/>
  <c r="A63" i="6"/>
  <c r="A29" i="1"/>
  <c r="A62" i="6"/>
  <c r="A28" i="1"/>
  <c r="F24" i="6"/>
  <c r="J75" i="11"/>
  <c r="N75" i="11" s="1"/>
  <c r="F21" i="6"/>
  <c r="J72" i="11"/>
  <c r="N72" i="11" s="1"/>
  <c r="A72" i="6"/>
  <c r="A53" i="1"/>
  <c r="A71" i="6"/>
  <c r="A52" i="1"/>
  <c r="A70" i="6"/>
  <c r="A51" i="1"/>
  <c r="H206" i="6"/>
  <c r="D206" i="6"/>
  <c r="F203" i="6"/>
  <c r="J178" i="11"/>
  <c r="N178" i="11" s="1"/>
  <c r="H197" i="6"/>
  <c r="D197" i="6"/>
  <c r="F195" i="6"/>
  <c r="J166" i="11"/>
  <c r="N166" i="11" s="1"/>
  <c r="A142" i="6"/>
  <c r="A132" i="1"/>
  <c r="D141" i="6"/>
  <c r="H141" i="6"/>
  <c r="F104" i="6"/>
  <c r="J311" i="11"/>
  <c r="N311" i="11" s="1"/>
  <c r="A99" i="6"/>
  <c r="A118" i="1"/>
  <c r="H98" i="6"/>
  <c r="D98" i="6"/>
  <c r="F96" i="6"/>
  <c r="J299" i="11"/>
  <c r="N299" i="11" s="1"/>
  <c r="M380" i="2"/>
  <c r="E313" i="6"/>
  <c r="F331" i="6"/>
  <c r="J381" i="11"/>
  <c r="N381" i="11" s="1"/>
  <c r="F309" i="6"/>
  <c r="J380" i="11"/>
  <c r="N380" i="11" s="1"/>
  <c r="I308" i="6"/>
  <c r="H374" i="2"/>
  <c r="K308" i="6" s="1"/>
  <c r="M308" i="6" s="1"/>
  <c r="F307" i="6"/>
  <c r="J378" i="11"/>
  <c r="N378" i="11" s="1"/>
  <c r="R336" i="2"/>
  <c r="C274" i="6"/>
  <c r="D274" i="6" s="1"/>
  <c r="A65" i="1"/>
  <c r="A59" i="1"/>
  <c r="H215" i="6"/>
  <c r="D215" i="6"/>
  <c r="F212" i="6"/>
  <c r="J189" i="11"/>
  <c r="N189" i="11" s="1"/>
  <c r="H205" i="6"/>
  <c r="D205" i="6"/>
  <c r="F202" i="6"/>
  <c r="J177" i="11"/>
  <c r="N177" i="11" s="1"/>
  <c r="H35" i="6"/>
  <c r="D35" i="6"/>
  <c r="F34" i="6"/>
  <c r="J165" i="11"/>
  <c r="N165" i="11" s="1"/>
  <c r="A257" i="6"/>
  <c r="A131" i="1"/>
  <c r="H256" i="6"/>
  <c r="D256" i="6"/>
  <c r="F140" i="6"/>
  <c r="D308" i="2"/>
  <c r="C308" i="2"/>
  <c r="J313" i="11"/>
  <c r="N313" i="11" s="1"/>
  <c r="F103" i="6"/>
  <c r="J310" i="11"/>
  <c r="N310" i="11" s="1"/>
  <c r="A251" i="6"/>
  <c r="A117" i="1"/>
  <c r="D250" i="6"/>
  <c r="F95" i="6"/>
  <c r="J298" i="11"/>
  <c r="N298" i="11" s="1"/>
  <c r="D312" i="6"/>
  <c r="D311" i="6"/>
  <c r="H376" i="2"/>
  <c r="K331" i="6" s="1"/>
  <c r="M331" i="6" s="1"/>
  <c r="I331" i="6"/>
  <c r="H331" i="6" s="1"/>
  <c r="H373" i="2"/>
  <c r="I373" i="2" s="1"/>
  <c r="I307" i="6"/>
  <c r="H307" i="6" s="1"/>
  <c r="R359" i="2"/>
  <c r="Q334" i="2"/>
  <c r="V339" i="11" s="1"/>
  <c r="F272" i="6"/>
  <c r="J339" i="11"/>
  <c r="N339" i="11" s="1"/>
  <c r="F266" i="6"/>
  <c r="J332" i="11"/>
  <c r="N332" i="11" s="1"/>
  <c r="D182" i="6"/>
  <c r="H182" i="6"/>
  <c r="F179" i="6"/>
  <c r="J97" i="11"/>
  <c r="N97" i="11" s="1"/>
  <c r="D171" i="6"/>
  <c r="H171" i="6"/>
  <c r="F168" i="6"/>
  <c r="J85" i="11"/>
  <c r="N85" i="11" s="1"/>
  <c r="H23" i="6"/>
  <c r="D23" i="6"/>
  <c r="F20" i="6"/>
  <c r="J71" i="11"/>
  <c r="N71" i="11" s="1"/>
  <c r="A189" i="6"/>
  <c r="A73" i="1"/>
  <c r="D134" i="6"/>
  <c r="H134" i="6"/>
  <c r="F132" i="6"/>
  <c r="J144" i="11"/>
  <c r="N144" i="11" s="1"/>
  <c r="F77" i="6"/>
  <c r="J134" i="11"/>
  <c r="N134" i="11" s="1"/>
  <c r="A69" i="6"/>
  <c r="A50" i="1"/>
  <c r="D67" i="6"/>
  <c r="H67" i="6"/>
  <c r="F235" i="6"/>
  <c r="J214" i="11"/>
  <c r="N214" i="11" s="1"/>
  <c r="H226" i="6"/>
  <c r="D226" i="6"/>
  <c r="F223" i="6"/>
  <c r="J202" i="11"/>
  <c r="N202" i="11" s="1"/>
  <c r="H214" i="6"/>
  <c r="D214" i="6"/>
  <c r="F211" i="6"/>
  <c r="J188" i="11"/>
  <c r="N188" i="11" s="1"/>
  <c r="H204" i="6"/>
  <c r="D204" i="6"/>
  <c r="F38" i="6"/>
  <c r="J176" i="11"/>
  <c r="N176" i="11" s="1"/>
  <c r="H196" i="6"/>
  <c r="D196" i="6"/>
  <c r="F194" i="6"/>
  <c r="J164" i="11"/>
  <c r="N164" i="11" s="1"/>
  <c r="A141" i="6"/>
  <c r="A130" i="1"/>
  <c r="D254" i="6"/>
  <c r="H254" i="6"/>
  <c r="F253" i="6"/>
  <c r="J309" i="11"/>
  <c r="N309" i="11" s="1"/>
  <c r="A98" i="6"/>
  <c r="A116" i="1"/>
  <c r="D97" i="6"/>
  <c r="H97" i="6"/>
  <c r="F249" i="6"/>
  <c r="J297" i="11"/>
  <c r="N297" i="11" s="1"/>
  <c r="D309" i="6"/>
  <c r="M374" i="2"/>
  <c r="E308" i="6"/>
  <c r="F306" i="6"/>
  <c r="J377" i="11"/>
  <c r="N377" i="11" s="1"/>
  <c r="R371" i="2"/>
  <c r="C305" i="6"/>
  <c r="D305" i="6" s="1"/>
  <c r="R355" i="2"/>
  <c r="C289" i="6"/>
  <c r="D289" i="6" s="1"/>
  <c r="F275" i="6"/>
  <c r="J342" i="11"/>
  <c r="N342" i="11" s="1"/>
  <c r="H335" i="2"/>
  <c r="I335" i="2" s="1"/>
  <c r="I273" i="6"/>
  <c r="H273" i="6" s="1"/>
  <c r="F267" i="6"/>
  <c r="J333" i="11"/>
  <c r="N333" i="11" s="1"/>
  <c r="A113" i="6"/>
  <c r="A17" i="1"/>
  <c r="F56" i="6"/>
  <c r="J16" i="11"/>
  <c r="N16" i="11" s="1"/>
  <c r="D13" i="6"/>
  <c r="F164" i="6"/>
  <c r="J63" i="11"/>
  <c r="N63" i="11" s="1"/>
  <c r="A120" i="6"/>
  <c r="A35" i="1"/>
  <c r="D119" i="6"/>
  <c r="H119" i="6"/>
  <c r="F66" i="6"/>
  <c r="J53" i="11"/>
  <c r="N53" i="11" s="1"/>
  <c r="D181" i="6"/>
  <c r="H181" i="6"/>
  <c r="F178" i="6"/>
  <c r="J96" i="11"/>
  <c r="N96" i="11" s="1"/>
  <c r="H170" i="6"/>
  <c r="D170" i="6"/>
  <c r="F107" i="6"/>
  <c r="J84" i="11"/>
  <c r="N84" i="11" s="1"/>
  <c r="D22" i="6"/>
  <c r="H22" i="6"/>
  <c r="F19" i="6"/>
  <c r="J70" i="11"/>
  <c r="N70" i="11" s="1"/>
  <c r="J116" i="2"/>
  <c r="C29" i="6"/>
  <c r="A188" i="6"/>
  <c r="A72" i="1"/>
  <c r="F131" i="6"/>
  <c r="J143" i="11"/>
  <c r="N143" i="11" s="1"/>
  <c r="H79" i="6"/>
  <c r="D79" i="6"/>
  <c r="F76" i="6"/>
  <c r="J133" i="11"/>
  <c r="N133" i="11" s="1"/>
  <c r="A68" i="6"/>
  <c r="A49" i="1"/>
  <c r="H237" i="6"/>
  <c r="D237" i="6"/>
  <c r="F234" i="6"/>
  <c r="J213" i="11"/>
  <c r="N213" i="11" s="1"/>
  <c r="D225" i="6"/>
  <c r="H225" i="6"/>
  <c r="F222" i="6"/>
  <c r="J201" i="11"/>
  <c r="N201" i="11" s="1"/>
  <c r="H213" i="6"/>
  <c r="D213" i="6"/>
  <c r="F210" i="6"/>
  <c r="J187" i="11"/>
  <c r="N187" i="11" s="1"/>
  <c r="H203" i="6"/>
  <c r="D203" i="6"/>
  <c r="F201" i="6"/>
  <c r="J175" i="11"/>
  <c r="N175" i="11" s="1"/>
  <c r="D195" i="6"/>
  <c r="H195" i="6"/>
  <c r="F33" i="6"/>
  <c r="J163" i="11"/>
  <c r="N163" i="11" s="1"/>
  <c r="A256" i="6"/>
  <c r="A129" i="1"/>
  <c r="A140" i="6"/>
  <c r="A127" i="1"/>
  <c r="D104" i="6"/>
  <c r="H104" i="6"/>
  <c r="F102" i="6"/>
  <c r="J308" i="11"/>
  <c r="N308" i="11" s="1"/>
  <c r="A250" i="6"/>
  <c r="A115" i="1"/>
  <c r="D96" i="6"/>
  <c r="H96" i="6"/>
  <c r="H292" i="2"/>
  <c r="K249" i="6" s="1"/>
  <c r="M249" i="6" s="1"/>
  <c r="I249" i="6"/>
  <c r="H249" i="6" s="1"/>
  <c r="F248" i="6"/>
  <c r="J296" i="11"/>
  <c r="N296" i="11" s="1"/>
  <c r="F94" i="6"/>
  <c r="J295" i="11"/>
  <c r="N295" i="11" s="1"/>
  <c r="F296" i="6"/>
  <c r="J367" i="11"/>
  <c r="N367" i="11" s="1"/>
  <c r="F286" i="6"/>
  <c r="J357" i="11"/>
  <c r="N357" i="11" s="1"/>
  <c r="H339" i="2"/>
  <c r="K45" i="6" s="1"/>
  <c r="M45" i="6" s="1"/>
  <c r="I45" i="6"/>
  <c r="H45" i="6" s="1"/>
  <c r="F276" i="6"/>
  <c r="J343" i="11"/>
  <c r="N343" i="11" s="1"/>
  <c r="H328" i="2"/>
  <c r="I328" i="2" s="1"/>
  <c r="I267" i="6"/>
  <c r="H267" i="6" s="1"/>
  <c r="A134" i="6"/>
  <c r="A71" i="1"/>
  <c r="H133" i="6"/>
  <c r="D133" i="6"/>
  <c r="F130" i="6"/>
  <c r="J142" i="11"/>
  <c r="N142" i="11" s="1"/>
  <c r="H78" i="6"/>
  <c r="D78" i="6"/>
  <c r="F75" i="6"/>
  <c r="J132" i="11"/>
  <c r="N132" i="11" s="1"/>
  <c r="A67" i="6"/>
  <c r="A48" i="1"/>
  <c r="D236" i="6"/>
  <c r="H236" i="6"/>
  <c r="F233" i="6"/>
  <c r="J212" i="11"/>
  <c r="N212" i="11" s="1"/>
  <c r="H224" i="6"/>
  <c r="D224" i="6"/>
  <c r="F221" i="6"/>
  <c r="J200" i="11"/>
  <c r="N200" i="11" s="1"/>
  <c r="H212" i="6"/>
  <c r="D212" i="6"/>
  <c r="F40" i="6"/>
  <c r="J186" i="11"/>
  <c r="N186" i="11" s="1"/>
  <c r="D202" i="6"/>
  <c r="H202" i="6"/>
  <c r="F200" i="6"/>
  <c r="J174" i="11"/>
  <c r="N174" i="11" s="1"/>
  <c r="D34" i="6"/>
  <c r="H34" i="6"/>
  <c r="F32" i="6"/>
  <c r="J162" i="11"/>
  <c r="N162" i="11" s="1"/>
  <c r="A255" i="6"/>
  <c r="A128" i="1"/>
  <c r="A254" i="6"/>
  <c r="A126" i="1"/>
  <c r="H103" i="6"/>
  <c r="D103" i="6"/>
  <c r="F101" i="6"/>
  <c r="J307" i="11"/>
  <c r="N307" i="11" s="1"/>
  <c r="A97" i="6"/>
  <c r="A114" i="1"/>
  <c r="D95" i="6"/>
  <c r="H95" i="6"/>
  <c r="H371" i="2"/>
  <c r="I371" i="2" s="1"/>
  <c r="I305" i="6"/>
  <c r="H305" i="6" s="1"/>
  <c r="H370" i="2"/>
  <c r="K304" i="6" s="1"/>
  <c r="M304" i="6" s="1"/>
  <c r="F303" i="6"/>
  <c r="J374" i="11"/>
  <c r="N374" i="11" s="1"/>
  <c r="R366" i="2"/>
  <c r="C300" i="6"/>
  <c r="D300" i="6" s="1"/>
  <c r="F297" i="6"/>
  <c r="J368" i="11"/>
  <c r="N368" i="11" s="1"/>
  <c r="F293" i="6"/>
  <c r="J364" i="11"/>
  <c r="N364" i="11" s="1"/>
  <c r="H357" i="2"/>
  <c r="K291" i="6" s="1"/>
  <c r="M291" i="6" s="1"/>
  <c r="I291" i="6"/>
  <c r="H291" i="6" s="1"/>
  <c r="F290" i="6"/>
  <c r="J361" i="11"/>
  <c r="N361" i="11" s="1"/>
  <c r="F282" i="6"/>
  <c r="J351" i="11"/>
  <c r="N351" i="11" s="1"/>
  <c r="H277" i="6"/>
  <c r="D277" i="6"/>
  <c r="H46" i="6"/>
  <c r="M337" i="2"/>
  <c r="E275" i="6"/>
  <c r="H44" i="6"/>
  <c r="D44" i="6"/>
  <c r="H165" i="6"/>
  <c r="D165" i="6"/>
  <c r="F124" i="6"/>
  <c r="J61" i="11"/>
  <c r="N61" i="11" s="1"/>
  <c r="A119" i="6"/>
  <c r="A33" i="1"/>
  <c r="F64" i="6"/>
  <c r="J51" i="11"/>
  <c r="N51" i="11" s="1"/>
  <c r="D179" i="6"/>
  <c r="H179" i="6"/>
  <c r="F176" i="6"/>
  <c r="J94" i="11"/>
  <c r="N94" i="11" s="1"/>
  <c r="D168" i="6"/>
  <c r="H168" i="6"/>
  <c r="F166" i="6"/>
  <c r="J80" i="11"/>
  <c r="N80" i="11" s="1"/>
  <c r="H20" i="6"/>
  <c r="D20" i="6"/>
  <c r="E116" i="2"/>
  <c r="I29" i="6"/>
  <c r="F193" i="6"/>
  <c r="J155" i="11"/>
  <c r="N155" i="11" s="1"/>
  <c r="A187" i="6"/>
  <c r="A70" i="1"/>
  <c r="D132" i="6"/>
  <c r="H132" i="6"/>
  <c r="F186" i="6"/>
  <c r="J141" i="11"/>
  <c r="N141" i="11" s="1"/>
  <c r="A79" i="6"/>
  <c r="A60" i="1"/>
  <c r="H77" i="6"/>
  <c r="D77" i="6"/>
  <c r="F74" i="6"/>
  <c r="J131" i="11"/>
  <c r="N131" i="11" s="1"/>
  <c r="H235" i="6"/>
  <c r="D235" i="6"/>
  <c r="F232" i="6"/>
  <c r="J211" i="11"/>
  <c r="N211" i="11" s="1"/>
  <c r="H223" i="6"/>
  <c r="D223" i="6"/>
  <c r="F220" i="6"/>
  <c r="J199" i="11"/>
  <c r="N199" i="11" s="1"/>
  <c r="H211" i="6"/>
  <c r="D211" i="6"/>
  <c r="F209" i="6"/>
  <c r="J185" i="11"/>
  <c r="N185" i="11" s="1"/>
  <c r="D38" i="6"/>
  <c r="H38" i="6"/>
  <c r="F37" i="6"/>
  <c r="J173" i="11"/>
  <c r="N173" i="11" s="1"/>
  <c r="D194" i="6"/>
  <c r="H194" i="6"/>
  <c r="F259" i="6"/>
  <c r="J320" i="11"/>
  <c r="N320" i="11" s="1"/>
  <c r="A104" i="6"/>
  <c r="A125" i="1"/>
  <c r="D253" i="6"/>
  <c r="H253" i="6"/>
  <c r="F252" i="6"/>
  <c r="J306" i="11"/>
  <c r="N306" i="11" s="1"/>
  <c r="A96" i="6"/>
  <c r="A113" i="1"/>
  <c r="F246" i="6"/>
  <c r="J293" i="11"/>
  <c r="N293" i="11" s="1"/>
  <c r="C244" i="6"/>
  <c r="C286" i="2"/>
  <c r="F242" i="6"/>
  <c r="J289" i="11"/>
  <c r="N289" i="11" s="1"/>
  <c r="R382" i="2"/>
  <c r="C315" i="6"/>
  <c r="D315" i="6" s="1"/>
  <c r="D306" i="6"/>
  <c r="H306" i="6"/>
  <c r="Q370" i="2"/>
  <c r="V375" i="11" s="1"/>
  <c r="F304" i="6"/>
  <c r="J375" i="11"/>
  <c r="N375" i="11" s="1"/>
  <c r="H368" i="2"/>
  <c r="I368" i="2" s="1"/>
  <c r="I302" i="6"/>
  <c r="H302" i="6" s="1"/>
  <c r="F301" i="6"/>
  <c r="J372" i="11"/>
  <c r="N372" i="11" s="1"/>
  <c r="F300" i="6"/>
  <c r="J371" i="11"/>
  <c r="N371" i="11" s="1"/>
  <c r="I298" i="6"/>
  <c r="H364" i="2"/>
  <c r="K298" i="6" s="1"/>
  <c r="M298" i="6" s="1"/>
  <c r="H363" i="2"/>
  <c r="K297" i="6" s="1"/>
  <c r="M297" i="6" s="1"/>
  <c r="I297" i="6"/>
  <c r="H297" i="6" s="1"/>
  <c r="H361" i="2"/>
  <c r="K295" i="6" s="1"/>
  <c r="M295" i="6" s="1"/>
  <c r="I295" i="6"/>
  <c r="H295" i="6" s="1"/>
  <c r="F294" i="6"/>
  <c r="J365" i="11"/>
  <c r="N365" i="11" s="1"/>
  <c r="H353" i="2"/>
  <c r="I353" i="2" s="1"/>
  <c r="I287" i="6"/>
  <c r="H287" i="6" s="1"/>
  <c r="F284" i="6"/>
  <c r="J355" i="11"/>
  <c r="N355" i="11" s="1"/>
  <c r="H348" i="2"/>
  <c r="K283" i="6" s="1"/>
  <c r="M283" i="6" s="1"/>
  <c r="I283" i="6"/>
  <c r="H283" i="6" s="1"/>
  <c r="G283" i="6" s="1"/>
  <c r="F117" i="6"/>
  <c r="J23" i="11"/>
  <c r="N23" i="11" s="1"/>
  <c r="H56" i="6"/>
  <c r="D56" i="6"/>
  <c r="F53" i="6"/>
  <c r="J13" i="11"/>
  <c r="N13" i="11" s="1"/>
  <c r="D164" i="6"/>
  <c r="H164" i="6"/>
  <c r="F123" i="6"/>
  <c r="J60" i="11"/>
  <c r="N60" i="11" s="1"/>
  <c r="H66" i="6"/>
  <c r="D66" i="6"/>
  <c r="F63" i="6"/>
  <c r="J50" i="11"/>
  <c r="N50" i="11" s="1"/>
  <c r="H178" i="6"/>
  <c r="D178" i="6"/>
  <c r="F175" i="6"/>
  <c r="J93" i="11"/>
  <c r="N93" i="11" s="1"/>
  <c r="H107" i="6"/>
  <c r="D107" i="6"/>
  <c r="F28" i="6"/>
  <c r="J79" i="11"/>
  <c r="N79" i="11" s="1"/>
  <c r="D19" i="6"/>
  <c r="H19" i="6"/>
  <c r="F192" i="6"/>
  <c r="J154" i="11"/>
  <c r="N154" i="11" s="1"/>
  <c r="A133" i="6"/>
  <c r="A69" i="1"/>
  <c r="H131" i="6"/>
  <c r="D131" i="6"/>
  <c r="F129" i="6"/>
  <c r="J140" i="11"/>
  <c r="N140" i="11" s="1"/>
  <c r="D76" i="6"/>
  <c r="H76" i="6"/>
  <c r="F73" i="6"/>
  <c r="J130" i="11"/>
  <c r="N130" i="11" s="1"/>
  <c r="H234" i="6"/>
  <c r="D234" i="6"/>
  <c r="F231" i="6"/>
  <c r="J210" i="11"/>
  <c r="N210" i="11" s="1"/>
  <c r="H222" i="6"/>
  <c r="D222" i="6"/>
  <c r="F219" i="6"/>
  <c r="J198" i="11"/>
  <c r="N198" i="11" s="1"/>
  <c r="H210" i="6"/>
  <c r="D210" i="6"/>
  <c r="F208" i="6"/>
  <c r="J184" i="11"/>
  <c r="N184" i="11" s="1"/>
  <c r="H201" i="6"/>
  <c r="D201" i="6"/>
  <c r="F199" i="6"/>
  <c r="J172" i="11"/>
  <c r="N172" i="11" s="1"/>
  <c r="H33" i="6"/>
  <c r="D33" i="6"/>
  <c r="F258" i="6"/>
  <c r="J319" i="11"/>
  <c r="N319" i="11" s="1"/>
  <c r="A103" i="6"/>
  <c r="A124" i="1"/>
  <c r="H102" i="6"/>
  <c r="D102" i="6"/>
  <c r="F100" i="6"/>
  <c r="J305" i="11"/>
  <c r="N305" i="11" s="1"/>
  <c r="A95" i="6"/>
  <c r="A112" i="1"/>
  <c r="H94" i="6"/>
  <c r="D94" i="6"/>
  <c r="F245" i="6"/>
  <c r="J292" i="11"/>
  <c r="N292" i="11" s="1"/>
  <c r="F244" i="6"/>
  <c r="D286" i="2"/>
  <c r="J291" i="11"/>
  <c r="N291" i="11" s="1"/>
  <c r="H382" i="2"/>
  <c r="K315" i="6" s="1"/>
  <c r="M315" i="6" s="1"/>
  <c r="Q381" i="2"/>
  <c r="V386" i="11" s="1"/>
  <c r="H367" i="2"/>
  <c r="I367" i="2" s="1"/>
  <c r="I301" i="6"/>
  <c r="H301" i="6" s="1"/>
  <c r="D299" i="6"/>
  <c r="D297" i="6"/>
  <c r="M362" i="2"/>
  <c r="E296" i="6"/>
  <c r="H360" i="2"/>
  <c r="I360" i="2" s="1"/>
  <c r="I294" i="6"/>
  <c r="H294" i="6" s="1"/>
  <c r="M358" i="2"/>
  <c r="E292" i="6"/>
  <c r="D287" i="6"/>
  <c r="D286" i="6"/>
  <c r="A61" i="1"/>
  <c r="A165" i="6"/>
  <c r="A43" i="1"/>
  <c r="D163" i="6"/>
  <c r="H163" i="6"/>
  <c r="F122" i="6"/>
  <c r="J59" i="11"/>
  <c r="N59" i="11" s="1"/>
  <c r="D65" i="6"/>
  <c r="H65" i="6"/>
  <c r="F62" i="6"/>
  <c r="J49" i="11"/>
  <c r="N49" i="11" s="1"/>
  <c r="H177" i="6"/>
  <c r="D177" i="6"/>
  <c r="F174" i="6"/>
  <c r="J92" i="11"/>
  <c r="N92" i="11" s="1"/>
  <c r="D167" i="6"/>
  <c r="H167" i="6"/>
  <c r="F27" i="6"/>
  <c r="J78" i="11"/>
  <c r="N78" i="11" s="1"/>
  <c r="C116" i="2"/>
  <c r="E29" i="6"/>
  <c r="F191" i="6"/>
  <c r="J153" i="11"/>
  <c r="N153" i="11" s="1"/>
  <c r="A132" i="6"/>
  <c r="A68" i="1"/>
  <c r="D130" i="6"/>
  <c r="H130" i="6"/>
  <c r="F128" i="6"/>
  <c r="J139" i="11"/>
  <c r="N139" i="11" s="1"/>
  <c r="A77" i="6"/>
  <c r="A58" i="1"/>
  <c r="D75" i="6"/>
  <c r="H75" i="6"/>
  <c r="F72" i="6"/>
  <c r="J129" i="11"/>
  <c r="N129" i="11" s="1"/>
  <c r="D233" i="6"/>
  <c r="H233" i="6"/>
  <c r="F230" i="6"/>
  <c r="J209" i="11"/>
  <c r="N209" i="11" s="1"/>
  <c r="D221" i="6"/>
  <c r="H221" i="6"/>
  <c r="F218" i="6"/>
  <c r="J197" i="11"/>
  <c r="N197" i="11" s="1"/>
  <c r="H40" i="6"/>
  <c r="D40" i="6"/>
  <c r="F39" i="6"/>
  <c r="J183" i="11"/>
  <c r="N183" i="11" s="1"/>
  <c r="H200" i="6"/>
  <c r="D200" i="6"/>
  <c r="F36" i="6"/>
  <c r="J171" i="11"/>
  <c r="N171" i="11" s="1"/>
  <c r="H32" i="6"/>
  <c r="D32" i="6"/>
  <c r="F142" i="6"/>
  <c r="J318" i="11"/>
  <c r="N318" i="11" s="1"/>
  <c r="A253" i="6"/>
  <c r="A123" i="1"/>
  <c r="H101" i="6"/>
  <c r="D101" i="6"/>
  <c r="F99" i="6"/>
  <c r="J304" i="11"/>
  <c r="N304" i="11" s="1"/>
  <c r="A249" i="6"/>
  <c r="A111" i="1"/>
  <c r="A248" i="6"/>
  <c r="A110" i="1"/>
  <c r="D247" i="6"/>
  <c r="H247" i="6"/>
  <c r="H287" i="2"/>
  <c r="K245" i="6" s="1"/>
  <c r="M245" i="6" s="1"/>
  <c r="I245" i="6"/>
  <c r="H245" i="6" s="1"/>
  <c r="F315" i="6"/>
  <c r="J387" i="11"/>
  <c r="N387" i="11" s="1"/>
  <c r="D304" i="6"/>
  <c r="H304" i="6"/>
  <c r="D303" i="6"/>
  <c r="H284" i="6"/>
  <c r="D284" i="6"/>
  <c r="F115" i="6"/>
  <c r="J21" i="11"/>
  <c r="N21" i="11" s="1"/>
  <c r="A56" i="6"/>
  <c r="A14" i="1"/>
  <c r="H54" i="6"/>
  <c r="D54" i="6"/>
  <c r="F51" i="6"/>
  <c r="J11" i="11"/>
  <c r="N11" i="11" s="1"/>
  <c r="F16" i="6"/>
  <c r="J35" i="11"/>
  <c r="N35" i="11" s="1"/>
  <c r="A164" i="6"/>
  <c r="A42" i="1"/>
  <c r="H124" i="6"/>
  <c r="D124" i="6"/>
  <c r="F121" i="6"/>
  <c r="J58" i="11"/>
  <c r="N58" i="11" s="1"/>
  <c r="A66" i="6"/>
  <c r="A32" i="1"/>
  <c r="D64" i="6"/>
  <c r="H64" i="6"/>
  <c r="F61" i="6"/>
  <c r="J48" i="11"/>
  <c r="N48" i="11" s="1"/>
  <c r="D176" i="6"/>
  <c r="H176" i="6"/>
  <c r="F173" i="6"/>
  <c r="J91" i="11"/>
  <c r="N91" i="11" s="1"/>
  <c r="D166" i="6"/>
  <c r="H166" i="6"/>
  <c r="F26" i="6"/>
  <c r="J77" i="11"/>
  <c r="N77" i="11" s="1"/>
  <c r="F136" i="6"/>
  <c r="J152" i="11"/>
  <c r="N152" i="11" s="1"/>
  <c r="F135" i="6"/>
  <c r="J151" i="11"/>
  <c r="N151" i="11" s="1"/>
  <c r="F190" i="6"/>
  <c r="J150" i="11"/>
  <c r="N150" i="11" s="1"/>
  <c r="A131" i="6"/>
  <c r="A67" i="1"/>
  <c r="F127" i="6"/>
  <c r="J138" i="11"/>
  <c r="N138" i="11" s="1"/>
  <c r="A76" i="6"/>
  <c r="A57" i="1"/>
  <c r="H74" i="6"/>
  <c r="D74" i="6"/>
  <c r="F71" i="6"/>
  <c r="J128" i="11"/>
  <c r="N128" i="11" s="1"/>
  <c r="D232" i="6"/>
  <c r="H232" i="6"/>
  <c r="F229" i="6"/>
  <c r="J208" i="11"/>
  <c r="N208" i="11" s="1"/>
  <c r="H220" i="6"/>
  <c r="D220" i="6"/>
  <c r="F217" i="6"/>
  <c r="J196" i="11"/>
  <c r="N196" i="11" s="1"/>
  <c r="H209" i="6"/>
  <c r="D209" i="6"/>
  <c r="F207" i="6"/>
  <c r="J182" i="11"/>
  <c r="N182" i="11" s="1"/>
  <c r="H37" i="6"/>
  <c r="D37" i="6"/>
  <c r="F198" i="6"/>
  <c r="J170" i="11"/>
  <c r="N170" i="11" s="1"/>
  <c r="D259" i="6"/>
  <c r="H259" i="6"/>
  <c r="F257" i="6"/>
  <c r="J317" i="11"/>
  <c r="N317" i="11" s="1"/>
  <c r="A102" i="6"/>
  <c r="A122" i="1"/>
  <c r="D252" i="6"/>
  <c r="H252" i="6"/>
  <c r="F251" i="6"/>
  <c r="J303" i="11"/>
  <c r="N303" i="11" s="1"/>
  <c r="A94" i="6"/>
  <c r="A109" i="1"/>
  <c r="H246" i="6"/>
  <c r="D246" i="6"/>
  <c r="D245" i="6"/>
  <c r="A244" i="6"/>
  <c r="A105" i="1"/>
  <c r="H242" i="6"/>
  <c r="D242" i="6"/>
  <c r="F314" i="6"/>
  <c r="J386" i="11"/>
  <c r="N386" i="11" s="1"/>
  <c r="H63" i="6"/>
  <c r="D63" i="6"/>
  <c r="F184" i="6"/>
  <c r="J102" i="11"/>
  <c r="N102" i="11" s="1"/>
  <c r="H175" i="6"/>
  <c r="D175" i="6"/>
  <c r="F108" i="6"/>
  <c r="J90" i="11"/>
  <c r="N90" i="11" s="1"/>
  <c r="D28" i="6"/>
  <c r="H28" i="6"/>
  <c r="F25" i="6"/>
  <c r="J76" i="11"/>
  <c r="N76" i="11" s="1"/>
  <c r="F189" i="6"/>
  <c r="J149" i="11"/>
  <c r="N149" i="11" s="1"/>
  <c r="A130" i="6"/>
  <c r="A66" i="1"/>
  <c r="H129" i="6"/>
  <c r="D129" i="6"/>
  <c r="H135" i="2"/>
  <c r="K127" i="6" s="1"/>
  <c r="M127" i="6" s="1"/>
  <c r="I127" i="6"/>
  <c r="H127" i="6" s="1"/>
  <c r="F126" i="6"/>
  <c r="J137" i="11"/>
  <c r="N137" i="11" s="1"/>
  <c r="A75" i="6"/>
  <c r="A56" i="1"/>
  <c r="H73" i="6"/>
  <c r="D73" i="6"/>
  <c r="F70" i="6"/>
  <c r="J127" i="11"/>
  <c r="N127" i="11" s="1"/>
  <c r="F69" i="6"/>
  <c r="J126" i="11"/>
  <c r="N126" i="11" s="1"/>
  <c r="D231" i="6"/>
  <c r="H231" i="6"/>
  <c r="F228" i="6"/>
  <c r="J207" i="11"/>
  <c r="N207" i="11" s="1"/>
  <c r="D219" i="6"/>
  <c r="H219" i="6"/>
  <c r="F216" i="6"/>
  <c r="J195" i="11"/>
  <c r="N195" i="11" s="1"/>
  <c r="D208" i="6"/>
  <c r="H208" i="6"/>
  <c r="F206" i="6"/>
  <c r="J181" i="11"/>
  <c r="N181" i="11" s="1"/>
  <c r="H199" i="6"/>
  <c r="D199" i="6"/>
  <c r="F197" i="6"/>
  <c r="J169" i="11"/>
  <c r="N169" i="11" s="1"/>
  <c r="D258" i="6"/>
  <c r="H258" i="6"/>
  <c r="F141" i="6"/>
  <c r="J316" i="11"/>
  <c r="N316" i="11" s="1"/>
  <c r="A101" i="6"/>
  <c r="A121" i="1"/>
  <c r="H100" i="6"/>
  <c r="D100" i="6"/>
  <c r="F98" i="6"/>
  <c r="J302" i="11"/>
  <c r="N302" i="11" s="1"/>
  <c r="A247" i="6"/>
  <c r="A108" i="1"/>
  <c r="A243" i="6"/>
  <c r="A104" i="1"/>
  <c r="H381" i="2"/>
  <c r="K314" i="6" s="1"/>
  <c r="M314" i="6" s="1"/>
  <c r="I314" i="6"/>
  <c r="H314" i="6" s="1"/>
  <c r="F313" i="6"/>
  <c r="J385" i="11"/>
  <c r="N385" i="11" s="1"/>
  <c r="F188" i="6"/>
  <c r="J148" i="11"/>
  <c r="N148" i="11" s="1"/>
  <c r="A74" i="6"/>
  <c r="A55" i="1"/>
  <c r="D72" i="6"/>
  <c r="H72" i="6"/>
  <c r="F68" i="6"/>
  <c r="J125" i="11"/>
  <c r="N125" i="11" s="1"/>
  <c r="D230" i="6"/>
  <c r="H230" i="6"/>
  <c r="F227" i="6"/>
  <c r="J206" i="11"/>
  <c r="N206" i="11" s="1"/>
  <c r="H218" i="6"/>
  <c r="D218" i="6"/>
  <c r="F215" i="6"/>
  <c r="J194" i="11"/>
  <c r="N194" i="11" s="1"/>
  <c r="D39" i="6"/>
  <c r="H39" i="6"/>
  <c r="F205" i="6"/>
  <c r="J180" i="11"/>
  <c r="N180" i="11" s="1"/>
  <c r="H36" i="6"/>
  <c r="D36" i="6"/>
  <c r="F35" i="6"/>
  <c r="J168" i="11"/>
  <c r="N168" i="11" s="1"/>
  <c r="A259" i="6"/>
  <c r="A134" i="1"/>
  <c r="H142" i="6"/>
  <c r="D142" i="6"/>
  <c r="F256" i="6"/>
  <c r="J315" i="11"/>
  <c r="N315" i="11" s="1"/>
  <c r="A252" i="6"/>
  <c r="A120" i="1"/>
  <c r="H99" i="6"/>
  <c r="D99" i="6"/>
  <c r="F250" i="6"/>
  <c r="J301" i="11"/>
  <c r="N301" i="11" s="1"/>
  <c r="A246" i="6"/>
  <c r="A107" i="1"/>
  <c r="A245" i="6"/>
  <c r="A106" i="1"/>
  <c r="A242" i="6"/>
  <c r="A103" i="1"/>
  <c r="H315" i="6"/>
  <c r="H380" i="2"/>
  <c r="K313" i="6" s="1"/>
  <c r="M313" i="6" s="1"/>
  <c r="I313" i="6"/>
  <c r="F312" i="6"/>
  <c r="J384" i="11"/>
  <c r="N384" i="11" s="1"/>
  <c r="F311" i="6"/>
  <c r="J383" i="11"/>
  <c r="N383" i="11" s="1"/>
  <c r="H377" i="2"/>
  <c r="I377" i="2" s="1"/>
  <c r="D173" i="6"/>
  <c r="H173" i="6"/>
  <c r="F171" i="6"/>
  <c r="J88" i="11"/>
  <c r="N88" i="11" s="1"/>
  <c r="H26" i="6"/>
  <c r="D26" i="6"/>
  <c r="F23" i="6"/>
  <c r="J74" i="11"/>
  <c r="N74" i="11" s="1"/>
  <c r="A192" i="6"/>
  <c r="A78" i="1"/>
  <c r="D136" i="6"/>
  <c r="H136" i="6"/>
  <c r="F134" i="6"/>
  <c r="J147" i="11"/>
  <c r="N147" i="11" s="1"/>
  <c r="A129" i="6"/>
  <c r="A64" i="1"/>
  <c r="D127" i="6"/>
  <c r="A73" i="6"/>
  <c r="A54" i="1"/>
  <c r="H71" i="6"/>
  <c r="D71" i="6"/>
  <c r="F67" i="6"/>
  <c r="J124" i="11"/>
  <c r="N124" i="11" s="1"/>
  <c r="H229" i="6"/>
  <c r="D229" i="6"/>
  <c r="F226" i="6"/>
  <c r="J205" i="11"/>
  <c r="N205" i="11" s="1"/>
  <c r="H217" i="6"/>
  <c r="D217" i="6"/>
  <c r="F214" i="6"/>
  <c r="J191" i="11"/>
  <c r="N191" i="11" s="1"/>
  <c r="H207" i="6"/>
  <c r="D207" i="6"/>
  <c r="F204" i="6"/>
  <c r="J179" i="11"/>
  <c r="N179" i="11" s="1"/>
  <c r="H198" i="6"/>
  <c r="D198" i="6"/>
  <c r="F196" i="6"/>
  <c r="J167" i="11"/>
  <c r="N167" i="11" s="1"/>
  <c r="A258" i="6"/>
  <c r="A133" i="1"/>
  <c r="D257" i="6"/>
  <c r="H257" i="6"/>
  <c r="F255" i="6"/>
  <c r="J314" i="11"/>
  <c r="N314" i="11" s="1"/>
  <c r="F254" i="6"/>
  <c r="J312" i="11"/>
  <c r="N312" i="11" s="1"/>
  <c r="A100" i="6"/>
  <c r="A119" i="1"/>
  <c r="D251" i="6"/>
  <c r="H251" i="6"/>
  <c r="H296" i="2"/>
  <c r="K250" i="6" s="1"/>
  <c r="M250" i="6" s="1"/>
  <c r="I250" i="6"/>
  <c r="H250" i="6" s="1"/>
  <c r="F97" i="6"/>
  <c r="J300" i="11"/>
  <c r="N300" i="11" s="1"/>
  <c r="D314" i="6"/>
  <c r="H379" i="2"/>
  <c r="K312" i="6" s="1"/>
  <c r="M312" i="6" s="1"/>
  <c r="I312" i="6"/>
  <c r="H312" i="6" s="1"/>
  <c r="H378" i="2"/>
  <c r="I378" i="2" s="1"/>
  <c r="I311" i="6"/>
  <c r="H311" i="6" s="1"/>
  <c r="F310" i="6"/>
  <c r="J382" i="11"/>
  <c r="N382" i="11" s="1"/>
  <c r="I30" i="6"/>
  <c r="H30" i="6" s="1"/>
  <c r="D295" i="6"/>
  <c r="H359" i="2"/>
  <c r="I359" i="2" s="1"/>
  <c r="I293" i="6"/>
  <c r="F292" i="6"/>
  <c r="J363" i="11"/>
  <c r="N363" i="11" s="1"/>
  <c r="D285" i="6"/>
  <c r="H285" i="6"/>
  <c r="F110" i="6"/>
  <c r="J354" i="11"/>
  <c r="N354" i="11" s="1"/>
  <c r="H337" i="2"/>
  <c r="K275" i="6" s="1"/>
  <c r="M275" i="6" s="1"/>
  <c r="I275" i="6"/>
  <c r="F274" i="6"/>
  <c r="J341" i="11"/>
  <c r="N341" i="11" s="1"/>
  <c r="R335" i="2"/>
  <c r="C273" i="6"/>
  <c r="D273" i="6" s="1"/>
  <c r="D268" i="6"/>
  <c r="H268" i="6"/>
  <c r="F265" i="6"/>
  <c r="J331" i="11"/>
  <c r="N331" i="11" s="1"/>
  <c r="H369" i="2"/>
  <c r="K303" i="6" s="1"/>
  <c r="M303" i="6" s="1"/>
  <c r="I303" i="6"/>
  <c r="H303" i="6" s="1"/>
  <c r="F302" i="6"/>
  <c r="J373" i="11"/>
  <c r="N373" i="11" s="1"/>
  <c r="D294" i="6"/>
  <c r="H358" i="2"/>
  <c r="K292" i="6" s="1"/>
  <c r="M292" i="6" s="1"/>
  <c r="I292" i="6"/>
  <c r="F291" i="6"/>
  <c r="J362" i="11"/>
  <c r="N362" i="11" s="1"/>
  <c r="H349" i="2"/>
  <c r="I110" i="6"/>
  <c r="H110" i="6" s="1"/>
  <c r="H276" i="6"/>
  <c r="D276" i="6"/>
  <c r="H336" i="2"/>
  <c r="K274" i="6" s="1"/>
  <c r="M274" i="6" s="1"/>
  <c r="I274" i="6"/>
  <c r="H274" i="6" s="1"/>
  <c r="F273" i="6"/>
  <c r="J340" i="11"/>
  <c r="N340" i="11" s="1"/>
  <c r="D267" i="6"/>
  <c r="F264" i="6"/>
  <c r="J330" i="11"/>
  <c r="N330" i="11" s="1"/>
  <c r="J359" i="11"/>
  <c r="N359" i="11" s="1"/>
  <c r="M327" i="2"/>
  <c r="E266" i="6"/>
  <c r="F263" i="6"/>
  <c r="J329" i="11"/>
  <c r="N329" i="11" s="1"/>
  <c r="D110" i="6"/>
  <c r="F281" i="6"/>
  <c r="J350" i="11"/>
  <c r="N350" i="11" s="1"/>
  <c r="R333" i="2"/>
  <c r="C271" i="6"/>
  <c r="D271" i="6" s="1"/>
  <c r="Q332" i="2"/>
  <c r="V337" i="11" s="1"/>
  <c r="D265" i="6"/>
  <c r="H265" i="6"/>
  <c r="F262" i="6"/>
  <c r="J328" i="11"/>
  <c r="N328" i="11" s="1"/>
  <c r="D249" i="6"/>
  <c r="F247" i="6"/>
  <c r="J294" i="11"/>
  <c r="N294" i="11" s="1"/>
  <c r="F243" i="6"/>
  <c r="J290" i="11"/>
  <c r="N290" i="11" s="1"/>
  <c r="D310" i="6"/>
  <c r="H310" i="6"/>
  <c r="H375" i="2"/>
  <c r="K309" i="6" s="1"/>
  <c r="M309" i="6" s="1"/>
  <c r="I309" i="6"/>
  <c r="H309" i="6" s="1"/>
  <c r="D302" i="6"/>
  <c r="H366" i="2"/>
  <c r="K300" i="6" s="1"/>
  <c r="M300" i="6" s="1"/>
  <c r="I300" i="6"/>
  <c r="H300" i="6" s="1"/>
  <c r="F299" i="6"/>
  <c r="J370" i="11"/>
  <c r="N370" i="11" s="1"/>
  <c r="D291" i="6"/>
  <c r="F289" i="6"/>
  <c r="J360" i="11"/>
  <c r="N360" i="11" s="1"/>
  <c r="D283" i="6"/>
  <c r="F280" i="6"/>
  <c r="J349" i="11"/>
  <c r="N349" i="11" s="1"/>
  <c r="F271" i="6"/>
  <c r="J338" i="11"/>
  <c r="N338" i="11" s="1"/>
  <c r="H264" i="6"/>
  <c r="D264" i="6"/>
  <c r="F261" i="6"/>
  <c r="J327" i="11"/>
  <c r="N327" i="11" s="1"/>
  <c r="D331" i="6"/>
  <c r="F308" i="6"/>
  <c r="J379" i="11"/>
  <c r="N379" i="11" s="1"/>
  <c r="D301" i="6"/>
  <c r="H365" i="2"/>
  <c r="I365" i="2" s="1"/>
  <c r="I299" i="6"/>
  <c r="H299" i="6" s="1"/>
  <c r="Q363" i="2"/>
  <c r="V368" i="11" s="1"/>
  <c r="H355" i="2"/>
  <c r="I355" i="2" s="1"/>
  <c r="I289" i="6"/>
  <c r="H289" i="6" s="1"/>
  <c r="D282" i="6"/>
  <c r="H282" i="6"/>
  <c r="F279" i="6"/>
  <c r="J348" i="11"/>
  <c r="N348" i="11" s="1"/>
  <c r="H272" i="6"/>
  <c r="D272" i="6"/>
  <c r="F270" i="6"/>
  <c r="J337" i="11"/>
  <c r="N337" i="11" s="1"/>
  <c r="D263" i="6"/>
  <c r="H263" i="6"/>
  <c r="H322" i="2"/>
  <c r="I322" i="2" s="1"/>
  <c r="I261" i="6"/>
  <c r="H261" i="6" s="1"/>
  <c r="F43" i="6"/>
  <c r="J326" i="11"/>
  <c r="N326" i="11" s="1"/>
  <c r="Q364" i="2"/>
  <c r="V369" i="11" s="1"/>
  <c r="F298" i="6"/>
  <c r="J369" i="11"/>
  <c r="N369" i="11" s="1"/>
  <c r="M356" i="2"/>
  <c r="E290" i="6"/>
  <c r="H281" i="6"/>
  <c r="D281" i="6"/>
  <c r="F278" i="6"/>
  <c r="J347" i="11"/>
  <c r="N347" i="11" s="1"/>
  <c r="F269" i="6"/>
  <c r="J336" i="11"/>
  <c r="N336" i="11" s="1"/>
  <c r="D262" i="6"/>
  <c r="H262" i="6"/>
  <c r="F287" i="6"/>
  <c r="J358" i="11"/>
  <c r="N358" i="11" s="1"/>
  <c r="D280" i="6"/>
  <c r="H280" i="6"/>
  <c r="H342" i="2"/>
  <c r="I342" i="2" s="1"/>
  <c r="I278" i="6"/>
  <c r="H278" i="6" s="1"/>
  <c r="Q341" i="2"/>
  <c r="V346" i="11" s="1"/>
  <c r="F277" i="6"/>
  <c r="J346" i="11"/>
  <c r="N346" i="11" s="1"/>
  <c r="R340" i="2"/>
  <c r="C46" i="6"/>
  <c r="D46" i="6" s="1"/>
  <c r="H271" i="6"/>
  <c r="H331" i="2"/>
  <c r="K269" i="6" s="1"/>
  <c r="M269" i="6" s="1"/>
  <c r="I269" i="6"/>
  <c r="H269" i="6" s="1"/>
  <c r="D261" i="6"/>
  <c r="H279" i="6"/>
  <c r="D279" i="6"/>
  <c r="F46" i="6"/>
  <c r="J345" i="11"/>
  <c r="N345" i="11" s="1"/>
  <c r="R339" i="2"/>
  <c r="C45" i="6"/>
  <c r="D45" i="6" s="1"/>
  <c r="H270" i="6"/>
  <c r="D270" i="6"/>
  <c r="F44" i="6"/>
  <c r="J335" i="11"/>
  <c r="N335" i="11" s="1"/>
  <c r="R327" i="2"/>
  <c r="H43" i="6"/>
  <c r="D43" i="6"/>
  <c r="R157" i="2"/>
  <c r="C30" i="6"/>
  <c r="D30" i="6" s="1"/>
  <c r="D307" i="6"/>
  <c r="F305" i="6"/>
  <c r="J376" i="11"/>
  <c r="N376" i="11" s="1"/>
  <c r="M364" i="2"/>
  <c r="E298" i="6"/>
  <c r="H362" i="2"/>
  <c r="I362" i="2" s="1"/>
  <c r="I367" i="11" s="1"/>
  <c r="I296" i="6"/>
  <c r="F295" i="6"/>
  <c r="J366" i="11"/>
  <c r="N366" i="11" s="1"/>
  <c r="D288" i="6"/>
  <c r="H288" i="6"/>
  <c r="G288" i="6" s="1"/>
  <c r="H352" i="2"/>
  <c r="K286" i="6" s="1"/>
  <c r="M286" i="6" s="1"/>
  <c r="I286" i="6"/>
  <c r="H286" i="6" s="1"/>
  <c r="F285" i="6"/>
  <c r="J356" i="11"/>
  <c r="N356" i="11" s="1"/>
  <c r="R349" i="2"/>
  <c r="D278" i="6"/>
  <c r="F45" i="6"/>
  <c r="J344" i="11"/>
  <c r="N344" i="11" s="1"/>
  <c r="D269" i="6"/>
  <c r="F268" i="6"/>
  <c r="J334" i="11"/>
  <c r="N334" i="11" s="1"/>
  <c r="F30" i="6"/>
  <c r="J160" i="11"/>
  <c r="D17" i="6"/>
  <c r="J36" i="11"/>
  <c r="N36" i="11" s="1"/>
  <c r="Q377" i="2"/>
  <c r="V382" i="11" s="1"/>
  <c r="R342" i="2"/>
  <c r="M335" i="2"/>
  <c r="M378" i="2"/>
  <c r="Q322" i="2"/>
  <c r="V327" i="11" s="1"/>
  <c r="M369" i="2"/>
  <c r="M375" i="2"/>
  <c r="M352" i="2"/>
  <c r="R328" i="2"/>
  <c r="M351" i="2"/>
  <c r="Q328" i="2"/>
  <c r="V333" i="11" s="1"/>
  <c r="R377" i="2"/>
  <c r="M357" i="2"/>
  <c r="R370" i="2"/>
  <c r="R345" i="2"/>
  <c r="R334" i="2"/>
  <c r="M382" i="2"/>
  <c r="Q354" i="2"/>
  <c r="V359" i="11" s="1"/>
  <c r="R353" i="2"/>
  <c r="M332" i="2"/>
  <c r="R372" i="2"/>
  <c r="M368" i="2"/>
  <c r="Q366" i="2"/>
  <c r="V371" i="11" s="1"/>
  <c r="R365" i="2"/>
  <c r="R358" i="2"/>
  <c r="R352" i="2"/>
  <c r="R284" i="2"/>
  <c r="Q359" i="2"/>
  <c r="V364" i="11" s="1"/>
  <c r="Q351" i="2"/>
  <c r="V356" i="11" s="1"/>
  <c r="M175" i="2"/>
  <c r="R376" i="2"/>
  <c r="M344" i="2"/>
  <c r="Q326" i="2"/>
  <c r="V331" i="11" s="1"/>
  <c r="M321" i="2"/>
  <c r="Q339" i="2"/>
  <c r="V344" i="11" s="1"/>
  <c r="R324" i="2"/>
  <c r="Q382" i="2"/>
  <c r="V387" i="11" s="1"/>
  <c r="R348" i="2"/>
  <c r="M326" i="2"/>
  <c r="Q304" i="2"/>
  <c r="V309" i="11" s="1"/>
  <c r="M376" i="2"/>
  <c r="M370" i="2"/>
  <c r="R354" i="2"/>
  <c r="M350" i="2"/>
  <c r="Q348" i="2"/>
  <c r="V353" i="11" s="1"/>
  <c r="R346" i="2"/>
  <c r="R330" i="2"/>
  <c r="R321" i="2"/>
  <c r="Q345" i="2"/>
  <c r="V350" i="11" s="1"/>
  <c r="Q338" i="2"/>
  <c r="V343" i="11" s="1"/>
  <c r="R313" i="2"/>
  <c r="R379" i="2"/>
  <c r="Q372" i="2"/>
  <c r="V377" i="11" s="1"/>
  <c r="R361" i="2"/>
  <c r="M345" i="2"/>
  <c r="Q333" i="2"/>
  <c r="V338" i="11" s="1"/>
  <c r="M339" i="2"/>
  <c r="Q375" i="2"/>
  <c r="V380" i="11" s="1"/>
  <c r="Q357" i="2"/>
  <c r="V362" i="11" s="1"/>
  <c r="M338" i="2"/>
  <c r="Q327" i="2"/>
  <c r="V332" i="11" s="1"/>
  <c r="Q321" i="2"/>
  <c r="V326" i="11" s="1"/>
  <c r="M381" i="2"/>
  <c r="Q376" i="2"/>
  <c r="V381" i="11" s="1"/>
  <c r="M372" i="2"/>
  <c r="Q371" i="2"/>
  <c r="V376" i="11" s="1"/>
  <c r="M363" i="2"/>
  <c r="Q358" i="2"/>
  <c r="V363" i="11" s="1"/>
  <c r="Q353" i="2"/>
  <c r="V358" i="11" s="1"/>
  <c r="M343" i="2"/>
  <c r="R341" i="2"/>
  <c r="M333" i="2"/>
  <c r="R378" i="2"/>
  <c r="R360" i="2"/>
  <c r="Q346" i="2"/>
  <c r="V351" i="11" s="1"/>
  <c r="Q340" i="2"/>
  <c r="V345" i="11" s="1"/>
  <c r="Q365" i="2"/>
  <c r="V370" i="11" s="1"/>
  <c r="Q352" i="2"/>
  <c r="V357" i="11" s="1"/>
  <c r="Q335" i="2"/>
  <c r="V340" i="11" s="1"/>
  <c r="M331" i="2"/>
  <c r="R329" i="2"/>
  <c r="R323" i="2"/>
  <c r="Q378" i="2"/>
  <c r="V383" i="11" s="1"/>
  <c r="Q360" i="2"/>
  <c r="V365" i="11" s="1"/>
  <c r="Q344" i="2"/>
  <c r="V349" i="11" s="1"/>
  <c r="Q329" i="2"/>
  <c r="V334" i="11" s="1"/>
  <c r="M325" i="2"/>
  <c r="Q323" i="2"/>
  <c r="V328" i="11" s="1"/>
  <c r="Q379" i="2"/>
  <c r="V384" i="11" s="1"/>
  <c r="M377" i="2"/>
  <c r="Q373" i="2"/>
  <c r="V378" i="11" s="1"/>
  <c r="M371" i="2"/>
  <c r="Q367" i="2"/>
  <c r="V372" i="11" s="1"/>
  <c r="M365" i="2"/>
  <c r="Q361" i="2"/>
  <c r="V366" i="11" s="1"/>
  <c r="M359" i="2"/>
  <c r="Q355" i="2"/>
  <c r="V360" i="11" s="1"/>
  <c r="M353" i="2"/>
  <c r="Q349" i="2"/>
  <c r="V354" i="11" s="1"/>
  <c r="M346" i="2"/>
  <c r="Q342" i="2"/>
  <c r="V347" i="11" s="1"/>
  <c r="M340" i="2"/>
  <c r="Q336" i="2"/>
  <c r="V341" i="11" s="1"/>
  <c r="M334" i="2"/>
  <c r="Q330" i="2"/>
  <c r="V335" i="11" s="1"/>
  <c r="M328" i="2"/>
  <c r="Q324" i="2"/>
  <c r="V329" i="11" s="1"/>
  <c r="M322" i="2"/>
  <c r="R380" i="2"/>
  <c r="R374" i="2"/>
  <c r="R368" i="2"/>
  <c r="R362" i="2"/>
  <c r="R356" i="2"/>
  <c r="R350" i="2"/>
  <c r="R343" i="2"/>
  <c r="R337" i="2"/>
  <c r="R331" i="2"/>
  <c r="R325" i="2"/>
  <c r="Q380" i="2"/>
  <c r="V385" i="11" s="1"/>
  <c r="Q374" i="2"/>
  <c r="V379" i="11" s="1"/>
  <c r="Q368" i="2"/>
  <c r="V373" i="11" s="1"/>
  <c r="M366" i="2"/>
  <c r="Q362" i="2"/>
  <c r="V367" i="11" s="1"/>
  <c r="M360" i="2"/>
  <c r="Q356" i="2"/>
  <c r="V361" i="11" s="1"/>
  <c r="M354" i="2"/>
  <c r="Q350" i="2"/>
  <c r="V355" i="11" s="1"/>
  <c r="M348" i="2"/>
  <c r="Q343" i="2"/>
  <c r="V348" i="11" s="1"/>
  <c r="M341" i="2"/>
  <c r="Q337" i="2"/>
  <c r="V342" i="11" s="1"/>
  <c r="Q331" i="2"/>
  <c r="V336" i="11" s="1"/>
  <c r="M329" i="2"/>
  <c r="Q325" i="2"/>
  <c r="V330" i="11" s="1"/>
  <c r="M323" i="2"/>
  <c r="R381" i="2"/>
  <c r="R375" i="2"/>
  <c r="R369" i="2"/>
  <c r="R363" i="2"/>
  <c r="R357" i="2"/>
  <c r="R351" i="2"/>
  <c r="R344" i="2"/>
  <c r="R338" i="2"/>
  <c r="R332" i="2"/>
  <c r="R326" i="2"/>
  <c r="M379" i="2"/>
  <c r="M373" i="2"/>
  <c r="M367" i="2"/>
  <c r="M361" i="2"/>
  <c r="M355" i="2"/>
  <c r="M349" i="2"/>
  <c r="M342" i="2"/>
  <c r="M336" i="2"/>
  <c r="M330" i="2"/>
  <c r="M324" i="2"/>
  <c r="R173" i="2"/>
  <c r="Q300" i="2"/>
  <c r="V305" i="11" s="1"/>
  <c r="R299" i="2"/>
  <c r="R287" i="2"/>
  <c r="M301" i="2"/>
  <c r="R314" i="2"/>
  <c r="M170" i="2"/>
  <c r="M181" i="2"/>
  <c r="Q213" i="2"/>
  <c r="V216" i="11" s="1"/>
  <c r="R212" i="2"/>
  <c r="Q201" i="2"/>
  <c r="V204" i="11" s="1"/>
  <c r="M178" i="2"/>
  <c r="Q175" i="2"/>
  <c r="V178" i="11" s="1"/>
  <c r="Q166" i="2"/>
  <c r="V169" i="11" s="1"/>
  <c r="Q181" i="2"/>
  <c r="V184" i="11" s="1"/>
  <c r="R180" i="2"/>
  <c r="R302" i="2"/>
  <c r="Q311" i="2"/>
  <c r="V316" i="11" s="1"/>
  <c r="R310" i="2"/>
  <c r="R183" i="2"/>
  <c r="Q161" i="2"/>
  <c r="V164" i="11" s="1"/>
  <c r="R308" i="2"/>
  <c r="R296" i="2"/>
  <c r="M162" i="2"/>
  <c r="Q296" i="2"/>
  <c r="V301" i="11" s="1"/>
  <c r="M208" i="2"/>
  <c r="Q170" i="2"/>
  <c r="V173" i="11" s="1"/>
  <c r="Q191" i="2"/>
  <c r="V194" i="11" s="1"/>
  <c r="M172" i="2"/>
  <c r="R304" i="2"/>
  <c r="R293" i="2"/>
  <c r="M182" i="2"/>
  <c r="M171" i="2"/>
  <c r="M296" i="2"/>
  <c r="R199" i="2"/>
  <c r="M187" i="2"/>
  <c r="R290" i="2"/>
  <c r="Q163" i="2"/>
  <c r="V166" i="11" s="1"/>
  <c r="R186" i="2"/>
  <c r="M169" i="2"/>
  <c r="Q307" i="2"/>
  <c r="V312" i="11" s="1"/>
  <c r="M290" i="2"/>
  <c r="Q306" i="2"/>
  <c r="V311" i="11" s="1"/>
  <c r="R305" i="2"/>
  <c r="R303" i="2"/>
  <c r="Q286" i="2"/>
  <c r="V291" i="11" s="1"/>
  <c r="M307" i="2"/>
  <c r="M210" i="2"/>
  <c r="M312" i="2"/>
  <c r="M305" i="2"/>
  <c r="R159" i="2"/>
  <c r="Q309" i="2"/>
  <c r="V314" i="11" s="1"/>
  <c r="Q292" i="2"/>
  <c r="V297" i="11" s="1"/>
  <c r="R291" i="2"/>
  <c r="M163" i="2"/>
  <c r="M293" i="2"/>
  <c r="M284" i="2"/>
  <c r="R315" i="2"/>
  <c r="Q290" i="2"/>
  <c r="V295" i="11" s="1"/>
  <c r="Q315" i="2"/>
  <c r="V320" i="11" s="1"/>
  <c r="Q298" i="2"/>
  <c r="V303" i="11" s="1"/>
  <c r="R297" i="2"/>
  <c r="M202" i="2"/>
  <c r="Q184" i="2"/>
  <c r="V187" i="11" s="1"/>
  <c r="M310" i="2"/>
  <c r="M299" i="2"/>
  <c r="Q297" i="2"/>
  <c r="V302" i="11" s="1"/>
  <c r="Q291" i="2"/>
  <c r="V296" i="11" s="1"/>
  <c r="M287" i="2"/>
  <c r="R209" i="2"/>
  <c r="Q314" i="2"/>
  <c r="V319" i="11" s="1"/>
  <c r="Q303" i="2"/>
  <c r="V308" i="11" s="1"/>
  <c r="M130" i="2"/>
  <c r="Q183" i="2"/>
  <c r="V186" i="11" s="1"/>
  <c r="R174" i="2"/>
  <c r="M297" i="2"/>
  <c r="R162" i="2"/>
  <c r="M314" i="2"/>
  <c r="Q313" i="2"/>
  <c r="V318" i="11" s="1"/>
  <c r="M303" i="2"/>
  <c r="Q302" i="2"/>
  <c r="V307" i="11" s="1"/>
  <c r="Q295" i="2"/>
  <c r="V300" i="11" s="1"/>
  <c r="Q289" i="2"/>
  <c r="V294" i="11" s="1"/>
  <c r="M285" i="2"/>
  <c r="Q284" i="2"/>
  <c r="V289" i="11" s="1"/>
  <c r="R194" i="2"/>
  <c r="M184" i="2"/>
  <c r="Q171" i="2"/>
  <c r="V174" i="11" s="1"/>
  <c r="Q312" i="2"/>
  <c r="V317" i="11" s="1"/>
  <c r="Q308" i="2"/>
  <c r="V313" i="11" s="1"/>
  <c r="Q301" i="2"/>
  <c r="V306" i="11" s="1"/>
  <c r="Q203" i="2"/>
  <c r="V206" i="11" s="1"/>
  <c r="Q192" i="2"/>
  <c r="V195" i="11" s="1"/>
  <c r="R179" i="2"/>
  <c r="Q294" i="2"/>
  <c r="V299" i="11" s="1"/>
  <c r="Q288" i="2"/>
  <c r="V293" i="11" s="1"/>
  <c r="M313" i="2"/>
  <c r="M302" i="2"/>
  <c r="M295" i="2"/>
  <c r="M289" i="2"/>
  <c r="R160" i="2"/>
  <c r="R292" i="2"/>
  <c r="R285" i="2"/>
  <c r="R211" i="2"/>
  <c r="Q187" i="2"/>
  <c r="V190" i="11" s="1"/>
  <c r="R309" i="2"/>
  <c r="R298" i="2"/>
  <c r="R286" i="2"/>
  <c r="Q285" i="2"/>
  <c r="V290" i="11" s="1"/>
  <c r="Q310" i="2"/>
  <c r="V315" i="11" s="1"/>
  <c r="Q305" i="2"/>
  <c r="V310" i="11" s="1"/>
  <c r="Q299" i="2"/>
  <c r="V304" i="11" s="1"/>
  <c r="Q293" i="2"/>
  <c r="V298" i="11" s="1"/>
  <c r="Q287" i="2"/>
  <c r="V292" i="11" s="1"/>
  <c r="R311" i="2"/>
  <c r="R306" i="2"/>
  <c r="R300" i="2"/>
  <c r="R294" i="2"/>
  <c r="R288" i="2"/>
  <c r="M315" i="2"/>
  <c r="M309" i="2"/>
  <c r="M304" i="2"/>
  <c r="M298" i="2"/>
  <c r="M292" i="2"/>
  <c r="R312" i="2"/>
  <c r="R307" i="2"/>
  <c r="R301" i="2"/>
  <c r="R295" i="2"/>
  <c r="R289" i="2"/>
  <c r="M311" i="2"/>
  <c r="M306" i="2"/>
  <c r="M300" i="2"/>
  <c r="M294" i="2"/>
  <c r="M288" i="2"/>
  <c r="M160" i="2"/>
  <c r="Q159" i="2"/>
  <c r="V162" i="11" s="1"/>
  <c r="Q193" i="2"/>
  <c r="V196" i="11" s="1"/>
  <c r="R192" i="2"/>
  <c r="R168" i="2"/>
  <c r="Q208" i="2"/>
  <c r="V211" i="11" s="1"/>
  <c r="R200" i="2"/>
  <c r="R191" i="2"/>
  <c r="R205" i="2"/>
  <c r="M177" i="2"/>
  <c r="R166" i="2"/>
  <c r="M161" i="2"/>
  <c r="Q207" i="2"/>
  <c r="V210" i="11" s="1"/>
  <c r="R206" i="2"/>
  <c r="R198" i="2"/>
  <c r="M193" i="2"/>
  <c r="Q188" i="2"/>
  <c r="V191" i="11" s="1"/>
  <c r="M200" i="2"/>
  <c r="M191" i="2"/>
  <c r="Q165" i="2"/>
  <c r="V168" i="11" s="1"/>
  <c r="Q196" i="2"/>
  <c r="V199" i="11" s="1"/>
  <c r="M188" i="2"/>
  <c r="Q179" i="2"/>
  <c r="V182" i="11" s="1"/>
  <c r="Q177" i="2"/>
  <c r="V180" i="11" s="1"/>
  <c r="M166" i="2"/>
  <c r="M198" i="2"/>
  <c r="R178" i="2"/>
  <c r="M159" i="2"/>
  <c r="Q210" i="2"/>
  <c r="V213" i="11" s="1"/>
  <c r="M205" i="2"/>
  <c r="M197" i="2"/>
  <c r="R184" i="2"/>
  <c r="M180" i="2"/>
  <c r="R171" i="2"/>
  <c r="R161" i="2"/>
  <c r="M204" i="2"/>
  <c r="M196" i="2"/>
  <c r="Q195" i="2"/>
  <c r="V198" i="11" s="1"/>
  <c r="R193" i="2"/>
  <c r="M179" i="2"/>
  <c r="M173" i="2"/>
  <c r="Q169" i="2"/>
  <c r="V172" i="11" s="1"/>
  <c r="M164" i="2"/>
  <c r="Q211" i="2"/>
  <c r="V214" i="11" s="1"/>
  <c r="Q204" i="2"/>
  <c r="V207" i="11" s="1"/>
  <c r="Q172" i="2"/>
  <c r="V175" i="11" s="1"/>
  <c r="R210" i="2"/>
  <c r="Q209" i="2"/>
  <c r="V212" i="11" s="1"/>
  <c r="Q205" i="2"/>
  <c r="V208" i="11" s="1"/>
  <c r="R203" i="2"/>
  <c r="Q198" i="2"/>
  <c r="V201" i="11" s="1"/>
  <c r="Q182" i="2"/>
  <c r="V185" i="11" s="1"/>
  <c r="Q173" i="2"/>
  <c r="V176" i="11" s="1"/>
  <c r="Q164" i="2"/>
  <c r="V167" i="11" s="1"/>
  <c r="M212" i="2"/>
  <c r="R204" i="2"/>
  <c r="Q199" i="2"/>
  <c r="V202" i="11" s="1"/>
  <c r="R185" i="2"/>
  <c r="M183" i="2"/>
  <c r="R177" i="2"/>
  <c r="R172" i="2"/>
  <c r="R167" i="2"/>
  <c r="M165" i="2"/>
  <c r="M211" i="2"/>
  <c r="M206" i="2"/>
  <c r="Q197" i="2"/>
  <c r="V200" i="11" s="1"/>
  <c r="M192" i="2"/>
  <c r="M174" i="2"/>
  <c r="Q142" i="2"/>
  <c r="V145" i="11" s="1"/>
  <c r="M199" i="2"/>
  <c r="R197" i="2"/>
  <c r="M194" i="2"/>
  <c r="Q185" i="2"/>
  <c r="V188" i="11" s="1"/>
  <c r="Q176" i="2"/>
  <c r="V179" i="11" s="1"/>
  <c r="Q167" i="2"/>
  <c r="V170" i="11" s="1"/>
  <c r="Q112" i="2"/>
  <c r="M122" i="2"/>
  <c r="M209" i="2"/>
  <c r="Q202" i="2"/>
  <c r="V205" i="11" s="1"/>
  <c r="M186" i="2"/>
  <c r="M168" i="2"/>
  <c r="R165" i="2"/>
  <c r="M203" i="2"/>
  <c r="M185" i="2"/>
  <c r="Q178" i="2"/>
  <c r="V181" i="11" s="1"/>
  <c r="M176" i="2"/>
  <c r="M167" i="2"/>
  <c r="Q160" i="2"/>
  <c r="V163" i="11" s="1"/>
  <c r="Q186" i="2"/>
  <c r="V189" i="11" s="1"/>
  <c r="Q180" i="2"/>
  <c r="V183" i="11" s="1"/>
  <c r="Q174" i="2"/>
  <c r="V177" i="11" s="1"/>
  <c r="Q168" i="2"/>
  <c r="V171" i="11" s="1"/>
  <c r="Q162" i="2"/>
  <c r="V165" i="11" s="1"/>
  <c r="Q206" i="2"/>
  <c r="V209" i="11" s="1"/>
  <c r="Q200" i="2"/>
  <c r="V203" i="11" s="1"/>
  <c r="Q194" i="2"/>
  <c r="V197" i="11" s="1"/>
  <c r="R213" i="2"/>
  <c r="R207" i="2"/>
  <c r="R201" i="2"/>
  <c r="R195" i="2"/>
  <c r="R187" i="2"/>
  <c r="R181" i="2"/>
  <c r="R175" i="2"/>
  <c r="R169" i="2"/>
  <c r="R163" i="2"/>
  <c r="R208" i="2"/>
  <c r="R202" i="2"/>
  <c r="R196" i="2"/>
  <c r="R188" i="2"/>
  <c r="R182" i="2"/>
  <c r="R176" i="2"/>
  <c r="R170" i="2"/>
  <c r="R164" i="2"/>
  <c r="Q212" i="2"/>
  <c r="V215" i="11" s="1"/>
  <c r="M213" i="2"/>
  <c r="M207" i="2"/>
  <c r="M201" i="2"/>
  <c r="M195" i="2"/>
  <c r="R128" i="2"/>
  <c r="R134" i="2"/>
  <c r="R144" i="2"/>
  <c r="M128" i="2"/>
  <c r="R152" i="2"/>
  <c r="R133" i="2"/>
  <c r="M134" i="2"/>
  <c r="R150" i="2"/>
  <c r="R130" i="2"/>
  <c r="R99" i="2"/>
  <c r="F116" i="2"/>
  <c r="M152" i="2"/>
  <c r="M142" i="2"/>
  <c r="R85" i="2"/>
  <c r="Q72" i="2"/>
  <c r="V73" i="11" s="1"/>
  <c r="R71" i="2"/>
  <c r="R123" i="2"/>
  <c r="M70" i="2"/>
  <c r="Q69" i="2"/>
  <c r="V70" i="11" s="1"/>
  <c r="R121" i="2"/>
  <c r="M87" i="2"/>
  <c r="R146" i="2"/>
  <c r="R122" i="2"/>
  <c r="M149" i="2"/>
  <c r="M140" i="2"/>
  <c r="M124" i="2"/>
  <c r="M148" i="2"/>
  <c r="M146" i="2"/>
  <c r="R143" i="2"/>
  <c r="M138" i="2"/>
  <c r="M131" i="2"/>
  <c r="M137" i="2"/>
  <c r="Q128" i="2"/>
  <c r="V131" i="11" s="1"/>
  <c r="R127" i="2"/>
  <c r="M129" i="2"/>
  <c r="Q125" i="2"/>
  <c r="V128" i="11" s="1"/>
  <c r="R75" i="2"/>
  <c r="M125" i="2"/>
  <c r="R86" i="2"/>
  <c r="R140" i="2"/>
  <c r="R138" i="2"/>
  <c r="Q121" i="2"/>
  <c r="V124" i="11" s="1"/>
  <c r="R139" i="2"/>
  <c r="M123" i="2"/>
  <c r="Q122" i="2"/>
  <c r="V125" i="11" s="1"/>
  <c r="R151" i="2"/>
  <c r="Q145" i="2"/>
  <c r="V148" i="11" s="1"/>
  <c r="M141" i="2"/>
  <c r="Q139" i="2"/>
  <c r="V142" i="11" s="1"/>
  <c r="Q85" i="2"/>
  <c r="V86" i="11" s="1"/>
  <c r="R84" i="2"/>
  <c r="M150" i="2"/>
  <c r="R137" i="2"/>
  <c r="Q150" i="2"/>
  <c r="V153" i="11" s="1"/>
  <c r="R149" i="2"/>
  <c r="Q137" i="2"/>
  <c r="V140" i="11" s="1"/>
  <c r="Q126" i="2"/>
  <c r="V129" i="11" s="1"/>
  <c r="Q149" i="2"/>
  <c r="V152" i="11" s="1"/>
  <c r="M144" i="2"/>
  <c r="Q136" i="2"/>
  <c r="V139" i="11" s="1"/>
  <c r="M92" i="2"/>
  <c r="R90" i="2"/>
  <c r="Q148" i="2"/>
  <c r="V151" i="11" s="1"/>
  <c r="Q132" i="2"/>
  <c r="V135" i="11" s="1"/>
  <c r="M127" i="2"/>
  <c r="R124" i="2"/>
  <c r="R78" i="2"/>
  <c r="Q151" i="2"/>
  <c r="V154" i="11" s="1"/>
  <c r="Q143" i="2"/>
  <c r="V146" i="11" s="1"/>
  <c r="R129" i="2"/>
  <c r="Q101" i="2"/>
  <c r="V102" i="11" s="1"/>
  <c r="Q82" i="2"/>
  <c r="V83" i="11" s="1"/>
  <c r="R79" i="2"/>
  <c r="M139" i="2"/>
  <c r="Q135" i="2"/>
  <c r="V138" i="11" s="1"/>
  <c r="Q129" i="2"/>
  <c r="V132" i="11" s="1"/>
  <c r="M126" i="2"/>
  <c r="M143" i="2"/>
  <c r="Q138" i="2"/>
  <c r="V141" i="11" s="1"/>
  <c r="Q133" i="2"/>
  <c r="V136" i="11" s="1"/>
  <c r="M147" i="2"/>
  <c r="R145" i="2"/>
  <c r="M135" i="2"/>
  <c r="Q131" i="2"/>
  <c r="V134" i="11" s="1"/>
  <c r="Q89" i="2"/>
  <c r="V90" i="11" s="1"/>
  <c r="Q141" i="2"/>
  <c r="V144" i="11" s="1"/>
  <c r="M133" i="2"/>
  <c r="Q123" i="2"/>
  <c r="V126" i="11" s="1"/>
  <c r="M121" i="2"/>
  <c r="R96" i="2"/>
  <c r="M90" i="2"/>
  <c r="R72" i="2"/>
  <c r="M145" i="2"/>
  <c r="Q144" i="2"/>
  <c r="V147" i="11" s="1"/>
  <c r="M132" i="2"/>
  <c r="Q127" i="2"/>
  <c r="V130" i="11" s="1"/>
  <c r="Q152" i="2"/>
  <c r="V155" i="11" s="1"/>
  <c r="Q146" i="2"/>
  <c r="V149" i="11" s="1"/>
  <c r="Q140" i="2"/>
  <c r="V143" i="11" s="1"/>
  <c r="Q134" i="2"/>
  <c r="V137" i="11" s="1"/>
  <c r="Q130" i="2"/>
  <c r="V133" i="11" s="1"/>
  <c r="Q124" i="2"/>
  <c r="V127" i="11" s="1"/>
  <c r="R147" i="2"/>
  <c r="R141" i="2"/>
  <c r="R135" i="2"/>
  <c r="R131" i="2"/>
  <c r="R125" i="2"/>
  <c r="Q147" i="2"/>
  <c r="V150" i="11" s="1"/>
  <c r="R148" i="2"/>
  <c r="R142" i="2"/>
  <c r="R136" i="2"/>
  <c r="R132" i="2"/>
  <c r="R126" i="2"/>
  <c r="M84" i="2"/>
  <c r="M94" i="2"/>
  <c r="R77" i="2"/>
  <c r="M93" i="2"/>
  <c r="Q90" i="2"/>
  <c r="V91" i="11" s="1"/>
  <c r="R87" i="2"/>
  <c r="R112" i="2"/>
  <c r="R116" i="2" s="1"/>
  <c r="M98" i="2"/>
  <c r="R97" i="2"/>
  <c r="M96" i="2"/>
  <c r="M112" i="2"/>
  <c r="M116" i="2" s="1"/>
  <c r="Q95" i="2"/>
  <c r="V96" i="11" s="1"/>
  <c r="Q88" i="2"/>
  <c r="V89" i="11" s="1"/>
  <c r="R92" i="2"/>
  <c r="M83" i="2"/>
  <c r="Q70" i="2"/>
  <c r="V71" i="11" s="1"/>
  <c r="Q94" i="2"/>
  <c r="V95" i="11" s="1"/>
  <c r="M89" i="2"/>
  <c r="M82" i="2"/>
  <c r="M78" i="2"/>
  <c r="R76" i="2"/>
  <c r="M71" i="2"/>
  <c r="R93" i="2"/>
  <c r="R69" i="2"/>
  <c r="M95" i="2"/>
  <c r="M79" i="2"/>
  <c r="Q83" i="2"/>
  <c r="V84" i="11" s="1"/>
  <c r="R73" i="2"/>
  <c r="M99" i="2"/>
  <c r="M76" i="2"/>
  <c r="R18" i="2"/>
  <c r="Q35" i="2"/>
  <c r="V35" i="11" s="1"/>
  <c r="Q97" i="2"/>
  <c r="V98" i="11" s="1"/>
  <c r="R89" i="2"/>
  <c r="Q74" i="2"/>
  <c r="V75" i="11" s="1"/>
  <c r="M85" i="2"/>
  <c r="M73" i="2"/>
  <c r="R101" i="2"/>
  <c r="M75" i="2"/>
  <c r="M97" i="2"/>
  <c r="Q84" i="2"/>
  <c r="V85" i="11" s="1"/>
  <c r="Q77" i="2"/>
  <c r="V78" i="11" s="1"/>
  <c r="M74" i="2"/>
  <c r="Q100" i="2"/>
  <c r="V101" i="11" s="1"/>
  <c r="R91" i="2"/>
  <c r="Q96" i="2"/>
  <c r="V97" i="11" s="1"/>
  <c r="Q91" i="2"/>
  <c r="V92" i="11" s="1"/>
  <c r="M88" i="2"/>
  <c r="R83" i="2"/>
  <c r="Q75" i="2"/>
  <c r="V76" i="11" s="1"/>
  <c r="R70" i="2"/>
  <c r="M101" i="2"/>
  <c r="R98" i="2"/>
  <c r="M77" i="2"/>
  <c r="M72" i="2"/>
  <c r="Q71" i="2"/>
  <c r="V72" i="11" s="1"/>
  <c r="M100" i="2"/>
  <c r="R95" i="2"/>
  <c r="M69" i="2"/>
  <c r="R36" i="2"/>
  <c r="R48" i="2"/>
  <c r="M91" i="2"/>
  <c r="M86" i="2"/>
  <c r="Q76" i="2"/>
  <c r="V77" i="11" s="1"/>
  <c r="Q98" i="2"/>
  <c r="V99" i="11" s="1"/>
  <c r="Q86" i="2"/>
  <c r="V87" i="11" s="1"/>
  <c r="Q99" i="2"/>
  <c r="V100" i="11" s="1"/>
  <c r="Q93" i="2"/>
  <c r="V94" i="11" s="1"/>
  <c r="Q87" i="2"/>
  <c r="V88" i="11" s="1"/>
  <c r="Q79" i="2"/>
  <c r="V80" i="11" s="1"/>
  <c r="Q73" i="2"/>
  <c r="V74" i="11" s="1"/>
  <c r="R100" i="2"/>
  <c r="R94" i="2"/>
  <c r="R88" i="2"/>
  <c r="R82" i="2"/>
  <c r="R74" i="2"/>
  <c r="Q78" i="2"/>
  <c r="V79" i="11" s="1"/>
  <c r="Q92" i="2"/>
  <c r="V93" i="11" s="1"/>
  <c r="Q47" i="2"/>
  <c r="V48" i="11" s="1"/>
  <c r="M11" i="2"/>
  <c r="M59" i="2"/>
  <c r="M20" i="2"/>
  <c r="R58" i="2"/>
  <c r="R23" i="2"/>
  <c r="Q52" i="2"/>
  <c r="V53" i="11" s="1"/>
  <c r="M61" i="2"/>
  <c r="Q58" i="2"/>
  <c r="V59" i="11" s="1"/>
  <c r="Q49" i="2"/>
  <c r="V50" i="11" s="1"/>
  <c r="R52" i="2"/>
  <c r="R32" i="2"/>
  <c r="M34" i="2"/>
  <c r="R63" i="2"/>
  <c r="Q34" i="2"/>
  <c r="V34" i="11" s="1"/>
  <c r="M18" i="2"/>
  <c r="Q15" i="2"/>
  <c r="V15" i="11" s="1"/>
  <c r="R14" i="2"/>
  <c r="M32" i="2"/>
  <c r="M48" i="2"/>
  <c r="R20" i="2"/>
  <c r="Q11" i="2"/>
  <c r="V11" i="11" s="1"/>
  <c r="Q59" i="2"/>
  <c r="V60" i="11" s="1"/>
  <c r="R34" i="2"/>
  <c r="M63" i="2"/>
  <c r="R59" i="2"/>
  <c r="R30" i="2"/>
  <c r="Q63" i="2"/>
  <c r="V64" i="11" s="1"/>
  <c r="R62" i="2"/>
  <c r="M56" i="2"/>
  <c r="M13" i="2"/>
  <c r="Q62" i="2"/>
  <c r="V63" i="11" s="1"/>
  <c r="M55" i="2"/>
  <c r="Q53" i="2"/>
  <c r="V54" i="11" s="1"/>
  <c r="R12" i="2"/>
  <c r="Q55" i="2"/>
  <c r="V56" i="11" s="1"/>
  <c r="Q36" i="2"/>
  <c r="V36" i="11" s="1"/>
  <c r="R61" i="2"/>
  <c r="M49" i="2"/>
  <c r="R15" i="2"/>
  <c r="M36" i="2"/>
  <c r="R51" i="2"/>
  <c r="M47" i="2"/>
  <c r="R33" i="2"/>
  <c r="Q32" i="2"/>
  <c r="V32" i="11" s="1"/>
  <c r="Q57" i="2"/>
  <c r="V58" i="11" s="1"/>
  <c r="Q14" i="2"/>
  <c r="V14" i="11" s="1"/>
  <c r="M14" i="2"/>
  <c r="Q31" i="2"/>
  <c r="V31" i="11" s="1"/>
  <c r="R56" i="2"/>
  <c r="M58" i="2"/>
  <c r="Q56" i="2"/>
  <c r="V57" i="11" s="1"/>
  <c r="M53" i="2"/>
  <c r="R47" i="2"/>
  <c r="M19" i="2"/>
  <c r="M33" i="2"/>
  <c r="R31" i="2"/>
  <c r="M62" i="2"/>
  <c r="Q61" i="2"/>
  <c r="V62" i="11" s="1"/>
  <c r="Q48" i="2"/>
  <c r="V49" i="11" s="1"/>
  <c r="M57" i="2"/>
  <c r="R55" i="2"/>
  <c r="M51" i="2"/>
  <c r="Q22" i="2"/>
  <c r="V22" i="11" s="1"/>
  <c r="Q17" i="2"/>
  <c r="V17" i="11" s="1"/>
  <c r="M16" i="2"/>
  <c r="M52" i="2"/>
  <c r="Q51" i="2"/>
  <c r="V52" i="11" s="1"/>
  <c r="Q16" i="2"/>
  <c r="V16" i="11" s="1"/>
  <c r="M15" i="2"/>
  <c r="M30" i="2"/>
  <c r="R53" i="2"/>
  <c r="M24" i="2"/>
  <c r="M35" i="2"/>
  <c r="Q30" i="2"/>
  <c r="V30" i="11" s="1"/>
  <c r="Q21" i="2"/>
  <c r="V21" i="11" s="1"/>
  <c r="M17" i="2"/>
  <c r="R13" i="2"/>
  <c r="Q12" i="2"/>
  <c r="V12" i="11" s="1"/>
  <c r="R57" i="2"/>
  <c r="R49" i="2"/>
  <c r="R60" i="2"/>
  <c r="Q54" i="2"/>
  <c r="V55" i="11" s="1"/>
  <c r="Q50" i="2"/>
  <c r="V51" i="11" s="1"/>
  <c r="R54" i="2"/>
  <c r="R50" i="2"/>
  <c r="Q60" i="2"/>
  <c r="V61" i="11" s="1"/>
  <c r="M60" i="2"/>
  <c r="M54" i="2"/>
  <c r="M50" i="2"/>
  <c r="Q33" i="2"/>
  <c r="V33" i="11" s="1"/>
  <c r="M31" i="2"/>
  <c r="R35" i="2"/>
  <c r="R22" i="2"/>
  <c r="R21" i="2"/>
  <c r="R11" i="2"/>
  <c r="Q13" i="2"/>
  <c r="V13" i="11" s="1"/>
  <c r="Q24" i="2"/>
  <c r="V24" i="11" s="1"/>
  <c r="Q23" i="2"/>
  <c r="V23" i="11" s="1"/>
  <c r="R19" i="2"/>
  <c r="M12" i="2"/>
  <c r="R24" i="2"/>
  <c r="M22" i="2"/>
  <c r="Q19" i="2"/>
  <c r="V19" i="11" s="1"/>
  <c r="R17" i="2"/>
  <c r="R16" i="2"/>
  <c r="M21" i="2"/>
  <c r="Q20" i="2"/>
  <c r="V20" i="11" s="1"/>
  <c r="Q18" i="2"/>
  <c r="V18" i="11" s="1"/>
  <c r="M23" i="2"/>
  <c r="I79" i="7"/>
  <c r="I75" i="7"/>
  <c r="I62" i="7"/>
  <c r="I71" i="7"/>
  <c r="I16" i="7"/>
  <c r="I58" i="7"/>
  <c r="I67" i="7"/>
  <c r="I65" i="7"/>
  <c r="I77" i="7"/>
  <c r="I53" i="7"/>
  <c r="I70" i="7"/>
  <c r="I51" i="7"/>
  <c r="I49" i="7"/>
  <c r="I54" i="7"/>
  <c r="I63" i="7"/>
  <c r="I69" i="7"/>
  <c r="I78" i="7"/>
  <c r="I56" i="7"/>
  <c r="I66" i="7"/>
  <c r="I50" i="7"/>
  <c r="I12" i="7"/>
  <c r="I72" i="7"/>
  <c r="I18" i="7"/>
  <c r="I59" i="7"/>
  <c r="I7" i="7"/>
  <c r="I19" i="7"/>
  <c r="I6" i="7"/>
  <c r="I15" i="7"/>
  <c r="I14" i="7"/>
  <c r="I17" i="7"/>
  <c r="I20" i="7"/>
  <c r="I25" i="7"/>
  <c r="I32" i="7"/>
  <c r="I41" i="7"/>
  <c r="I10" i="7"/>
  <c r="I38" i="7"/>
  <c r="I13" i="7"/>
  <c r="I8" i="7"/>
  <c r="M286" i="2" l="1"/>
  <c r="C424" i="4"/>
  <c r="G308" i="2"/>
  <c r="J140" i="6" s="1"/>
  <c r="D425" i="4"/>
  <c r="L286" i="2"/>
  <c r="D424" i="4"/>
  <c r="M308" i="2"/>
  <c r="C425" i="4"/>
  <c r="E136" i="2"/>
  <c r="I128" i="6" s="1"/>
  <c r="E128" i="6"/>
  <c r="M136" i="2"/>
  <c r="E291" i="2"/>
  <c r="I248" i="6" s="1"/>
  <c r="E248" i="6"/>
  <c r="E151" i="2"/>
  <c r="E192" i="6"/>
  <c r="D192" i="6" s="1"/>
  <c r="E285" i="2"/>
  <c r="I243" i="6" s="1"/>
  <c r="E243" i="6"/>
  <c r="E138" i="2"/>
  <c r="E186" i="6"/>
  <c r="D186" i="6" s="1"/>
  <c r="E124" i="2"/>
  <c r="E70" i="6"/>
  <c r="E147" i="2"/>
  <c r="I190" i="6" s="1"/>
  <c r="E190" i="6"/>
  <c r="E143" i="2"/>
  <c r="E187" i="6"/>
  <c r="D187" i="6" s="1"/>
  <c r="E148" i="2"/>
  <c r="E135" i="6"/>
  <c r="D135" i="6" s="1"/>
  <c r="E146" i="2"/>
  <c r="I189" i="6" s="1"/>
  <c r="E189" i="6"/>
  <c r="E152" i="2"/>
  <c r="E193" i="6"/>
  <c r="D193" i="6" s="1"/>
  <c r="E309" i="2"/>
  <c r="E255" i="6"/>
  <c r="D255" i="6" s="1"/>
  <c r="H293" i="6"/>
  <c r="G293" i="6" s="1"/>
  <c r="G176" i="6"/>
  <c r="G22" i="6"/>
  <c r="S374" i="2"/>
  <c r="W379" i="11" s="1"/>
  <c r="U379" i="11" s="1"/>
  <c r="G309" i="6"/>
  <c r="G167" i="6"/>
  <c r="S18" i="2"/>
  <c r="W18" i="11" s="1"/>
  <c r="U18" i="11" s="1"/>
  <c r="I18" i="2"/>
  <c r="K18" i="2" s="1"/>
  <c r="L16" i="1" s="1"/>
  <c r="G181" i="6"/>
  <c r="I381" i="2"/>
  <c r="I386" i="11" s="1"/>
  <c r="K386" i="11" s="1"/>
  <c r="G294" i="6"/>
  <c r="I350" i="2"/>
  <c r="I355" i="11" s="1"/>
  <c r="K355" i="11" s="1"/>
  <c r="I382" i="2"/>
  <c r="K382" i="2" s="1"/>
  <c r="G211" i="6"/>
  <c r="I287" i="2"/>
  <c r="K287" i="2" s="1"/>
  <c r="L106" i="1" s="1"/>
  <c r="S369" i="2"/>
  <c r="W374" i="11" s="1"/>
  <c r="U374" i="11" s="1"/>
  <c r="I369" i="2"/>
  <c r="I374" i="11" s="1"/>
  <c r="K374" i="11" s="1"/>
  <c r="G165" i="6"/>
  <c r="G302" i="6"/>
  <c r="S292" i="2"/>
  <c r="W297" i="11" s="1"/>
  <c r="U297" i="11" s="1"/>
  <c r="I366" i="2"/>
  <c r="K366" i="2" s="1"/>
  <c r="S296" i="2"/>
  <c r="W301" i="11" s="1"/>
  <c r="U301" i="11" s="1"/>
  <c r="G77" i="6"/>
  <c r="G210" i="6"/>
  <c r="I292" i="2"/>
  <c r="K292" i="2" s="1"/>
  <c r="L111" i="1" s="1"/>
  <c r="S348" i="2"/>
  <c r="W353" i="11" s="1"/>
  <c r="U353" i="11" s="1"/>
  <c r="I296" i="2"/>
  <c r="K296" i="2" s="1"/>
  <c r="L115" i="1" s="1"/>
  <c r="S370" i="2"/>
  <c r="W375" i="11" s="1"/>
  <c r="U375" i="11" s="1"/>
  <c r="I374" i="2"/>
  <c r="K374" i="2" s="1"/>
  <c r="I370" i="2"/>
  <c r="K370" i="2" s="1"/>
  <c r="G37" i="6"/>
  <c r="G201" i="6"/>
  <c r="G234" i="6"/>
  <c r="G38" i="6"/>
  <c r="S382" i="2"/>
  <c r="W387" i="11" s="1"/>
  <c r="U387" i="11" s="1"/>
  <c r="G209" i="6"/>
  <c r="G74" i="6"/>
  <c r="G331" i="6"/>
  <c r="G110" i="6"/>
  <c r="I357" i="2"/>
  <c r="K357" i="2" s="1"/>
  <c r="S337" i="2"/>
  <c r="W342" i="11" s="1"/>
  <c r="U342" i="11" s="1"/>
  <c r="S376" i="2"/>
  <c r="W381" i="11" s="1"/>
  <c r="U381" i="11" s="1"/>
  <c r="G253" i="6"/>
  <c r="I376" i="2"/>
  <c r="K376" i="2" s="1"/>
  <c r="L308" i="2"/>
  <c r="G127" i="1" s="1"/>
  <c r="G242" i="6"/>
  <c r="S357" i="2"/>
  <c r="W362" i="11" s="1"/>
  <c r="U362" i="11" s="1"/>
  <c r="G289" i="6"/>
  <c r="G307" i="6"/>
  <c r="I364" i="2"/>
  <c r="I369" i="11" s="1"/>
  <c r="K369" i="11" s="1"/>
  <c r="G54" i="6"/>
  <c r="G33" i="6"/>
  <c r="G222" i="6"/>
  <c r="S358" i="2"/>
  <c r="W363" i="11" s="1"/>
  <c r="U363" i="11" s="1"/>
  <c r="G286" i="2"/>
  <c r="J244" i="6" s="1"/>
  <c r="S352" i="2"/>
  <c r="W357" i="11" s="1"/>
  <c r="U357" i="11" s="1"/>
  <c r="K284" i="6"/>
  <c r="M284" i="6" s="1"/>
  <c r="I352" i="2"/>
  <c r="K352" i="2" s="1"/>
  <c r="S363" i="2"/>
  <c r="W368" i="11" s="1"/>
  <c r="U368" i="11" s="1"/>
  <c r="G142" i="6"/>
  <c r="G136" i="6"/>
  <c r="I336" i="2"/>
  <c r="I341" i="11" s="1"/>
  <c r="K341" i="11" s="1"/>
  <c r="G32" i="6"/>
  <c r="G286" i="6"/>
  <c r="G19" i="6"/>
  <c r="G276" i="6"/>
  <c r="G159" i="6"/>
  <c r="G75" i="6"/>
  <c r="G225" i="6"/>
  <c r="S331" i="2"/>
  <c r="W336" i="11" s="1"/>
  <c r="U336" i="11" s="1"/>
  <c r="G63" i="6"/>
  <c r="G301" i="6"/>
  <c r="G131" i="6"/>
  <c r="G107" i="6"/>
  <c r="I330" i="2"/>
  <c r="I335" i="11" s="1"/>
  <c r="K335" i="11" s="1"/>
  <c r="G221" i="6"/>
  <c r="G267" i="6"/>
  <c r="S330" i="2"/>
  <c r="W335" i="11" s="1"/>
  <c r="U335" i="11" s="1"/>
  <c r="G15" i="6"/>
  <c r="I372" i="11"/>
  <c r="K372" i="11" s="1"/>
  <c r="K367" i="2"/>
  <c r="I31" i="2"/>
  <c r="K31" i="2" s="1"/>
  <c r="G245" i="6"/>
  <c r="G223" i="6"/>
  <c r="G196" i="6"/>
  <c r="G226" i="6"/>
  <c r="K306" i="6"/>
  <c r="M306" i="6" s="1"/>
  <c r="I379" i="2"/>
  <c r="I384" i="11" s="1"/>
  <c r="K384" i="11" s="1"/>
  <c r="G173" i="6"/>
  <c r="G258" i="6"/>
  <c r="G219" i="6"/>
  <c r="G232" i="6"/>
  <c r="G168" i="6"/>
  <c r="S372" i="2"/>
  <c r="W377" i="11" s="1"/>
  <c r="U377" i="11" s="1"/>
  <c r="G272" i="6"/>
  <c r="G315" i="6"/>
  <c r="S31" i="2"/>
  <c r="W31" i="11" s="1"/>
  <c r="U31" i="11" s="1"/>
  <c r="S379" i="2"/>
  <c r="W384" i="11" s="1"/>
  <c r="U384" i="11" s="1"/>
  <c r="G65" i="6"/>
  <c r="I339" i="2"/>
  <c r="I344" i="11" s="1"/>
  <c r="K344" i="11" s="1"/>
  <c r="I380" i="2"/>
  <c r="K380" i="2" s="1"/>
  <c r="G261" i="6"/>
  <c r="G217" i="6"/>
  <c r="G252" i="6"/>
  <c r="I375" i="2"/>
  <c r="K375" i="2" s="1"/>
  <c r="S339" i="2"/>
  <c r="W344" i="11" s="1"/>
  <c r="U344" i="11" s="1"/>
  <c r="S361" i="2"/>
  <c r="W366" i="11" s="1"/>
  <c r="U366" i="11" s="1"/>
  <c r="G249" i="6"/>
  <c r="G203" i="6"/>
  <c r="I363" i="2"/>
  <c r="K363" i="2" s="1"/>
  <c r="I337" i="2"/>
  <c r="K337" i="2" s="1"/>
  <c r="S380" i="2"/>
  <c r="W385" i="11" s="1"/>
  <c r="U385" i="11" s="1"/>
  <c r="G299" i="6"/>
  <c r="G130" i="6"/>
  <c r="I361" i="2"/>
  <c r="K361" i="2" s="1"/>
  <c r="S375" i="2"/>
  <c r="W380" i="11" s="1"/>
  <c r="U380" i="11" s="1"/>
  <c r="G56" i="6"/>
  <c r="G78" i="6"/>
  <c r="G96" i="6"/>
  <c r="G13" i="6"/>
  <c r="I348" i="2"/>
  <c r="K348" i="2" s="1"/>
  <c r="G274" i="6"/>
  <c r="G124" i="6"/>
  <c r="I354" i="2"/>
  <c r="K354" i="2" s="1"/>
  <c r="I331" i="2"/>
  <c r="K331" i="2" s="1"/>
  <c r="G270" i="6"/>
  <c r="G262" i="6"/>
  <c r="G235" i="6"/>
  <c r="G102" i="6"/>
  <c r="G179" i="6"/>
  <c r="G282" i="6"/>
  <c r="G310" i="6"/>
  <c r="G208" i="6"/>
  <c r="G34" i="6"/>
  <c r="K288" i="6"/>
  <c r="M288" i="6" s="1"/>
  <c r="S287" i="2"/>
  <c r="W292" i="11" s="1"/>
  <c r="U292" i="11" s="1"/>
  <c r="G246" i="6"/>
  <c r="G66" i="6"/>
  <c r="G213" i="6"/>
  <c r="S336" i="2"/>
  <c r="W341" i="11" s="1"/>
  <c r="U341" i="11" s="1"/>
  <c r="G207" i="6"/>
  <c r="G314" i="6"/>
  <c r="G20" i="6"/>
  <c r="G116" i="6"/>
  <c r="G257" i="6"/>
  <c r="G71" i="6"/>
  <c r="G73" i="6"/>
  <c r="G177" i="6"/>
  <c r="G94" i="6"/>
  <c r="G306" i="6"/>
  <c r="G311" i="6"/>
  <c r="G198" i="6"/>
  <c r="G229" i="6"/>
  <c r="G304" i="6"/>
  <c r="G113" i="6"/>
  <c r="U361" i="11"/>
  <c r="I358" i="2"/>
  <c r="I363" i="11" s="1"/>
  <c r="K363" i="11" s="1"/>
  <c r="I356" i="2"/>
  <c r="K356" i="2" s="1"/>
  <c r="S381" i="2"/>
  <c r="W386" i="11" s="1"/>
  <c r="U386" i="11" s="1"/>
  <c r="G43" i="6"/>
  <c r="G280" i="6"/>
  <c r="G291" i="6"/>
  <c r="G99" i="6"/>
  <c r="G100" i="6"/>
  <c r="G64" i="6"/>
  <c r="G178" i="6"/>
  <c r="G305" i="6"/>
  <c r="G104" i="6"/>
  <c r="G182" i="6"/>
  <c r="G57" i="6"/>
  <c r="U359" i="11"/>
  <c r="G281" i="6"/>
  <c r="G312" i="6"/>
  <c r="G175" i="6"/>
  <c r="G259" i="6"/>
  <c r="G212" i="6"/>
  <c r="G14" i="6"/>
  <c r="G269" i="6"/>
  <c r="G264" i="6"/>
  <c r="G26" i="6"/>
  <c r="G220" i="6"/>
  <c r="G69" i="6"/>
  <c r="G162" i="6"/>
  <c r="G39" i="6"/>
  <c r="G72" i="6"/>
  <c r="G114" i="6"/>
  <c r="G300" i="6"/>
  <c r="G115" i="6"/>
  <c r="K367" i="11"/>
  <c r="G224" i="6"/>
  <c r="G205" i="6"/>
  <c r="G188" i="6"/>
  <c r="G62" i="6"/>
  <c r="G183" i="6"/>
  <c r="S366" i="2"/>
  <c r="W371" i="11" s="1"/>
  <c r="U371" i="11" s="1"/>
  <c r="G250" i="6"/>
  <c r="G277" i="6"/>
  <c r="S135" i="2"/>
  <c r="W138" i="11" s="1"/>
  <c r="U138" i="11" s="1"/>
  <c r="I135" i="2"/>
  <c r="I138" i="11" s="1"/>
  <c r="K138" i="11" s="1"/>
  <c r="G287" i="6"/>
  <c r="U355" i="11"/>
  <c r="G265" i="6"/>
  <c r="G303" i="6"/>
  <c r="G30" i="6"/>
  <c r="G251" i="6"/>
  <c r="G28" i="6"/>
  <c r="G236" i="6"/>
  <c r="K290" i="6"/>
  <c r="M290" i="6" s="1"/>
  <c r="G55" i="6"/>
  <c r="K362" i="2"/>
  <c r="G284" i="6"/>
  <c r="G164" i="6"/>
  <c r="G133" i="6"/>
  <c r="G79" i="6"/>
  <c r="G169" i="6"/>
  <c r="K377" i="2"/>
  <c r="I382" i="11"/>
  <c r="K382" i="11" s="1"/>
  <c r="S349" i="2"/>
  <c r="W354" i="11" s="1"/>
  <c r="U354" i="11" s="1"/>
  <c r="K110" i="6"/>
  <c r="M110" i="6" s="1"/>
  <c r="I349" i="2"/>
  <c r="K371" i="2"/>
  <c r="I376" i="11"/>
  <c r="K376" i="11" s="1"/>
  <c r="K342" i="2"/>
  <c r="I347" i="11"/>
  <c r="K347" i="11" s="1"/>
  <c r="K328" i="2"/>
  <c r="I333" i="11"/>
  <c r="K333" i="11" s="1"/>
  <c r="S378" i="2"/>
  <c r="W383" i="11" s="1"/>
  <c r="U383" i="11" s="1"/>
  <c r="K311" i="6"/>
  <c r="M311" i="6" s="1"/>
  <c r="Q116" i="2"/>
  <c r="V114" i="11"/>
  <c r="S365" i="2"/>
  <c r="W370" i="11" s="1"/>
  <c r="U370" i="11" s="1"/>
  <c r="K299" i="6"/>
  <c r="M299" i="6" s="1"/>
  <c r="K335" i="2"/>
  <c r="I340" i="11"/>
  <c r="K340" i="11" s="1"/>
  <c r="S364" i="2"/>
  <c r="W369" i="11" s="1"/>
  <c r="U369" i="11" s="1"/>
  <c r="N160" i="11"/>
  <c r="K353" i="2"/>
  <c r="I358" i="11"/>
  <c r="K358" i="11" s="1"/>
  <c r="G297" i="6"/>
  <c r="K360" i="2"/>
  <c r="I365" i="11"/>
  <c r="K365" i="11" s="1"/>
  <c r="K359" i="2"/>
  <c r="I364" i="11"/>
  <c r="K364" i="11" s="1"/>
  <c r="K368" i="2"/>
  <c r="I373" i="11"/>
  <c r="K373" i="11" s="1"/>
  <c r="K355" i="2"/>
  <c r="I360" i="11"/>
  <c r="K360" i="11" s="1"/>
  <c r="S377" i="2"/>
  <c r="W382" i="11" s="1"/>
  <c r="U382" i="11" s="1"/>
  <c r="K310" i="6"/>
  <c r="M310" i="6" s="1"/>
  <c r="K372" i="2"/>
  <c r="I377" i="11"/>
  <c r="K377" i="11" s="1"/>
  <c r="K322" i="2"/>
  <c r="I327" i="11"/>
  <c r="K327" i="11" s="1"/>
  <c r="K365" i="2"/>
  <c r="I370" i="11"/>
  <c r="K370" i="11" s="1"/>
  <c r="K373" i="2"/>
  <c r="I378" i="11"/>
  <c r="K378" i="11" s="1"/>
  <c r="S342" i="2"/>
  <c r="W347" i="11" s="1"/>
  <c r="U347" i="11" s="1"/>
  <c r="K278" i="6"/>
  <c r="M278" i="6" s="1"/>
  <c r="D266" i="6"/>
  <c r="H266" i="6"/>
  <c r="G266" i="6" s="1"/>
  <c r="S367" i="2"/>
  <c r="W372" i="11" s="1"/>
  <c r="U372" i="11" s="1"/>
  <c r="K301" i="6"/>
  <c r="M301" i="6" s="1"/>
  <c r="K378" i="2"/>
  <c r="I383" i="11"/>
  <c r="K383" i="11" s="1"/>
  <c r="S322" i="2"/>
  <c r="W327" i="11" s="1"/>
  <c r="U327" i="11" s="1"/>
  <c r="K261" i="6"/>
  <c r="M261" i="6" s="1"/>
  <c r="G132" i="6"/>
  <c r="G134" i="6"/>
  <c r="G122" i="6"/>
  <c r="G273" i="6"/>
  <c r="G218" i="6"/>
  <c r="G233" i="6"/>
  <c r="G163" i="6"/>
  <c r="G202" i="6"/>
  <c r="G256" i="6"/>
  <c r="G197" i="6"/>
  <c r="G53" i="6"/>
  <c r="G160" i="6"/>
  <c r="G279" i="6"/>
  <c r="G268" i="6"/>
  <c r="G285" i="6"/>
  <c r="G200" i="6"/>
  <c r="G103" i="6"/>
  <c r="D308" i="6"/>
  <c r="H308" i="6"/>
  <c r="G308" i="6" s="1"/>
  <c r="G254" i="6"/>
  <c r="G67" i="6"/>
  <c r="G191" i="6"/>
  <c r="G16" i="6"/>
  <c r="G126" i="6"/>
  <c r="G21" i="6"/>
  <c r="G127" i="6"/>
  <c r="G166" i="6"/>
  <c r="S360" i="2"/>
  <c r="W365" i="11" s="1"/>
  <c r="U365" i="11" s="1"/>
  <c r="K294" i="6"/>
  <c r="M294" i="6" s="1"/>
  <c r="G195" i="6"/>
  <c r="G204" i="6"/>
  <c r="S373" i="2"/>
  <c r="W378" i="11" s="1"/>
  <c r="U378" i="11" s="1"/>
  <c r="K307" i="6"/>
  <c r="M307" i="6" s="1"/>
  <c r="G215" i="6"/>
  <c r="G161" i="6"/>
  <c r="G172" i="6"/>
  <c r="G123" i="6"/>
  <c r="G24" i="6"/>
  <c r="G228" i="6"/>
  <c r="G230" i="6"/>
  <c r="G231" i="6"/>
  <c r="G101" i="6"/>
  <c r="D296" i="6"/>
  <c r="H296" i="6"/>
  <c r="G296" i="6" s="1"/>
  <c r="S353" i="2"/>
  <c r="W358" i="11" s="1"/>
  <c r="U358" i="11" s="1"/>
  <c r="K287" i="6"/>
  <c r="M287" i="6" s="1"/>
  <c r="E244" i="6"/>
  <c r="E286" i="2"/>
  <c r="S335" i="2"/>
  <c r="W340" i="11" s="1"/>
  <c r="U340" i="11" s="1"/>
  <c r="K273" i="6"/>
  <c r="M273" i="6" s="1"/>
  <c r="H313" i="6"/>
  <c r="G313" i="6" s="1"/>
  <c r="D313" i="6"/>
  <c r="G108" i="6"/>
  <c r="S362" i="2"/>
  <c r="W367" i="11" s="1"/>
  <c r="U367" i="11" s="1"/>
  <c r="K296" i="6"/>
  <c r="M296" i="6" s="1"/>
  <c r="G263" i="6"/>
  <c r="G36" i="6"/>
  <c r="G199" i="6"/>
  <c r="G76" i="6"/>
  <c r="G44" i="6"/>
  <c r="G119" i="6"/>
  <c r="G206" i="6"/>
  <c r="G51" i="6"/>
  <c r="G52" i="6"/>
  <c r="G278" i="6"/>
  <c r="H298" i="6"/>
  <c r="G298" i="6" s="1"/>
  <c r="D298" i="6"/>
  <c r="H290" i="6"/>
  <c r="G290" i="6" s="1"/>
  <c r="D290" i="6"/>
  <c r="S355" i="2"/>
  <c r="W360" i="11" s="1"/>
  <c r="U360" i="11" s="1"/>
  <c r="K289" i="6"/>
  <c r="M289" i="6" s="1"/>
  <c r="G40" i="6"/>
  <c r="S368" i="2"/>
  <c r="W373" i="11" s="1"/>
  <c r="U373" i="11" s="1"/>
  <c r="K302" i="6"/>
  <c r="M302" i="6" s="1"/>
  <c r="H275" i="6"/>
  <c r="G275" i="6" s="1"/>
  <c r="D275" i="6"/>
  <c r="S371" i="2"/>
  <c r="W376" i="11" s="1"/>
  <c r="U376" i="11" s="1"/>
  <c r="K305" i="6"/>
  <c r="M305" i="6" s="1"/>
  <c r="S328" i="2"/>
  <c r="W333" i="11" s="1"/>
  <c r="U333" i="11" s="1"/>
  <c r="K267" i="6"/>
  <c r="M267" i="6" s="1"/>
  <c r="G141" i="6"/>
  <c r="G68" i="6"/>
  <c r="G120" i="6"/>
  <c r="G25" i="6"/>
  <c r="G61" i="6"/>
  <c r="G271" i="6"/>
  <c r="S359" i="2"/>
  <c r="W364" i="11" s="1"/>
  <c r="U364" i="11" s="1"/>
  <c r="K293" i="6"/>
  <c r="M293" i="6" s="1"/>
  <c r="G129" i="6"/>
  <c r="G247" i="6"/>
  <c r="H29" i="6"/>
  <c r="G29" i="6" s="1"/>
  <c r="D29" i="6"/>
  <c r="G95" i="6"/>
  <c r="G214" i="6"/>
  <c r="G23" i="6"/>
  <c r="E140" i="6"/>
  <c r="E308" i="2"/>
  <c r="G35" i="6"/>
  <c r="G174" i="6"/>
  <c r="G295" i="6"/>
  <c r="G237" i="6"/>
  <c r="G170" i="6"/>
  <c r="G97" i="6"/>
  <c r="G121" i="6"/>
  <c r="G117" i="6"/>
  <c r="G27" i="6"/>
  <c r="G12" i="6"/>
  <c r="G46" i="6"/>
  <c r="G98" i="6"/>
  <c r="G180" i="6"/>
  <c r="G216" i="6"/>
  <c r="G184" i="6"/>
  <c r="G45" i="6"/>
  <c r="H292" i="6"/>
  <c r="G292" i="6" s="1"/>
  <c r="D292" i="6"/>
  <c r="G194" i="6"/>
  <c r="G171" i="6"/>
  <c r="G118" i="6"/>
  <c r="G227" i="6"/>
  <c r="B127" i="1"/>
  <c r="D313" i="11"/>
  <c r="E127" i="1"/>
  <c r="F127" i="1"/>
  <c r="H127" i="1"/>
  <c r="J127" i="1"/>
  <c r="D127" i="1"/>
  <c r="I70" i="6" l="1"/>
  <c r="E417" i="4"/>
  <c r="C127" i="1"/>
  <c r="I244" i="6"/>
  <c r="H244" i="6" s="1"/>
  <c r="G244" i="6" s="1"/>
  <c r="E424" i="4"/>
  <c r="I135" i="6"/>
  <c r="H135" i="6" s="1"/>
  <c r="G135" i="6" s="1"/>
  <c r="E418" i="4"/>
  <c r="I140" i="6"/>
  <c r="H140" i="6" s="1"/>
  <c r="G140" i="6" s="1"/>
  <c r="E425" i="4"/>
  <c r="H105" i="1"/>
  <c r="H152" i="2"/>
  <c r="I193" i="6"/>
  <c r="H193" i="6" s="1"/>
  <c r="G193" i="6" s="1"/>
  <c r="I186" i="6"/>
  <c r="H186" i="6" s="1"/>
  <c r="G186" i="6" s="1"/>
  <c r="H138" i="2"/>
  <c r="D189" i="6"/>
  <c r="H189" i="6"/>
  <c r="G189" i="6" s="1"/>
  <c r="D243" i="6"/>
  <c r="H243" i="6"/>
  <c r="G243" i="6" s="1"/>
  <c r="H151" i="2"/>
  <c r="I192" i="6"/>
  <c r="H192" i="6" s="1"/>
  <c r="G192" i="6" s="1"/>
  <c r="D248" i="6"/>
  <c r="H248" i="6"/>
  <c r="G248" i="6" s="1"/>
  <c r="H143" i="2"/>
  <c r="I187" i="6"/>
  <c r="H187" i="6" s="1"/>
  <c r="G187" i="6" s="1"/>
  <c r="D190" i="6"/>
  <c r="H190" i="6"/>
  <c r="G190" i="6" s="1"/>
  <c r="H128" i="6"/>
  <c r="G128" i="6" s="1"/>
  <c r="D128" i="6"/>
  <c r="H309" i="2"/>
  <c r="I255" i="6"/>
  <c r="H255" i="6" s="1"/>
  <c r="G255" i="6" s="1"/>
  <c r="D70" i="6"/>
  <c r="H70" i="6"/>
  <c r="G70" i="6" s="1"/>
  <c r="K350" i="2"/>
  <c r="E105" i="1"/>
  <c r="I18" i="11"/>
  <c r="K18" i="11" s="1"/>
  <c r="I381" i="11"/>
  <c r="K381" i="11" s="1"/>
  <c r="I379" i="11"/>
  <c r="K379" i="11" s="1"/>
  <c r="K381" i="2"/>
  <c r="I387" i="11"/>
  <c r="K387" i="11" s="1"/>
  <c r="K339" i="2"/>
  <c r="F105" i="1"/>
  <c r="C105" i="1"/>
  <c r="B105" i="1"/>
  <c r="D291" i="11"/>
  <c r="I371" i="11"/>
  <c r="K371" i="11" s="1"/>
  <c r="I375" i="11"/>
  <c r="K375" i="11" s="1"/>
  <c r="I292" i="11"/>
  <c r="K292" i="11" s="1"/>
  <c r="K369" i="2"/>
  <c r="I301" i="11"/>
  <c r="K301" i="11" s="1"/>
  <c r="K379" i="2"/>
  <c r="I368" i="11"/>
  <c r="K368" i="11" s="1"/>
  <c r="I357" i="11"/>
  <c r="K357" i="11" s="1"/>
  <c r="I297" i="11"/>
  <c r="K297" i="11" s="1"/>
  <c r="I342" i="11"/>
  <c r="K342" i="11" s="1"/>
  <c r="I31" i="11"/>
  <c r="K31" i="11" s="1"/>
  <c r="I336" i="11"/>
  <c r="K336" i="11" s="1"/>
  <c r="G105" i="1"/>
  <c r="K336" i="2"/>
  <c r="K364" i="2"/>
  <c r="I362" i="11"/>
  <c r="K362" i="11" s="1"/>
  <c r="J105" i="1"/>
  <c r="I380" i="11"/>
  <c r="K380" i="11" s="1"/>
  <c r="D105" i="1"/>
  <c r="K358" i="2"/>
  <c r="I366" i="11"/>
  <c r="K366" i="11" s="1"/>
  <c r="K330" i="2"/>
  <c r="I385" i="11"/>
  <c r="K385" i="11" s="1"/>
  <c r="I353" i="11"/>
  <c r="K353" i="11" s="1"/>
  <c r="K135" i="2"/>
  <c r="L62" i="1" s="1"/>
  <c r="I359" i="11"/>
  <c r="K359" i="11" s="1"/>
  <c r="I361" i="11"/>
  <c r="K361" i="11" s="1"/>
  <c r="I105" i="1"/>
  <c r="I127" i="1"/>
  <c r="D140" i="6"/>
  <c r="D244" i="6"/>
  <c r="I354" i="11"/>
  <c r="K354" i="11" s="1"/>
  <c r="K349" i="2"/>
  <c r="H308" i="2"/>
  <c r="H286" i="2"/>
  <c r="S286" i="2" s="1"/>
  <c r="W291" i="11" s="1"/>
  <c r="U291" i="11" s="1"/>
  <c r="K192" i="6" l="1"/>
  <c r="M192" i="6" s="1"/>
  <c r="S151" i="2"/>
  <c r="W154" i="11" s="1"/>
  <c r="U154" i="11" s="1"/>
  <c r="I151" i="2"/>
  <c r="K255" i="6"/>
  <c r="M255" i="6" s="1"/>
  <c r="S309" i="2"/>
  <c r="W314" i="11" s="1"/>
  <c r="U314" i="11" s="1"/>
  <c r="I309" i="2"/>
  <c r="K186" i="6"/>
  <c r="M186" i="6" s="1"/>
  <c r="I138" i="2"/>
  <c r="S138" i="2"/>
  <c r="W141" i="11" s="1"/>
  <c r="U141" i="11" s="1"/>
  <c r="K187" i="6"/>
  <c r="M187" i="6" s="1"/>
  <c r="I143" i="2"/>
  <c r="S143" i="2"/>
  <c r="W146" i="11" s="1"/>
  <c r="U146" i="11" s="1"/>
  <c r="K193" i="6"/>
  <c r="M193" i="6" s="1"/>
  <c r="I152" i="2"/>
  <c r="S152" i="2"/>
  <c r="W155" i="11" s="1"/>
  <c r="U155" i="11" s="1"/>
  <c r="S308" i="2"/>
  <c r="W313" i="11" s="1"/>
  <c r="U313" i="11" s="1"/>
  <c r="K140" i="6"/>
  <c r="M140" i="6" s="1"/>
  <c r="K105" i="1"/>
  <c r="K127" i="1"/>
  <c r="I308" i="2"/>
  <c r="K308" i="2" s="1"/>
  <c r="L127" i="1" s="1"/>
  <c r="I286" i="2"/>
  <c r="K244" i="6"/>
  <c r="M244" i="6" s="1"/>
  <c r="I146" i="11" l="1"/>
  <c r="K146" i="11" s="1"/>
  <c r="K143" i="2"/>
  <c r="L70" i="1" s="1"/>
  <c r="K138" i="2"/>
  <c r="L65" i="1" s="1"/>
  <c r="I141" i="11"/>
  <c r="K141" i="11" s="1"/>
  <c r="K309" i="2"/>
  <c r="L128" i="1" s="1"/>
  <c r="I314" i="11"/>
  <c r="K314" i="11" s="1"/>
  <c r="K151" i="2"/>
  <c r="L78" i="1" s="1"/>
  <c r="I154" i="11"/>
  <c r="K154" i="11" s="1"/>
  <c r="I155" i="11"/>
  <c r="K155" i="11" s="1"/>
  <c r="K152" i="2"/>
  <c r="L79" i="1" s="1"/>
  <c r="I313" i="11"/>
  <c r="K313" i="11" s="1"/>
  <c r="K286" i="2"/>
  <c r="L105" i="1" s="1"/>
  <c r="I291" i="11"/>
  <c r="K291" i="11" s="1"/>
  <c r="M126" i="4"/>
  <c r="A209" i="8" l="1"/>
  <c r="B209" i="8"/>
  <c r="D209" i="8"/>
  <c r="E209" i="8"/>
  <c r="F209" i="8" s="1"/>
  <c r="I209" i="8"/>
  <c r="J209" i="8"/>
  <c r="K209" i="8"/>
  <c r="A183" i="8"/>
  <c r="B183" i="8"/>
  <c r="D183" i="8"/>
  <c r="E183" i="8"/>
  <c r="F183" i="8" s="1"/>
  <c r="I183" i="8"/>
  <c r="J183" i="8"/>
  <c r="K183" i="8"/>
  <c r="A178" i="8"/>
  <c r="B178" i="8"/>
  <c r="D178" i="8"/>
  <c r="E178" i="8"/>
  <c r="F178" i="8" s="1"/>
  <c r="I178" i="8"/>
  <c r="J178" i="8"/>
  <c r="K178" i="8"/>
  <c r="AO196" i="4"/>
  <c r="AH196" i="4"/>
  <c r="AF196" i="4"/>
  <c r="AN196" i="4" s="1"/>
  <c r="V196" i="4"/>
  <c r="V196" i="2" s="1"/>
  <c r="P220" i="6" s="1"/>
  <c r="S196" i="4"/>
  <c r="O209" i="8" s="1"/>
  <c r="P209" i="8" s="1"/>
  <c r="R196" i="4"/>
  <c r="Q196" i="4"/>
  <c r="R199" i="11" s="1"/>
  <c r="M196" i="4"/>
  <c r="AB196" i="4" s="1"/>
  <c r="I196" i="4"/>
  <c r="AH170" i="4"/>
  <c r="AF170" i="4"/>
  <c r="AN170" i="4" s="1"/>
  <c r="V170" i="4"/>
  <c r="V170" i="2" s="1"/>
  <c r="P37" i="6" s="1"/>
  <c r="S170" i="4"/>
  <c r="O183" i="8" s="1"/>
  <c r="P183" i="8" s="1"/>
  <c r="R170" i="4"/>
  <c r="Q170" i="4"/>
  <c r="R173" i="11" s="1"/>
  <c r="M170" i="4"/>
  <c r="AB170" i="4" s="1"/>
  <c r="I170" i="4"/>
  <c r="H183" i="8" s="1"/>
  <c r="AG170" i="4"/>
  <c r="AM170" i="4" s="1"/>
  <c r="AH165" i="4"/>
  <c r="AF165" i="4"/>
  <c r="AN165" i="4" s="1"/>
  <c r="V165" i="4"/>
  <c r="V165" i="2" s="1"/>
  <c r="P35" i="6" s="1"/>
  <c r="S165" i="4"/>
  <c r="R165" i="4"/>
  <c r="Q165" i="4"/>
  <c r="R168" i="11" s="1"/>
  <c r="M165" i="4"/>
  <c r="AB165" i="4" s="1"/>
  <c r="I165" i="4"/>
  <c r="H178" i="8" s="1"/>
  <c r="A170" i="8"/>
  <c r="B170" i="8"/>
  <c r="D170" i="8"/>
  <c r="E170" i="8"/>
  <c r="F170" i="8" s="1"/>
  <c r="I170" i="8"/>
  <c r="J170" i="8"/>
  <c r="K170" i="8"/>
  <c r="P215" i="4"/>
  <c r="O215" i="4"/>
  <c r="N215" i="4"/>
  <c r="J215" i="4"/>
  <c r="H215" i="4"/>
  <c r="F215" i="4"/>
  <c r="E215" i="4"/>
  <c r="C215" i="4"/>
  <c r="AH157" i="4"/>
  <c r="AF157" i="4"/>
  <c r="AN157" i="4" s="1"/>
  <c r="V157" i="4"/>
  <c r="V157" i="2" s="1"/>
  <c r="P30" i="6" s="1"/>
  <c r="S157" i="4"/>
  <c r="R157" i="4"/>
  <c r="Q157" i="4"/>
  <c r="M157" i="4"/>
  <c r="AB157" i="4" s="1"/>
  <c r="I157" i="4"/>
  <c r="A87" i="8"/>
  <c r="B87" i="8"/>
  <c r="D87" i="8"/>
  <c r="E87" i="8"/>
  <c r="F87" i="8" s="1"/>
  <c r="I87" i="8"/>
  <c r="J87" i="8"/>
  <c r="K87" i="8"/>
  <c r="A82" i="8"/>
  <c r="B82" i="8"/>
  <c r="D82" i="8"/>
  <c r="E82" i="8"/>
  <c r="F82" i="8" s="1"/>
  <c r="I82" i="8"/>
  <c r="J82" i="8"/>
  <c r="K82" i="8"/>
  <c r="A78" i="8"/>
  <c r="B78" i="8"/>
  <c r="D78" i="8"/>
  <c r="E78" i="8"/>
  <c r="F78" i="8" s="1"/>
  <c r="I78" i="8"/>
  <c r="J78" i="8"/>
  <c r="K78" i="8"/>
  <c r="AH83" i="4"/>
  <c r="AF83" i="4"/>
  <c r="AN83" i="4" s="1"/>
  <c r="V83" i="4"/>
  <c r="V83" i="2" s="1"/>
  <c r="P107" i="6" s="1"/>
  <c r="S83" i="4"/>
  <c r="R83" i="4"/>
  <c r="Q83" i="4"/>
  <c r="M83" i="4"/>
  <c r="AB83" i="4" s="1"/>
  <c r="I83" i="4"/>
  <c r="AH78" i="4"/>
  <c r="AF78" i="4"/>
  <c r="AN78" i="4" s="1"/>
  <c r="V78" i="4"/>
  <c r="V78" i="2" s="1"/>
  <c r="P28" i="6" s="1"/>
  <c r="S78" i="4"/>
  <c r="R78" i="4"/>
  <c r="Q78" i="4"/>
  <c r="M78" i="4"/>
  <c r="AB78" i="4" s="1"/>
  <c r="I78" i="4"/>
  <c r="AH74" i="4"/>
  <c r="AF74" i="4"/>
  <c r="AN74" i="4" s="1"/>
  <c r="V74" i="4"/>
  <c r="V74" i="2" s="1"/>
  <c r="P24" i="6" s="1"/>
  <c r="S74" i="4"/>
  <c r="R74" i="4"/>
  <c r="Q74" i="4"/>
  <c r="M74" i="4"/>
  <c r="AB74" i="4" s="1"/>
  <c r="I74" i="4"/>
  <c r="A380" i="8"/>
  <c r="B380" i="8"/>
  <c r="D380" i="8"/>
  <c r="E380" i="8"/>
  <c r="F380" i="8" s="1"/>
  <c r="I380" i="8"/>
  <c r="J380" i="8"/>
  <c r="K380" i="8"/>
  <c r="A377" i="8"/>
  <c r="B377" i="8"/>
  <c r="D377" i="8"/>
  <c r="E377" i="8"/>
  <c r="F377" i="8" s="1"/>
  <c r="I377" i="8"/>
  <c r="J377" i="8"/>
  <c r="K377" i="8"/>
  <c r="AH344" i="4"/>
  <c r="AF344" i="4"/>
  <c r="AN344" i="4" s="1"/>
  <c r="AD344" i="4"/>
  <c r="V344" i="4"/>
  <c r="V344" i="2" s="1"/>
  <c r="P280" i="6" s="1"/>
  <c r="S344" i="4"/>
  <c r="R344" i="4"/>
  <c r="Q344" i="4"/>
  <c r="M344" i="4"/>
  <c r="AB344" i="4" s="1"/>
  <c r="I344" i="4"/>
  <c r="AH341" i="4"/>
  <c r="AF341" i="4"/>
  <c r="AN341" i="4" s="1"/>
  <c r="V341" i="4"/>
  <c r="V341" i="2" s="1"/>
  <c r="P277" i="6" s="1"/>
  <c r="S341" i="4"/>
  <c r="R341" i="4"/>
  <c r="Q341" i="4"/>
  <c r="M341" i="4"/>
  <c r="AB341" i="4" s="1"/>
  <c r="I341" i="4"/>
  <c r="A368" i="8"/>
  <c r="B368" i="8"/>
  <c r="D368" i="8"/>
  <c r="E368" i="8"/>
  <c r="F368" i="8" s="1"/>
  <c r="I368" i="8"/>
  <c r="J368" i="8"/>
  <c r="K368" i="8"/>
  <c r="AH332" i="4"/>
  <c r="AF332" i="4"/>
  <c r="AN332" i="4" s="1"/>
  <c r="V332" i="4"/>
  <c r="V332" i="2" s="1"/>
  <c r="P270" i="6" s="1"/>
  <c r="S332" i="4"/>
  <c r="R332" i="4"/>
  <c r="Q332" i="4"/>
  <c r="M332" i="4"/>
  <c r="AB332" i="4" s="1"/>
  <c r="I332" i="4"/>
  <c r="A362" i="8"/>
  <c r="B362" i="8"/>
  <c r="D362" i="8"/>
  <c r="E362" i="8"/>
  <c r="F362" i="8" s="1"/>
  <c r="I362" i="8"/>
  <c r="J362" i="8"/>
  <c r="K362" i="8"/>
  <c r="AO326" i="4"/>
  <c r="AH326" i="4"/>
  <c r="AF326" i="4"/>
  <c r="AN326" i="4" s="1"/>
  <c r="V326" i="4"/>
  <c r="V326" i="2" s="1"/>
  <c r="P265" i="6" s="1"/>
  <c r="S326" i="4"/>
  <c r="R326" i="4"/>
  <c r="Q326" i="4"/>
  <c r="M326" i="4"/>
  <c r="AB326" i="4" s="1"/>
  <c r="I326" i="4"/>
  <c r="A358" i="8"/>
  <c r="B358" i="8"/>
  <c r="D358" i="8"/>
  <c r="E358" i="8"/>
  <c r="F358" i="8" s="1"/>
  <c r="I358" i="8"/>
  <c r="J358" i="8"/>
  <c r="K358" i="8"/>
  <c r="AH322" i="4"/>
  <c r="AJ322" i="4" s="1"/>
  <c r="AK322" i="4" s="1"/>
  <c r="AL322" i="4" s="1"/>
  <c r="AF322" i="4"/>
  <c r="AN322" i="4" s="1"/>
  <c r="V322" i="4"/>
  <c r="V322" i="2" s="1"/>
  <c r="P261" i="6" s="1"/>
  <c r="S322" i="4"/>
  <c r="R322" i="4"/>
  <c r="Q322" i="4"/>
  <c r="M322" i="4"/>
  <c r="AB322" i="4" s="1"/>
  <c r="I322" i="4"/>
  <c r="A357" i="8"/>
  <c r="B357" i="8"/>
  <c r="D357" i="8"/>
  <c r="E357" i="8"/>
  <c r="F357" i="8" s="1"/>
  <c r="I357" i="8"/>
  <c r="J357" i="8"/>
  <c r="K357" i="8"/>
  <c r="AH321" i="4"/>
  <c r="AF321" i="4"/>
  <c r="AN321" i="4" s="1"/>
  <c r="V321" i="4"/>
  <c r="V321" i="2" s="1"/>
  <c r="P43" i="6" s="1"/>
  <c r="S321" i="4"/>
  <c r="R321" i="4"/>
  <c r="Q321" i="4"/>
  <c r="M321" i="4"/>
  <c r="AB321" i="4" s="1"/>
  <c r="I321" i="4"/>
  <c r="A217" i="8"/>
  <c r="B217" i="8"/>
  <c r="D217" i="8"/>
  <c r="E217" i="8"/>
  <c r="F217" i="8" s="1"/>
  <c r="I217" i="8"/>
  <c r="J217" i="8"/>
  <c r="K217" i="8"/>
  <c r="V204" i="4"/>
  <c r="V204" i="2" s="1"/>
  <c r="P228" i="6" s="1"/>
  <c r="S204" i="4"/>
  <c r="R204" i="4"/>
  <c r="Q204" i="4"/>
  <c r="M204" i="4"/>
  <c r="AB204" i="4" s="1"/>
  <c r="I204" i="4"/>
  <c r="A173" i="8"/>
  <c r="B173" i="8"/>
  <c r="D173" i="8"/>
  <c r="E173" i="8"/>
  <c r="F173" i="8" s="1"/>
  <c r="I173" i="8"/>
  <c r="J173" i="8"/>
  <c r="K173" i="8"/>
  <c r="AH160" i="4"/>
  <c r="AF160" i="4"/>
  <c r="AN160" i="4" s="1"/>
  <c r="V160" i="4"/>
  <c r="V160" i="2" s="1"/>
  <c r="P33" i="6" s="1"/>
  <c r="S160" i="4"/>
  <c r="R160" i="4"/>
  <c r="Q160" i="4"/>
  <c r="M160" i="4"/>
  <c r="AB160" i="4" s="1"/>
  <c r="I160" i="4"/>
  <c r="A121" i="8"/>
  <c r="B121" i="8"/>
  <c r="D121" i="8"/>
  <c r="D125" i="8" s="1"/>
  <c r="E121" i="8"/>
  <c r="F121" i="8" s="1"/>
  <c r="F125" i="8" s="1"/>
  <c r="I121" i="8"/>
  <c r="I125" i="8" s="1"/>
  <c r="J121" i="8"/>
  <c r="J125" i="8" s="1"/>
  <c r="K121" i="8"/>
  <c r="K125" i="8" s="1"/>
  <c r="P116" i="4"/>
  <c r="O116" i="4"/>
  <c r="N116" i="4"/>
  <c r="J116" i="4"/>
  <c r="H116" i="4"/>
  <c r="F116" i="4"/>
  <c r="E116" i="4"/>
  <c r="C116" i="4"/>
  <c r="AO112" i="4"/>
  <c r="AH112" i="4"/>
  <c r="AF112" i="4"/>
  <c r="AN112" i="4" s="1"/>
  <c r="AD112" i="4"/>
  <c r="V112" i="4"/>
  <c r="V112" i="2" s="1"/>
  <c r="P29" i="6" s="1"/>
  <c r="S112" i="4"/>
  <c r="R112" i="4"/>
  <c r="R116" i="4" s="1"/>
  <c r="Q112" i="4"/>
  <c r="M112" i="4"/>
  <c r="M116" i="4" s="1"/>
  <c r="I112" i="4"/>
  <c r="A105" i="8"/>
  <c r="B105" i="8"/>
  <c r="D105" i="8"/>
  <c r="E105" i="8"/>
  <c r="F105" i="8" s="1"/>
  <c r="I105" i="8"/>
  <c r="J105" i="8"/>
  <c r="K105" i="8"/>
  <c r="A98" i="8"/>
  <c r="B98" i="8"/>
  <c r="D98" i="8"/>
  <c r="E98" i="8"/>
  <c r="F98" i="8" s="1"/>
  <c r="I98" i="8"/>
  <c r="J98" i="8"/>
  <c r="K98" i="8"/>
  <c r="V101" i="4"/>
  <c r="V101" i="2" s="1"/>
  <c r="P184" i="6" s="1"/>
  <c r="S101" i="4"/>
  <c r="R101" i="4"/>
  <c r="Q101" i="4"/>
  <c r="M101" i="4"/>
  <c r="AB101" i="4" s="1"/>
  <c r="I101" i="4"/>
  <c r="V94" i="4"/>
  <c r="V94" i="2" s="1"/>
  <c r="P177" i="6" s="1"/>
  <c r="S94" i="4"/>
  <c r="R94" i="4"/>
  <c r="Q94" i="4"/>
  <c r="M94" i="4"/>
  <c r="AB94" i="4" s="1"/>
  <c r="I94" i="4"/>
  <c r="A93" i="8"/>
  <c r="B93" i="8"/>
  <c r="D93" i="8"/>
  <c r="E93" i="8"/>
  <c r="F93" i="8" s="1"/>
  <c r="I93" i="8"/>
  <c r="J93" i="8"/>
  <c r="K93" i="8"/>
  <c r="AH89" i="4"/>
  <c r="AF89" i="4"/>
  <c r="AN89" i="4" s="1"/>
  <c r="V89" i="4"/>
  <c r="V89" i="2" s="1"/>
  <c r="P108" i="6" s="1"/>
  <c r="S89" i="4"/>
  <c r="R89" i="4"/>
  <c r="Q89" i="4"/>
  <c r="M89" i="4"/>
  <c r="AB89" i="4" s="1"/>
  <c r="I89" i="4"/>
  <c r="A74" i="8"/>
  <c r="B74" i="8"/>
  <c r="D74" i="8"/>
  <c r="E74" i="8"/>
  <c r="F74" i="8" s="1"/>
  <c r="I74" i="8"/>
  <c r="J74" i="8"/>
  <c r="K74" i="8"/>
  <c r="A75" i="8"/>
  <c r="B75" i="8"/>
  <c r="D75" i="8"/>
  <c r="E75" i="8"/>
  <c r="F75" i="8" s="1"/>
  <c r="I75" i="8"/>
  <c r="J75" i="8"/>
  <c r="K75" i="8"/>
  <c r="AH71" i="4"/>
  <c r="AF71" i="4"/>
  <c r="AN71" i="4" s="1"/>
  <c r="V71" i="4"/>
  <c r="V71" i="2" s="1"/>
  <c r="P21" i="6" s="1"/>
  <c r="S71" i="4"/>
  <c r="R71" i="4"/>
  <c r="Q71" i="4"/>
  <c r="M71" i="4"/>
  <c r="AB71" i="4" s="1"/>
  <c r="I71" i="4"/>
  <c r="AH70" i="4"/>
  <c r="AF70" i="4"/>
  <c r="AN70" i="4" s="1"/>
  <c r="V70" i="4"/>
  <c r="V70" i="2" s="1"/>
  <c r="P20" i="6" s="1"/>
  <c r="S70" i="4"/>
  <c r="R70" i="4"/>
  <c r="Q70" i="4"/>
  <c r="M70" i="4"/>
  <c r="AB70" i="4" s="1"/>
  <c r="I70" i="4"/>
  <c r="A32" i="8"/>
  <c r="B32" i="8"/>
  <c r="D32" i="8"/>
  <c r="E32" i="8"/>
  <c r="F32" i="8" s="1"/>
  <c r="I32" i="8"/>
  <c r="J32" i="8"/>
  <c r="K32" i="8"/>
  <c r="A30" i="8"/>
  <c r="B30" i="8"/>
  <c r="D30" i="8"/>
  <c r="E30" i="8"/>
  <c r="F30" i="8" s="1"/>
  <c r="I30" i="8"/>
  <c r="J30" i="8"/>
  <c r="K30" i="8"/>
  <c r="AO32" i="4"/>
  <c r="AH32" i="4"/>
  <c r="AF32" i="4"/>
  <c r="AN32" i="4" s="1"/>
  <c r="AD32" i="4"/>
  <c r="V32" i="4"/>
  <c r="V32" i="2" s="1"/>
  <c r="P160" i="6" s="1"/>
  <c r="S32" i="4"/>
  <c r="R32" i="4"/>
  <c r="Q32" i="4"/>
  <c r="M32" i="4"/>
  <c r="AB32" i="4" s="1"/>
  <c r="I32" i="4"/>
  <c r="AH30" i="4"/>
  <c r="AF30" i="4"/>
  <c r="AN30" i="4" s="1"/>
  <c r="V30" i="4"/>
  <c r="V30" i="2" s="1"/>
  <c r="P12" i="6" s="1"/>
  <c r="S30" i="4"/>
  <c r="R30" i="4"/>
  <c r="Q30" i="4"/>
  <c r="M30" i="4"/>
  <c r="AB30" i="4" s="1"/>
  <c r="I30" i="4"/>
  <c r="N209" i="8" l="1"/>
  <c r="M209" i="8" s="1"/>
  <c r="N183" i="8"/>
  <c r="M183" i="8" s="1"/>
  <c r="G322" i="4"/>
  <c r="D322" i="2"/>
  <c r="K112" i="4"/>
  <c r="K116" i="4" s="1"/>
  <c r="E114" i="11"/>
  <c r="K322" i="4"/>
  <c r="E327" i="11"/>
  <c r="N78" i="8"/>
  <c r="R75" i="11"/>
  <c r="Z344" i="4"/>
  <c r="S349" i="11"/>
  <c r="Z74" i="4"/>
  <c r="S75" i="11"/>
  <c r="Z157" i="4"/>
  <c r="S160" i="11"/>
  <c r="Z165" i="4"/>
  <c r="S168" i="11"/>
  <c r="Q168" i="11" s="1"/>
  <c r="O178" i="8"/>
  <c r="P178" i="8" s="1"/>
  <c r="L341" i="4"/>
  <c r="AA341" i="4" s="1"/>
  <c r="D341" i="2"/>
  <c r="G101" i="4"/>
  <c r="D101" i="2"/>
  <c r="L326" i="4"/>
  <c r="AA326" i="4" s="1"/>
  <c r="D326" i="2"/>
  <c r="N377" i="8"/>
  <c r="R346" i="11"/>
  <c r="L83" i="4"/>
  <c r="AA83" i="4" s="1"/>
  <c r="D83" i="2"/>
  <c r="N178" i="8"/>
  <c r="N358" i="8"/>
  <c r="R327" i="11"/>
  <c r="L89" i="4"/>
  <c r="AA89" i="4" s="1"/>
  <c r="D89" i="2"/>
  <c r="L71" i="4"/>
  <c r="AA71" i="4" s="1"/>
  <c r="D71" i="2"/>
  <c r="H93" i="8"/>
  <c r="E90" i="11"/>
  <c r="Z112" i="4"/>
  <c r="S114" i="11"/>
  <c r="N173" i="8"/>
  <c r="R163" i="11"/>
  <c r="Z322" i="4"/>
  <c r="S327" i="11"/>
  <c r="AA327" i="11" s="1"/>
  <c r="K326" i="4"/>
  <c r="E331" i="11"/>
  <c r="K83" i="4"/>
  <c r="E84" i="11"/>
  <c r="L196" i="4"/>
  <c r="AA196" i="4" s="1"/>
  <c r="D196" i="2"/>
  <c r="Z32" i="4"/>
  <c r="S32" i="11"/>
  <c r="G112" i="4"/>
  <c r="AJ112" i="4" s="1"/>
  <c r="D112" i="2"/>
  <c r="Z321" i="4"/>
  <c r="S326" i="11"/>
  <c r="G160" i="4"/>
  <c r="D160" i="2"/>
  <c r="Z30" i="4"/>
  <c r="S30" i="11"/>
  <c r="Q116" i="4"/>
  <c r="R114" i="11"/>
  <c r="K160" i="4"/>
  <c r="E163" i="11"/>
  <c r="K101" i="4"/>
  <c r="E102" i="11"/>
  <c r="K71" i="4"/>
  <c r="E72" i="11"/>
  <c r="N105" i="8"/>
  <c r="R102" i="11"/>
  <c r="G204" i="4"/>
  <c r="D204" i="2"/>
  <c r="Z341" i="4"/>
  <c r="S346" i="11"/>
  <c r="K196" i="4"/>
  <c r="E199" i="11"/>
  <c r="H209" i="8"/>
  <c r="Z168" i="11"/>
  <c r="L32" i="4"/>
  <c r="AA32" i="4" s="1"/>
  <c r="D32" i="2"/>
  <c r="N93" i="8"/>
  <c r="R90" i="11"/>
  <c r="Z160" i="4"/>
  <c r="S163" i="11"/>
  <c r="K204" i="4"/>
  <c r="E207" i="11"/>
  <c r="G78" i="4"/>
  <c r="AJ78" i="4" s="1"/>
  <c r="AK78" i="4" s="1"/>
  <c r="AL78" i="4" s="1"/>
  <c r="D78" i="2"/>
  <c r="N87" i="8"/>
  <c r="R84" i="11"/>
  <c r="G170" i="4"/>
  <c r="D170" i="2"/>
  <c r="N30" i="8"/>
  <c r="R30" i="11"/>
  <c r="Z70" i="4"/>
  <c r="S71" i="11"/>
  <c r="K341" i="4"/>
  <c r="E346" i="11"/>
  <c r="N362" i="8"/>
  <c r="R331" i="11"/>
  <c r="K32" i="4"/>
  <c r="E32" i="11"/>
  <c r="L70" i="4"/>
  <c r="AA70" i="4" s="1"/>
  <c r="D70" i="2"/>
  <c r="N75" i="8"/>
  <c r="R72" i="11"/>
  <c r="L94" i="4"/>
  <c r="AA94" i="4" s="1"/>
  <c r="D94" i="2"/>
  <c r="Z101" i="4"/>
  <c r="S102" i="11"/>
  <c r="L321" i="4"/>
  <c r="AA321" i="4" s="1"/>
  <c r="D321" i="2"/>
  <c r="K78" i="4"/>
  <c r="E79" i="11"/>
  <c r="K170" i="4"/>
  <c r="E173" i="11"/>
  <c r="Z199" i="11"/>
  <c r="N170" i="8"/>
  <c r="R160" i="11"/>
  <c r="Z332" i="4"/>
  <c r="S337" i="11"/>
  <c r="Z89" i="4"/>
  <c r="S90" i="11"/>
  <c r="K94" i="4"/>
  <c r="E95" i="11"/>
  <c r="N217" i="8"/>
  <c r="R207" i="11"/>
  <c r="K321" i="4"/>
  <c r="E326" i="11"/>
  <c r="Z326" i="4"/>
  <c r="S331" i="11"/>
  <c r="L332" i="4"/>
  <c r="AA332" i="4" s="1"/>
  <c r="D332" i="2"/>
  <c r="Z83" i="4"/>
  <c r="S84" i="11"/>
  <c r="Z78" i="4"/>
  <c r="S79" i="11"/>
  <c r="Z170" i="4"/>
  <c r="S173" i="11"/>
  <c r="Q173" i="11" s="1"/>
  <c r="Z94" i="4"/>
  <c r="S95" i="11"/>
  <c r="N380" i="8"/>
  <c r="R349" i="11"/>
  <c r="K70" i="4"/>
  <c r="E71" i="11"/>
  <c r="L30" i="4"/>
  <c r="AA30" i="4" s="1"/>
  <c r="D30" i="2"/>
  <c r="N32" i="8"/>
  <c r="R32" i="11"/>
  <c r="Z71" i="4"/>
  <c r="S72" i="11"/>
  <c r="K332" i="4"/>
  <c r="E337" i="11"/>
  <c r="G344" i="4"/>
  <c r="AJ344" i="4" s="1"/>
  <c r="AK344" i="4" s="1"/>
  <c r="AL344" i="4" s="1"/>
  <c r="D344" i="2"/>
  <c r="G74" i="4"/>
  <c r="AJ74" i="4" s="1"/>
  <c r="AK74" i="4" s="1"/>
  <c r="AL74" i="4" s="1"/>
  <c r="D74" i="2"/>
  <c r="N82" i="8"/>
  <c r="R79" i="11"/>
  <c r="L157" i="4"/>
  <c r="AA157" i="4" s="1"/>
  <c r="D157" i="2"/>
  <c r="L165" i="4"/>
  <c r="AA165" i="4" s="1"/>
  <c r="D165" i="2"/>
  <c r="Z173" i="11"/>
  <c r="Z196" i="4"/>
  <c r="S199" i="11"/>
  <c r="Q199" i="11" s="1"/>
  <c r="N368" i="8"/>
  <c r="R337" i="11"/>
  <c r="K30" i="4"/>
  <c r="E30" i="11"/>
  <c r="N74" i="8"/>
  <c r="R71" i="11"/>
  <c r="N98" i="8"/>
  <c r="R95" i="11"/>
  <c r="Z204" i="4"/>
  <c r="S207" i="11"/>
  <c r="N357" i="8"/>
  <c r="R326" i="11"/>
  <c r="K344" i="4"/>
  <c r="E349" i="11"/>
  <c r="G349" i="11" s="1"/>
  <c r="K74" i="4"/>
  <c r="E75" i="11"/>
  <c r="K157" i="4"/>
  <c r="E160" i="11"/>
  <c r="K165" i="4"/>
  <c r="E168" i="11"/>
  <c r="L170" i="4"/>
  <c r="AA170" i="4" s="1"/>
  <c r="G157" i="4"/>
  <c r="G196" i="4"/>
  <c r="AG196" i="4"/>
  <c r="O170" i="8"/>
  <c r="AI170" i="4"/>
  <c r="AG157" i="4"/>
  <c r="AI157" i="4" s="1"/>
  <c r="H170" i="8"/>
  <c r="AG165" i="4"/>
  <c r="G165" i="4"/>
  <c r="O78" i="8"/>
  <c r="P78" i="8" s="1"/>
  <c r="H87" i="8"/>
  <c r="O87" i="8"/>
  <c r="P87" i="8" s="1"/>
  <c r="O82" i="8"/>
  <c r="P82" i="8" s="1"/>
  <c r="H78" i="8"/>
  <c r="H82" i="8"/>
  <c r="L74" i="4"/>
  <c r="AA74" i="4" s="1"/>
  <c r="AG74" i="4"/>
  <c r="AM74" i="4" s="1"/>
  <c r="G83" i="4"/>
  <c r="C84" i="11" s="1"/>
  <c r="AG83" i="4"/>
  <c r="AG78" i="4"/>
  <c r="L78" i="4"/>
  <c r="AA78" i="4" s="1"/>
  <c r="O380" i="8"/>
  <c r="P380" i="8" s="1"/>
  <c r="O377" i="8"/>
  <c r="P377" i="8" s="1"/>
  <c r="H380" i="8"/>
  <c r="H377" i="8"/>
  <c r="AG344" i="4"/>
  <c r="L344" i="4"/>
  <c r="AA344" i="4" s="1"/>
  <c r="H368" i="8"/>
  <c r="AG341" i="4"/>
  <c r="G341" i="4"/>
  <c r="C346" i="11" s="1"/>
  <c r="O368" i="8"/>
  <c r="P368" i="8" s="1"/>
  <c r="O362" i="8"/>
  <c r="P362" i="8" s="1"/>
  <c r="H357" i="8"/>
  <c r="G332" i="4"/>
  <c r="C337" i="11" s="1"/>
  <c r="AG332" i="4"/>
  <c r="H362" i="8"/>
  <c r="O358" i="8"/>
  <c r="P358" i="8" s="1"/>
  <c r="O217" i="8"/>
  <c r="P217" i="8" s="1"/>
  <c r="G326" i="4"/>
  <c r="C331" i="11" s="1"/>
  <c r="AG326" i="4"/>
  <c r="H358" i="8"/>
  <c r="AG322" i="4"/>
  <c r="L322" i="4"/>
  <c r="AA322" i="4" s="1"/>
  <c r="O357" i="8"/>
  <c r="P357" i="8" s="1"/>
  <c r="O121" i="8"/>
  <c r="O125" i="8" s="1"/>
  <c r="G321" i="4"/>
  <c r="C326" i="11" s="1"/>
  <c r="AG321" i="4"/>
  <c r="H217" i="8"/>
  <c r="L204" i="4"/>
  <c r="AA204" i="4" s="1"/>
  <c r="H173" i="8"/>
  <c r="S116" i="4"/>
  <c r="L160" i="4"/>
  <c r="AA160" i="4" s="1"/>
  <c r="O173" i="8"/>
  <c r="P173" i="8" s="1"/>
  <c r="O105" i="8"/>
  <c r="P105" i="8" s="1"/>
  <c r="AG160" i="4"/>
  <c r="N121" i="8"/>
  <c r="N125" i="8" s="1"/>
  <c r="H121" i="8"/>
  <c r="H125" i="8" s="1"/>
  <c r="O98" i="8"/>
  <c r="P98" i="8" s="1"/>
  <c r="E125" i="8"/>
  <c r="I116" i="4"/>
  <c r="AB112" i="4"/>
  <c r="AG112" i="4"/>
  <c r="L112" i="4"/>
  <c r="H98" i="8"/>
  <c r="H105" i="8"/>
  <c r="L101" i="4"/>
  <c r="AA101" i="4" s="1"/>
  <c r="G94" i="4"/>
  <c r="K89" i="4"/>
  <c r="O93" i="8"/>
  <c r="P93" i="8" s="1"/>
  <c r="G89" i="4"/>
  <c r="C90" i="11" s="1"/>
  <c r="AG89" i="4"/>
  <c r="O74" i="8"/>
  <c r="P74" i="8" s="1"/>
  <c r="O75" i="8"/>
  <c r="P75" i="8" s="1"/>
  <c r="H74" i="8"/>
  <c r="H75" i="8"/>
  <c r="G70" i="4"/>
  <c r="C71" i="11" s="1"/>
  <c r="AG70" i="4"/>
  <c r="AG71" i="4"/>
  <c r="G71" i="4"/>
  <c r="C72" i="11" s="1"/>
  <c r="O32" i="8"/>
  <c r="P32" i="8" s="1"/>
  <c r="O30" i="8"/>
  <c r="P30" i="8" s="1"/>
  <c r="H30" i="8"/>
  <c r="H32" i="8"/>
  <c r="AG30" i="4"/>
  <c r="AI30" i="4" s="1"/>
  <c r="G32" i="4"/>
  <c r="C32" i="11" s="1"/>
  <c r="AG32" i="4"/>
  <c r="G30" i="4"/>
  <c r="C30" i="11" s="1"/>
  <c r="M178" i="8" l="1"/>
  <c r="C105" i="8"/>
  <c r="C102" i="11"/>
  <c r="L70" i="2"/>
  <c r="G70" i="2"/>
  <c r="G72" i="11"/>
  <c r="Q327" i="11"/>
  <c r="Y327" i="11" s="1"/>
  <c r="Z327" i="11"/>
  <c r="G327" i="11"/>
  <c r="O327" i="11" s="1"/>
  <c r="M327" i="11"/>
  <c r="G337" i="11"/>
  <c r="Z102" i="11"/>
  <c r="Q102" i="11"/>
  <c r="G89" i="2"/>
  <c r="L89" i="2"/>
  <c r="G160" i="11"/>
  <c r="Q71" i="11"/>
  <c r="Z71" i="11"/>
  <c r="G157" i="2"/>
  <c r="L157" i="2"/>
  <c r="Q32" i="11"/>
  <c r="Z32" i="11"/>
  <c r="G95" i="11"/>
  <c r="G79" i="11"/>
  <c r="G32" i="11"/>
  <c r="Z84" i="11"/>
  <c r="Q84" i="11"/>
  <c r="Q90" i="11"/>
  <c r="Z90" i="11"/>
  <c r="G331" i="11"/>
  <c r="G173" i="11"/>
  <c r="G102" i="11"/>
  <c r="D116" i="2"/>
  <c r="G112" i="2"/>
  <c r="L112" i="2"/>
  <c r="L116" i="2" s="1"/>
  <c r="Z163" i="11"/>
  <c r="Q163" i="11"/>
  <c r="G114" i="11"/>
  <c r="L165" i="2"/>
  <c r="G165" i="2"/>
  <c r="C173" i="8"/>
  <c r="C163" i="11"/>
  <c r="L341" i="2"/>
  <c r="G341" i="2"/>
  <c r="C173" i="11"/>
  <c r="C183" i="8"/>
  <c r="AJ170" i="4"/>
  <c r="AK170" i="4" s="1"/>
  <c r="AL170" i="4" s="1"/>
  <c r="P170" i="8"/>
  <c r="G30" i="11"/>
  <c r="Z79" i="11"/>
  <c r="Q79" i="11"/>
  <c r="L30" i="2"/>
  <c r="G30" i="2"/>
  <c r="G321" i="2"/>
  <c r="L321" i="2"/>
  <c r="Z331" i="11"/>
  <c r="Q331" i="11"/>
  <c r="L78" i="2"/>
  <c r="G78" i="2"/>
  <c r="C121" i="8"/>
  <c r="C114" i="11"/>
  <c r="L83" i="2"/>
  <c r="G83" i="2"/>
  <c r="G32" i="2"/>
  <c r="L32" i="2"/>
  <c r="G75" i="11"/>
  <c r="C82" i="8"/>
  <c r="C79" i="11"/>
  <c r="G199" i="11"/>
  <c r="G163" i="11"/>
  <c r="L322" i="2"/>
  <c r="G322" i="2"/>
  <c r="G326" i="11"/>
  <c r="Q75" i="11"/>
  <c r="Z75" i="11"/>
  <c r="G168" i="11"/>
  <c r="Q207" i="11"/>
  <c r="Z207" i="11"/>
  <c r="AJ165" i="4"/>
  <c r="AK165" i="4" s="1"/>
  <c r="AL165" i="4" s="1"/>
  <c r="C168" i="11"/>
  <c r="C178" i="8"/>
  <c r="Q30" i="11"/>
  <c r="Z30" i="11"/>
  <c r="L101" i="2"/>
  <c r="G101" i="2"/>
  <c r="L160" i="2"/>
  <c r="G160" i="2"/>
  <c r="Z95" i="11"/>
  <c r="Q95" i="11"/>
  <c r="L170" i="2"/>
  <c r="G170" i="2"/>
  <c r="C98" i="8"/>
  <c r="C95" i="11"/>
  <c r="AJ196" i="4"/>
  <c r="AP196" i="4" s="1"/>
  <c r="C199" i="11"/>
  <c r="C209" i="8"/>
  <c r="Z337" i="11"/>
  <c r="Q337" i="11"/>
  <c r="G74" i="2"/>
  <c r="L74" i="2"/>
  <c r="G71" i="11"/>
  <c r="L332" i="2"/>
  <c r="G332" i="2"/>
  <c r="G346" i="11"/>
  <c r="G207" i="11"/>
  <c r="Z346" i="11"/>
  <c r="Q346" i="11"/>
  <c r="C358" i="8"/>
  <c r="C327" i="11"/>
  <c r="C170" i="8"/>
  <c r="C160" i="11"/>
  <c r="C78" i="8"/>
  <c r="C75" i="11"/>
  <c r="Q114" i="11"/>
  <c r="Z114" i="11"/>
  <c r="L196" i="2"/>
  <c r="G196" i="2"/>
  <c r="G90" i="11"/>
  <c r="AJ160" i="4"/>
  <c r="AK160" i="4" s="1"/>
  <c r="AL160" i="4" s="1"/>
  <c r="Z326" i="11"/>
  <c r="Q326" i="11"/>
  <c r="L344" i="2"/>
  <c r="G344" i="2"/>
  <c r="Q349" i="11"/>
  <c r="Z349" i="11"/>
  <c r="Q160" i="11"/>
  <c r="Z160" i="11"/>
  <c r="L94" i="2"/>
  <c r="G94" i="2"/>
  <c r="L326" i="2"/>
  <c r="G326" i="2"/>
  <c r="Z72" i="11"/>
  <c r="Q72" i="11"/>
  <c r="C217" i="8"/>
  <c r="C207" i="11"/>
  <c r="C380" i="8"/>
  <c r="C349" i="11"/>
  <c r="L204" i="2"/>
  <c r="G204" i="2"/>
  <c r="G84" i="11"/>
  <c r="G71" i="2"/>
  <c r="L71" i="2"/>
  <c r="M170" i="8"/>
  <c r="AJ157" i="4"/>
  <c r="AK157" i="4" s="1"/>
  <c r="AL157" i="4" s="1"/>
  <c r="AM196" i="4"/>
  <c r="AI196" i="4"/>
  <c r="AM157" i="4"/>
  <c r="AI165" i="4"/>
  <c r="AM165" i="4"/>
  <c r="M87" i="8"/>
  <c r="M82" i="8"/>
  <c r="M78" i="8"/>
  <c r="AJ83" i="4"/>
  <c r="AK83" i="4" s="1"/>
  <c r="AL83" i="4" s="1"/>
  <c r="C87" i="8"/>
  <c r="AI74" i="4"/>
  <c r="AM83" i="4"/>
  <c r="AI83" i="4"/>
  <c r="AM78" i="4"/>
  <c r="AI78" i="4"/>
  <c r="M380" i="8"/>
  <c r="AJ341" i="4"/>
  <c r="AK341" i="4" s="1"/>
  <c r="AL341" i="4" s="1"/>
  <c r="C377" i="8"/>
  <c r="M377" i="8"/>
  <c r="AI344" i="4"/>
  <c r="AM344" i="4"/>
  <c r="M368" i="8"/>
  <c r="M362" i="8"/>
  <c r="AM341" i="4"/>
  <c r="AI341" i="4"/>
  <c r="AJ332" i="4"/>
  <c r="AK332" i="4" s="1"/>
  <c r="AL332" i="4" s="1"/>
  <c r="C368" i="8"/>
  <c r="AM332" i="4"/>
  <c r="AI332" i="4"/>
  <c r="AJ326" i="4"/>
  <c r="AP326" i="4" s="1"/>
  <c r="C362" i="8"/>
  <c r="M358" i="8"/>
  <c r="M217" i="8"/>
  <c r="AM326" i="4"/>
  <c r="AI326" i="4"/>
  <c r="M173" i="8"/>
  <c r="AI322" i="4"/>
  <c r="AM322" i="4"/>
  <c r="M357" i="8"/>
  <c r="AJ321" i="4"/>
  <c r="AK321" i="4" s="1"/>
  <c r="AL321" i="4" s="1"/>
  <c r="C357" i="8"/>
  <c r="P121" i="8"/>
  <c r="P125" i="8" s="1"/>
  <c r="M98" i="8"/>
  <c r="AI321" i="4"/>
  <c r="AM321" i="4"/>
  <c r="M121" i="8"/>
  <c r="M125" i="8" s="1"/>
  <c r="M105" i="8"/>
  <c r="AM160" i="4"/>
  <c r="AI160" i="4"/>
  <c r="M93" i="8"/>
  <c r="AA112" i="4"/>
  <c r="L116" i="4"/>
  <c r="AM112" i="4"/>
  <c r="AI112" i="4"/>
  <c r="AP112" i="4"/>
  <c r="AK112" i="4"/>
  <c r="AL112" i="4" s="1"/>
  <c r="M75" i="8"/>
  <c r="M74" i="8"/>
  <c r="AJ89" i="4"/>
  <c r="AK89" i="4" s="1"/>
  <c r="AL89" i="4" s="1"/>
  <c r="C93" i="8"/>
  <c r="AI89" i="4"/>
  <c r="AM89" i="4"/>
  <c r="AJ71" i="4"/>
  <c r="AK71" i="4" s="1"/>
  <c r="AL71" i="4" s="1"/>
  <c r="C75" i="8"/>
  <c r="AJ70" i="4"/>
  <c r="AK70" i="4" s="1"/>
  <c r="AL70" i="4" s="1"/>
  <c r="C74" i="8"/>
  <c r="M32" i="8"/>
  <c r="AM30" i="4"/>
  <c r="AI70" i="4"/>
  <c r="AM70" i="4"/>
  <c r="AM71" i="4"/>
  <c r="AI71" i="4"/>
  <c r="AJ32" i="4"/>
  <c r="AP32" i="4" s="1"/>
  <c r="C32" i="8"/>
  <c r="AJ30" i="4"/>
  <c r="AK30" i="4" s="1"/>
  <c r="AL30" i="4" s="1"/>
  <c r="C30" i="8"/>
  <c r="M30" i="8"/>
  <c r="AM32" i="4"/>
  <c r="AI32" i="4"/>
  <c r="AK196" i="4" l="1"/>
  <c r="AL196" i="4" s="1"/>
  <c r="H165" i="2"/>
  <c r="J35" i="6"/>
  <c r="D168" i="11"/>
  <c r="H78" i="2"/>
  <c r="J28" i="6"/>
  <c r="D79" i="11"/>
  <c r="H94" i="2"/>
  <c r="J177" i="6"/>
  <c r="D95" i="11"/>
  <c r="H332" i="2"/>
  <c r="J270" i="6"/>
  <c r="D337" i="11"/>
  <c r="H326" i="2"/>
  <c r="J265" i="6"/>
  <c r="D331" i="11"/>
  <c r="H170" i="2"/>
  <c r="J37" i="6"/>
  <c r="D173" i="11"/>
  <c r="J261" i="6"/>
  <c r="D327" i="11"/>
  <c r="H71" i="2"/>
  <c r="J21" i="6"/>
  <c r="D72" i="11"/>
  <c r="H89" i="2"/>
  <c r="J108" i="6"/>
  <c r="D90" i="11"/>
  <c r="H70" i="2"/>
  <c r="J20" i="6"/>
  <c r="D71" i="11"/>
  <c r="J43" i="6"/>
  <c r="D326" i="11"/>
  <c r="H321" i="2"/>
  <c r="H204" i="2"/>
  <c r="J228" i="6"/>
  <c r="D207" i="11"/>
  <c r="H32" i="2"/>
  <c r="J160" i="6"/>
  <c r="D32" i="11"/>
  <c r="J280" i="6"/>
  <c r="D349" i="11"/>
  <c r="H344" i="2"/>
  <c r="H196" i="2"/>
  <c r="J220" i="6"/>
  <c r="D199" i="11"/>
  <c r="H74" i="2"/>
  <c r="J24" i="6"/>
  <c r="D75" i="11"/>
  <c r="H160" i="2"/>
  <c r="J33" i="6"/>
  <c r="D163" i="11"/>
  <c r="H341" i="2"/>
  <c r="J277" i="6"/>
  <c r="D346" i="11"/>
  <c r="H112" i="2"/>
  <c r="J29" i="6"/>
  <c r="D114" i="11"/>
  <c r="H101" i="2"/>
  <c r="J184" i="6"/>
  <c r="D102" i="11"/>
  <c r="H83" i="2"/>
  <c r="J107" i="6"/>
  <c r="D84" i="11"/>
  <c r="H30" i="2"/>
  <c r="J12" i="6"/>
  <c r="D30" i="11"/>
  <c r="J30" i="6"/>
  <c r="D160" i="11"/>
  <c r="H157" i="2"/>
  <c r="AK326" i="4"/>
  <c r="AL326" i="4" s="1"/>
  <c r="AK32" i="4"/>
  <c r="AL32" i="4" s="1"/>
  <c r="S332" i="2" l="1"/>
  <c r="W337" i="11" s="1"/>
  <c r="K270" i="6"/>
  <c r="M270" i="6" s="1"/>
  <c r="I332" i="2"/>
  <c r="K12" i="6"/>
  <c r="M12" i="6" s="1"/>
  <c r="S30" i="2"/>
  <c r="W30" i="11" s="1"/>
  <c r="I30" i="2"/>
  <c r="K24" i="6"/>
  <c r="M24" i="6" s="1"/>
  <c r="S74" i="2"/>
  <c r="W75" i="11" s="1"/>
  <c r="I74" i="2"/>
  <c r="K37" i="6"/>
  <c r="M37" i="6" s="1"/>
  <c r="S170" i="2"/>
  <c r="W173" i="11" s="1"/>
  <c r="I170" i="2"/>
  <c r="S83" i="2"/>
  <c r="W84" i="11" s="1"/>
  <c r="K107" i="6"/>
  <c r="M107" i="6" s="1"/>
  <c r="I83" i="2"/>
  <c r="K29" i="6"/>
  <c r="M29" i="6" s="1"/>
  <c r="H116" i="2"/>
  <c r="I112" i="2"/>
  <c r="S112" i="2"/>
  <c r="K220" i="6"/>
  <c r="M220" i="6" s="1"/>
  <c r="S196" i="2"/>
  <c r="W199" i="11" s="1"/>
  <c r="I196" i="2"/>
  <c r="S321" i="2"/>
  <c r="W326" i="11" s="1"/>
  <c r="K43" i="6"/>
  <c r="M43" i="6" s="1"/>
  <c r="I321" i="2"/>
  <c r="K177" i="6"/>
  <c r="M177" i="6" s="1"/>
  <c r="S94" i="2"/>
  <c r="W95" i="11" s="1"/>
  <c r="I94" i="2"/>
  <c r="K28" i="6"/>
  <c r="M28" i="6" s="1"/>
  <c r="S78" i="2"/>
  <c r="W79" i="11" s="1"/>
  <c r="I78" i="2"/>
  <c r="S71" i="2"/>
  <c r="W72" i="11" s="1"/>
  <c r="K21" i="6"/>
  <c r="M21" i="6" s="1"/>
  <c r="I71" i="2"/>
  <c r="K30" i="6"/>
  <c r="M30" i="6" s="1"/>
  <c r="S157" i="2"/>
  <c r="I157" i="2"/>
  <c r="S344" i="2"/>
  <c r="W349" i="11" s="1"/>
  <c r="K280" i="6"/>
  <c r="M280" i="6" s="1"/>
  <c r="I344" i="2"/>
  <c r="S70" i="2"/>
  <c r="W71" i="11" s="1"/>
  <c r="K20" i="6"/>
  <c r="M20" i="6" s="1"/>
  <c r="I70" i="2"/>
  <c r="K265" i="6"/>
  <c r="M265" i="6" s="1"/>
  <c r="I326" i="2"/>
  <c r="S326" i="2"/>
  <c r="W331" i="11" s="1"/>
  <c r="K108" i="6"/>
  <c r="M108" i="6" s="1"/>
  <c r="I89" i="2"/>
  <c r="S89" i="2"/>
  <c r="W90" i="11" s="1"/>
  <c r="S204" i="2"/>
  <c r="W207" i="11" s="1"/>
  <c r="K228" i="6"/>
  <c r="M228" i="6" s="1"/>
  <c r="I204" i="2"/>
  <c r="K35" i="6"/>
  <c r="M35" i="6" s="1"/>
  <c r="S165" i="2"/>
  <c r="W168" i="11" s="1"/>
  <c r="I165" i="2"/>
  <c r="I32" i="2"/>
  <c r="K160" i="6"/>
  <c r="M160" i="6" s="1"/>
  <c r="S32" i="2"/>
  <c r="W32" i="11" s="1"/>
  <c r="S341" i="2"/>
  <c r="W346" i="11" s="1"/>
  <c r="K277" i="6"/>
  <c r="M277" i="6" s="1"/>
  <c r="I341" i="2"/>
  <c r="K184" i="6"/>
  <c r="M184" i="6" s="1"/>
  <c r="S101" i="2"/>
  <c r="W102" i="11" s="1"/>
  <c r="I101" i="2"/>
  <c r="S160" i="2"/>
  <c r="W163" i="11" s="1"/>
  <c r="K33" i="6"/>
  <c r="M33" i="6" s="1"/>
  <c r="I160" i="2"/>
  <c r="F237" i="4"/>
  <c r="U346" i="11" l="1"/>
  <c r="Y346" i="11" s="1"/>
  <c r="AA346" i="11"/>
  <c r="K170" i="2"/>
  <c r="I173" i="11"/>
  <c r="K32" i="2"/>
  <c r="I32" i="11"/>
  <c r="U75" i="11"/>
  <c r="Y75" i="11" s="1"/>
  <c r="AA75" i="11"/>
  <c r="U331" i="11"/>
  <c r="Y331" i="11" s="1"/>
  <c r="AA331" i="11"/>
  <c r="K78" i="2"/>
  <c r="I79" i="11"/>
  <c r="S116" i="2"/>
  <c r="W114" i="11"/>
  <c r="U173" i="11"/>
  <c r="Y173" i="11" s="1"/>
  <c r="AA173" i="11"/>
  <c r="U199" i="11"/>
  <c r="Y199" i="11" s="1"/>
  <c r="AA199" i="11"/>
  <c r="U163" i="11"/>
  <c r="Y163" i="11" s="1"/>
  <c r="AA163" i="11"/>
  <c r="U71" i="11"/>
  <c r="Y71" i="11" s="1"/>
  <c r="AA71" i="11"/>
  <c r="U79" i="11"/>
  <c r="Y79" i="11" s="1"/>
  <c r="AA79" i="11"/>
  <c r="I114" i="11"/>
  <c r="K112" i="2"/>
  <c r="K116" i="2" s="1"/>
  <c r="I116" i="2"/>
  <c r="K30" i="2"/>
  <c r="I30" i="11"/>
  <c r="U32" i="11"/>
  <c r="Y32" i="11" s="1"/>
  <c r="AA32" i="11"/>
  <c r="K165" i="2"/>
  <c r="I168" i="11"/>
  <c r="K204" i="2"/>
  <c r="I207" i="11"/>
  <c r="U30" i="11"/>
  <c r="Y30" i="11" s="1"/>
  <c r="AA30" i="11"/>
  <c r="K160" i="2"/>
  <c r="I163" i="11"/>
  <c r="K70" i="2"/>
  <c r="I71" i="11"/>
  <c r="U168" i="11"/>
  <c r="Y168" i="11" s="1"/>
  <c r="AA168" i="11"/>
  <c r="U102" i="11"/>
  <c r="Y102" i="11" s="1"/>
  <c r="AA102" i="11"/>
  <c r="K94" i="2"/>
  <c r="I95" i="11"/>
  <c r="U326" i="11"/>
  <c r="Y326" i="11" s="1"/>
  <c r="AA326" i="11"/>
  <c r="K71" i="2"/>
  <c r="I72" i="11"/>
  <c r="K74" i="2"/>
  <c r="I75" i="11"/>
  <c r="K344" i="2"/>
  <c r="I349" i="11"/>
  <c r="U207" i="11"/>
  <c r="Y207" i="11" s="1"/>
  <c r="AA207" i="11"/>
  <c r="U95" i="11"/>
  <c r="Y95" i="11" s="1"/>
  <c r="AA95" i="11"/>
  <c r="K83" i="2"/>
  <c r="I84" i="11"/>
  <c r="K341" i="2"/>
  <c r="I346" i="11"/>
  <c r="U90" i="11"/>
  <c r="Y90" i="11" s="1"/>
  <c r="AA90" i="11"/>
  <c r="K157" i="2"/>
  <c r="I160" i="11"/>
  <c r="K326" i="2"/>
  <c r="I331" i="11"/>
  <c r="K196" i="2"/>
  <c r="I199" i="11"/>
  <c r="U72" i="11"/>
  <c r="Y72" i="11" s="1"/>
  <c r="AA72" i="11"/>
  <c r="K101" i="2"/>
  <c r="I102" i="11"/>
  <c r="AA349" i="11"/>
  <c r="U349" i="11"/>
  <c r="Y349" i="11" s="1"/>
  <c r="K332" i="2"/>
  <c r="I337" i="11"/>
  <c r="K89" i="2"/>
  <c r="I90" i="11"/>
  <c r="W160" i="11"/>
  <c r="K321" i="2"/>
  <c r="I326" i="11"/>
  <c r="U84" i="11"/>
  <c r="Y84" i="11" s="1"/>
  <c r="AA84" i="11"/>
  <c r="U337" i="11"/>
  <c r="Y337" i="11" s="1"/>
  <c r="AA337" i="11"/>
  <c r="A156" i="8"/>
  <c r="B156" i="8"/>
  <c r="D156" i="8"/>
  <c r="E156" i="8"/>
  <c r="F156" i="8" s="1"/>
  <c r="I156" i="8"/>
  <c r="J156" i="8"/>
  <c r="K156" i="8"/>
  <c r="A163" i="8"/>
  <c r="B163" i="8"/>
  <c r="D163" i="8"/>
  <c r="E163" i="8"/>
  <c r="F163" i="8" s="1"/>
  <c r="I163" i="8"/>
  <c r="J163" i="8"/>
  <c r="K163" i="8"/>
  <c r="A165" i="8"/>
  <c r="B165" i="8"/>
  <c r="D165" i="8"/>
  <c r="E165" i="8"/>
  <c r="F165" i="8" s="1"/>
  <c r="I165" i="8"/>
  <c r="J165" i="8"/>
  <c r="K165" i="8"/>
  <c r="A58" i="8"/>
  <c r="B58" i="8"/>
  <c r="D58" i="8"/>
  <c r="E58" i="8"/>
  <c r="F58" i="8" s="1"/>
  <c r="I58" i="8"/>
  <c r="J58" i="8"/>
  <c r="K58" i="8"/>
  <c r="A60" i="8"/>
  <c r="B60" i="8"/>
  <c r="D60" i="8"/>
  <c r="E60" i="8"/>
  <c r="F60" i="8" s="1"/>
  <c r="I60" i="8"/>
  <c r="J60" i="8"/>
  <c r="K60" i="8"/>
  <c r="A65" i="8"/>
  <c r="B65" i="8"/>
  <c r="D65" i="8"/>
  <c r="E65" i="8"/>
  <c r="F65" i="8" s="1"/>
  <c r="I65" i="8"/>
  <c r="J65" i="8"/>
  <c r="K65" i="8"/>
  <c r="A66" i="8"/>
  <c r="B66" i="8"/>
  <c r="D66" i="8"/>
  <c r="E66" i="8"/>
  <c r="F66" i="8" s="1"/>
  <c r="I66" i="8"/>
  <c r="J66" i="8"/>
  <c r="K66" i="8"/>
  <c r="A67" i="8"/>
  <c r="B67" i="8"/>
  <c r="D67" i="8"/>
  <c r="E67" i="8"/>
  <c r="F67" i="8" s="1"/>
  <c r="I67" i="8"/>
  <c r="J67" i="8"/>
  <c r="K67" i="8"/>
  <c r="U160" i="11" l="1"/>
  <c r="AA160" i="11"/>
  <c r="K207" i="11"/>
  <c r="O207" i="11" s="1"/>
  <c r="M207" i="11"/>
  <c r="K168" i="11"/>
  <c r="O168" i="11" s="1"/>
  <c r="M168" i="11"/>
  <c r="K199" i="11"/>
  <c r="O199" i="11" s="1"/>
  <c r="M199" i="11"/>
  <c r="K160" i="11"/>
  <c r="M160" i="11"/>
  <c r="M349" i="11"/>
  <c r="K349" i="11"/>
  <c r="O349" i="11" s="1"/>
  <c r="K32" i="11"/>
  <c r="O32" i="11" s="1"/>
  <c r="M32" i="11"/>
  <c r="K79" i="11"/>
  <c r="O79" i="11" s="1"/>
  <c r="M79" i="11"/>
  <c r="K95" i="11"/>
  <c r="O95" i="11" s="1"/>
  <c r="M95" i="11"/>
  <c r="K75" i="11"/>
  <c r="O75" i="11" s="1"/>
  <c r="M75" i="11"/>
  <c r="K71" i="11"/>
  <c r="O71" i="11" s="1"/>
  <c r="M71" i="11"/>
  <c r="K30" i="11"/>
  <c r="O30" i="11" s="1"/>
  <c r="M30" i="11"/>
  <c r="K102" i="11"/>
  <c r="O102" i="11" s="1"/>
  <c r="M102" i="11"/>
  <c r="K173" i="11"/>
  <c r="O173" i="11" s="1"/>
  <c r="M173" i="11"/>
  <c r="K337" i="11"/>
  <c r="O337" i="11" s="1"/>
  <c r="M337" i="11"/>
  <c r="K346" i="11"/>
  <c r="O346" i="11" s="1"/>
  <c r="M346" i="11"/>
  <c r="K72" i="11"/>
  <c r="O72" i="11" s="1"/>
  <c r="M72" i="11"/>
  <c r="K163" i="11"/>
  <c r="O163" i="11" s="1"/>
  <c r="M163" i="11"/>
  <c r="K90" i="11"/>
  <c r="O90" i="11" s="1"/>
  <c r="M90" i="11"/>
  <c r="K331" i="11"/>
  <c r="O331" i="11" s="1"/>
  <c r="M331" i="11"/>
  <c r="K326" i="11"/>
  <c r="O326" i="11" s="1"/>
  <c r="M326" i="11"/>
  <c r="U114" i="11"/>
  <c r="Y114" i="11" s="1"/>
  <c r="AA114" i="11"/>
  <c r="K84" i="11"/>
  <c r="O84" i="11" s="1"/>
  <c r="M84" i="11"/>
  <c r="K114" i="11"/>
  <c r="O114" i="11" s="1"/>
  <c r="M114" i="11"/>
  <c r="V141" i="4"/>
  <c r="V141" i="2" s="1"/>
  <c r="P132" i="6" s="1"/>
  <c r="V142" i="4"/>
  <c r="V142" i="2" s="1"/>
  <c r="P133" i="6" s="1"/>
  <c r="V143" i="4"/>
  <c r="V143" i="2" s="1"/>
  <c r="P187" i="6" s="1"/>
  <c r="V144" i="4"/>
  <c r="V144" i="2" s="1"/>
  <c r="P134" i="6" s="1"/>
  <c r="V145" i="4"/>
  <c r="V145" i="2" s="1"/>
  <c r="P188" i="6" s="1"/>
  <c r="V146" i="4"/>
  <c r="V146" i="2" s="1"/>
  <c r="P189" i="6" s="1"/>
  <c r="V147" i="4"/>
  <c r="V147" i="2" s="1"/>
  <c r="P190" i="6" s="1"/>
  <c r="V148" i="4"/>
  <c r="V148" i="2" s="1"/>
  <c r="P135" i="6" s="1"/>
  <c r="V149" i="4"/>
  <c r="V149" i="2" s="1"/>
  <c r="P136" i="6" s="1"/>
  <c r="V150" i="4"/>
  <c r="V150" i="2" s="1"/>
  <c r="P191" i="6" s="1"/>
  <c r="V151" i="4"/>
  <c r="V151" i="2" s="1"/>
  <c r="P192" i="6" s="1"/>
  <c r="V152" i="4"/>
  <c r="V152" i="2" s="1"/>
  <c r="P193" i="6" s="1"/>
  <c r="Q143" i="4"/>
  <c r="R143" i="4"/>
  <c r="S143" i="4"/>
  <c r="S146" i="11" s="1"/>
  <c r="AA146" i="11" s="1"/>
  <c r="Q144" i="4"/>
  <c r="R147" i="11" s="1"/>
  <c r="R144" i="4"/>
  <c r="S144" i="4"/>
  <c r="Q145" i="4"/>
  <c r="R148" i="11" s="1"/>
  <c r="R145" i="4"/>
  <c r="S145" i="4"/>
  <c r="Q146" i="4"/>
  <c r="R149" i="11" s="1"/>
  <c r="R146" i="4"/>
  <c r="S146" i="4"/>
  <c r="Q147" i="4"/>
  <c r="R150" i="11" s="1"/>
  <c r="R147" i="4"/>
  <c r="S147" i="4"/>
  <c r="Q148" i="4"/>
  <c r="R151" i="11" s="1"/>
  <c r="Z151" i="11" s="1"/>
  <c r="R148" i="4"/>
  <c r="S148" i="4"/>
  <c r="Q149" i="4"/>
  <c r="R152" i="11" s="1"/>
  <c r="R149" i="4"/>
  <c r="S149" i="4"/>
  <c r="Q150" i="4"/>
  <c r="R150" i="4"/>
  <c r="S150" i="4"/>
  <c r="S153" i="11" s="1"/>
  <c r="Q151" i="4"/>
  <c r="R154" i="11" s="1"/>
  <c r="R151" i="4"/>
  <c r="S151" i="4"/>
  <c r="Q152" i="4"/>
  <c r="R152" i="4"/>
  <c r="S152" i="4"/>
  <c r="M143" i="4"/>
  <c r="AB143" i="4" s="1"/>
  <c r="M144" i="4"/>
  <c r="AB144" i="4" s="1"/>
  <c r="M145" i="4"/>
  <c r="AB145" i="4" s="1"/>
  <c r="M146" i="4"/>
  <c r="AB146" i="4" s="1"/>
  <c r="M147" i="4"/>
  <c r="AB147" i="4" s="1"/>
  <c r="M148" i="4"/>
  <c r="AB148" i="4" s="1"/>
  <c r="M149" i="4"/>
  <c r="AB149" i="4" s="1"/>
  <c r="M150" i="4"/>
  <c r="AB150" i="4" s="1"/>
  <c r="M151" i="4"/>
  <c r="AB151" i="4" s="1"/>
  <c r="M152" i="4"/>
  <c r="AB152" i="4" s="1"/>
  <c r="I143" i="4"/>
  <c r="I144" i="4"/>
  <c r="I145" i="4"/>
  <c r="I146" i="4"/>
  <c r="I147" i="4"/>
  <c r="I148" i="4"/>
  <c r="I149" i="4"/>
  <c r="I150" i="4"/>
  <c r="I151" i="4"/>
  <c r="I152" i="4"/>
  <c r="C65" i="4"/>
  <c r="V55" i="4"/>
  <c r="V55" i="2" s="1"/>
  <c r="P120" i="6" s="1"/>
  <c r="V56" i="4"/>
  <c r="V56" i="2" s="1"/>
  <c r="P162" i="6" s="1"/>
  <c r="V57" i="4"/>
  <c r="V57" i="2" s="1"/>
  <c r="P121" i="6" s="1"/>
  <c r="V58" i="4"/>
  <c r="V58" i="2" s="1"/>
  <c r="P122" i="6" s="1"/>
  <c r="V59" i="4"/>
  <c r="V59" i="2" s="1"/>
  <c r="P123" i="6" s="1"/>
  <c r="V60" i="4"/>
  <c r="V60" i="2" s="1"/>
  <c r="P124" i="6" s="1"/>
  <c r="V61" i="4"/>
  <c r="V61" i="2" s="1"/>
  <c r="P163" i="6" s="1"/>
  <c r="V62" i="4"/>
  <c r="V62" i="2" s="1"/>
  <c r="P164" i="6" s="1"/>
  <c r="V63" i="4"/>
  <c r="V63" i="2" s="1"/>
  <c r="P165" i="6" s="1"/>
  <c r="Q56" i="4"/>
  <c r="R56" i="4"/>
  <c r="S56" i="4"/>
  <c r="S57" i="11" s="1"/>
  <c r="Q57" i="4"/>
  <c r="R58" i="11" s="1"/>
  <c r="R57" i="4"/>
  <c r="S57" i="4"/>
  <c r="Q58" i="4"/>
  <c r="R59" i="11" s="1"/>
  <c r="R58" i="4"/>
  <c r="S58" i="4"/>
  <c r="Q59" i="4"/>
  <c r="R60" i="11" s="1"/>
  <c r="R59" i="4"/>
  <c r="S59" i="4"/>
  <c r="Q60" i="4"/>
  <c r="R61" i="11" s="1"/>
  <c r="R60" i="4"/>
  <c r="S60" i="4"/>
  <c r="Q61" i="4"/>
  <c r="R61" i="4"/>
  <c r="S61" i="4"/>
  <c r="S62" i="11" s="1"/>
  <c r="Q62" i="4"/>
  <c r="R62" i="4"/>
  <c r="S62" i="4"/>
  <c r="S63" i="11" s="1"/>
  <c r="Q63" i="4"/>
  <c r="R63" i="4"/>
  <c r="S63" i="4"/>
  <c r="S64" i="11" s="1"/>
  <c r="M56" i="4"/>
  <c r="AB56" i="4" s="1"/>
  <c r="M57" i="4"/>
  <c r="AB57" i="4" s="1"/>
  <c r="M58" i="4"/>
  <c r="AB58" i="4" s="1"/>
  <c r="M59" i="4"/>
  <c r="AB59" i="4" s="1"/>
  <c r="M60" i="4"/>
  <c r="AB60" i="4" s="1"/>
  <c r="M61" i="4"/>
  <c r="AB61" i="4" s="1"/>
  <c r="M62" i="4"/>
  <c r="AB62" i="4" s="1"/>
  <c r="M63" i="4"/>
  <c r="AB63" i="4" s="1"/>
  <c r="I56" i="4"/>
  <c r="I57" i="4"/>
  <c r="I58" i="4"/>
  <c r="I59" i="4"/>
  <c r="I60" i="4"/>
  <c r="I61" i="4"/>
  <c r="I62" i="4"/>
  <c r="I63" i="4"/>
  <c r="AH54" i="4"/>
  <c r="AF54" i="4"/>
  <c r="AN54" i="4" s="1"/>
  <c r="V54" i="4"/>
  <c r="V54" i="2" s="1"/>
  <c r="P161" i="6" s="1"/>
  <c r="S54" i="4"/>
  <c r="S55" i="11" s="1"/>
  <c r="R54" i="4"/>
  <c r="Q54" i="4"/>
  <c r="M54" i="4"/>
  <c r="AB54" i="4" s="1"/>
  <c r="I54" i="4"/>
  <c r="E57" i="11" l="1"/>
  <c r="E35" i="7"/>
  <c r="Z152" i="11"/>
  <c r="G58" i="4"/>
  <c r="D58" i="2"/>
  <c r="G145" i="4"/>
  <c r="D145" i="2"/>
  <c r="N58" i="8"/>
  <c r="R55" i="11"/>
  <c r="Z60" i="11"/>
  <c r="G62" i="4"/>
  <c r="C66" i="8" s="1"/>
  <c r="D62" i="2"/>
  <c r="E59" i="11"/>
  <c r="E37" i="7"/>
  <c r="L149" i="4"/>
  <c r="AA149" i="4" s="1"/>
  <c r="D149" i="2"/>
  <c r="E150" i="11"/>
  <c r="E75" i="7"/>
  <c r="Z145" i="4"/>
  <c r="S148" i="11"/>
  <c r="E58" i="11"/>
  <c r="E36" i="7"/>
  <c r="AG54" i="4"/>
  <c r="AI54" i="4" s="1"/>
  <c r="D54" i="2"/>
  <c r="Z58" i="4"/>
  <c r="S59" i="11"/>
  <c r="Q59" i="11" s="1"/>
  <c r="G147" i="4"/>
  <c r="E146" i="11"/>
  <c r="E71" i="7"/>
  <c r="G57" i="4"/>
  <c r="D57" i="2"/>
  <c r="N165" i="8"/>
  <c r="R155" i="11"/>
  <c r="L61" i="4"/>
  <c r="AA61" i="4" s="1"/>
  <c r="D61" i="2"/>
  <c r="Z59" i="11"/>
  <c r="E148" i="11"/>
  <c r="E73" i="7"/>
  <c r="G144" i="4"/>
  <c r="D144" i="2"/>
  <c r="Z147" i="11"/>
  <c r="E149" i="11"/>
  <c r="E74" i="7"/>
  <c r="G60" i="4"/>
  <c r="D60" i="2"/>
  <c r="G146" i="4"/>
  <c r="E147" i="11"/>
  <c r="E72" i="7"/>
  <c r="O165" i="8"/>
  <c r="P165" i="8" s="1"/>
  <c r="S155" i="11"/>
  <c r="AA155" i="11" s="1"/>
  <c r="Z57" i="4"/>
  <c r="S58" i="11"/>
  <c r="Q58" i="11" s="1"/>
  <c r="Z149" i="4"/>
  <c r="S152" i="11"/>
  <c r="Q152" i="11" s="1"/>
  <c r="N67" i="8"/>
  <c r="R64" i="11"/>
  <c r="Z148" i="11"/>
  <c r="O160" i="11"/>
  <c r="E55" i="11"/>
  <c r="E33" i="7"/>
  <c r="L59" i="4"/>
  <c r="AA59" i="4" s="1"/>
  <c r="D59" i="2"/>
  <c r="Z144" i="4"/>
  <c r="S147" i="11"/>
  <c r="Q147" i="11" s="1"/>
  <c r="N66" i="8"/>
  <c r="R63" i="11"/>
  <c r="L56" i="4"/>
  <c r="AA56" i="4" s="1"/>
  <c r="D56" i="2"/>
  <c r="L143" i="4"/>
  <c r="AA143" i="4" s="1"/>
  <c r="Z151" i="4"/>
  <c r="S154" i="11"/>
  <c r="AA154" i="11" s="1"/>
  <c r="Z147" i="4"/>
  <c r="S150" i="11"/>
  <c r="Q150" i="11" s="1"/>
  <c r="E64" i="11"/>
  <c r="E42" i="7"/>
  <c r="N65" i="8"/>
  <c r="R62" i="11"/>
  <c r="Z58" i="11"/>
  <c r="E155" i="11"/>
  <c r="E80" i="7"/>
  <c r="E63" i="11"/>
  <c r="E41" i="7"/>
  <c r="Z60" i="4"/>
  <c r="S61" i="11"/>
  <c r="Q61" i="11" s="1"/>
  <c r="E154" i="11"/>
  <c r="E79" i="7"/>
  <c r="Z154" i="11"/>
  <c r="Z150" i="11"/>
  <c r="N156" i="8"/>
  <c r="R146" i="11"/>
  <c r="E62" i="11"/>
  <c r="E40" i="7"/>
  <c r="G152" i="4"/>
  <c r="C165" i="8" s="1"/>
  <c r="E153" i="11"/>
  <c r="E78" i="7"/>
  <c r="Z146" i="4"/>
  <c r="S149" i="11"/>
  <c r="Q149" i="11" s="1"/>
  <c r="E61" i="11"/>
  <c r="E39" i="7"/>
  <c r="Z61" i="11"/>
  <c r="N60" i="8"/>
  <c r="R57" i="11"/>
  <c r="L151" i="4"/>
  <c r="AA151" i="4" s="1"/>
  <c r="E152" i="11"/>
  <c r="E77" i="7"/>
  <c r="Y160" i="11"/>
  <c r="L63" i="4"/>
  <c r="AA63" i="4" s="1"/>
  <c r="D63" i="2"/>
  <c r="E60" i="11"/>
  <c r="E38" i="7"/>
  <c r="Z59" i="4"/>
  <c r="S60" i="11"/>
  <c r="Q60" i="11" s="1"/>
  <c r="G150" i="4"/>
  <c r="C163" i="8" s="1"/>
  <c r="D150" i="2"/>
  <c r="N163" i="8"/>
  <c r="R153" i="11"/>
  <c r="Z149" i="11"/>
  <c r="E151" i="11"/>
  <c r="G151" i="11" s="1"/>
  <c r="E76" i="7"/>
  <c r="Z148" i="4"/>
  <c r="S151" i="11"/>
  <c r="Q151" i="11" s="1"/>
  <c r="L148" i="4"/>
  <c r="AA148" i="4" s="1"/>
  <c r="G149" i="4"/>
  <c r="L150" i="4"/>
  <c r="AA150" i="4" s="1"/>
  <c r="K54" i="4"/>
  <c r="L35" i="3" s="1"/>
  <c r="H58" i="8"/>
  <c r="K58" i="4"/>
  <c r="L39" i="3" s="1"/>
  <c r="K150" i="4"/>
  <c r="L78" i="3" s="1"/>
  <c r="H163" i="8"/>
  <c r="Z143" i="4"/>
  <c r="O156" i="8"/>
  <c r="P156" i="8" s="1"/>
  <c r="K149" i="4"/>
  <c r="L77" i="3" s="1"/>
  <c r="K59" i="4"/>
  <c r="L40" i="3" s="1"/>
  <c r="K151" i="4"/>
  <c r="L79" i="3" s="1"/>
  <c r="K57" i="4"/>
  <c r="L38" i="3" s="1"/>
  <c r="K56" i="4"/>
  <c r="L37" i="3" s="1"/>
  <c r="H60" i="8"/>
  <c r="Z150" i="4"/>
  <c r="O163" i="8"/>
  <c r="P163" i="8" s="1"/>
  <c r="Z152" i="4"/>
  <c r="Z54" i="4"/>
  <c r="O58" i="8"/>
  <c r="P58" i="8" s="1"/>
  <c r="Z63" i="4"/>
  <c r="O67" i="8"/>
  <c r="P67" i="8" s="1"/>
  <c r="Z56" i="4"/>
  <c r="O60" i="8"/>
  <c r="P60" i="8" s="1"/>
  <c r="K145" i="4"/>
  <c r="L73" i="3" s="1"/>
  <c r="K60" i="4"/>
  <c r="L41" i="3" s="1"/>
  <c r="K152" i="4"/>
  <c r="L80" i="3" s="1"/>
  <c r="H165" i="8"/>
  <c r="Z61" i="4"/>
  <c r="O65" i="8"/>
  <c r="P65" i="8" s="1"/>
  <c r="K61" i="4"/>
  <c r="L42" i="3" s="1"/>
  <c r="H65" i="8"/>
  <c r="K63" i="4"/>
  <c r="L44" i="3" s="1"/>
  <c r="H67" i="8"/>
  <c r="K143" i="4"/>
  <c r="L71" i="3" s="1"/>
  <c r="H156" i="8"/>
  <c r="K144" i="4"/>
  <c r="L72" i="3" s="1"/>
  <c r="K62" i="4"/>
  <c r="L43" i="3" s="1"/>
  <c r="H66" i="8"/>
  <c r="Z62" i="4"/>
  <c r="O66" i="8"/>
  <c r="P66" i="8" s="1"/>
  <c r="L152" i="4"/>
  <c r="AA152" i="4" s="1"/>
  <c r="G151" i="4"/>
  <c r="K148" i="4"/>
  <c r="L76" i="3" s="1"/>
  <c r="G148" i="4"/>
  <c r="K147" i="4"/>
  <c r="L75" i="3" s="1"/>
  <c r="G143" i="4"/>
  <c r="K146" i="4"/>
  <c r="L74" i="3" s="1"/>
  <c r="L146" i="4"/>
  <c r="AA146" i="4" s="1"/>
  <c r="L147" i="4"/>
  <c r="AA147" i="4" s="1"/>
  <c r="L145" i="4"/>
  <c r="AA145" i="4" s="1"/>
  <c r="L144" i="4"/>
  <c r="AA144" i="4" s="1"/>
  <c r="L62" i="4"/>
  <c r="AA62" i="4" s="1"/>
  <c r="G63" i="4"/>
  <c r="G61" i="4"/>
  <c r="G56" i="4"/>
  <c r="G59" i="4"/>
  <c r="L60" i="4"/>
  <c r="AA60" i="4" s="1"/>
  <c r="L58" i="4"/>
  <c r="AA58" i="4" s="1"/>
  <c r="L57" i="4"/>
  <c r="AA57" i="4" s="1"/>
  <c r="G54" i="4"/>
  <c r="L54" i="4"/>
  <c r="AA54" i="4" s="1"/>
  <c r="F76" i="7" l="1"/>
  <c r="K76" i="7"/>
  <c r="F75" i="7"/>
  <c r="K75" i="7"/>
  <c r="F33" i="7"/>
  <c r="K33" i="7"/>
  <c r="F40" i="7"/>
  <c r="K40" i="7"/>
  <c r="F36" i="7"/>
  <c r="K36" i="7"/>
  <c r="F71" i="7"/>
  <c r="K71" i="7"/>
  <c r="F78" i="7"/>
  <c r="K78" i="7"/>
  <c r="F42" i="7"/>
  <c r="K42" i="7"/>
  <c r="F77" i="7"/>
  <c r="K77" i="7"/>
  <c r="F74" i="7"/>
  <c r="K74" i="7"/>
  <c r="F38" i="7"/>
  <c r="K38" i="7"/>
  <c r="F73" i="7"/>
  <c r="K73" i="7"/>
  <c r="F37" i="7"/>
  <c r="K37" i="7"/>
  <c r="F35" i="7"/>
  <c r="K35" i="7"/>
  <c r="F72" i="7"/>
  <c r="K72" i="7"/>
  <c r="F41" i="7"/>
  <c r="K41" i="7"/>
  <c r="F80" i="7"/>
  <c r="K80" i="7"/>
  <c r="F39" i="7"/>
  <c r="K39" i="7"/>
  <c r="F79" i="7"/>
  <c r="K79" i="7"/>
  <c r="AM54" i="4"/>
  <c r="M165" i="8"/>
  <c r="G61" i="11"/>
  <c r="G55" i="11"/>
  <c r="L144" i="2"/>
  <c r="G144" i="2"/>
  <c r="G58" i="11"/>
  <c r="G155" i="11"/>
  <c r="O155" i="11" s="1"/>
  <c r="M155" i="11"/>
  <c r="G143" i="2"/>
  <c r="L143" i="2"/>
  <c r="C147" i="11"/>
  <c r="D72" i="3"/>
  <c r="J72" i="3"/>
  <c r="K72" i="3"/>
  <c r="C72" i="3"/>
  <c r="G72" i="3"/>
  <c r="H72" i="3"/>
  <c r="I72" i="3"/>
  <c r="E72" i="3"/>
  <c r="F72" i="3"/>
  <c r="G146" i="11"/>
  <c r="O146" i="11" s="1"/>
  <c r="M146" i="11"/>
  <c r="G145" i="2"/>
  <c r="L145" i="2"/>
  <c r="Q153" i="11"/>
  <c r="Z153" i="11"/>
  <c r="L147" i="2"/>
  <c r="G147" i="2"/>
  <c r="G150" i="11"/>
  <c r="C148" i="11"/>
  <c r="E73" i="3"/>
  <c r="D73" i="3"/>
  <c r="F73" i="3"/>
  <c r="G73" i="3"/>
  <c r="C73" i="3"/>
  <c r="H73" i="3"/>
  <c r="I73" i="3"/>
  <c r="J73" i="3"/>
  <c r="K73" i="3"/>
  <c r="L63" i="2"/>
  <c r="G63" i="2"/>
  <c r="Q154" i="11"/>
  <c r="Y154" i="11" s="1"/>
  <c r="L56" i="2"/>
  <c r="G56" i="2"/>
  <c r="Q148" i="11"/>
  <c r="G147" i="11"/>
  <c r="G148" i="11"/>
  <c r="C150" i="11"/>
  <c r="D75" i="3"/>
  <c r="G75" i="3"/>
  <c r="E75" i="3"/>
  <c r="F75" i="3"/>
  <c r="K75" i="3"/>
  <c r="C75" i="3"/>
  <c r="H75" i="3"/>
  <c r="I75" i="3"/>
  <c r="J75" i="3"/>
  <c r="L149" i="2"/>
  <c r="G149" i="2"/>
  <c r="L58" i="2"/>
  <c r="G58" i="2"/>
  <c r="G57" i="2"/>
  <c r="L57" i="2"/>
  <c r="C55" i="11"/>
  <c r="G35" i="3"/>
  <c r="J35" i="3"/>
  <c r="D35" i="3"/>
  <c r="E35" i="3"/>
  <c r="I35" i="3"/>
  <c r="C35" i="3"/>
  <c r="F35" i="3"/>
  <c r="H35" i="3"/>
  <c r="K35" i="3"/>
  <c r="Z146" i="11"/>
  <c r="Q146" i="11"/>
  <c r="Y146" i="11" s="1"/>
  <c r="G150" i="2"/>
  <c r="L150" i="2"/>
  <c r="G152" i="11"/>
  <c r="Z62" i="11"/>
  <c r="Q62" i="11"/>
  <c r="G146" i="2"/>
  <c r="L146" i="2"/>
  <c r="C59" i="11"/>
  <c r="K39" i="3"/>
  <c r="C39" i="3"/>
  <c r="D39" i="3"/>
  <c r="J39" i="3"/>
  <c r="E39" i="3"/>
  <c r="F39" i="3"/>
  <c r="G39" i="3"/>
  <c r="H39" i="3"/>
  <c r="I39" i="3"/>
  <c r="C60" i="11"/>
  <c r="C40" i="3"/>
  <c r="F40" i="3"/>
  <c r="G40" i="3"/>
  <c r="D40" i="3"/>
  <c r="E40" i="3"/>
  <c r="H40" i="3"/>
  <c r="J40" i="3"/>
  <c r="K40" i="3"/>
  <c r="I40" i="3"/>
  <c r="C153" i="11"/>
  <c r="E78" i="3"/>
  <c r="H78" i="3"/>
  <c r="C78" i="3"/>
  <c r="I78" i="3"/>
  <c r="J78" i="3"/>
  <c r="K78" i="3"/>
  <c r="D78" i="3"/>
  <c r="F78" i="3"/>
  <c r="G78" i="3"/>
  <c r="L151" i="2"/>
  <c r="G151" i="2"/>
  <c r="Q63" i="11"/>
  <c r="Z63" i="11"/>
  <c r="Q64" i="11"/>
  <c r="Z64" i="11"/>
  <c r="C149" i="11"/>
  <c r="C74" i="3"/>
  <c r="F74" i="3"/>
  <c r="H74" i="3"/>
  <c r="I74" i="3"/>
  <c r="D74" i="3"/>
  <c r="E74" i="3"/>
  <c r="G74" i="3"/>
  <c r="J74" i="3"/>
  <c r="K74" i="3"/>
  <c r="Q55" i="11"/>
  <c r="Z55" i="11"/>
  <c r="G153" i="11"/>
  <c r="G154" i="11"/>
  <c r="O154" i="11" s="1"/>
  <c r="M154" i="11"/>
  <c r="L60" i="2"/>
  <c r="G60" i="2"/>
  <c r="L61" i="2"/>
  <c r="G61" i="2"/>
  <c r="G59" i="11"/>
  <c r="G62" i="11"/>
  <c r="C57" i="11"/>
  <c r="I37" i="3"/>
  <c r="F37" i="3"/>
  <c r="K37" i="3"/>
  <c r="G37" i="3"/>
  <c r="C37" i="3"/>
  <c r="D37" i="3"/>
  <c r="E37" i="3"/>
  <c r="H37" i="3"/>
  <c r="J37" i="3"/>
  <c r="C154" i="11"/>
  <c r="F79" i="3"/>
  <c r="I79" i="3"/>
  <c r="E79" i="3"/>
  <c r="G79" i="3"/>
  <c r="C79" i="3"/>
  <c r="H79" i="3"/>
  <c r="D79" i="3"/>
  <c r="J79" i="3"/>
  <c r="K79" i="3"/>
  <c r="Z57" i="11"/>
  <c r="Q57" i="11"/>
  <c r="G152" i="2"/>
  <c r="L152" i="2"/>
  <c r="G64" i="11"/>
  <c r="C61" i="11"/>
  <c r="D41" i="3"/>
  <c r="E41" i="3"/>
  <c r="I41" i="3"/>
  <c r="J41" i="3"/>
  <c r="H41" i="3"/>
  <c r="K41" i="3"/>
  <c r="C41" i="3"/>
  <c r="F41" i="3"/>
  <c r="G41" i="3"/>
  <c r="L54" i="2"/>
  <c r="G54" i="2"/>
  <c r="L62" i="2"/>
  <c r="G62" i="2"/>
  <c r="G63" i="11"/>
  <c r="C58" i="11"/>
  <c r="J38" i="3"/>
  <c r="I38" i="3"/>
  <c r="E38" i="3"/>
  <c r="F38" i="3"/>
  <c r="G38" i="3"/>
  <c r="H38" i="3"/>
  <c r="K38" i="3"/>
  <c r="C38" i="3"/>
  <c r="D38" i="3"/>
  <c r="C146" i="11"/>
  <c r="C71" i="3"/>
  <c r="G71" i="3"/>
  <c r="H71" i="3"/>
  <c r="I71" i="3"/>
  <c r="D71" i="3"/>
  <c r="E71" i="3"/>
  <c r="F71" i="3"/>
  <c r="J71" i="3"/>
  <c r="K71" i="3"/>
  <c r="C152" i="11"/>
  <c r="D77" i="3"/>
  <c r="G77" i="3"/>
  <c r="I77" i="3"/>
  <c r="C77" i="3"/>
  <c r="K77" i="3"/>
  <c r="E77" i="3"/>
  <c r="F77" i="3"/>
  <c r="H77" i="3"/>
  <c r="J77" i="3"/>
  <c r="C62" i="11"/>
  <c r="E42" i="3"/>
  <c r="G42" i="3"/>
  <c r="K42" i="3"/>
  <c r="C42" i="3"/>
  <c r="F42" i="3"/>
  <c r="H42" i="3"/>
  <c r="I42" i="3"/>
  <c r="J42" i="3"/>
  <c r="D42" i="3"/>
  <c r="C64" i="11"/>
  <c r="G44" i="3"/>
  <c r="K44" i="3"/>
  <c r="C44" i="3"/>
  <c r="I44" i="3"/>
  <c r="J44" i="3"/>
  <c r="D44" i="3"/>
  <c r="E44" i="3"/>
  <c r="F44" i="3"/>
  <c r="H44" i="3"/>
  <c r="C155" i="11"/>
  <c r="G80" i="3"/>
  <c r="J80" i="3"/>
  <c r="D80" i="3"/>
  <c r="I80" i="3"/>
  <c r="K80" i="3"/>
  <c r="E80" i="3"/>
  <c r="F80" i="3"/>
  <c r="H80" i="3"/>
  <c r="C80" i="3"/>
  <c r="Q155" i="11"/>
  <c r="Y155" i="11" s="1"/>
  <c r="Z155" i="11"/>
  <c r="C63" i="11"/>
  <c r="F43" i="3"/>
  <c r="I43" i="3"/>
  <c r="D43" i="3"/>
  <c r="E43" i="3"/>
  <c r="G43" i="3"/>
  <c r="K43" i="3"/>
  <c r="H43" i="3"/>
  <c r="J43" i="3"/>
  <c r="C43" i="3"/>
  <c r="G57" i="11"/>
  <c r="G60" i="11"/>
  <c r="L59" i="2"/>
  <c r="G59" i="2"/>
  <c r="G149" i="11"/>
  <c r="E76" i="3"/>
  <c r="D76" i="3"/>
  <c r="F76" i="3"/>
  <c r="G76" i="3"/>
  <c r="H76" i="3"/>
  <c r="I76" i="3"/>
  <c r="C151" i="11"/>
  <c r="J76" i="3"/>
  <c r="K76" i="3"/>
  <c r="C76" i="3"/>
  <c r="G148" i="2"/>
  <c r="H148" i="2" s="1"/>
  <c r="L148" i="2"/>
  <c r="M163" i="8"/>
  <c r="M156" i="8"/>
  <c r="M66" i="8"/>
  <c r="C67" i="8"/>
  <c r="AJ54" i="4"/>
  <c r="AK54" i="4" s="1"/>
  <c r="AL54" i="4" s="1"/>
  <c r="C58" i="8"/>
  <c r="M65" i="8"/>
  <c r="M58" i="8"/>
  <c r="M67" i="8"/>
  <c r="C60" i="8"/>
  <c r="M60" i="8"/>
  <c r="C65" i="8"/>
  <c r="C156" i="8"/>
  <c r="H61" i="2" l="1"/>
  <c r="K41" i="1" s="1"/>
  <c r="J163" i="6"/>
  <c r="D62" i="11"/>
  <c r="J41" i="1"/>
  <c r="B41" i="1"/>
  <c r="C41" i="1"/>
  <c r="D41" i="1"/>
  <c r="E41" i="1"/>
  <c r="F41" i="1"/>
  <c r="G41" i="1"/>
  <c r="H41" i="1"/>
  <c r="I41" i="1"/>
  <c r="H149" i="2"/>
  <c r="K76" i="1" s="1"/>
  <c r="J136" i="6"/>
  <c r="D152" i="11"/>
  <c r="J76" i="1"/>
  <c r="B76" i="1"/>
  <c r="C76" i="1"/>
  <c r="D76" i="1"/>
  <c r="E76" i="1"/>
  <c r="F76" i="1"/>
  <c r="G76" i="1"/>
  <c r="H76" i="1"/>
  <c r="I76" i="1"/>
  <c r="H60" i="2"/>
  <c r="K40" i="1" s="1"/>
  <c r="J124" i="6"/>
  <c r="D61" i="11"/>
  <c r="J40" i="1"/>
  <c r="B40" i="1"/>
  <c r="C40" i="1"/>
  <c r="D40" i="1"/>
  <c r="E40" i="1"/>
  <c r="F40" i="1"/>
  <c r="G40" i="1"/>
  <c r="H40" i="1"/>
  <c r="I40" i="1"/>
  <c r="H54" i="2"/>
  <c r="K34" i="1" s="1"/>
  <c r="J161" i="6"/>
  <c r="D55" i="11"/>
  <c r="J34" i="1"/>
  <c r="B34" i="1"/>
  <c r="C34" i="1"/>
  <c r="D34" i="1"/>
  <c r="E34" i="1"/>
  <c r="F34" i="1"/>
  <c r="G34" i="1"/>
  <c r="H34" i="1"/>
  <c r="I34" i="1"/>
  <c r="J192" i="6"/>
  <c r="D154" i="11"/>
  <c r="J78" i="1"/>
  <c r="K78" i="1"/>
  <c r="B78" i="1"/>
  <c r="C78" i="1"/>
  <c r="D78" i="1"/>
  <c r="E78" i="1"/>
  <c r="F78" i="1"/>
  <c r="G78" i="1"/>
  <c r="H78" i="1"/>
  <c r="I78" i="1"/>
  <c r="J134" i="6"/>
  <c r="B71" i="1"/>
  <c r="C71" i="1"/>
  <c r="D147" i="11"/>
  <c r="D71" i="1"/>
  <c r="E71" i="1"/>
  <c r="F71" i="1"/>
  <c r="G71" i="1"/>
  <c r="H71" i="1"/>
  <c r="I71" i="1"/>
  <c r="J71" i="1"/>
  <c r="H144" i="2"/>
  <c r="H62" i="2"/>
  <c r="K42" i="1" s="1"/>
  <c r="J164" i="6"/>
  <c r="D63" i="11"/>
  <c r="J42" i="1"/>
  <c r="B42" i="1"/>
  <c r="C42" i="1"/>
  <c r="D42" i="1"/>
  <c r="E42" i="1"/>
  <c r="F42" i="1"/>
  <c r="G42" i="1"/>
  <c r="H42" i="1"/>
  <c r="I42" i="1"/>
  <c r="H56" i="2"/>
  <c r="K36" i="1" s="1"/>
  <c r="J162" i="6"/>
  <c r="D57" i="11"/>
  <c r="J36" i="1"/>
  <c r="B36" i="1"/>
  <c r="C36" i="1"/>
  <c r="D36" i="1"/>
  <c r="E36" i="1"/>
  <c r="F36" i="1"/>
  <c r="G36" i="1"/>
  <c r="H36" i="1"/>
  <c r="I36" i="1"/>
  <c r="H150" i="2"/>
  <c r="J191" i="6"/>
  <c r="D153" i="11"/>
  <c r="J77" i="1"/>
  <c r="B77" i="1"/>
  <c r="C77" i="1"/>
  <c r="D77" i="1"/>
  <c r="E77" i="1"/>
  <c r="F77" i="1"/>
  <c r="G77" i="1"/>
  <c r="H77" i="1"/>
  <c r="I77" i="1"/>
  <c r="H145" i="2"/>
  <c r="J188" i="6"/>
  <c r="D148" i="11"/>
  <c r="B72" i="1"/>
  <c r="C72" i="1"/>
  <c r="D72" i="1"/>
  <c r="E72" i="1"/>
  <c r="F72" i="1"/>
  <c r="G72" i="1"/>
  <c r="H72" i="1"/>
  <c r="I72" i="1"/>
  <c r="J72" i="1"/>
  <c r="J193" i="6"/>
  <c r="J79" i="1"/>
  <c r="K79" i="1"/>
  <c r="D155" i="11"/>
  <c r="B79" i="1"/>
  <c r="C79" i="1"/>
  <c r="D79" i="1"/>
  <c r="E79" i="1"/>
  <c r="F79" i="1"/>
  <c r="G79" i="1"/>
  <c r="H79" i="1"/>
  <c r="I79" i="1"/>
  <c r="H63" i="2"/>
  <c r="K43" i="1" s="1"/>
  <c r="J165" i="6"/>
  <c r="D64" i="11"/>
  <c r="J43" i="1"/>
  <c r="B43" i="1"/>
  <c r="C43" i="1"/>
  <c r="D43" i="1"/>
  <c r="E43" i="1"/>
  <c r="F43" i="1"/>
  <c r="G43" i="1"/>
  <c r="H43" i="1"/>
  <c r="I43" i="1"/>
  <c r="H59" i="2"/>
  <c r="K39" i="1" s="1"/>
  <c r="J123" i="6"/>
  <c r="D60" i="11"/>
  <c r="J39" i="1"/>
  <c r="B39" i="1"/>
  <c r="C39" i="1"/>
  <c r="D39" i="1"/>
  <c r="E39" i="1"/>
  <c r="F39" i="1"/>
  <c r="G39" i="1"/>
  <c r="H39" i="1"/>
  <c r="I39" i="1"/>
  <c r="H146" i="2"/>
  <c r="K73" i="1" s="1"/>
  <c r="J189" i="6"/>
  <c r="D149" i="11"/>
  <c r="B73" i="1"/>
  <c r="C73" i="1"/>
  <c r="D73" i="1"/>
  <c r="E73" i="1"/>
  <c r="F73" i="1"/>
  <c r="G73" i="1"/>
  <c r="H73" i="1"/>
  <c r="I73" i="1"/>
  <c r="J73" i="1"/>
  <c r="H57" i="2"/>
  <c r="K37" i="1" s="1"/>
  <c r="J121" i="6"/>
  <c r="D58" i="11"/>
  <c r="J37" i="1"/>
  <c r="B37" i="1"/>
  <c r="C37" i="1"/>
  <c r="D37" i="1"/>
  <c r="E37" i="1"/>
  <c r="F37" i="1"/>
  <c r="G37" i="1"/>
  <c r="H37" i="1"/>
  <c r="I37" i="1"/>
  <c r="H58" i="2"/>
  <c r="J122" i="6"/>
  <c r="D59" i="11"/>
  <c r="J38" i="1"/>
  <c r="B38" i="1"/>
  <c r="C38" i="1"/>
  <c r="D38" i="1"/>
  <c r="E38" i="1"/>
  <c r="F38" i="1"/>
  <c r="G38" i="1"/>
  <c r="H38" i="1"/>
  <c r="I38" i="1"/>
  <c r="H147" i="2"/>
  <c r="K74" i="1" s="1"/>
  <c r="J190" i="6"/>
  <c r="D150" i="11"/>
  <c r="B74" i="1"/>
  <c r="C74" i="1"/>
  <c r="D74" i="1"/>
  <c r="E74" i="1"/>
  <c r="F74" i="1"/>
  <c r="G74" i="1"/>
  <c r="H74" i="1"/>
  <c r="I74" i="1"/>
  <c r="J74" i="1"/>
  <c r="J187" i="6"/>
  <c r="D146" i="11"/>
  <c r="K70" i="1"/>
  <c r="B70" i="1"/>
  <c r="C70" i="1"/>
  <c r="D70" i="1"/>
  <c r="E70" i="1"/>
  <c r="F70" i="1"/>
  <c r="G70" i="1"/>
  <c r="H70" i="1"/>
  <c r="I70" i="1"/>
  <c r="J70" i="1"/>
  <c r="K135" i="6"/>
  <c r="M135" i="6" s="1"/>
  <c r="S148" i="2"/>
  <c r="W151" i="11" s="1"/>
  <c r="I148" i="2"/>
  <c r="J135" i="6"/>
  <c r="G75" i="1"/>
  <c r="E75" i="1"/>
  <c r="F75" i="1"/>
  <c r="H75" i="1"/>
  <c r="I75" i="1"/>
  <c r="J75" i="1"/>
  <c r="K75" i="1"/>
  <c r="D151" i="11"/>
  <c r="B75" i="1"/>
  <c r="C75" i="1"/>
  <c r="D75" i="1"/>
  <c r="C26" i="4"/>
  <c r="K24" i="8"/>
  <c r="J24" i="8"/>
  <c r="I24" i="8"/>
  <c r="E24" i="8"/>
  <c r="F24" i="8" s="1"/>
  <c r="D24" i="8"/>
  <c r="B24" i="8"/>
  <c r="A24" i="8"/>
  <c r="K23" i="8"/>
  <c r="J23" i="8"/>
  <c r="I23" i="8"/>
  <c r="E23" i="8"/>
  <c r="F23" i="8" s="1"/>
  <c r="D23" i="8"/>
  <c r="B23" i="8"/>
  <c r="A23" i="8"/>
  <c r="V23" i="4"/>
  <c r="V23" i="2" s="1"/>
  <c r="P117" i="6" s="1"/>
  <c r="V24" i="4"/>
  <c r="V24" i="2" s="1"/>
  <c r="P118" i="6" s="1"/>
  <c r="Q23" i="4"/>
  <c r="R23" i="4"/>
  <c r="S23" i="4"/>
  <c r="Q24" i="4"/>
  <c r="R24" i="4"/>
  <c r="S24" i="4"/>
  <c r="M23" i="4"/>
  <c r="AB23" i="4" s="1"/>
  <c r="M24" i="4"/>
  <c r="AB24" i="4" s="1"/>
  <c r="I23" i="4"/>
  <c r="I24" i="4"/>
  <c r="E10" i="2"/>
  <c r="I50" i="6" s="1"/>
  <c r="C10" i="2"/>
  <c r="E50" i="6" s="1"/>
  <c r="O23" i="8" l="1"/>
  <c r="P23" i="8" s="1"/>
  <c r="S23" i="11"/>
  <c r="K122" i="6"/>
  <c r="M122" i="6" s="1"/>
  <c r="I58" i="2"/>
  <c r="S58" i="2"/>
  <c r="W59" i="11" s="1"/>
  <c r="G23" i="4"/>
  <c r="C23" i="8" s="1"/>
  <c r="D23" i="2"/>
  <c r="E24" i="11"/>
  <c r="E20" i="7"/>
  <c r="I54" i="2"/>
  <c r="K161" i="6"/>
  <c r="M161" i="6" s="1"/>
  <c r="S54" i="2"/>
  <c r="W55" i="11" s="1"/>
  <c r="N23" i="8"/>
  <c r="M23" i="8" s="1"/>
  <c r="R23" i="11"/>
  <c r="S150" i="2"/>
  <c r="W153" i="11" s="1"/>
  <c r="K191" i="6"/>
  <c r="M191" i="6" s="1"/>
  <c r="I150" i="2"/>
  <c r="E23" i="11"/>
  <c r="E19" i="7"/>
  <c r="H50" i="6"/>
  <c r="S146" i="2"/>
  <c r="W149" i="11" s="1"/>
  <c r="K189" i="6"/>
  <c r="M189" i="6" s="1"/>
  <c r="I146" i="2"/>
  <c r="S56" i="2"/>
  <c r="W57" i="11" s="1"/>
  <c r="K162" i="6"/>
  <c r="M162" i="6" s="1"/>
  <c r="I56" i="2"/>
  <c r="K38" i="1"/>
  <c r="S59" i="2"/>
  <c r="W60" i="11" s="1"/>
  <c r="K123" i="6"/>
  <c r="M123" i="6" s="1"/>
  <c r="I59" i="2"/>
  <c r="S57" i="2"/>
  <c r="W58" i="11" s="1"/>
  <c r="K121" i="6"/>
  <c r="M121" i="6" s="1"/>
  <c r="I57" i="2"/>
  <c r="S60" i="2"/>
  <c r="W61" i="11" s="1"/>
  <c r="K124" i="6"/>
  <c r="M124" i="6" s="1"/>
  <c r="I60" i="2"/>
  <c r="S144" i="2"/>
  <c r="W147" i="11" s="1"/>
  <c r="K134" i="6"/>
  <c r="M134" i="6" s="1"/>
  <c r="I144" i="2"/>
  <c r="Z24" i="4"/>
  <c r="S24" i="11"/>
  <c r="S63" i="2"/>
  <c r="W64" i="11" s="1"/>
  <c r="K165" i="6"/>
  <c r="M165" i="6" s="1"/>
  <c r="I63" i="2"/>
  <c r="S62" i="2"/>
  <c r="W63" i="11" s="1"/>
  <c r="K164" i="6"/>
  <c r="M164" i="6" s="1"/>
  <c r="I62" i="2"/>
  <c r="S149" i="2"/>
  <c r="W152" i="11" s="1"/>
  <c r="K136" i="6"/>
  <c r="M136" i="6" s="1"/>
  <c r="I149" i="2"/>
  <c r="S145" i="2"/>
  <c r="W148" i="11" s="1"/>
  <c r="K188" i="6"/>
  <c r="M188" i="6" s="1"/>
  <c r="I145" i="2"/>
  <c r="L24" i="4"/>
  <c r="AA24" i="4" s="1"/>
  <c r="D24" i="2"/>
  <c r="N24" i="8"/>
  <c r="R24" i="11"/>
  <c r="K190" i="6"/>
  <c r="M190" i="6" s="1"/>
  <c r="S147" i="2"/>
  <c r="W150" i="11" s="1"/>
  <c r="I147" i="2"/>
  <c r="K72" i="1"/>
  <c r="K77" i="1"/>
  <c r="K71" i="1"/>
  <c r="S61" i="2"/>
  <c r="W62" i="11" s="1"/>
  <c r="K163" i="6"/>
  <c r="M163" i="6" s="1"/>
  <c r="I61" i="2"/>
  <c r="K148" i="2"/>
  <c r="L75" i="1" s="1"/>
  <c r="I151" i="11"/>
  <c r="AA151" i="11"/>
  <c r="U151" i="11"/>
  <c r="Y151" i="11" s="1"/>
  <c r="K24" i="4"/>
  <c r="L23" i="3" s="1"/>
  <c r="K23" i="4"/>
  <c r="L22" i="3" s="1"/>
  <c r="H24" i="8"/>
  <c r="H23" i="8"/>
  <c r="Z23" i="4"/>
  <c r="L23" i="4"/>
  <c r="AA23" i="4" s="1"/>
  <c r="O24" i="8"/>
  <c r="P24" i="8" s="1"/>
  <c r="G24" i="4"/>
  <c r="A86" i="8"/>
  <c r="B86" i="8"/>
  <c r="D86" i="8"/>
  <c r="E86" i="8"/>
  <c r="F86" i="8" s="1"/>
  <c r="I86" i="8"/>
  <c r="J86" i="8"/>
  <c r="K86" i="8"/>
  <c r="V82" i="4"/>
  <c r="V82" i="2" s="1"/>
  <c r="P167" i="6" s="1"/>
  <c r="S82" i="4"/>
  <c r="R82" i="4"/>
  <c r="Q82" i="4"/>
  <c r="M82" i="4"/>
  <c r="AB82" i="4" s="1"/>
  <c r="I82" i="4"/>
  <c r="F20" i="7" l="1"/>
  <c r="K20" i="7"/>
  <c r="F19" i="7"/>
  <c r="K19" i="7"/>
  <c r="K82" i="4"/>
  <c r="E83" i="11"/>
  <c r="K63" i="2"/>
  <c r="L43" i="1" s="1"/>
  <c r="I64" i="11"/>
  <c r="C24" i="11"/>
  <c r="F23" i="3"/>
  <c r="J23" i="3"/>
  <c r="C23" i="3"/>
  <c r="D23" i="3"/>
  <c r="K23" i="3"/>
  <c r="E23" i="3"/>
  <c r="G23" i="3"/>
  <c r="H23" i="3"/>
  <c r="I23" i="3"/>
  <c r="U58" i="11"/>
  <c r="Y58" i="11" s="1"/>
  <c r="AA58" i="11"/>
  <c r="G24" i="11"/>
  <c r="N86" i="8"/>
  <c r="R83" i="11"/>
  <c r="K61" i="2"/>
  <c r="L41" i="1" s="1"/>
  <c r="I62" i="11"/>
  <c r="U64" i="11"/>
  <c r="Y64" i="11" s="1"/>
  <c r="AA64" i="11"/>
  <c r="K59" i="2"/>
  <c r="L39" i="1" s="1"/>
  <c r="I60" i="11"/>
  <c r="G23" i="2"/>
  <c r="L23" i="2"/>
  <c r="Z82" i="4"/>
  <c r="S83" i="11"/>
  <c r="K145" i="2"/>
  <c r="L72" i="1" s="1"/>
  <c r="I148" i="11"/>
  <c r="G23" i="11"/>
  <c r="C23" i="11"/>
  <c r="K22" i="3"/>
  <c r="D22" i="3"/>
  <c r="H22" i="3"/>
  <c r="C22" i="3"/>
  <c r="E22" i="3"/>
  <c r="F22" i="3"/>
  <c r="G22" i="3"/>
  <c r="I22" i="3"/>
  <c r="J22" i="3"/>
  <c r="U150" i="11"/>
  <c r="Y150" i="11" s="1"/>
  <c r="AA150" i="11"/>
  <c r="K62" i="2"/>
  <c r="L42" i="1" s="1"/>
  <c r="I63" i="11"/>
  <c r="K54" i="2"/>
  <c r="L34" i="1" s="1"/>
  <c r="I55" i="11"/>
  <c r="K150" i="2"/>
  <c r="L77" i="1" s="1"/>
  <c r="I153" i="11"/>
  <c r="U59" i="11"/>
  <c r="Y59" i="11" s="1"/>
  <c r="AA59" i="11"/>
  <c r="U61" i="11"/>
  <c r="Y61" i="11" s="1"/>
  <c r="AA61" i="11"/>
  <c r="Z24" i="11"/>
  <c r="Q24" i="11"/>
  <c r="K144" i="2"/>
  <c r="L71" i="1" s="1"/>
  <c r="I147" i="11"/>
  <c r="K58" i="2"/>
  <c r="L38" i="1" s="1"/>
  <c r="I59" i="11"/>
  <c r="K146" i="2"/>
  <c r="L73" i="1" s="1"/>
  <c r="I149" i="11"/>
  <c r="K57" i="2"/>
  <c r="L37" i="1" s="1"/>
  <c r="I58" i="11"/>
  <c r="K149" i="2"/>
  <c r="L76" i="1" s="1"/>
  <c r="I152" i="11"/>
  <c r="K56" i="2"/>
  <c r="L36" i="1" s="1"/>
  <c r="I57" i="11"/>
  <c r="U153" i="11"/>
  <c r="Y153" i="11" s="1"/>
  <c r="AA153" i="11"/>
  <c r="U55" i="11"/>
  <c r="Y55" i="11" s="1"/>
  <c r="AA55" i="11"/>
  <c r="U63" i="11"/>
  <c r="Y63" i="11" s="1"/>
  <c r="AA63" i="11"/>
  <c r="G24" i="2"/>
  <c r="L24" i="2"/>
  <c r="U62" i="11"/>
  <c r="Y62" i="11" s="1"/>
  <c r="AA62" i="11"/>
  <c r="U147" i="11"/>
  <c r="Y147" i="11" s="1"/>
  <c r="AA147" i="11"/>
  <c r="Q23" i="11"/>
  <c r="Z23" i="11"/>
  <c r="G82" i="4"/>
  <c r="D82" i="2"/>
  <c r="U149" i="11"/>
  <c r="Y149" i="11" s="1"/>
  <c r="AA149" i="11"/>
  <c r="U60" i="11"/>
  <c r="Y60" i="11" s="1"/>
  <c r="AA60" i="11"/>
  <c r="U148" i="11"/>
  <c r="Y148" i="11" s="1"/>
  <c r="AA148" i="11"/>
  <c r="K147" i="2"/>
  <c r="L74" i="1" s="1"/>
  <c r="I150" i="11"/>
  <c r="U152" i="11"/>
  <c r="Y152" i="11" s="1"/>
  <c r="AA152" i="11"/>
  <c r="K60" i="2"/>
  <c r="L40" i="1" s="1"/>
  <c r="I61" i="11"/>
  <c r="U57" i="11"/>
  <c r="Y57" i="11" s="1"/>
  <c r="AA57" i="11"/>
  <c r="M151" i="11"/>
  <c r="K151" i="11"/>
  <c r="O151" i="11" s="1"/>
  <c r="C24" i="8"/>
  <c r="M24" i="8"/>
  <c r="H86" i="8"/>
  <c r="O86" i="8"/>
  <c r="P86" i="8" s="1"/>
  <c r="L82" i="4"/>
  <c r="AA82" i="4" s="1"/>
  <c r="K62" i="11" l="1"/>
  <c r="O62" i="11" s="1"/>
  <c r="M62" i="11"/>
  <c r="K152" i="11"/>
  <c r="O152" i="11" s="1"/>
  <c r="M152" i="11"/>
  <c r="K148" i="11"/>
  <c r="O148" i="11" s="1"/>
  <c r="M148" i="11"/>
  <c r="Z83" i="11"/>
  <c r="Q83" i="11"/>
  <c r="H24" i="2"/>
  <c r="K22" i="1" s="1"/>
  <c r="J118" i="6"/>
  <c r="D24" i="11"/>
  <c r="J22" i="1"/>
  <c r="B22" i="1"/>
  <c r="C22" i="1"/>
  <c r="D22" i="1"/>
  <c r="E22" i="1"/>
  <c r="F22" i="1"/>
  <c r="G22" i="1"/>
  <c r="H22" i="1"/>
  <c r="I22" i="1"/>
  <c r="K149" i="11"/>
  <c r="O149" i="11" s="1"/>
  <c r="M149" i="11"/>
  <c r="K153" i="11"/>
  <c r="O153" i="11" s="1"/>
  <c r="M153" i="11"/>
  <c r="K57" i="11"/>
  <c r="O57" i="11" s="1"/>
  <c r="M57" i="11"/>
  <c r="K61" i="11"/>
  <c r="O61" i="11" s="1"/>
  <c r="M61" i="11"/>
  <c r="G82" i="2"/>
  <c r="L82" i="2"/>
  <c r="H23" i="2"/>
  <c r="K21" i="1" s="1"/>
  <c r="J117" i="6"/>
  <c r="D23" i="11"/>
  <c r="J21" i="1"/>
  <c r="B21" i="1"/>
  <c r="C21" i="1"/>
  <c r="D21" i="1"/>
  <c r="E21" i="1"/>
  <c r="F21" i="1"/>
  <c r="G21" i="1"/>
  <c r="H21" i="1"/>
  <c r="I21" i="1"/>
  <c r="K64" i="11"/>
  <c r="O64" i="11" s="1"/>
  <c r="M64" i="11"/>
  <c r="K60" i="11"/>
  <c r="O60" i="11" s="1"/>
  <c r="M60" i="11"/>
  <c r="K63" i="11"/>
  <c r="O63" i="11" s="1"/>
  <c r="M63" i="11"/>
  <c r="G83" i="11"/>
  <c r="K58" i="11"/>
  <c r="O58" i="11" s="1"/>
  <c r="M58" i="11"/>
  <c r="C86" i="8"/>
  <c r="C83" i="11"/>
  <c r="K59" i="11"/>
  <c r="O59" i="11" s="1"/>
  <c r="M59" i="11"/>
  <c r="K55" i="11"/>
  <c r="O55" i="11" s="1"/>
  <c r="M55" i="11"/>
  <c r="K147" i="11"/>
  <c r="O147" i="11" s="1"/>
  <c r="M147" i="11"/>
  <c r="K150" i="11"/>
  <c r="O150" i="11" s="1"/>
  <c r="M150" i="11"/>
  <c r="M86" i="8"/>
  <c r="A283" i="2"/>
  <c r="A93" i="6" s="1"/>
  <c r="B283" i="2"/>
  <c r="B93" i="6" s="1"/>
  <c r="C283" i="2"/>
  <c r="E93" i="6" s="1"/>
  <c r="E283" i="2"/>
  <c r="I93" i="6" s="1"/>
  <c r="F283" i="2"/>
  <c r="F93" i="6" s="1"/>
  <c r="J283" i="2"/>
  <c r="C93" i="6" s="1"/>
  <c r="N283" i="2"/>
  <c r="O283" i="2"/>
  <c r="P283" i="2"/>
  <c r="L93" i="6" s="1"/>
  <c r="T283" i="2"/>
  <c r="N93" i="6" s="1"/>
  <c r="U283" i="2"/>
  <c r="O93" i="6" s="1"/>
  <c r="AD157" i="4"/>
  <c r="AO157" i="4"/>
  <c r="AP157" i="4" s="1"/>
  <c r="AO160" i="4"/>
  <c r="AP160" i="4" s="1"/>
  <c r="AD160" i="4"/>
  <c r="AO165" i="4"/>
  <c r="AP165" i="4" s="1"/>
  <c r="AD165" i="4"/>
  <c r="AO170" i="4"/>
  <c r="AP170" i="4" s="1"/>
  <c r="AD170" i="4"/>
  <c r="AD70" i="4"/>
  <c r="AO70" i="4"/>
  <c r="AP70" i="4" s="1"/>
  <c r="AD71" i="4"/>
  <c r="AO71" i="4"/>
  <c r="AP71" i="4" s="1"/>
  <c r="AD74" i="4"/>
  <c r="AO74" i="4"/>
  <c r="AP74" i="4" s="1"/>
  <c r="AD78" i="4"/>
  <c r="AO78" i="4"/>
  <c r="AP78" i="4" s="1"/>
  <c r="AO83" i="4"/>
  <c r="AP83" i="4" s="1"/>
  <c r="A46" i="2"/>
  <c r="B46" i="2"/>
  <c r="B60" i="6" s="1"/>
  <c r="C46" i="2"/>
  <c r="E60" i="6" s="1"/>
  <c r="E46" i="2"/>
  <c r="I60" i="6" s="1"/>
  <c r="F46" i="2"/>
  <c r="J46" i="2"/>
  <c r="C60" i="6" s="1"/>
  <c r="N46" i="2"/>
  <c r="O46" i="2"/>
  <c r="P46" i="2"/>
  <c r="L60" i="6" s="1"/>
  <c r="T46" i="2"/>
  <c r="N60" i="6" s="1"/>
  <c r="U46" i="2"/>
  <c r="O60" i="6" s="1"/>
  <c r="AO30" i="4"/>
  <c r="AP30" i="4" s="1"/>
  <c r="AD30" i="4"/>
  <c r="A10" i="2"/>
  <c r="B10" i="2"/>
  <c r="B50" i="6" s="1"/>
  <c r="F10" i="2"/>
  <c r="J10" i="2"/>
  <c r="N10" i="2"/>
  <c r="O10" i="2"/>
  <c r="P10" i="2"/>
  <c r="L50" i="6" s="1"/>
  <c r="T10" i="2"/>
  <c r="N50" i="6" s="1"/>
  <c r="U10" i="2"/>
  <c r="O50" i="6" s="1"/>
  <c r="H82" i="2" l="1"/>
  <c r="J167" i="6"/>
  <c r="D83" i="11"/>
  <c r="F60" i="6"/>
  <c r="J47" i="11"/>
  <c r="N47" i="11" s="1"/>
  <c r="F50" i="6"/>
  <c r="G50" i="6" s="1"/>
  <c r="J10" i="11"/>
  <c r="N10" i="11" s="1"/>
  <c r="D60" i="6"/>
  <c r="H60" i="6"/>
  <c r="S23" i="2"/>
  <c r="W23" i="11" s="1"/>
  <c r="K117" i="6"/>
  <c r="M117" i="6" s="1"/>
  <c r="I23" i="2"/>
  <c r="M10" i="2"/>
  <c r="C50" i="6"/>
  <c r="D50" i="6" s="1"/>
  <c r="A50" i="6"/>
  <c r="A8" i="1"/>
  <c r="A60" i="6"/>
  <c r="A26" i="1"/>
  <c r="I24" i="2"/>
  <c r="K118" i="6"/>
  <c r="M118" i="6" s="1"/>
  <c r="S24" i="2"/>
  <c r="W24" i="11" s="1"/>
  <c r="H93" i="6"/>
  <c r="G93" i="6" s="1"/>
  <c r="D93" i="6"/>
  <c r="R283" i="2"/>
  <c r="Q283" i="2"/>
  <c r="M283" i="2"/>
  <c r="M46" i="2"/>
  <c r="R46" i="2"/>
  <c r="Q46" i="2"/>
  <c r="V47" i="11" s="1"/>
  <c r="R10" i="2"/>
  <c r="Q10" i="2"/>
  <c r="V10" i="11" s="1"/>
  <c r="G60" i="6" l="1"/>
  <c r="U24" i="11"/>
  <c r="Y24" i="11" s="1"/>
  <c r="AA24" i="11"/>
  <c r="U23" i="11"/>
  <c r="Y23" i="11" s="1"/>
  <c r="AA23" i="11"/>
  <c r="K24" i="2"/>
  <c r="L22" i="1" s="1"/>
  <c r="I24" i="11"/>
  <c r="K23" i="2"/>
  <c r="L21" i="1" s="1"/>
  <c r="I23" i="11"/>
  <c r="K167" i="6"/>
  <c r="M167" i="6" s="1"/>
  <c r="I82" i="2"/>
  <c r="S82" i="2"/>
  <c r="W83" i="11" s="1"/>
  <c r="A212" i="8"/>
  <c r="B212" i="8"/>
  <c r="D212" i="8"/>
  <c r="E212" i="8"/>
  <c r="F212" i="8" s="1"/>
  <c r="I212" i="8"/>
  <c r="J212" i="8"/>
  <c r="K212" i="8"/>
  <c r="AO199" i="4"/>
  <c r="AH199" i="4"/>
  <c r="AF199" i="4"/>
  <c r="AN199" i="4" s="1"/>
  <c r="V199" i="4"/>
  <c r="V199" i="2" s="1"/>
  <c r="P223" i="6" s="1"/>
  <c r="S199" i="4"/>
  <c r="R199" i="4"/>
  <c r="Q199" i="4"/>
  <c r="M199" i="4"/>
  <c r="AB199" i="4" s="1"/>
  <c r="I199" i="4"/>
  <c r="D199" i="2"/>
  <c r="A103" i="8"/>
  <c r="B103" i="8"/>
  <c r="D103" i="8"/>
  <c r="E103" i="8"/>
  <c r="F103" i="8" s="1"/>
  <c r="I103" i="8"/>
  <c r="J103" i="8"/>
  <c r="K103" i="8"/>
  <c r="A104" i="8"/>
  <c r="B104" i="8"/>
  <c r="D104" i="8"/>
  <c r="E104" i="8"/>
  <c r="F104" i="8" s="1"/>
  <c r="I104" i="8"/>
  <c r="J104" i="8"/>
  <c r="K104" i="8"/>
  <c r="V100" i="4"/>
  <c r="V100" i="2" s="1"/>
  <c r="P183" i="6" s="1"/>
  <c r="S100" i="4"/>
  <c r="R100" i="4"/>
  <c r="Q100" i="4"/>
  <c r="M100" i="4"/>
  <c r="AB100" i="4" s="1"/>
  <c r="I100" i="4"/>
  <c r="D100" i="2"/>
  <c r="V99" i="4"/>
  <c r="V99" i="2" s="1"/>
  <c r="P182" i="6" s="1"/>
  <c r="S99" i="4"/>
  <c r="R99" i="4"/>
  <c r="Q99" i="4"/>
  <c r="M99" i="4"/>
  <c r="AB99" i="4" s="1"/>
  <c r="I99" i="4"/>
  <c r="D99" i="2"/>
  <c r="A77" i="8"/>
  <c r="B77" i="8"/>
  <c r="D77" i="8"/>
  <c r="E77" i="8"/>
  <c r="F77" i="8" s="1"/>
  <c r="I77" i="8"/>
  <c r="J77" i="8"/>
  <c r="K77" i="8"/>
  <c r="AH73" i="4"/>
  <c r="AF73" i="4"/>
  <c r="AN73" i="4" s="1"/>
  <c r="V73" i="4"/>
  <c r="V73" i="2" s="1"/>
  <c r="P23" i="6" s="1"/>
  <c r="S73" i="4"/>
  <c r="R73" i="4"/>
  <c r="Q73" i="4"/>
  <c r="M73" i="4"/>
  <c r="AB73" i="4" s="1"/>
  <c r="I73" i="4"/>
  <c r="D73" i="2"/>
  <c r="A31" i="8"/>
  <c r="B31" i="8"/>
  <c r="D31" i="8"/>
  <c r="E31" i="8"/>
  <c r="F31" i="8" s="1"/>
  <c r="I31" i="8"/>
  <c r="J31" i="8"/>
  <c r="K31" i="8"/>
  <c r="AH31" i="4"/>
  <c r="AJ31" i="4" s="1"/>
  <c r="AK31" i="4" s="1"/>
  <c r="AL31" i="4" s="1"/>
  <c r="AF31" i="4"/>
  <c r="AN31" i="4" s="1"/>
  <c r="V31" i="4"/>
  <c r="V31" i="2" s="1"/>
  <c r="P13" i="6" s="1"/>
  <c r="S31" i="4"/>
  <c r="R31" i="4"/>
  <c r="Q31" i="4"/>
  <c r="M31" i="4"/>
  <c r="AB31" i="4" s="1"/>
  <c r="I31" i="4"/>
  <c r="D31" i="2"/>
  <c r="K82" i="2" l="1"/>
  <c r="I83" i="11"/>
  <c r="G99" i="2"/>
  <c r="L99" i="2"/>
  <c r="Z100" i="4"/>
  <c r="S101" i="11"/>
  <c r="K99" i="4"/>
  <c r="E100" i="11"/>
  <c r="N103" i="8"/>
  <c r="R100" i="11"/>
  <c r="N104" i="8"/>
  <c r="R101" i="11"/>
  <c r="N77" i="8"/>
  <c r="R74" i="11"/>
  <c r="G199" i="2"/>
  <c r="L199" i="2"/>
  <c r="K24" i="11"/>
  <c r="O24" i="11" s="1"/>
  <c r="M24" i="11"/>
  <c r="K31" i="4"/>
  <c r="E31" i="11"/>
  <c r="Z99" i="4"/>
  <c r="S100" i="11"/>
  <c r="K199" i="4"/>
  <c r="E202" i="11"/>
  <c r="K23" i="11"/>
  <c r="O23" i="11" s="1"/>
  <c r="M23" i="11"/>
  <c r="G31" i="2"/>
  <c r="L31" i="2"/>
  <c r="Z73" i="4"/>
  <c r="S74" i="11"/>
  <c r="N31" i="8"/>
  <c r="R31" i="11"/>
  <c r="G100" i="2"/>
  <c r="L100" i="2"/>
  <c r="N212" i="8"/>
  <c r="R202" i="11"/>
  <c r="G73" i="2"/>
  <c r="L73" i="2"/>
  <c r="K100" i="4"/>
  <c r="E101" i="11"/>
  <c r="Z31" i="4"/>
  <c r="S31" i="11"/>
  <c r="AA31" i="11" s="1"/>
  <c r="K73" i="4"/>
  <c r="E74" i="11"/>
  <c r="Z199" i="4"/>
  <c r="S202" i="11"/>
  <c r="U83" i="11"/>
  <c r="Y83" i="11" s="1"/>
  <c r="AA83" i="11"/>
  <c r="H103" i="8"/>
  <c r="AG199" i="4"/>
  <c r="AM199" i="4" s="1"/>
  <c r="O212" i="8"/>
  <c r="P212" i="8" s="1"/>
  <c r="G100" i="4"/>
  <c r="L73" i="4"/>
  <c r="AA73" i="4" s="1"/>
  <c r="H212" i="8"/>
  <c r="L31" i="4"/>
  <c r="AA31" i="4" s="1"/>
  <c r="L99" i="4"/>
  <c r="AA99" i="4" s="1"/>
  <c r="O103" i="8"/>
  <c r="P103" i="8" s="1"/>
  <c r="H104" i="8"/>
  <c r="G199" i="4"/>
  <c r="C202" i="11" s="1"/>
  <c r="L199" i="4"/>
  <c r="AA199" i="4" s="1"/>
  <c r="O104" i="8"/>
  <c r="P104" i="8" s="1"/>
  <c r="H31" i="8"/>
  <c r="L100" i="4"/>
  <c r="AA100" i="4" s="1"/>
  <c r="G99" i="4"/>
  <c r="O77" i="8"/>
  <c r="P77" i="8" s="1"/>
  <c r="H77" i="8"/>
  <c r="AG73" i="4"/>
  <c r="G73" i="4"/>
  <c r="C74" i="11" s="1"/>
  <c r="O31" i="8"/>
  <c r="AG31" i="4"/>
  <c r="G31" i="4"/>
  <c r="M31" i="8" l="1"/>
  <c r="Z31" i="11"/>
  <c r="Q31" i="11"/>
  <c r="Y31" i="11" s="1"/>
  <c r="G101" i="11"/>
  <c r="Q101" i="11"/>
  <c r="Z101" i="11"/>
  <c r="H100" i="2"/>
  <c r="J183" i="6"/>
  <c r="D101" i="11"/>
  <c r="G74" i="11"/>
  <c r="C103" i="8"/>
  <c r="C100" i="11"/>
  <c r="H99" i="2"/>
  <c r="J182" i="6"/>
  <c r="D100" i="11"/>
  <c r="G202" i="11"/>
  <c r="Z100" i="11"/>
  <c r="Q100" i="11"/>
  <c r="G100" i="11"/>
  <c r="C104" i="8"/>
  <c r="C101" i="11"/>
  <c r="J13" i="6"/>
  <c r="D31" i="11"/>
  <c r="Q74" i="11"/>
  <c r="Z74" i="11"/>
  <c r="K83" i="11"/>
  <c r="O83" i="11" s="1"/>
  <c r="M83" i="11"/>
  <c r="Z202" i="11"/>
  <c r="Q202" i="11"/>
  <c r="C31" i="8"/>
  <c r="C31" i="11"/>
  <c r="G31" i="11"/>
  <c r="O31" i="11" s="1"/>
  <c r="M31" i="11"/>
  <c r="H199" i="2"/>
  <c r="J223" i="6"/>
  <c r="D202" i="11"/>
  <c r="H73" i="2"/>
  <c r="J23" i="6"/>
  <c r="D74" i="11"/>
  <c r="AI199" i="4"/>
  <c r="M212" i="8"/>
  <c r="AJ199" i="4"/>
  <c r="AK199" i="4" s="1"/>
  <c r="AL199" i="4" s="1"/>
  <c r="C212" i="8"/>
  <c r="M104" i="8"/>
  <c r="M103" i="8"/>
  <c r="AJ73" i="4"/>
  <c r="AK73" i="4" s="1"/>
  <c r="AL73" i="4" s="1"/>
  <c r="C77" i="8"/>
  <c r="M77" i="8"/>
  <c r="P31" i="8"/>
  <c r="AM73" i="4"/>
  <c r="AI73" i="4"/>
  <c r="AI31" i="4"/>
  <c r="AM31" i="4"/>
  <c r="S73" i="2" l="1"/>
  <c r="W74" i="11" s="1"/>
  <c r="K23" i="6"/>
  <c r="M23" i="6" s="1"/>
  <c r="I73" i="2"/>
  <c r="K183" i="6"/>
  <c r="M183" i="6" s="1"/>
  <c r="S100" i="2"/>
  <c r="W101" i="11" s="1"/>
  <c r="I100" i="2"/>
  <c r="K182" i="6"/>
  <c r="M182" i="6" s="1"/>
  <c r="S99" i="2"/>
  <c r="W100" i="11" s="1"/>
  <c r="I99" i="2"/>
  <c r="K223" i="6"/>
  <c r="M223" i="6" s="1"/>
  <c r="S199" i="2"/>
  <c r="W202" i="11" s="1"/>
  <c r="I199" i="2"/>
  <c r="AP199" i="4"/>
  <c r="A161" i="8"/>
  <c r="B161" i="8"/>
  <c r="D161" i="8"/>
  <c r="E161" i="8"/>
  <c r="F161" i="8" s="1"/>
  <c r="I161" i="8"/>
  <c r="J161" i="8"/>
  <c r="K161" i="8"/>
  <c r="A162" i="8"/>
  <c r="B162" i="8"/>
  <c r="D162" i="8"/>
  <c r="E162" i="8"/>
  <c r="F162" i="8" s="1"/>
  <c r="I162" i="8"/>
  <c r="J162" i="8"/>
  <c r="K162" i="8"/>
  <c r="A164" i="8"/>
  <c r="B164" i="8"/>
  <c r="D164" i="8"/>
  <c r="E164" i="8"/>
  <c r="F164" i="8" s="1"/>
  <c r="I164" i="8"/>
  <c r="J164" i="8"/>
  <c r="K164" i="8"/>
  <c r="N161" i="8"/>
  <c r="O161" i="8"/>
  <c r="P161" i="8" s="1"/>
  <c r="N162" i="8"/>
  <c r="N164" i="8"/>
  <c r="K73" i="2" l="1"/>
  <c r="I74" i="11"/>
  <c r="U101" i="11"/>
  <c r="Y101" i="11" s="1"/>
  <c r="AA101" i="11"/>
  <c r="U74" i="11"/>
  <c r="Y74" i="11" s="1"/>
  <c r="AA74" i="11"/>
  <c r="K199" i="2"/>
  <c r="I202" i="11"/>
  <c r="K99" i="2"/>
  <c r="I100" i="11"/>
  <c r="U202" i="11"/>
  <c r="Y202" i="11" s="1"/>
  <c r="AA202" i="11"/>
  <c r="U100" i="11"/>
  <c r="Y100" i="11" s="1"/>
  <c r="AA100" i="11"/>
  <c r="K100" i="2"/>
  <c r="I101" i="11"/>
  <c r="H162" i="8"/>
  <c r="O162" i="8"/>
  <c r="P162" i="8" s="1"/>
  <c r="O164" i="8"/>
  <c r="P164" i="8" s="1"/>
  <c r="M161" i="8"/>
  <c r="H161" i="8"/>
  <c r="H164" i="8"/>
  <c r="K100" i="11" l="1"/>
  <c r="O100" i="11" s="1"/>
  <c r="M100" i="11"/>
  <c r="K101" i="11"/>
  <c r="O101" i="11" s="1"/>
  <c r="M101" i="11"/>
  <c r="K74" i="11"/>
  <c r="O74" i="11" s="1"/>
  <c r="M74" i="11"/>
  <c r="K202" i="11"/>
  <c r="O202" i="11" s="1"/>
  <c r="M202" i="11"/>
  <c r="C162" i="8"/>
  <c r="C161" i="8"/>
  <c r="M162" i="8"/>
  <c r="C164" i="8"/>
  <c r="M164" i="8"/>
  <c r="A255" i="2" l="1"/>
  <c r="B255" i="2"/>
  <c r="B139" i="6" s="1"/>
  <c r="C255" i="2"/>
  <c r="E139" i="6" s="1"/>
  <c r="E255" i="2"/>
  <c r="I139" i="6" s="1"/>
  <c r="F255" i="2"/>
  <c r="J255" i="2"/>
  <c r="C139" i="6" s="1"/>
  <c r="N255" i="2"/>
  <c r="O255" i="2"/>
  <c r="P255" i="2"/>
  <c r="L139" i="6" s="1"/>
  <c r="T255" i="2"/>
  <c r="N139" i="6" s="1"/>
  <c r="U255" i="2"/>
  <c r="O139" i="6" s="1"/>
  <c r="A230" i="2"/>
  <c r="B230" i="2"/>
  <c r="B87" i="6" s="1"/>
  <c r="F230" i="2"/>
  <c r="J230" i="2"/>
  <c r="C87" i="6" s="1"/>
  <c r="N230" i="2"/>
  <c r="O230" i="2"/>
  <c r="P230" i="2"/>
  <c r="L87" i="6" s="1"/>
  <c r="T230" i="2"/>
  <c r="N87" i="6" s="1"/>
  <c r="U230" i="2"/>
  <c r="O87" i="6" s="1"/>
  <c r="A231" i="2"/>
  <c r="B231" i="2"/>
  <c r="B88" i="6" s="1"/>
  <c r="C231" i="2"/>
  <c r="E88" i="6" s="1"/>
  <c r="E231" i="2"/>
  <c r="I88" i="6" s="1"/>
  <c r="F231" i="2"/>
  <c r="J231" i="2"/>
  <c r="C88" i="6" s="1"/>
  <c r="N231" i="2"/>
  <c r="O231" i="2"/>
  <c r="P231" i="2"/>
  <c r="L88" i="6" s="1"/>
  <c r="T231" i="2"/>
  <c r="N88" i="6" s="1"/>
  <c r="U231" i="2"/>
  <c r="O88" i="6" s="1"/>
  <c r="A232" i="2"/>
  <c r="B232" i="2"/>
  <c r="B89" i="6" s="1"/>
  <c r="C232" i="2"/>
  <c r="E89" i="6" s="1"/>
  <c r="E232" i="2"/>
  <c r="I89" i="6" s="1"/>
  <c r="F232" i="2"/>
  <c r="J232" i="2"/>
  <c r="C89" i="6" s="1"/>
  <c r="N232" i="2"/>
  <c r="O232" i="2"/>
  <c r="P232" i="2"/>
  <c r="L89" i="6" s="1"/>
  <c r="T232" i="2"/>
  <c r="N89" i="6" s="1"/>
  <c r="U232" i="2"/>
  <c r="O89" i="6" s="1"/>
  <c r="A233" i="2"/>
  <c r="B233" i="2"/>
  <c r="B137" i="6" s="1"/>
  <c r="F233" i="2"/>
  <c r="D233" i="2" s="1"/>
  <c r="D423" i="4" s="1"/>
  <c r="J233" i="2"/>
  <c r="N233" i="2"/>
  <c r="O233" i="2"/>
  <c r="P233" i="2"/>
  <c r="L137" i="6" s="1"/>
  <c r="T233" i="2"/>
  <c r="N137" i="6" s="1"/>
  <c r="U233" i="2"/>
  <c r="O137" i="6" s="1"/>
  <c r="A234" i="2"/>
  <c r="B234" i="2"/>
  <c r="B238" i="6" s="1"/>
  <c r="F234" i="2"/>
  <c r="J234" i="2"/>
  <c r="C238" i="6" s="1"/>
  <c r="N234" i="2"/>
  <c r="O234" i="2"/>
  <c r="P234" i="2"/>
  <c r="L238" i="6" s="1"/>
  <c r="T234" i="2"/>
  <c r="N238" i="6" s="1"/>
  <c r="U234" i="2"/>
  <c r="O238" i="6" s="1"/>
  <c r="A235" i="2"/>
  <c r="B235" i="2"/>
  <c r="B138" i="6" s="1"/>
  <c r="C235" i="2"/>
  <c r="E138" i="6" s="1"/>
  <c r="E235" i="2"/>
  <c r="I138" i="6" s="1"/>
  <c r="F235" i="2"/>
  <c r="J235" i="2"/>
  <c r="C138" i="6" s="1"/>
  <c r="N235" i="2"/>
  <c r="O235" i="2"/>
  <c r="P235" i="2"/>
  <c r="L138" i="6" s="1"/>
  <c r="T235" i="2"/>
  <c r="N138" i="6" s="1"/>
  <c r="U235" i="2"/>
  <c r="O138" i="6" s="1"/>
  <c r="AD73" i="4"/>
  <c r="AO73" i="4"/>
  <c r="AP73" i="4" s="1"/>
  <c r="AO31" i="4"/>
  <c r="AP31" i="4" s="1"/>
  <c r="AD31" i="4"/>
  <c r="D234" i="2" l="1"/>
  <c r="C234" i="2"/>
  <c r="M234" i="2" s="1"/>
  <c r="C230" i="2"/>
  <c r="C422" i="4" s="1"/>
  <c r="D230" i="2"/>
  <c r="D422" i="4" s="1"/>
  <c r="C137" i="6"/>
  <c r="C233" i="2"/>
  <c r="A238" i="6"/>
  <c r="A92" i="1"/>
  <c r="A138" i="6"/>
  <c r="A93" i="1"/>
  <c r="H138" i="6"/>
  <c r="D138" i="6"/>
  <c r="F238" i="6"/>
  <c r="J238" i="11"/>
  <c r="N238" i="11" s="1"/>
  <c r="A87" i="6"/>
  <c r="A88" i="1"/>
  <c r="F139" i="6"/>
  <c r="J260" i="11"/>
  <c r="N260" i="11" s="1"/>
  <c r="F87" i="6"/>
  <c r="J234" i="11"/>
  <c r="N234" i="11" s="1"/>
  <c r="A89" i="6"/>
  <c r="A90" i="1"/>
  <c r="A137" i="6"/>
  <c r="A91" i="1"/>
  <c r="F88" i="6"/>
  <c r="J235" i="11"/>
  <c r="N235" i="11" s="1"/>
  <c r="D139" i="6"/>
  <c r="H139" i="6"/>
  <c r="D89" i="6"/>
  <c r="H89" i="6"/>
  <c r="F138" i="6"/>
  <c r="J239" i="11"/>
  <c r="N239" i="11" s="1"/>
  <c r="F89" i="6"/>
  <c r="J236" i="11"/>
  <c r="N236" i="11" s="1"/>
  <c r="A88" i="6"/>
  <c r="A89" i="1"/>
  <c r="F137" i="6"/>
  <c r="J237" i="11"/>
  <c r="N237" i="11" s="1"/>
  <c r="H88" i="6"/>
  <c r="D88" i="6"/>
  <c r="A139" i="6"/>
  <c r="A98" i="1"/>
  <c r="Q255" i="2"/>
  <c r="V260" i="11" s="1"/>
  <c r="M255" i="2"/>
  <c r="R230" i="2"/>
  <c r="Q230" i="2"/>
  <c r="V234" i="11" s="1"/>
  <c r="Q231" i="2"/>
  <c r="V235" i="11" s="1"/>
  <c r="Q233" i="2"/>
  <c r="V237" i="11" s="1"/>
  <c r="M235" i="2"/>
  <c r="R232" i="2"/>
  <c r="Q232" i="2"/>
  <c r="V236" i="11" s="1"/>
  <c r="R255" i="2"/>
  <c r="R231" i="2"/>
  <c r="M232" i="2"/>
  <c r="M231" i="2"/>
  <c r="R235" i="2"/>
  <c r="Q235" i="2"/>
  <c r="V239" i="11" s="1"/>
  <c r="R234" i="2"/>
  <c r="Q234" i="2"/>
  <c r="V238" i="11" s="1"/>
  <c r="R233" i="2"/>
  <c r="M233" i="2" l="1"/>
  <c r="C423" i="4"/>
  <c r="E233" i="2"/>
  <c r="E137" i="6"/>
  <c r="D137" i="6" s="1"/>
  <c r="E230" i="2"/>
  <c r="E87" i="6"/>
  <c r="E234" i="2"/>
  <c r="E238" i="6"/>
  <c r="D238" i="6" s="1"/>
  <c r="M230" i="2"/>
  <c r="G139" i="6"/>
  <c r="G138" i="6"/>
  <c r="G88" i="6"/>
  <c r="G89" i="6"/>
  <c r="B83" i="3"/>
  <c r="B84" i="3"/>
  <c r="B85" i="3"/>
  <c r="B86" i="3"/>
  <c r="B87" i="3"/>
  <c r="B88" i="3"/>
  <c r="B89" i="3"/>
  <c r="B90" i="3"/>
  <c r="B91" i="3"/>
  <c r="B92" i="3"/>
  <c r="B93" i="3"/>
  <c r="B94" i="3"/>
  <c r="I87" i="6" l="1"/>
  <c r="E422" i="4"/>
  <c r="I137" i="6"/>
  <c r="H137" i="6" s="1"/>
  <c r="G137" i="6" s="1"/>
  <c r="E423" i="4"/>
  <c r="I238" i="6"/>
  <c r="H238" i="6" s="1"/>
  <c r="G238" i="6" s="1"/>
  <c r="H234" i="2"/>
  <c r="H87" i="6"/>
  <c r="G87" i="6" s="1"/>
  <c r="D87" i="6"/>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6" i="8"/>
  <c r="B359" i="8"/>
  <c r="B360" i="8"/>
  <c r="B361" i="8"/>
  <c r="B363" i="8"/>
  <c r="B364" i="8"/>
  <c r="B365" i="8"/>
  <c r="B366" i="8"/>
  <c r="B367" i="8"/>
  <c r="B369" i="8"/>
  <c r="B370" i="8"/>
  <c r="B371" i="8"/>
  <c r="B372" i="8"/>
  <c r="B373" i="8"/>
  <c r="B374" i="8"/>
  <c r="B375" i="8"/>
  <c r="B376" i="8"/>
  <c r="B378" i="8"/>
  <c r="B379" i="8"/>
  <c r="B381" i="8"/>
  <c r="B382"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K238" i="6" l="1"/>
  <c r="M238" i="6" s="1"/>
  <c r="S234" i="2"/>
  <c r="W238" i="11" s="1"/>
  <c r="U238" i="11" s="1"/>
  <c r="I234" i="2"/>
  <c r="A223" i="8"/>
  <c r="B223" i="8"/>
  <c r="D223" i="8"/>
  <c r="E223" i="8"/>
  <c r="F223" i="8" s="1"/>
  <c r="I223" i="8"/>
  <c r="J223" i="8"/>
  <c r="K223" i="8"/>
  <c r="A224" i="8"/>
  <c r="B224" i="8"/>
  <c r="D224" i="8"/>
  <c r="E224" i="8"/>
  <c r="F224" i="8" s="1"/>
  <c r="I224" i="8"/>
  <c r="J224" i="8"/>
  <c r="K224" i="8"/>
  <c r="A225" i="8"/>
  <c r="B225" i="8"/>
  <c r="D225" i="8"/>
  <c r="E225" i="8"/>
  <c r="F225" i="8" s="1"/>
  <c r="I225" i="8"/>
  <c r="J225" i="8"/>
  <c r="K225" i="8"/>
  <c r="A226" i="8"/>
  <c r="B226" i="8"/>
  <c r="D226" i="8"/>
  <c r="E226" i="8"/>
  <c r="F226" i="8" s="1"/>
  <c r="I226" i="8"/>
  <c r="J226" i="8"/>
  <c r="K226" i="8"/>
  <c r="V213" i="4"/>
  <c r="V213" i="2" s="1"/>
  <c r="P237" i="6" s="1"/>
  <c r="S213" i="4"/>
  <c r="R213" i="4"/>
  <c r="Q213" i="4"/>
  <c r="M213" i="4"/>
  <c r="AB213" i="4" s="1"/>
  <c r="I213" i="4"/>
  <c r="D213" i="2"/>
  <c r="V212" i="4"/>
  <c r="V212" i="2" s="1"/>
  <c r="P236" i="6" s="1"/>
  <c r="S212" i="4"/>
  <c r="R212" i="4"/>
  <c r="Q212" i="4"/>
  <c r="M212" i="4"/>
  <c r="AB212" i="4" s="1"/>
  <c r="I212" i="4"/>
  <c r="D212" i="2"/>
  <c r="V211" i="4"/>
  <c r="V211" i="2" s="1"/>
  <c r="P235" i="6" s="1"/>
  <c r="S211" i="4"/>
  <c r="R211" i="4"/>
  <c r="Q211" i="4"/>
  <c r="M211" i="4"/>
  <c r="AB211" i="4" s="1"/>
  <c r="I211" i="4"/>
  <c r="D211" i="2"/>
  <c r="V210" i="4"/>
  <c r="V210" i="2" s="1"/>
  <c r="P234" i="6" s="1"/>
  <c r="S210" i="4"/>
  <c r="R210" i="4"/>
  <c r="Q210" i="4"/>
  <c r="M210" i="4"/>
  <c r="AB210" i="4" s="1"/>
  <c r="I210" i="4"/>
  <c r="D210" i="2"/>
  <c r="A193" i="8"/>
  <c r="B193" i="8"/>
  <c r="D193" i="8"/>
  <c r="E193" i="8"/>
  <c r="F193" i="8" s="1"/>
  <c r="I193" i="8"/>
  <c r="J193" i="8"/>
  <c r="K193" i="8"/>
  <c r="AH180" i="4"/>
  <c r="AF180" i="4"/>
  <c r="AN180" i="4" s="1"/>
  <c r="V180" i="4"/>
  <c r="V180" i="2" s="1"/>
  <c r="P39" i="6" s="1"/>
  <c r="S180" i="4"/>
  <c r="R180" i="4"/>
  <c r="Q180" i="4"/>
  <c r="M180" i="4"/>
  <c r="AB180" i="4" s="1"/>
  <c r="I180" i="4"/>
  <c r="D180" i="2"/>
  <c r="A180" i="8"/>
  <c r="B180" i="8"/>
  <c r="D180" i="8"/>
  <c r="E180" i="8"/>
  <c r="F180" i="8" s="1"/>
  <c r="I180" i="8"/>
  <c r="J180" i="8"/>
  <c r="K180" i="8"/>
  <c r="V167" i="4"/>
  <c r="V167" i="2" s="1"/>
  <c r="P198" i="6" s="1"/>
  <c r="S167" i="4"/>
  <c r="R167" i="4"/>
  <c r="Q167" i="4"/>
  <c r="M167" i="4"/>
  <c r="AB167" i="4" s="1"/>
  <c r="I167" i="4"/>
  <c r="D167" i="2"/>
  <c r="A89" i="8"/>
  <c r="B89" i="8"/>
  <c r="D89" i="8"/>
  <c r="E89" i="8"/>
  <c r="F89" i="8" s="1"/>
  <c r="I89" i="8"/>
  <c r="J89" i="8"/>
  <c r="K89" i="8"/>
  <c r="AH85" i="4"/>
  <c r="AF85" i="4"/>
  <c r="AN85" i="4" s="1"/>
  <c r="V85" i="4"/>
  <c r="V85" i="2" s="1"/>
  <c r="P169" i="6" s="1"/>
  <c r="S85" i="4"/>
  <c r="R85" i="4"/>
  <c r="Q85" i="4"/>
  <c r="M85" i="4"/>
  <c r="AB85" i="4" s="1"/>
  <c r="I85" i="4"/>
  <c r="D85" i="2"/>
  <c r="A35" i="8"/>
  <c r="B35" i="8"/>
  <c r="D35" i="8"/>
  <c r="E35" i="8"/>
  <c r="F35" i="8" s="1"/>
  <c r="I35" i="8"/>
  <c r="J35" i="8"/>
  <c r="K35" i="8"/>
  <c r="AO35" i="4"/>
  <c r="AH35" i="4"/>
  <c r="AF35" i="4"/>
  <c r="AN35" i="4" s="1"/>
  <c r="AD35" i="4"/>
  <c r="V35" i="4"/>
  <c r="V35" i="2" s="1"/>
  <c r="P16" i="6" s="1"/>
  <c r="S35" i="4"/>
  <c r="R35" i="4"/>
  <c r="Q35" i="4"/>
  <c r="M35" i="4"/>
  <c r="AB35" i="4" s="1"/>
  <c r="I35" i="4"/>
  <c r="D35" i="2"/>
  <c r="I238" i="11" l="1"/>
  <c r="K238" i="11" s="1"/>
  <c r="K234" i="2"/>
  <c r="L92" i="1" s="1"/>
  <c r="K35" i="4"/>
  <c r="E35" i="11"/>
  <c r="N193" i="8"/>
  <c r="R183" i="11"/>
  <c r="L35" i="2"/>
  <c r="G35" i="2"/>
  <c r="N180" i="8"/>
  <c r="R170" i="11"/>
  <c r="N224" i="8"/>
  <c r="R214" i="11"/>
  <c r="N35" i="8"/>
  <c r="R35" i="11"/>
  <c r="Z167" i="4"/>
  <c r="S170" i="11"/>
  <c r="L210" i="2"/>
  <c r="G210" i="2"/>
  <c r="Z211" i="4"/>
  <c r="S214" i="11"/>
  <c r="N226" i="8"/>
  <c r="R216" i="11"/>
  <c r="Z180" i="4"/>
  <c r="S183" i="11"/>
  <c r="K210" i="4"/>
  <c r="E213" i="11"/>
  <c r="K211" i="4"/>
  <c r="E214" i="11"/>
  <c r="Z213" i="4"/>
  <c r="S216" i="11"/>
  <c r="K212" i="4"/>
  <c r="E215" i="11"/>
  <c r="K180" i="4"/>
  <c r="E183" i="11"/>
  <c r="Z35" i="4"/>
  <c r="S35" i="11"/>
  <c r="N223" i="8"/>
  <c r="R213" i="11"/>
  <c r="N89" i="8"/>
  <c r="R86" i="11"/>
  <c r="Z210" i="4"/>
  <c r="S213" i="11"/>
  <c r="N225" i="8"/>
  <c r="R215" i="11"/>
  <c r="L180" i="2"/>
  <c r="G180" i="2"/>
  <c r="L212" i="2"/>
  <c r="G212" i="2"/>
  <c r="K85" i="4"/>
  <c r="E86" i="11"/>
  <c r="G167" i="2"/>
  <c r="L167" i="2"/>
  <c r="L213" i="2"/>
  <c r="G213" i="2"/>
  <c r="K213" i="4"/>
  <c r="E216" i="11"/>
  <c r="G85" i="2"/>
  <c r="L85" i="2"/>
  <c r="Z85" i="4"/>
  <c r="S86" i="11"/>
  <c r="K167" i="4"/>
  <c r="E170" i="11"/>
  <c r="G211" i="2"/>
  <c r="L211" i="2"/>
  <c r="Z212" i="4"/>
  <c r="S215" i="11"/>
  <c r="O223" i="8"/>
  <c r="P223" i="8" s="1"/>
  <c r="H226" i="8"/>
  <c r="O224" i="8"/>
  <c r="P224" i="8" s="1"/>
  <c r="H225" i="8"/>
  <c r="L167" i="4"/>
  <c r="AA167" i="4" s="1"/>
  <c r="L180" i="4"/>
  <c r="AA180" i="4" s="1"/>
  <c r="L213" i="4"/>
  <c r="AA213" i="4" s="1"/>
  <c r="G211" i="4"/>
  <c r="H224" i="8"/>
  <c r="H223" i="8"/>
  <c r="G210" i="4"/>
  <c r="L85" i="4"/>
  <c r="AA85" i="4" s="1"/>
  <c r="L212" i="4"/>
  <c r="AA212" i="4" s="1"/>
  <c r="O226" i="8"/>
  <c r="O225" i="8"/>
  <c r="P225" i="8" s="1"/>
  <c r="G35" i="4"/>
  <c r="L210" i="4"/>
  <c r="AA210" i="4" s="1"/>
  <c r="G212" i="4"/>
  <c r="G213" i="4"/>
  <c r="L211" i="4"/>
  <c r="AA211" i="4" s="1"/>
  <c r="O180" i="8"/>
  <c r="P180" i="8" s="1"/>
  <c r="H193" i="8"/>
  <c r="O193" i="8"/>
  <c r="P193" i="8" s="1"/>
  <c r="G180" i="4"/>
  <c r="C183" i="11" s="1"/>
  <c r="AG180" i="4"/>
  <c r="H180" i="8"/>
  <c r="O35" i="8"/>
  <c r="P35" i="8" s="1"/>
  <c r="G167" i="4"/>
  <c r="O89" i="8"/>
  <c r="P89" i="8" s="1"/>
  <c r="H89" i="8"/>
  <c r="H35" i="8"/>
  <c r="G85" i="4"/>
  <c r="C86" i="11" s="1"/>
  <c r="AG85" i="4"/>
  <c r="AG35" i="4"/>
  <c r="L35" i="4"/>
  <c r="AA35" i="4" s="1"/>
  <c r="B97" i="3"/>
  <c r="B98" i="3"/>
  <c r="B99" i="3"/>
  <c r="A102" i="7"/>
  <c r="B102" i="7"/>
  <c r="D102" i="7"/>
  <c r="G102" i="7"/>
  <c r="J102" i="7" s="1"/>
  <c r="H102" i="7"/>
  <c r="A103" i="7"/>
  <c r="B103" i="7"/>
  <c r="D103" i="7"/>
  <c r="G103" i="7"/>
  <c r="H103" i="7"/>
  <c r="A104" i="7"/>
  <c r="B104" i="7"/>
  <c r="D104" i="7"/>
  <c r="G104" i="7"/>
  <c r="J104" i="7" s="1"/>
  <c r="H104" i="7"/>
  <c r="A87" i="7"/>
  <c r="B87" i="7"/>
  <c r="D87" i="7"/>
  <c r="G87" i="7"/>
  <c r="J87" i="7" s="1"/>
  <c r="H87" i="7"/>
  <c r="A88" i="7"/>
  <c r="B88" i="7"/>
  <c r="D88" i="7"/>
  <c r="G88" i="7"/>
  <c r="J88" i="7" s="1"/>
  <c r="H88" i="7"/>
  <c r="A89" i="7"/>
  <c r="B89" i="7"/>
  <c r="D89" i="7"/>
  <c r="G89" i="7"/>
  <c r="H89" i="7"/>
  <c r="A90" i="7"/>
  <c r="B90" i="7"/>
  <c r="D90" i="7"/>
  <c r="G90" i="7"/>
  <c r="J90" i="7" s="1"/>
  <c r="H90" i="7"/>
  <c r="A91" i="7"/>
  <c r="B91" i="7"/>
  <c r="D91" i="7"/>
  <c r="G91" i="7"/>
  <c r="J91" i="7" s="1"/>
  <c r="H91" i="7"/>
  <c r="A92" i="7"/>
  <c r="B92" i="7"/>
  <c r="D92" i="7"/>
  <c r="G92" i="7"/>
  <c r="H92" i="7"/>
  <c r="A93" i="7"/>
  <c r="B93" i="7"/>
  <c r="D93" i="7"/>
  <c r="G93" i="7"/>
  <c r="H93" i="7"/>
  <c r="A94" i="7"/>
  <c r="B94" i="7"/>
  <c r="D94" i="7"/>
  <c r="G94" i="7"/>
  <c r="H94" i="7"/>
  <c r="A95" i="7"/>
  <c r="B95" i="7"/>
  <c r="D95" i="7"/>
  <c r="G95" i="7"/>
  <c r="J95" i="7" s="1"/>
  <c r="H95" i="7"/>
  <c r="A96" i="7"/>
  <c r="B96" i="7"/>
  <c r="D96" i="7"/>
  <c r="G96" i="7"/>
  <c r="J96" i="7" s="1"/>
  <c r="H96" i="7"/>
  <c r="A97" i="7"/>
  <c r="B97" i="7"/>
  <c r="D97" i="7"/>
  <c r="G97" i="7"/>
  <c r="H97" i="7"/>
  <c r="A98" i="7"/>
  <c r="B98" i="7"/>
  <c r="D98" i="7"/>
  <c r="G98" i="7"/>
  <c r="J98" i="7" s="1"/>
  <c r="H98" i="7"/>
  <c r="J93" i="7" l="1"/>
  <c r="J103" i="7"/>
  <c r="J97" i="7"/>
  <c r="J92" i="7"/>
  <c r="J94" i="7"/>
  <c r="J89" i="7"/>
  <c r="M226" i="8"/>
  <c r="H212" i="2"/>
  <c r="J236" i="6"/>
  <c r="D215" i="11"/>
  <c r="Z214" i="11"/>
  <c r="Q214" i="11"/>
  <c r="C225" i="8"/>
  <c r="C215" i="11"/>
  <c r="G86" i="11"/>
  <c r="C180" i="8"/>
  <c r="C170" i="11"/>
  <c r="C35" i="8"/>
  <c r="C35" i="11"/>
  <c r="H180" i="2"/>
  <c r="J39" i="6"/>
  <c r="D183" i="11"/>
  <c r="G183" i="11"/>
  <c r="Z216" i="11"/>
  <c r="Q216" i="11"/>
  <c r="Q170" i="11"/>
  <c r="Z170" i="11"/>
  <c r="G216" i="11"/>
  <c r="Z215" i="11"/>
  <c r="Q215" i="11"/>
  <c r="G215" i="11"/>
  <c r="H35" i="2"/>
  <c r="J16" i="6"/>
  <c r="D35" i="11"/>
  <c r="Z35" i="11"/>
  <c r="Q35" i="11"/>
  <c r="Q213" i="11"/>
  <c r="Z213" i="11"/>
  <c r="H210" i="2"/>
  <c r="J234" i="6"/>
  <c r="D213" i="11"/>
  <c r="Q183" i="11"/>
  <c r="Z183" i="11"/>
  <c r="C224" i="8"/>
  <c r="C214" i="11"/>
  <c r="G213" i="11"/>
  <c r="C223" i="8"/>
  <c r="C213" i="11"/>
  <c r="C226" i="8"/>
  <c r="C216" i="11"/>
  <c r="G170" i="11"/>
  <c r="H85" i="2"/>
  <c r="J169" i="6"/>
  <c r="D86" i="11"/>
  <c r="H213" i="2"/>
  <c r="J237" i="6"/>
  <c r="D216" i="11"/>
  <c r="Z86" i="11"/>
  <c r="Q86" i="11"/>
  <c r="G214" i="11"/>
  <c r="G35" i="11"/>
  <c r="H211" i="2"/>
  <c r="J235" i="6"/>
  <c r="D214" i="11"/>
  <c r="H167" i="2"/>
  <c r="J198" i="6"/>
  <c r="D170" i="11"/>
  <c r="M223" i="8"/>
  <c r="M224" i="8"/>
  <c r="P226" i="8"/>
  <c r="M225" i="8"/>
  <c r="AJ35" i="4"/>
  <c r="AP35" i="4" s="1"/>
  <c r="M180" i="8"/>
  <c r="AJ180" i="4"/>
  <c r="AK180" i="4" s="1"/>
  <c r="AL180" i="4" s="1"/>
  <c r="C193" i="8"/>
  <c r="M193" i="8"/>
  <c r="AM180" i="4"/>
  <c r="AI180" i="4"/>
  <c r="I88" i="7"/>
  <c r="M35" i="8"/>
  <c r="M89" i="8"/>
  <c r="AJ85" i="4"/>
  <c r="AK85" i="4" s="1"/>
  <c r="AL85" i="4" s="1"/>
  <c r="C89" i="8"/>
  <c r="I97" i="7"/>
  <c r="AM85" i="4"/>
  <c r="AI85" i="4"/>
  <c r="I102" i="7"/>
  <c r="I91" i="7"/>
  <c r="I92" i="7"/>
  <c r="I103" i="7"/>
  <c r="I87" i="7"/>
  <c r="I104" i="7"/>
  <c r="AM35" i="4"/>
  <c r="AI35" i="4"/>
  <c r="I98" i="7"/>
  <c r="I96" i="7"/>
  <c r="I94" i="7"/>
  <c r="I89" i="7"/>
  <c r="I95" i="7"/>
  <c r="I90" i="7"/>
  <c r="I93" i="7"/>
  <c r="A278" i="8"/>
  <c r="B278" i="8"/>
  <c r="D278" i="8"/>
  <c r="E278" i="8"/>
  <c r="F278" i="8" s="1"/>
  <c r="I278" i="8"/>
  <c r="K278" i="8"/>
  <c r="V255" i="4"/>
  <c r="V255" i="2" s="1"/>
  <c r="P139" i="6" s="1"/>
  <c r="Q255" i="4"/>
  <c r="R255" i="4"/>
  <c r="M255" i="4"/>
  <c r="AB255" i="4" s="1"/>
  <c r="S35" i="2" l="1"/>
  <c r="W35" i="11" s="1"/>
  <c r="K16" i="6"/>
  <c r="M16" i="6" s="1"/>
  <c r="I35" i="2"/>
  <c r="S85" i="2"/>
  <c r="W86" i="11" s="1"/>
  <c r="K169" i="6"/>
  <c r="M169" i="6" s="1"/>
  <c r="I85" i="2"/>
  <c r="K235" i="6"/>
  <c r="M235" i="6" s="1"/>
  <c r="I211" i="2"/>
  <c r="S211" i="2"/>
  <c r="W214" i="11" s="1"/>
  <c r="K234" i="6"/>
  <c r="M234" i="6" s="1"/>
  <c r="S210" i="2"/>
  <c r="W213" i="11" s="1"/>
  <c r="I210" i="2"/>
  <c r="S180" i="2"/>
  <c r="W183" i="11" s="1"/>
  <c r="K39" i="6"/>
  <c r="M39" i="6" s="1"/>
  <c r="I180" i="2"/>
  <c r="K237" i="6"/>
  <c r="M237" i="6" s="1"/>
  <c r="I213" i="2"/>
  <c r="S213" i="2"/>
  <c r="W216" i="11" s="1"/>
  <c r="N278" i="8"/>
  <c r="R260" i="11"/>
  <c r="S167" i="2"/>
  <c r="W170" i="11" s="1"/>
  <c r="K198" i="6"/>
  <c r="M198" i="6" s="1"/>
  <c r="I167" i="2"/>
  <c r="K236" i="6"/>
  <c r="M236" i="6" s="1"/>
  <c r="S212" i="2"/>
  <c r="W215" i="11" s="1"/>
  <c r="I212" i="2"/>
  <c r="AK35" i="4"/>
  <c r="AL35" i="4" s="1"/>
  <c r="G255" i="4"/>
  <c r="D255" i="2"/>
  <c r="L255" i="4"/>
  <c r="AA255" i="4" s="1"/>
  <c r="U183" i="11" l="1"/>
  <c r="Y183" i="11" s="1"/>
  <c r="AA183" i="11"/>
  <c r="K85" i="2"/>
  <c r="I86" i="11"/>
  <c r="U170" i="11"/>
  <c r="Y170" i="11" s="1"/>
  <c r="AA170" i="11"/>
  <c r="U86" i="11"/>
  <c r="Y86" i="11" s="1"/>
  <c r="AA86" i="11"/>
  <c r="U213" i="11"/>
  <c r="Y213" i="11" s="1"/>
  <c r="AA213" i="11"/>
  <c r="Z260" i="11"/>
  <c r="K213" i="2"/>
  <c r="I216" i="11"/>
  <c r="K35" i="2"/>
  <c r="I35" i="11"/>
  <c r="C99" i="3"/>
  <c r="C260" i="11"/>
  <c r="U216" i="11"/>
  <c r="Y216" i="11" s="1"/>
  <c r="AA216" i="11"/>
  <c r="K212" i="2"/>
  <c r="I215" i="11"/>
  <c r="K180" i="2"/>
  <c r="I183" i="11"/>
  <c r="U214" i="11"/>
  <c r="Y214" i="11" s="1"/>
  <c r="AA214" i="11"/>
  <c r="K167" i="2"/>
  <c r="I170" i="11"/>
  <c r="K211" i="2"/>
  <c r="I214" i="11"/>
  <c r="K210" i="2"/>
  <c r="I213" i="11"/>
  <c r="U215" i="11"/>
  <c r="Y215" i="11" s="1"/>
  <c r="AA215" i="11"/>
  <c r="U35" i="11"/>
  <c r="Y35" i="11" s="1"/>
  <c r="AA35" i="11"/>
  <c r="K99" i="3"/>
  <c r="J99" i="3"/>
  <c r="F99" i="3"/>
  <c r="E99" i="3"/>
  <c r="D99" i="3"/>
  <c r="G255" i="2"/>
  <c r="L255" i="2"/>
  <c r="I99" i="3"/>
  <c r="H99" i="3"/>
  <c r="C278" i="8"/>
  <c r="G99" i="3"/>
  <c r="K213" i="11" l="1"/>
  <c r="O213" i="11" s="1"/>
  <c r="M213" i="11"/>
  <c r="K183" i="11"/>
  <c r="O183" i="11" s="1"/>
  <c r="M183" i="11"/>
  <c r="K214" i="11"/>
  <c r="O214" i="11" s="1"/>
  <c r="M214" i="11"/>
  <c r="K215" i="11"/>
  <c r="O215" i="11" s="1"/>
  <c r="M215" i="11"/>
  <c r="J139" i="6"/>
  <c r="D260" i="11"/>
  <c r="F98" i="1"/>
  <c r="C98" i="1"/>
  <c r="B98" i="1"/>
  <c r="D98" i="1"/>
  <c r="E98" i="1"/>
  <c r="G98" i="1"/>
  <c r="H98" i="1"/>
  <c r="I98" i="1"/>
  <c r="J98" i="1"/>
  <c r="K170" i="11"/>
  <c r="O170" i="11" s="1"/>
  <c r="M170" i="11"/>
  <c r="K35" i="11"/>
  <c r="O35" i="11" s="1"/>
  <c r="M35" i="11"/>
  <c r="K86" i="11"/>
  <c r="O86" i="11" s="1"/>
  <c r="M86" i="11"/>
  <c r="K216" i="11"/>
  <c r="O216" i="11" s="1"/>
  <c r="M216" i="11"/>
  <c r="H255" i="2"/>
  <c r="K139" i="6" s="1"/>
  <c r="M139" i="6" s="1"/>
  <c r="A253" i="8"/>
  <c r="B253" i="8"/>
  <c r="D253" i="8"/>
  <c r="E253" i="8"/>
  <c r="F253" i="8" s="1"/>
  <c r="I253" i="8"/>
  <c r="J253" i="8"/>
  <c r="K253" i="8"/>
  <c r="V235" i="4"/>
  <c r="V235" i="2" s="1"/>
  <c r="P138" i="6" s="1"/>
  <c r="Q235" i="4"/>
  <c r="R235" i="4"/>
  <c r="S235" i="4"/>
  <c r="M235" i="4"/>
  <c r="AB235" i="4" s="1"/>
  <c r="I235" i="4"/>
  <c r="E239" i="11" s="1"/>
  <c r="A160" i="8"/>
  <c r="B160" i="8"/>
  <c r="D160" i="8"/>
  <c r="E160" i="8"/>
  <c r="F160" i="8" s="1"/>
  <c r="I160" i="8"/>
  <c r="J160" i="8"/>
  <c r="K160" i="8"/>
  <c r="A158" i="8"/>
  <c r="B158" i="8"/>
  <c r="D158" i="8"/>
  <c r="E158" i="8"/>
  <c r="F158" i="8" s="1"/>
  <c r="I158" i="8"/>
  <c r="J158" i="8"/>
  <c r="K158" i="8"/>
  <c r="A159" i="8"/>
  <c r="B159" i="8"/>
  <c r="D159" i="8"/>
  <c r="E159" i="8"/>
  <c r="F159" i="8" s="1"/>
  <c r="I159" i="8"/>
  <c r="J159" i="8"/>
  <c r="K159" i="8"/>
  <c r="A157" i="8"/>
  <c r="B157" i="8"/>
  <c r="D157" i="8"/>
  <c r="E157" i="8"/>
  <c r="F157" i="8" s="1"/>
  <c r="I157" i="8"/>
  <c r="J157" i="8"/>
  <c r="K157" i="8"/>
  <c r="N157" i="8"/>
  <c r="N158" i="8"/>
  <c r="O158" i="8"/>
  <c r="P158" i="8" s="1"/>
  <c r="N159" i="8"/>
  <c r="O159" i="8"/>
  <c r="P159" i="8" s="1"/>
  <c r="N160" i="8"/>
  <c r="A64" i="8"/>
  <c r="B64" i="8"/>
  <c r="D64" i="8"/>
  <c r="E64" i="8"/>
  <c r="F64" i="8" s="1"/>
  <c r="I64" i="8"/>
  <c r="J64" i="8"/>
  <c r="K64" i="8"/>
  <c r="N64" i="8"/>
  <c r="O64" i="8"/>
  <c r="P64" i="8" s="1"/>
  <c r="A22" i="8"/>
  <c r="B22" i="8"/>
  <c r="D22" i="8"/>
  <c r="E22" i="8"/>
  <c r="F22" i="8" s="1"/>
  <c r="I22" i="8"/>
  <c r="J22" i="8"/>
  <c r="K22" i="8"/>
  <c r="K98" i="1" l="1"/>
  <c r="G239" i="11"/>
  <c r="Z235" i="4"/>
  <c r="S239" i="11"/>
  <c r="N253" i="8"/>
  <c r="R239" i="11"/>
  <c r="I255" i="2"/>
  <c r="S255" i="2"/>
  <c r="W260" i="11" s="1"/>
  <c r="U260" i="11" s="1"/>
  <c r="C157" i="8"/>
  <c r="H157" i="8"/>
  <c r="G235" i="4"/>
  <c r="C239" i="11" s="1"/>
  <c r="D235" i="2"/>
  <c r="H158" i="8"/>
  <c r="K235" i="4"/>
  <c r="L94" i="3" s="1"/>
  <c r="E98" i="7"/>
  <c r="H159" i="8"/>
  <c r="O253" i="8"/>
  <c r="P253" i="8" s="1"/>
  <c r="H253" i="8"/>
  <c r="L235" i="4"/>
  <c r="AA235" i="4" s="1"/>
  <c r="O160" i="8"/>
  <c r="P160" i="8" s="1"/>
  <c r="O157" i="8"/>
  <c r="P157" i="8" s="1"/>
  <c r="H160" i="8"/>
  <c r="M159" i="8"/>
  <c r="M158" i="8"/>
  <c r="H64" i="8"/>
  <c r="M64" i="8"/>
  <c r="V22" i="4"/>
  <c r="V22" i="2" s="1"/>
  <c r="P116" i="6" s="1"/>
  <c r="Q22" i="4"/>
  <c r="R22" i="4"/>
  <c r="S22" i="4"/>
  <c r="S22" i="11" s="1"/>
  <c r="M22" i="4"/>
  <c r="AB22" i="4" s="1"/>
  <c r="I22" i="4"/>
  <c r="D22" i="2"/>
  <c r="F98" i="7" l="1"/>
  <c r="K98" i="7"/>
  <c r="E22" i="11"/>
  <c r="E18" i="7"/>
  <c r="K255" i="2"/>
  <c r="L98" i="1" s="1"/>
  <c r="I260" i="11"/>
  <c r="K260" i="11" s="1"/>
  <c r="G22" i="2"/>
  <c r="L22" i="2"/>
  <c r="Z239" i="11"/>
  <c r="Q239" i="11"/>
  <c r="N22" i="8"/>
  <c r="R22" i="11"/>
  <c r="C160" i="8"/>
  <c r="C94" i="3"/>
  <c r="D94" i="3"/>
  <c r="E94" i="3"/>
  <c r="F94" i="3"/>
  <c r="G94" i="3"/>
  <c r="H94" i="3"/>
  <c r="I94" i="3"/>
  <c r="J94" i="3"/>
  <c r="K94" i="3"/>
  <c r="G235" i="2"/>
  <c r="L235" i="2"/>
  <c r="C253" i="8"/>
  <c r="C159" i="8"/>
  <c r="L22" i="4"/>
  <c r="AA22" i="4" s="1"/>
  <c r="C64" i="8"/>
  <c r="C158" i="8"/>
  <c r="M253" i="8"/>
  <c r="M160" i="8"/>
  <c r="M157" i="8"/>
  <c r="K22" i="4"/>
  <c r="L21" i="3" s="1"/>
  <c r="H22" i="8"/>
  <c r="Z22" i="4"/>
  <c r="O22" i="8"/>
  <c r="P22" i="8" s="1"/>
  <c r="G22" i="4"/>
  <c r="I28" i="13"/>
  <c r="P28" i="13" s="1"/>
  <c r="F18" i="7" l="1"/>
  <c r="K18" i="7"/>
  <c r="Q22" i="11"/>
  <c r="Z22" i="11"/>
  <c r="H22" i="2"/>
  <c r="K20" i="1" s="1"/>
  <c r="J116" i="6"/>
  <c r="D22" i="11"/>
  <c r="J20" i="1"/>
  <c r="B20" i="1"/>
  <c r="C20" i="1"/>
  <c r="D20" i="1"/>
  <c r="E20" i="1"/>
  <c r="F20" i="1"/>
  <c r="G20" i="1"/>
  <c r="H20" i="1"/>
  <c r="I20" i="1"/>
  <c r="J138" i="6"/>
  <c r="D239" i="11"/>
  <c r="F93" i="1"/>
  <c r="C93" i="1"/>
  <c r="B93" i="1"/>
  <c r="D93" i="1"/>
  <c r="E93" i="1"/>
  <c r="G93" i="1"/>
  <c r="H93" i="1"/>
  <c r="I93" i="1"/>
  <c r="J93" i="1"/>
  <c r="C22" i="11"/>
  <c r="J21" i="3"/>
  <c r="F21" i="3"/>
  <c r="I21" i="3"/>
  <c r="K21" i="3"/>
  <c r="C21" i="3"/>
  <c r="D21" i="3"/>
  <c r="E21" i="3"/>
  <c r="G21" i="3"/>
  <c r="H21" i="3"/>
  <c r="G22" i="11"/>
  <c r="H235" i="2"/>
  <c r="K93" i="1" s="1"/>
  <c r="C22" i="8"/>
  <c r="M22" i="8"/>
  <c r="I32" i="13"/>
  <c r="S22" i="2" l="1"/>
  <c r="W22" i="11" s="1"/>
  <c r="K116" i="6"/>
  <c r="M116" i="6" s="1"/>
  <c r="I22" i="2"/>
  <c r="S235" i="2"/>
  <c r="W239" i="11" s="1"/>
  <c r="K138" i="6"/>
  <c r="M138" i="6" s="1"/>
  <c r="I235" i="2"/>
  <c r="D47" i="13"/>
  <c r="F47" i="13" s="1"/>
  <c r="E49" i="13"/>
  <c r="U239" i="11" l="1"/>
  <c r="Y239" i="11" s="1"/>
  <c r="AA239" i="11"/>
  <c r="K235" i="2"/>
  <c r="L93" i="1" s="1"/>
  <c r="I239" i="11"/>
  <c r="K22" i="2"/>
  <c r="L20" i="1" s="1"/>
  <c r="I22" i="11"/>
  <c r="U22" i="11"/>
  <c r="Y22" i="11" s="1"/>
  <c r="AA22" i="11"/>
  <c r="N15" i="13"/>
  <c r="C15" i="12"/>
  <c r="E15" i="12"/>
  <c r="F15" i="12"/>
  <c r="I15" i="12"/>
  <c r="K15" i="12"/>
  <c r="B10" i="12"/>
  <c r="B11" i="12"/>
  <c r="B12" i="12"/>
  <c r="B13" i="12"/>
  <c r="B14" i="12"/>
  <c r="B15" i="12"/>
  <c r="A10" i="12"/>
  <c r="A11" i="12"/>
  <c r="A12" i="12"/>
  <c r="A13" i="12"/>
  <c r="A14" i="12"/>
  <c r="A15" i="12"/>
  <c r="B9" i="12"/>
  <c r="A9" i="12"/>
  <c r="K22" i="11" l="1"/>
  <c r="O22" i="11" s="1"/>
  <c r="M22" i="11"/>
  <c r="K239" i="11"/>
  <c r="O239" i="11" s="1"/>
  <c r="M239" i="11"/>
  <c r="D32" i="13"/>
  <c r="F32" i="13"/>
  <c r="E32" i="13" s="1"/>
  <c r="G32" i="13"/>
  <c r="J416" i="11" s="1"/>
  <c r="K32" i="13"/>
  <c r="N32" i="13"/>
  <c r="P32" i="13"/>
  <c r="O17" i="13"/>
  <c r="P17" i="13" s="1"/>
  <c r="N17" i="13"/>
  <c r="D15" i="12" s="1"/>
  <c r="L15" i="12"/>
  <c r="E17" i="13"/>
  <c r="J32" i="13" l="1"/>
  <c r="H17" i="13"/>
  <c r="J15" i="12" s="1"/>
  <c r="H15" i="12"/>
  <c r="H32" i="13"/>
  <c r="D416" i="11" s="1"/>
  <c r="M32" i="13"/>
  <c r="M17" i="13"/>
  <c r="G15" i="12" s="1"/>
  <c r="Y416" i="11"/>
  <c r="Z416" i="11"/>
  <c r="W416" i="11"/>
  <c r="S416" i="11"/>
  <c r="N416" i="11"/>
  <c r="G416" i="11"/>
  <c r="AA416" i="11" l="1"/>
  <c r="L32" i="13"/>
  <c r="I416" i="11"/>
  <c r="A246" i="11"/>
  <c r="B246" i="11"/>
  <c r="F246" i="11"/>
  <c r="A242" i="2"/>
  <c r="A239" i="6" s="1"/>
  <c r="B242" i="2"/>
  <c r="B239" i="6" s="1"/>
  <c r="C242" i="2"/>
  <c r="E239" i="6" s="1"/>
  <c r="E242" i="2"/>
  <c r="I239" i="6" s="1"/>
  <c r="F242" i="2"/>
  <c r="J242" i="2"/>
  <c r="C239" i="6" s="1"/>
  <c r="N242" i="2"/>
  <c r="O242" i="2"/>
  <c r="P242" i="2"/>
  <c r="L239" i="6" s="1"/>
  <c r="T242" i="2"/>
  <c r="N239" i="6" s="1"/>
  <c r="U242" i="2"/>
  <c r="O239" i="6" s="1"/>
  <c r="A260" i="8"/>
  <c r="B260" i="8"/>
  <c r="D260" i="8"/>
  <c r="E260" i="8"/>
  <c r="F260" i="8" s="1"/>
  <c r="I260" i="8"/>
  <c r="J260" i="8"/>
  <c r="K260" i="8"/>
  <c r="AH242" i="4"/>
  <c r="AF242" i="4"/>
  <c r="AN242" i="4" s="1"/>
  <c r="AD242" i="4"/>
  <c r="V242" i="4"/>
  <c r="V242" i="2" s="1"/>
  <c r="P239" i="6" s="1"/>
  <c r="S242" i="4"/>
  <c r="Z242" i="4" s="1"/>
  <c r="R242" i="4"/>
  <c r="Q242" i="4"/>
  <c r="N260" i="8" s="1"/>
  <c r="M242" i="4"/>
  <c r="AB242" i="4" s="1"/>
  <c r="I242" i="4"/>
  <c r="K242" i="4" s="1"/>
  <c r="AG242" i="4"/>
  <c r="H239" i="6" l="1"/>
  <c r="D239" i="6"/>
  <c r="J246" i="11"/>
  <c r="N246" i="11" s="1"/>
  <c r="F239" i="6"/>
  <c r="H260" i="8"/>
  <c r="R246" i="11"/>
  <c r="M242" i="2"/>
  <c r="E246" i="11"/>
  <c r="G246" i="11" s="1"/>
  <c r="R242" i="2"/>
  <c r="K416" i="11"/>
  <c r="O416" i="11" s="1"/>
  <c r="M416" i="11"/>
  <c r="S246" i="11"/>
  <c r="O260" i="8"/>
  <c r="D242" i="2"/>
  <c r="Q242" i="2"/>
  <c r="V246" i="11" s="1"/>
  <c r="AI242" i="4"/>
  <c r="AJ242" i="4" s="1"/>
  <c r="AK242" i="4" s="1"/>
  <c r="AL242" i="4" s="1"/>
  <c r="AM242" i="4"/>
  <c r="G242" i="4"/>
  <c r="L242" i="4"/>
  <c r="AA242" i="4" s="1"/>
  <c r="V107" i="4"/>
  <c r="V254" i="4"/>
  <c r="G239" i="6" l="1"/>
  <c r="Q246" i="11"/>
  <c r="Z246" i="11"/>
  <c r="M260" i="8"/>
  <c r="P260" i="8"/>
  <c r="C260" i="8"/>
  <c r="C246" i="11"/>
  <c r="L242" i="2"/>
  <c r="G242" i="2"/>
  <c r="A288" i="11"/>
  <c r="B288" i="11"/>
  <c r="F288" i="11"/>
  <c r="W240" i="11"/>
  <c r="A109" i="11"/>
  <c r="B109" i="11"/>
  <c r="F109" i="11"/>
  <c r="A69" i="11"/>
  <c r="B69" i="11"/>
  <c r="F69" i="11"/>
  <c r="A29" i="11"/>
  <c r="B29" i="11"/>
  <c r="F29" i="11"/>
  <c r="AD326" i="4"/>
  <c r="A107" i="2"/>
  <c r="A125" i="6" s="1"/>
  <c r="B107" i="2"/>
  <c r="B125" i="6" s="1"/>
  <c r="C107" i="2"/>
  <c r="E125" i="6" s="1"/>
  <c r="E107" i="2"/>
  <c r="I125" i="6" s="1"/>
  <c r="F107" i="2"/>
  <c r="F125" i="6" s="1"/>
  <c r="J107" i="2"/>
  <c r="C125" i="6" s="1"/>
  <c r="N107" i="2"/>
  <c r="O107" i="2"/>
  <c r="P107" i="2"/>
  <c r="L125" i="6" s="1"/>
  <c r="T107" i="2"/>
  <c r="N125" i="6" s="1"/>
  <c r="U107" i="2"/>
  <c r="O125" i="6" s="1"/>
  <c r="V107" i="2"/>
  <c r="P125" i="6" s="1"/>
  <c r="A29" i="2"/>
  <c r="A11" i="6" s="1"/>
  <c r="B29" i="2"/>
  <c r="B11" i="6" s="1"/>
  <c r="C29" i="2"/>
  <c r="E11" i="6" s="1"/>
  <c r="E29" i="2"/>
  <c r="I11" i="6" s="1"/>
  <c r="F29" i="2"/>
  <c r="F11" i="6" s="1"/>
  <c r="J29" i="2"/>
  <c r="C11" i="6" s="1"/>
  <c r="N29" i="2"/>
  <c r="O29" i="2"/>
  <c r="P29" i="2"/>
  <c r="L11" i="6" s="1"/>
  <c r="T29" i="2"/>
  <c r="N11" i="6" s="1"/>
  <c r="U29" i="2"/>
  <c r="O11" i="6" s="1"/>
  <c r="A114" i="7"/>
  <c r="B114" i="7"/>
  <c r="D114" i="7"/>
  <c r="G114" i="7"/>
  <c r="J114" i="7" s="1"/>
  <c r="H114" i="7"/>
  <c r="A48" i="7"/>
  <c r="A45" i="7"/>
  <c r="B45" i="7"/>
  <c r="D45" i="7"/>
  <c r="G45" i="7"/>
  <c r="J45" i="7" s="1"/>
  <c r="H45" i="7"/>
  <c r="B103" i="3"/>
  <c r="B46" i="3"/>
  <c r="H242" i="2" l="1"/>
  <c r="K239" i="6" s="1"/>
  <c r="M239" i="6" s="1"/>
  <c r="J239" i="6"/>
  <c r="H11" i="6"/>
  <c r="G11" i="6" s="1"/>
  <c r="D11" i="6"/>
  <c r="D125" i="6"/>
  <c r="H125" i="6"/>
  <c r="G125" i="6" s="1"/>
  <c r="AO344" i="4"/>
  <c r="AP344" i="4" s="1"/>
  <c r="AD341" i="4"/>
  <c r="AO341" i="4"/>
  <c r="AP341" i="4" s="1"/>
  <c r="AO332" i="4"/>
  <c r="AP332" i="4" s="1"/>
  <c r="AD332" i="4"/>
  <c r="AD322" i="4"/>
  <c r="AO322" i="4"/>
  <c r="AP322" i="4" s="1"/>
  <c r="AD321" i="4"/>
  <c r="AO321" i="4"/>
  <c r="AP321" i="4" s="1"/>
  <c r="AO180" i="4"/>
  <c r="AP180" i="4" s="1"/>
  <c r="AD180" i="4"/>
  <c r="AO85" i="4"/>
  <c r="AP85" i="4" s="1"/>
  <c r="I114" i="7"/>
  <c r="D246" i="11"/>
  <c r="A45" i="1"/>
  <c r="J109" i="11"/>
  <c r="N109" i="11" s="1"/>
  <c r="J29" i="11"/>
  <c r="N29" i="11" s="1"/>
  <c r="F104" i="11"/>
  <c r="R107" i="2"/>
  <c r="Q107" i="2"/>
  <c r="V109" i="11" s="1"/>
  <c r="M107" i="2"/>
  <c r="Q29" i="2"/>
  <c r="V29" i="11" s="1"/>
  <c r="M29" i="2"/>
  <c r="R29" i="2"/>
  <c r="I45" i="7"/>
  <c r="A220" i="8"/>
  <c r="B220" i="8"/>
  <c r="D220" i="8"/>
  <c r="E220" i="8"/>
  <c r="F220" i="8" s="1"/>
  <c r="I220" i="8"/>
  <c r="J220" i="8"/>
  <c r="K220" i="8"/>
  <c r="V207" i="4"/>
  <c r="V207" i="2" s="1"/>
  <c r="P231" i="6" s="1"/>
  <c r="S207" i="4"/>
  <c r="R207" i="4"/>
  <c r="Q207" i="4"/>
  <c r="R210" i="11" s="1"/>
  <c r="M207" i="4"/>
  <c r="AB207" i="4" s="1"/>
  <c r="I207" i="4"/>
  <c r="D207" i="2"/>
  <c r="A172" i="8"/>
  <c r="B172" i="8"/>
  <c r="D172" i="8"/>
  <c r="E172" i="8"/>
  <c r="F172" i="8" s="1"/>
  <c r="I172" i="8"/>
  <c r="J172" i="8"/>
  <c r="K172" i="8"/>
  <c r="AH159" i="4"/>
  <c r="AF159" i="4"/>
  <c r="AN159" i="4" s="1"/>
  <c r="V159" i="4"/>
  <c r="V159" i="2" s="1"/>
  <c r="P32" i="6" s="1"/>
  <c r="S159" i="4"/>
  <c r="S162" i="11" s="1"/>
  <c r="R159" i="4"/>
  <c r="Q159" i="4"/>
  <c r="R162" i="11" s="1"/>
  <c r="M159" i="4"/>
  <c r="AB159" i="4" s="1"/>
  <c r="I159" i="4"/>
  <c r="E162" i="11" s="1"/>
  <c r="D159" i="2"/>
  <c r="A101" i="8"/>
  <c r="B101" i="8"/>
  <c r="D101" i="8"/>
  <c r="E101" i="8"/>
  <c r="F101" i="8" s="1"/>
  <c r="I101" i="8"/>
  <c r="J101" i="8"/>
  <c r="K101" i="8"/>
  <c r="A102" i="8"/>
  <c r="B102" i="8"/>
  <c r="D102" i="8"/>
  <c r="E102" i="8"/>
  <c r="F102" i="8" s="1"/>
  <c r="I102" i="8"/>
  <c r="J102" i="8"/>
  <c r="K102" i="8"/>
  <c r="V98" i="4"/>
  <c r="V98" i="2" s="1"/>
  <c r="P181" i="6" s="1"/>
  <c r="S98" i="4"/>
  <c r="S99" i="11" s="1"/>
  <c r="R98" i="4"/>
  <c r="Q98" i="4"/>
  <c r="R99" i="11" s="1"/>
  <c r="M98" i="4"/>
  <c r="AB98" i="4" s="1"/>
  <c r="I98" i="4"/>
  <c r="E99" i="11" s="1"/>
  <c r="D98" i="2"/>
  <c r="V97" i="4"/>
  <c r="V97" i="2" s="1"/>
  <c r="P180" i="6" s="1"/>
  <c r="S97" i="4"/>
  <c r="S98" i="11" s="1"/>
  <c r="R97" i="4"/>
  <c r="Q97" i="4"/>
  <c r="R98" i="11" s="1"/>
  <c r="M97" i="4"/>
  <c r="AB97" i="4" s="1"/>
  <c r="I97" i="4"/>
  <c r="E98" i="11" s="1"/>
  <c r="D97" i="2"/>
  <c r="A76" i="8"/>
  <c r="B76" i="8"/>
  <c r="D76" i="8"/>
  <c r="E76" i="8"/>
  <c r="F76" i="8" s="1"/>
  <c r="I76" i="8"/>
  <c r="J76" i="8"/>
  <c r="K76" i="8"/>
  <c r="AH72" i="4"/>
  <c r="AF72" i="4"/>
  <c r="AN72" i="4" s="1"/>
  <c r="V72" i="4"/>
  <c r="V72" i="2" s="1"/>
  <c r="P22" i="6" s="1"/>
  <c r="S72" i="4"/>
  <c r="S73" i="11" s="1"/>
  <c r="R72" i="4"/>
  <c r="Q72" i="4"/>
  <c r="R73" i="11" s="1"/>
  <c r="M72" i="4"/>
  <c r="AB72" i="4" s="1"/>
  <c r="I72" i="4"/>
  <c r="E73" i="11" s="1"/>
  <c r="D72" i="2"/>
  <c r="P40" i="4"/>
  <c r="O40" i="4"/>
  <c r="N40" i="4"/>
  <c r="J40" i="4"/>
  <c r="H40" i="4"/>
  <c r="F40" i="4"/>
  <c r="E40" i="4"/>
  <c r="C40" i="4"/>
  <c r="A36" i="8"/>
  <c r="B36" i="8"/>
  <c r="D36" i="8"/>
  <c r="E36" i="8"/>
  <c r="F36" i="8" s="1"/>
  <c r="I36" i="8"/>
  <c r="J36" i="8"/>
  <c r="K36" i="8"/>
  <c r="A29" i="8"/>
  <c r="B29" i="8"/>
  <c r="D29" i="8"/>
  <c r="E29" i="8"/>
  <c r="F29" i="8" s="1"/>
  <c r="I29" i="8"/>
  <c r="J29" i="8"/>
  <c r="K29" i="8"/>
  <c r="A33" i="8"/>
  <c r="B33" i="8"/>
  <c r="D33" i="8"/>
  <c r="E33" i="8"/>
  <c r="F33" i="8" s="1"/>
  <c r="I33" i="8"/>
  <c r="J33" i="8"/>
  <c r="K33" i="8"/>
  <c r="AO36" i="4"/>
  <c r="AH36" i="4"/>
  <c r="AF36" i="4"/>
  <c r="AN36" i="4" s="1"/>
  <c r="V36" i="4"/>
  <c r="V36" i="2" s="1"/>
  <c r="P17" i="6" s="1"/>
  <c r="S36" i="4"/>
  <c r="S36" i="11" s="1"/>
  <c r="R36" i="4"/>
  <c r="Q36" i="4"/>
  <c r="R36" i="11" s="1"/>
  <c r="M36" i="4"/>
  <c r="AB36" i="4" s="1"/>
  <c r="I36" i="4"/>
  <c r="E36" i="11" s="1"/>
  <c r="D36" i="2"/>
  <c r="AO33" i="4"/>
  <c r="AH33" i="4"/>
  <c r="AF33" i="4"/>
  <c r="AN33" i="4" s="1"/>
  <c r="V33" i="4"/>
  <c r="V33" i="2" s="1"/>
  <c r="P14" i="6" s="1"/>
  <c r="S33" i="4"/>
  <c r="S33" i="11" s="1"/>
  <c r="R33" i="4"/>
  <c r="Q33" i="4"/>
  <c r="R33" i="11" s="1"/>
  <c r="M33" i="4"/>
  <c r="AB33" i="4" s="1"/>
  <c r="I33" i="4"/>
  <c r="E33" i="11" s="1"/>
  <c r="D33" i="2"/>
  <c r="AH29" i="4"/>
  <c r="AF29" i="4"/>
  <c r="AN29" i="4" s="1"/>
  <c r="AD29" i="4"/>
  <c r="V29" i="4"/>
  <c r="V29" i="2" s="1"/>
  <c r="P11" i="6" s="1"/>
  <c r="S29" i="4"/>
  <c r="R29" i="4"/>
  <c r="Q29" i="4"/>
  <c r="M29" i="4"/>
  <c r="AB29" i="4" s="1"/>
  <c r="I29" i="4"/>
  <c r="A116" i="8"/>
  <c r="B116" i="8"/>
  <c r="D116" i="8"/>
  <c r="E116" i="8"/>
  <c r="F116" i="8" s="1"/>
  <c r="I116" i="8"/>
  <c r="J116" i="8"/>
  <c r="K116" i="8"/>
  <c r="A63" i="8"/>
  <c r="B63" i="8"/>
  <c r="D63" i="8"/>
  <c r="E63" i="8"/>
  <c r="F63" i="8" s="1"/>
  <c r="I63" i="8"/>
  <c r="J63" i="8"/>
  <c r="K63" i="8"/>
  <c r="A61" i="8"/>
  <c r="B61" i="8"/>
  <c r="D61" i="8"/>
  <c r="E61" i="8"/>
  <c r="F61" i="8" s="1"/>
  <c r="I61" i="8"/>
  <c r="J61" i="8"/>
  <c r="K61" i="8"/>
  <c r="A62" i="8"/>
  <c r="B62" i="8"/>
  <c r="D62" i="8"/>
  <c r="E62" i="8"/>
  <c r="F62" i="8" s="1"/>
  <c r="I62" i="8"/>
  <c r="J62" i="8"/>
  <c r="K62" i="8"/>
  <c r="A371" i="8"/>
  <c r="D371" i="8"/>
  <c r="E371" i="8"/>
  <c r="F371" i="8" s="1"/>
  <c r="I371" i="8"/>
  <c r="J371" i="8"/>
  <c r="K371" i="8"/>
  <c r="AH335" i="4"/>
  <c r="AF335" i="4"/>
  <c r="AN335" i="4" s="1"/>
  <c r="V335" i="4"/>
  <c r="V335" i="2" s="1"/>
  <c r="P273" i="6" s="1"/>
  <c r="S335" i="4"/>
  <c r="S340" i="11" s="1"/>
  <c r="AA340" i="11" s="1"/>
  <c r="R335" i="4"/>
  <c r="Q335" i="4"/>
  <c r="R340" i="11" s="1"/>
  <c r="M335" i="4"/>
  <c r="AB335" i="4" s="1"/>
  <c r="I335" i="4"/>
  <c r="E340" i="11" s="1"/>
  <c r="D335" i="2"/>
  <c r="A365" i="8"/>
  <c r="D365" i="8"/>
  <c r="E365" i="8"/>
  <c r="F365" i="8" s="1"/>
  <c r="I365" i="8"/>
  <c r="J365" i="8"/>
  <c r="K365" i="8"/>
  <c r="A366" i="8"/>
  <c r="D366" i="8"/>
  <c r="E366" i="8"/>
  <c r="F366" i="8" s="1"/>
  <c r="I366" i="8"/>
  <c r="J366" i="8"/>
  <c r="K366" i="8"/>
  <c r="AH330" i="4"/>
  <c r="AJ330" i="4" s="1"/>
  <c r="AF330" i="4"/>
  <c r="V330" i="4"/>
  <c r="V330" i="2" s="1"/>
  <c r="P44" i="6" s="1"/>
  <c r="S330" i="4"/>
  <c r="S335" i="11" s="1"/>
  <c r="AA335" i="11" s="1"/>
  <c r="Q330" i="4"/>
  <c r="R335" i="11" s="1"/>
  <c r="I330" i="4"/>
  <c r="E335" i="11" s="1"/>
  <c r="D330" i="2"/>
  <c r="AH329" i="4"/>
  <c r="AF329" i="4"/>
  <c r="AN329" i="4" s="1"/>
  <c r="V329" i="4"/>
  <c r="V329" i="2" s="1"/>
  <c r="P268" i="6" s="1"/>
  <c r="S329" i="4"/>
  <c r="S334" i="11" s="1"/>
  <c r="R329" i="4"/>
  <c r="Q329" i="4"/>
  <c r="R334" i="11" s="1"/>
  <c r="M329" i="4"/>
  <c r="AB329" i="4" s="1"/>
  <c r="I329" i="4"/>
  <c r="E334" i="11" s="1"/>
  <c r="D329" i="2"/>
  <c r="I242" i="2" l="1"/>
  <c r="S242" i="2"/>
  <c r="W246" i="11" s="1"/>
  <c r="U246" i="11" s="1"/>
  <c r="Y246" i="11" s="1"/>
  <c r="Q162" i="11"/>
  <c r="Z162" i="11"/>
  <c r="L72" i="2"/>
  <c r="G72" i="2"/>
  <c r="G99" i="11"/>
  <c r="G207" i="2"/>
  <c r="L207" i="2"/>
  <c r="G335" i="11"/>
  <c r="O335" i="11" s="1"/>
  <c r="M335" i="11"/>
  <c r="G33" i="11"/>
  <c r="Z335" i="11"/>
  <c r="Q335" i="11"/>
  <c r="Y335" i="11" s="1"/>
  <c r="G73" i="11"/>
  <c r="H220" i="8"/>
  <c r="E210" i="11"/>
  <c r="Q33" i="11"/>
  <c r="Z33" i="11"/>
  <c r="Q99" i="11"/>
  <c r="Z99" i="11"/>
  <c r="Z340" i="11"/>
  <c r="Q340" i="11"/>
  <c r="Y340" i="11" s="1"/>
  <c r="G329" i="2"/>
  <c r="L329" i="2"/>
  <c r="Z73" i="11"/>
  <c r="Q73" i="11"/>
  <c r="Z210" i="11"/>
  <c r="L97" i="2"/>
  <c r="G97" i="2"/>
  <c r="G330" i="2"/>
  <c r="L330" i="2"/>
  <c r="Z334" i="11"/>
  <c r="Q334" i="11"/>
  <c r="G98" i="11"/>
  <c r="O220" i="8"/>
  <c r="P220" i="8" s="1"/>
  <c r="S210" i="11"/>
  <c r="L98" i="2"/>
  <c r="G98" i="2"/>
  <c r="G335" i="2"/>
  <c r="L335" i="2"/>
  <c r="G340" i="11"/>
  <c r="O340" i="11" s="1"/>
  <c r="M340" i="11"/>
  <c r="Q98" i="11"/>
  <c r="Z98" i="11"/>
  <c r="L33" i="2"/>
  <c r="G33" i="2"/>
  <c r="G334" i="11"/>
  <c r="L159" i="2"/>
  <c r="G159" i="2"/>
  <c r="G162" i="11"/>
  <c r="L36" i="2"/>
  <c r="G36" i="2"/>
  <c r="G36" i="11"/>
  <c r="Z36" i="11"/>
  <c r="Q36" i="11"/>
  <c r="K242" i="2"/>
  <c r="I246" i="11"/>
  <c r="Z329" i="4"/>
  <c r="L335" i="4"/>
  <c r="AA335" i="4" s="1"/>
  <c r="K335" i="4"/>
  <c r="N101" i="8"/>
  <c r="G36" i="4"/>
  <c r="L159" i="4"/>
  <c r="AA159" i="4" s="1"/>
  <c r="N365" i="8"/>
  <c r="N29" i="8"/>
  <c r="R29" i="11"/>
  <c r="Z98" i="4"/>
  <c r="K97" i="4"/>
  <c r="N371" i="8"/>
  <c r="K36" i="4"/>
  <c r="Z33" i="4"/>
  <c r="L330" i="4"/>
  <c r="AA330" i="4" s="1"/>
  <c r="K159" i="4"/>
  <c r="R330" i="4"/>
  <c r="AG33" i="4"/>
  <c r="AM33" i="4" s="1"/>
  <c r="Z207" i="4"/>
  <c r="Z335" i="4"/>
  <c r="K33" i="4"/>
  <c r="AG72" i="4"/>
  <c r="AM72" i="4" s="1"/>
  <c r="Z97" i="4"/>
  <c r="N366" i="8"/>
  <c r="N36" i="8"/>
  <c r="N172" i="8"/>
  <c r="G329" i="4"/>
  <c r="C334" i="11" s="1"/>
  <c r="Z330" i="4"/>
  <c r="L29" i="4"/>
  <c r="AA29" i="4" s="1"/>
  <c r="D29" i="2"/>
  <c r="K72" i="4"/>
  <c r="K98" i="4"/>
  <c r="L207" i="4"/>
  <c r="AA207" i="4" s="1"/>
  <c r="Z72" i="4"/>
  <c r="G97" i="4"/>
  <c r="C98" i="11" s="1"/>
  <c r="Z29" i="4"/>
  <c r="S29" i="11"/>
  <c r="L98" i="4"/>
  <c r="AA98" i="4" s="1"/>
  <c r="N220" i="8"/>
  <c r="K329" i="4"/>
  <c r="K29" i="4"/>
  <c r="E29" i="11"/>
  <c r="N33" i="8"/>
  <c r="Z36" i="4"/>
  <c r="Z159" i="4"/>
  <c r="G207" i="4"/>
  <c r="C210" i="11" s="1"/>
  <c r="N76" i="8"/>
  <c r="N102" i="8"/>
  <c r="K207" i="4"/>
  <c r="O172" i="8"/>
  <c r="P172" i="8" s="1"/>
  <c r="H172" i="8"/>
  <c r="O101" i="8"/>
  <c r="P101" i="8" s="1"/>
  <c r="G159" i="4"/>
  <c r="C162" i="11" s="1"/>
  <c r="H102" i="8"/>
  <c r="AG159" i="4"/>
  <c r="L97" i="4"/>
  <c r="AA97" i="4" s="1"/>
  <c r="O102" i="8"/>
  <c r="P102" i="8" s="1"/>
  <c r="H101" i="8"/>
  <c r="O76" i="8"/>
  <c r="P76" i="8" s="1"/>
  <c r="K330" i="4"/>
  <c r="H76" i="8"/>
  <c r="G98" i="4"/>
  <c r="C99" i="11" s="1"/>
  <c r="O36" i="8"/>
  <c r="P36" i="8" s="1"/>
  <c r="L72" i="4"/>
  <c r="AA72" i="4" s="1"/>
  <c r="G72" i="4"/>
  <c r="C73" i="11" s="1"/>
  <c r="H33" i="8"/>
  <c r="H29" i="8"/>
  <c r="H36" i="8"/>
  <c r="O33" i="8"/>
  <c r="P33" i="8" s="1"/>
  <c r="O29" i="8"/>
  <c r="L33" i="4"/>
  <c r="AA33" i="4" s="1"/>
  <c r="AG36" i="4"/>
  <c r="L36" i="4"/>
  <c r="AA36" i="4" s="1"/>
  <c r="G33" i="4"/>
  <c r="C33" i="11" s="1"/>
  <c r="G29" i="4"/>
  <c r="C29" i="11" s="1"/>
  <c r="AG29" i="4"/>
  <c r="AN330" i="4"/>
  <c r="M330" i="4"/>
  <c r="AB330" i="4" s="1"/>
  <c r="O371" i="8"/>
  <c r="P371" i="8" s="1"/>
  <c r="H371" i="8"/>
  <c r="O365" i="8"/>
  <c r="P365" i="8" s="1"/>
  <c r="H366" i="8"/>
  <c r="G335" i="4"/>
  <c r="C340" i="11" s="1"/>
  <c r="AG335" i="4"/>
  <c r="H365" i="8"/>
  <c r="O366" i="8"/>
  <c r="P366" i="8" s="1"/>
  <c r="G330" i="4"/>
  <c r="C335" i="11" s="1"/>
  <c r="AG330" i="4"/>
  <c r="AK330" i="4"/>
  <c r="AL330" i="4" s="1"/>
  <c r="AG329" i="4"/>
  <c r="L329" i="4"/>
  <c r="AA329" i="4" s="1"/>
  <c r="AA246" i="11" l="1"/>
  <c r="M220" i="8"/>
  <c r="H97" i="2"/>
  <c r="J180" i="6"/>
  <c r="D98" i="11"/>
  <c r="H159" i="2"/>
  <c r="J32" i="6"/>
  <c r="D162" i="11"/>
  <c r="H33" i="2"/>
  <c r="J14" i="6"/>
  <c r="D33" i="11"/>
  <c r="G210" i="11"/>
  <c r="H207" i="2"/>
  <c r="J231" i="6"/>
  <c r="D210" i="11"/>
  <c r="Q210" i="11"/>
  <c r="J44" i="6"/>
  <c r="D335" i="11"/>
  <c r="H98" i="2"/>
  <c r="J181" i="6"/>
  <c r="D99" i="11"/>
  <c r="J273" i="6"/>
  <c r="D340" i="11"/>
  <c r="H72" i="2"/>
  <c r="J22" i="6"/>
  <c r="D73" i="11"/>
  <c r="J268" i="6"/>
  <c r="D334" i="11"/>
  <c r="H329" i="2"/>
  <c r="AJ36" i="4"/>
  <c r="AK36" i="4" s="1"/>
  <c r="AL36" i="4" s="1"/>
  <c r="C36" i="11"/>
  <c r="H36" i="2"/>
  <c r="J17" i="6"/>
  <c r="D36" i="11"/>
  <c r="AI33" i="4"/>
  <c r="AI72" i="4"/>
  <c r="K246" i="11"/>
  <c r="O246" i="11" s="1"/>
  <c r="M246" i="11"/>
  <c r="M102" i="8"/>
  <c r="C365" i="8"/>
  <c r="Q29" i="11"/>
  <c r="Z29" i="11"/>
  <c r="C220" i="8"/>
  <c r="C172" i="8"/>
  <c r="C102" i="8"/>
  <c r="G29" i="2"/>
  <c r="J11" i="6" s="1"/>
  <c r="L29" i="2"/>
  <c r="C366" i="8"/>
  <c r="C36" i="8"/>
  <c r="G29" i="11"/>
  <c r="AJ329" i="4"/>
  <c r="AK329" i="4" s="1"/>
  <c r="AL329" i="4" s="1"/>
  <c r="C101" i="8"/>
  <c r="M172" i="8"/>
  <c r="AJ159" i="4"/>
  <c r="AK159" i="4" s="1"/>
  <c r="AL159" i="4" s="1"/>
  <c r="M101" i="8"/>
  <c r="AM159" i="4"/>
  <c r="AI159" i="4"/>
  <c r="M76" i="8"/>
  <c r="AJ72" i="4"/>
  <c r="AK72" i="4" s="1"/>
  <c r="AL72" i="4" s="1"/>
  <c r="C76" i="8"/>
  <c r="M36" i="8"/>
  <c r="AJ29" i="4"/>
  <c r="AK29" i="4" s="1"/>
  <c r="AL29" i="4" s="1"/>
  <c r="C29" i="8"/>
  <c r="AJ33" i="4"/>
  <c r="AP33" i="4" s="1"/>
  <c r="C33" i="8"/>
  <c r="P29" i="8"/>
  <c r="M33" i="8"/>
  <c r="M29" i="8"/>
  <c r="AM36" i="4"/>
  <c r="AI36" i="4"/>
  <c r="AI29" i="4"/>
  <c r="AM29" i="4"/>
  <c r="M371" i="8"/>
  <c r="AJ335" i="4"/>
  <c r="AK335" i="4" s="1"/>
  <c r="AL335" i="4" s="1"/>
  <c r="C371" i="8"/>
  <c r="M366" i="8"/>
  <c r="M365" i="8"/>
  <c r="AI335" i="4"/>
  <c r="AM335" i="4"/>
  <c r="AM330" i="4"/>
  <c r="AI330" i="4"/>
  <c r="AI329" i="4"/>
  <c r="AM329" i="4"/>
  <c r="AP36" i="4" l="1"/>
  <c r="K32" i="6"/>
  <c r="M32" i="6" s="1"/>
  <c r="S159" i="2"/>
  <c r="W162" i="11" s="1"/>
  <c r="I159" i="2"/>
  <c r="S72" i="2"/>
  <c r="W73" i="11" s="1"/>
  <c r="K22" i="6"/>
  <c r="M22" i="6" s="1"/>
  <c r="I72" i="2"/>
  <c r="S98" i="2"/>
  <c r="W99" i="11" s="1"/>
  <c r="K181" i="6"/>
  <c r="M181" i="6" s="1"/>
  <c r="I98" i="2"/>
  <c r="S329" i="2"/>
  <c r="W334" i="11" s="1"/>
  <c r="K268" i="6"/>
  <c r="M268" i="6" s="1"/>
  <c r="I329" i="2"/>
  <c r="I207" i="2"/>
  <c r="K231" i="6"/>
  <c r="M231" i="6" s="1"/>
  <c r="S207" i="2"/>
  <c r="W210" i="11" s="1"/>
  <c r="S33" i="2"/>
  <c r="W33" i="11" s="1"/>
  <c r="K14" i="6"/>
  <c r="M14" i="6" s="1"/>
  <c r="I33" i="2"/>
  <c r="K180" i="6"/>
  <c r="M180" i="6" s="1"/>
  <c r="S97" i="2"/>
  <c r="W98" i="11" s="1"/>
  <c r="I97" i="2"/>
  <c r="K17" i="6"/>
  <c r="M17" i="6" s="1"/>
  <c r="S36" i="2"/>
  <c r="W36" i="11" s="1"/>
  <c r="I36" i="2"/>
  <c r="H29" i="2"/>
  <c r="K11" i="6" s="1"/>
  <c r="M11" i="6" s="1"/>
  <c r="D29" i="11"/>
  <c r="AK33" i="4"/>
  <c r="AL33" i="4" s="1"/>
  <c r="U99" i="11" l="1"/>
  <c r="Y99" i="11" s="1"/>
  <c r="AA99" i="11"/>
  <c r="K97" i="2"/>
  <c r="I98" i="11"/>
  <c r="U334" i="11"/>
  <c r="Y334" i="11" s="1"/>
  <c r="AA334" i="11"/>
  <c r="U73" i="11"/>
  <c r="Y73" i="11" s="1"/>
  <c r="AA73" i="11"/>
  <c r="U98" i="11"/>
  <c r="Y98" i="11" s="1"/>
  <c r="AA98" i="11"/>
  <c r="U33" i="11"/>
  <c r="Y33" i="11" s="1"/>
  <c r="AA33" i="11"/>
  <c r="U210" i="11"/>
  <c r="Y210" i="11" s="1"/>
  <c r="AA210" i="11"/>
  <c r="K33" i="2"/>
  <c r="I33" i="11"/>
  <c r="K159" i="2"/>
  <c r="I162" i="11"/>
  <c r="K72" i="2"/>
  <c r="I73" i="11"/>
  <c r="K207" i="2"/>
  <c r="I210" i="11"/>
  <c r="U162" i="11"/>
  <c r="Y162" i="11" s="1"/>
  <c r="AA162" i="11"/>
  <c r="K98" i="2"/>
  <c r="I99" i="11"/>
  <c r="K329" i="2"/>
  <c r="I334" i="11"/>
  <c r="U36" i="11"/>
  <c r="Y36" i="11" s="1"/>
  <c r="AA36" i="11"/>
  <c r="K36" i="2"/>
  <c r="I36" i="11"/>
  <c r="S29" i="2"/>
  <c r="W29" i="11" s="1"/>
  <c r="I29" i="2"/>
  <c r="J237" i="4"/>
  <c r="K162" i="11" l="1"/>
  <c r="O162" i="11" s="1"/>
  <c r="M162" i="11"/>
  <c r="K33" i="11"/>
  <c r="O33" i="11" s="1"/>
  <c r="M33" i="11"/>
  <c r="K98" i="11"/>
  <c r="O98" i="11" s="1"/>
  <c r="M98" i="11"/>
  <c r="K73" i="11"/>
  <c r="O73" i="11" s="1"/>
  <c r="M73" i="11"/>
  <c r="K334" i="11"/>
  <c r="O334" i="11" s="1"/>
  <c r="M334" i="11"/>
  <c r="K210" i="11"/>
  <c r="O210" i="11" s="1"/>
  <c r="M210" i="11"/>
  <c r="K99" i="11"/>
  <c r="O99" i="11" s="1"/>
  <c r="M99" i="11"/>
  <c r="K36" i="11"/>
  <c r="O36" i="11" s="1"/>
  <c r="M36" i="11"/>
  <c r="I29" i="11"/>
  <c r="K29" i="2"/>
  <c r="U29" i="11"/>
  <c r="Y29" i="11" s="1"/>
  <c r="AA29" i="11"/>
  <c r="M13" i="4"/>
  <c r="Q107" i="4"/>
  <c r="R107" i="4"/>
  <c r="S107" i="4"/>
  <c r="S109" i="11" s="1"/>
  <c r="M107" i="4"/>
  <c r="AB107" i="4" s="1"/>
  <c r="I107" i="4"/>
  <c r="N61" i="8" l="1"/>
  <c r="K29" i="11"/>
  <c r="O29" i="11" s="1"/>
  <c r="M29" i="11"/>
  <c r="L107" i="4"/>
  <c r="AA107" i="4" s="1"/>
  <c r="D107" i="2"/>
  <c r="E109" i="11"/>
  <c r="E45" i="7"/>
  <c r="N63" i="8"/>
  <c r="N62" i="8"/>
  <c r="N116" i="8"/>
  <c r="R109" i="11"/>
  <c r="H61" i="8"/>
  <c r="Z107" i="4"/>
  <c r="O116" i="8"/>
  <c r="P116" i="8" s="1"/>
  <c r="O63" i="8"/>
  <c r="P63" i="8" s="1"/>
  <c r="O61" i="8"/>
  <c r="P61" i="8" s="1"/>
  <c r="K107" i="4"/>
  <c r="L46" i="3" s="1"/>
  <c r="H116" i="8"/>
  <c r="H63" i="8"/>
  <c r="H62" i="8"/>
  <c r="O62" i="8"/>
  <c r="P62" i="8" s="1"/>
  <c r="G107" i="4"/>
  <c r="F45" i="7" l="1"/>
  <c r="K45" i="7"/>
  <c r="G109" i="11"/>
  <c r="Z109" i="11"/>
  <c r="Q109" i="11"/>
  <c r="C62" i="8"/>
  <c r="C116" i="8"/>
  <c r="C109" i="11"/>
  <c r="E46" i="3"/>
  <c r="F46" i="3"/>
  <c r="G46" i="3"/>
  <c r="D46" i="3"/>
  <c r="H46" i="3"/>
  <c r="I46" i="3"/>
  <c r="J46" i="3"/>
  <c r="K46" i="3"/>
  <c r="C46" i="3"/>
  <c r="L107" i="2"/>
  <c r="G107" i="2"/>
  <c r="J125" i="6" s="1"/>
  <c r="C61" i="8"/>
  <c r="C63" i="8"/>
  <c r="M62" i="8"/>
  <c r="M116" i="8"/>
  <c r="M61" i="8"/>
  <c r="M63" i="8"/>
  <c r="H107" i="2" l="1"/>
  <c r="K125" i="6" s="1"/>
  <c r="M125" i="6" s="1"/>
  <c r="D109" i="11"/>
  <c r="H45" i="1"/>
  <c r="I45" i="1"/>
  <c r="J45" i="1"/>
  <c r="B45" i="1"/>
  <c r="C45" i="1"/>
  <c r="D45" i="1"/>
  <c r="E45" i="1"/>
  <c r="F45" i="1"/>
  <c r="G45" i="1"/>
  <c r="AO330" i="4"/>
  <c r="AP330" i="4" s="1"/>
  <c r="AD330" i="4"/>
  <c r="AO329" i="4"/>
  <c r="AP329" i="4" s="1"/>
  <c r="AD329" i="4"/>
  <c r="AO335" i="4"/>
  <c r="AP335" i="4" s="1"/>
  <c r="AD335" i="4"/>
  <c r="A254" i="2"/>
  <c r="B254" i="2"/>
  <c r="B241" i="6" s="1"/>
  <c r="F254" i="2"/>
  <c r="J254" i="2"/>
  <c r="C241" i="6" s="1"/>
  <c r="N254" i="2"/>
  <c r="O254" i="2"/>
  <c r="P254" i="2"/>
  <c r="L241" i="6" s="1"/>
  <c r="T254" i="2"/>
  <c r="N241" i="6" s="1"/>
  <c r="U254" i="2"/>
  <c r="O241" i="6" s="1"/>
  <c r="V254" i="2"/>
  <c r="P241" i="6" s="1"/>
  <c r="AO159" i="4"/>
  <c r="AP159" i="4" s="1"/>
  <c r="AD159" i="4"/>
  <c r="A68" i="2"/>
  <c r="A18" i="6" s="1"/>
  <c r="B68" i="2"/>
  <c r="B18" i="6" s="1"/>
  <c r="C68" i="2"/>
  <c r="E18" i="6" s="1"/>
  <c r="E68" i="2"/>
  <c r="I18" i="6" s="1"/>
  <c r="F68" i="2"/>
  <c r="F18" i="6" s="1"/>
  <c r="J68" i="2"/>
  <c r="C18" i="6" s="1"/>
  <c r="N68" i="2"/>
  <c r="O68" i="2"/>
  <c r="P68" i="2"/>
  <c r="L18" i="6" s="1"/>
  <c r="T68" i="2"/>
  <c r="N18" i="6" s="1"/>
  <c r="U68" i="2"/>
  <c r="O18" i="6" s="1"/>
  <c r="AD72" i="4"/>
  <c r="AO72" i="4"/>
  <c r="AP72" i="4" s="1"/>
  <c r="C254" i="2" l="1"/>
  <c r="C426" i="4" s="1"/>
  <c r="D254" i="2"/>
  <c r="D426" i="4" s="1"/>
  <c r="H18" i="6"/>
  <c r="G18" i="6" s="1"/>
  <c r="D18" i="6"/>
  <c r="F241" i="6"/>
  <c r="J259" i="11"/>
  <c r="N259" i="11" s="1"/>
  <c r="A241" i="6"/>
  <c r="A97" i="1"/>
  <c r="AO54" i="4"/>
  <c r="AP54" i="4" s="1"/>
  <c r="S107" i="2"/>
  <c r="W109" i="11" s="1"/>
  <c r="I107" i="2"/>
  <c r="J288" i="11"/>
  <c r="N288" i="11" s="1"/>
  <c r="J69" i="11"/>
  <c r="K45" i="1"/>
  <c r="A102" i="1"/>
  <c r="H68" i="2"/>
  <c r="K18" i="6" s="1"/>
  <c r="M18" i="6" s="1"/>
  <c r="R254" i="2"/>
  <c r="Q254" i="2"/>
  <c r="V259" i="11" s="1"/>
  <c r="M254" i="2"/>
  <c r="V288" i="11"/>
  <c r="R68" i="2"/>
  <c r="M68" i="2"/>
  <c r="Q68" i="2"/>
  <c r="V69" i="11" s="1"/>
  <c r="E254" i="2" l="1"/>
  <c r="E426" i="4" s="1"/>
  <c r="E241" i="6"/>
  <c r="N69" i="11"/>
  <c r="N104" i="11" s="1"/>
  <c r="J104" i="11"/>
  <c r="V104" i="11"/>
  <c r="K107" i="2"/>
  <c r="L45" i="1" s="1"/>
  <c r="I109" i="11"/>
  <c r="S68" i="2"/>
  <c r="W69" i="11" s="1"/>
  <c r="U109" i="11"/>
  <c r="Y109" i="11" s="1"/>
  <c r="AA109" i="11"/>
  <c r="I68" i="2"/>
  <c r="D241" i="6" l="1"/>
  <c r="I241" i="6"/>
  <c r="H241" i="6" s="1"/>
  <c r="G241" i="6" s="1"/>
  <c r="H254" i="2"/>
  <c r="K109" i="11"/>
  <c r="O109" i="11" s="1"/>
  <c r="M109" i="11"/>
  <c r="U69" i="11"/>
  <c r="K68" i="2"/>
  <c r="I69" i="11"/>
  <c r="K241" i="6" l="1"/>
  <c r="M241" i="6" s="1"/>
  <c r="S254" i="2"/>
  <c r="W259" i="11" s="1"/>
  <c r="U259" i="11" s="1"/>
  <c r="I254" i="2"/>
  <c r="K69" i="11"/>
  <c r="I259" i="11" l="1"/>
  <c r="K259" i="11" s="1"/>
  <c r="K254" i="2"/>
  <c r="L97" i="1" s="1"/>
  <c r="A386" i="8"/>
  <c r="D386" i="8"/>
  <c r="E386" i="8"/>
  <c r="F386" i="8" s="1"/>
  <c r="I386" i="8"/>
  <c r="J386" i="8"/>
  <c r="K386" i="8"/>
  <c r="A387" i="8"/>
  <c r="D387" i="8"/>
  <c r="E387" i="8"/>
  <c r="F387" i="8" s="1"/>
  <c r="I387" i="8"/>
  <c r="J387" i="8"/>
  <c r="K387" i="8"/>
  <c r="V351" i="4"/>
  <c r="V351" i="2" s="1"/>
  <c r="P285" i="6" s="1"/>
  <c r="S351" i="4"/>
  <c r="S356" i="11" s="1"/>
  <c r="R351" i="4"/>
  <c r="Q351" i="4"/>
  <c r="R356" i="11" s="1"/>
  <c r="M351" i="4"/>
  <c r="AB351" i="4" s="1"/>
  <c r="I351" i="4"/>
  <c r="E356" i="11" s="1"/>
  <c r="G356" i="11" s="1"/>
  <c r="D351" i="2"/>
  <c r="AH350" i="4"/>
  <c r="AF350" i="4"/>
  <c r="AN350" i="4" s="1"/>
  <c r="AD350" i="4"/>
  <c r="V350" i="4"/>
  <c r="V350" i="2" s="1"/>
  <c r="P284" i="6" s="1"/>
  <c r="S350" i="4"/>
  <c r="S355" i="11" s="1"/>
  <c r="AA355" i="11" s="1"/>
  <c r="R350" i="4"/>
  <c r="Q350" i="4"/>
  <c r="R355" i="11" s="1"/>
  <c r="M350" i="4"/>
  <c r="AB350" i="4" s="1"/>
  <c r="I350" i="4"/>
  <c r="E355" i="11" s="1"/>
  <c r="D350" i="2"/>
  <c r="A361" i="8"/>
  <c r="D361" i="8"/>
  <c r="E361" i="8"/>
  <c r="F361" i="8" s="1"/>
  <c r="I361" i="8"/>
  <c r="J361" i="8"/>
  <c r="K361" i="8"/>
  <c r="AH325" i="4"/>
  <c r="AF325" i="4"/>
  <c r="AN325" i="4" s="1"/>
  <c r="V325" i="4"/>
  <c r="V325" i="2" s="1"/>
  <c r="P264" i="6" s="1"/>
  <c r="S325" i="4"/>
  <c r="S330" i="11" s="1"/>
  <c r="R325" i="4"/>
  <c r="Q325" i="4"/>
  <c r="R330" i="11" s="1"/>
  <c r="M325" i="4"/>
  <c r="AB325" i="4" s="1"/>
  <c r="I325" i="4"/>
  <c r="E330" i="11" s="1"/>
  <c r="D325" i="2"/>
  <c r="L351" i="2" l="1"/>
  <c r="G351" i="2"/>
  <c r="G350" i="2"/>
  <c r="L350" i="2"/>
  <c r="L325" i="2"/>
  <c r="G325" i="2"/>
  <c r="G330" i="11"/>
  <c r="Z330" i="11"/>
  <c r="Q330" i="11"/>
  <c r="Z356" i="11"/>
  <c r="Q356" i="11"/>
  <c r="G355" i="11"/>
  <c r="O355" i="11" s="1"/>
  <c r="M355" i="11"/>
  <c r="Q355" i="11"/>
  <c r="Y355" i="11" s="1"/>
  <c r="Z355" i="11"/>
  <c r="N386" i="8"/>
  <c r="Z351" i="4"/>
  <c r="Z350" i="4"/>
  <c r="Z325" i="4"/>
  <c r="N387" i="8"/>
  <c r="K325" i="4"/>
  <c r="K351" i="4"/>
  <c r="K350" i="4"/>
  <c r="N361" i="8"/>
  <c r="L351" i="4"/>
  <c r="AA351" i="4" s="1"/>
  <c r="L325" i="4"/>
  <c r="AA325" i="4" s="1"/>
  <c r="L350" i="4"/>
  <c r="AA350" i="4" s="1"/>
  <c r="O387" i="8"/>
  <c r="P387" i="8" s="1"/>
  <c r="O386" i="8"/>
  <c r="P386" i="8" s="1"/>
  <c r="H386" i="8"/>
  <c r="H387" i="8"/>
  <c r="AG350" i="4"/>
  <c r="AI350" i="4" s="1"/>
  <c r="G350" i="4"/>
  <c r="C355" i="11" s="1"/>
  <c r="H361" i="8"/>
  <c r="AJ350" i="4"/>
  <c r="AK350" i="4" s="1"/>
  <c r="AL350" i="4" s="1"/>
  <c r="G351" i="4"/>
  <c r="C356" i="11" s="1"/>
  <c r="O361" i="8"/>
  <c r="P361" i="8" s="1"/>
  <c r="AG325" i="4"/>
  <c r="G325" i="4"/>
  <c r="C330" i="11" s="1"/>
  <c r="A219" i="8"/>
  <c r="B219" i="8"/>
  <c r="D219" i="8"/>
  <c r="E219" i="8"/>
  <c r="F219" i="8" s="1"/>
  <c r="I219" i="8"/>
  <c r="J219" i="8"/>
  <c r="K219" i="8"/>
  <c r="A221" i="8"/>
  <c r="B221" i="8"/>
  <c r="D221" i="8"/>
  <c r="E221" i="8"/>
  <c r="F221" i="8" s="1"/>
  <c r="I221" i="8"/>
  <c r="J221" i="8"/>
  <c r="K221" i="8"/>
  <c r="A216" i="8"/>
  <c r="B216" i="8"/>
  <c r="D216" i="8"/>
  <c r="E216" i="8"/>
  <c r="F216" i="8" s="1"/>
  <c r="I216" i="8"/>
  <c r="J216" i="8"/>
  <c r="K216" i="8"/>
  <c r="A214" i="8"/>
  <c r="B214" i="8"/>
  <c r="D214" i="8"/>
  <c r="E214" i="8"/>
  <c r="F214" i="8" s="1"/>
  <c r="I214" i="8"/>
  <c r="J214" i="8"/>
  <c r="K214" i="8"/>
  <c r="V208" i="4"/>
  <c r="V208" i="2" s="1"/>
  <c r="P232" i="6" s="1"/>
  <c r="S208" i="4"/>
  <c r="S211" i="11" s="1"/>
  <c r="R208" i="4"/>
  <c r="Q208" i="4"/>
  <c r="R211" i="11" s="1"/>
  <c r="M208" i="4"/>
  <c r="AB208" i="4" s="1"/>
  <c r="I208" i="4"/>
  <c r="E211" i="11" s="1"/>
  <c r="D208" i="2"/>
  <c r="V206" i="4"/>
  <c r="V206" i="2" s="1"/>
  <c r="P230" i="6" s="1"/>
  <c r="S206" i="4"/>
  <c r="S209" i="11" s="1"/>
  <c r="R206" i="4"/>
  <c r="Q206" i="4"/>
  <c r="R209" i="11" s="1"/>
  <c r="M206" i="4"/>
  <c r="AB206" i="4" s="1"/>
  <c r="I206" i="4"/>
  <c r="E209" i="11" s="1"/>
  <c r="D206" i="2"/>
  <c r="AH203" i="4"/>
  <c r="AF203" i="4"/>
  <c r="AN203" i="4" s="1"/>
  <c r="V203" i="4"/>
  <c r="V203" i="2" s="1"/>
  <c r="P227" i="6" s="1"/>
  <c r="S203" i="4"/>
  <c r="S206" i="11" s="1"/>
  <c r="R203" i="4"/>
  <c r="Q203" i="4"/>
  <c r="R206" i="11" s="1"/>
  <c r="M203" i="4"/>
  <c r="AB203" i="4" s="1"/>
  <c r="I203" i="4"/>
  <c r="E206" i="11" s="1"/>
  <c r="D203" i="2"/>
  <c r="AH201" i="4"/>
  <c r="AF201" i="4"/>
  <c r="AN201" i="4" s="1"/>
  <c r="V201" i="4"/>
  <c r="V201" i="2" s="1"/>
  <c r="P225" i="6" s="1"/>
  <c r="S201" i="4"/>
  <c r="S204" i="11" s="1"/>
  <c r="R201" i="4"/>
  <c r="Q201" i="4"/>
  <c r="R204" i="11" s="1"/>
  <c r="M201" i="4"/>
  <c r="AB201" i="4" s="1"/>
  <c r="I201" i="4"/>
  <c r="E204" i="11" s="1"/>
  <c r="D201" i="2"/>
  <c r="A175" i="8"/>
  <c r="B175" i="8"/>
  <c r="D175" i="8"/>
  <c r="E175" i="8"/>
  <c r="F175" i="8" s="1"/>
  <c r="I175" i="8"/>
  <c r="J175" i="8"/>
  <c r="K175" i="8"/>
  <c r="A176" i="8"/>
  <c r="B176" i="8"/>
  <c r="D176" i="8"/>
  <c r="E176" i="8"/>
  <c r="F176" i="8" s="1"/>
  <c r="I176" i="8"/>
  <c r="J176" i="8"/>
  <c r="K176" i="8"/>
  <c r="AH163" i="4"/>
  <c r="AF163" i="4"/>
  <c r="AN163" i="4" s="1"/>
  <c r="S163" i="4"/>
  <c r="S166" i="11" s="1"/>
  <c r="R163" i="4"/>
  <c r="Q163" i="4"/>
  <c r="R166" i="11" s="1"/>
  <c r="M163" i="4"/>
  <c r="AB163" i="4" s="1"/>
  <c r="I163" i="4"/>
  <c r="E166" i="11" s="1"/>
  <c r="D163" i="2"/>
  <c r="AH162" i="4"/>
  <c r="AF162" i="4"/>
  <c r="AN162" i="4" s="1"/>
  <c r="V162" i="4"/>
  <c r="V162" i="2" s="1"/>
  <c r="P34" i="6" s="1"/>
  <c r="S162" i="4"/>
  <c r="S165" i="11" s="1"/>
  <c r="R162" i="4"/>
  <c r="Q162" i="4"/>
  <c r="R165" i="11" s="1"/>
  <c r="M162" i="4"/>
  <c r="AB162" i="4" s="1"/>
  <c r="I162" i="4"/>
  <c r="E165" i="11" s="1"/>
  <c r="D162" i="2"/>
  <c r="A100" i="8"/>
  <c r="B100" i="8"/>
  <c r="D100" i="8"/>
  <c r="E100" i="8"/>
  <c r="F100" i="8" s="1"/>
  <c r="I100" i="8"/>
  <c r="J100" i="8"/>
  <c r="K100" i="8"/>
  <c r="A97" i="8"/>
  <c r="B97" i="8"/>
  <c r="D97" i="8"/>
  <c r="E97" i="8"/>
  <c r="F97" i="8" s="1"/>
  <c r="I97" i="8"/>
  <c r="J97" i="8"/>
  <c r="K97" i="8"/>
  <c r="V96" i="4"/>
  <c r="V96" i="2" s="1"/>
  <c r="P179" i="6" s="1"/>
  <c r="S96" i="4"/>
  <c r="S97" i="11" s="1"/>
  <c r="R96" i="4"/>
  <c r="Q96" i="4"/>
  <c r="R97" i="11" s="1"/>
  <c r="M96" i="4"/>
  <c r="AB96" i="4" s="1"/>
  <c r="I96" i="4"/>
  <c r="E97" i="11" s="1"/>
  <c r="D96" i="2"/>
  <c r="V93" i="4"/>
  <c r="V93" i="2" s="1"/>
  <c r="P176" i="6" s="1"/>
  <c r="S93" i="4"/>
  <c r="S94" i="11" s="1"/>
  <c r="R93" i="4"/>
  <c r="Q93" i="4"/>
  <c r="R94" i="11" s="1"/>
  <c r="M93" i="4"/>
  <c r="AB93" i="4" s="1"/>
  <c r="I93" i="4"/>
  <c r="E94" i="11" s="1"/>
  <c r="D93" i="2"/>
  <c r="A277" i="8"/>
  <c r="B277" i="8"/>
  <c r="D277" i="8"/>
  <c r="E277" i="8"/>
  <c r="F277" i="8" s="1"/>
  <c r="I277" i="8"/>
  <c r="J277" i="8"/>
  <c r="K277" i="8"/>
  <c r="A252" i="8"/>
  <c r="B252" i="8"/>
  <c r="D252" i="8"/>
  <c r="E252" i="8"/>
  <c r="F252" i="8" s="1"/>
  <c r="I252" i="8"/>
  <c r="J252" i="8"/>
  <c r="K252" i="8"/>
  <c r="A153" i="8"/>
  <c r="B153" i="8"/>
  <c r="D153" i="8"/>
  <c r="E153" i="8"/>
  <c r="F153" i="8" s="1"/>
  <c r="I153" i="8"/>
  <c r="J153" i="8"/>
  <c r="K153" i="8"/>
  <c r="A154" i="8"/>
  <c r="B154" i="8"/>
  <c r="D154" i="8"/>
  <c r="E154" i="8"/>
  <c r="F154" i="8" s="1"/>
  <c r="I154" i="8"/>
  <c r="J154" i="8"/>
  <c r="K154" i="8"/>
  <c r="A155" i="8"/>
  <c r="B155" i="8"/>
  <c r="D155" i="8"/>
  <c r="E155" i="8"/>
  <c r="F155" i="8" s="1"/>
  <c r="I155" i="8"/>
  <c r="J155" i="8"/>
  <c r="K155" i="8"/>
  <c r="A21" i="8"/>
  <c r="B21" i="8"/>
  <c r="D21" i="8"/>
  <c r="E21" i="8"/>
  <c r="F21" i="8" s="1"/>
  <c r="I21" i="8"/>
  <c r="J21" i="8"/>
  <c r="K21" i="8"/>
  <c r="C103" i="4"/>
  <c r="P103" i="4"/>
  <c r="O103" i="4"/>
  <c r="N103" i="4"/>
  <c r="J103" i="4"/>
  <c r="H103" i="4"/>
  <c r="F103" i="4"/>
  <c r="E103" i="4"/>
  <c r="K73" i="8"/>
  <c r="J73" i="8"/>
  <c r="I73" i="8"/>
  <c r="E73" i="8"/>
  <c r="F73" i="8" s="1"/>
  <c r="D73" i="8"/>
  <c r="B73" i="8"/>
  <c r="A73" i="8"/>
  <c r="K72" i="8"/>
  <c r="J72" i="8"/>
  <c r="I72" i="8"/>
  <c r="E72" i="8"/>
  <c r="F72" i="8" s="1"/>
  <c r="D72" i="8"/>
  <c r="B72" i="8"/>
  <c r="A72" i="8"/>
  <c r="AH69" i="4"/>
  <c r="AF69" i="4"/>
  <c r="AN69" i="4" s="1"/>
  <c r="V69" i="4"/>
  <c r="V69" i="2" s="1"/>
  <c r="P19" i="6" s="1"/>
  <c r="S69" i="4"/>
  <c r="S70" i="11" s="1"/>
  <c r="R69" i="4"/>
  <c r="Q69" i="4"/>
  <c r="R70" i="11" s="1"/>
  <c r="M69" i="4"/>
  <c r="AB69" i="4" s="1"/>
  <c r="I69" i="4"/>
  <c r="E70" i="11" s="1"/>
  <c r="D69" i="2"/>
  <c r="AH68" i="4"/>
  <c r="AJ68" i="4" s="1"/>
  <c r="AK68" i="4" s="1"/>
  <c r="AL68" i="4" s="1"/>
  <c r="AF68" i="4"/>
  <c r="AN68" i="4" s="1"/>
  <c r="V68" i="4"/>
  <c r="V68" i="2" s="1"/>
  <c r="P18" i="6" s="1"/>
  <c r="S68" i="4"/>
  <c r="R68" i="4"/>
  <c r="Q68" i="4"/>
  <c r="M68" i="4"/>
  <c r="AB68" i="4" s="1"/>
  <c r="I68" i="4"/>
  <c r="E69" i="11" s="1"/>
  <c r="G162" i="2" l="1"/>
  <c r="L162" i="2"/>
  <c r="L96" i="2"/>
  <c r="G96" i="2"/>
  <c r="Z165" i="11"/>
  <c r="Q165" i="11"/>
  <c r="G206" i="2"/>
  <c r="L206" i="2"/>
  <c r="G97" i="11"/>
  <c r="G203" i="2"/>
  <c r="L203" i="2"/>
  <c r="Z209" i="11"/>
  <c r="Q209" i="11"/>
  <c r="G206" i="11"/>
  <c r="H325" i="2"/>
  <c r="J264" i="6"/>
  <c r="D330" i="11"/>
  <c r="L201" i="2"/>
  <c r="G201" i="2"/>
  <c r="Q206" i="11"/>
  <c r="Z206" i="11"/>
  <c r="G69" i="2"/>
  <c r="L69" i="2"/>
  <c r="L93" i="2"/>
  <c r="G93" i="2"/>
  <c r="G204" i="11"/>
  <c r="L208" i="2"/>
  <c r="G208" i="2"/>
  <c r="G209" i="11"/>
  <c r="G70" i="11"/>
  <c r="G94" i="11"/>
  <c r="L163" i="2"/>
  <c r="G163" i="2"/>
  <c r="G211" i="11"/>
  <c r="J284" i="6"/>
  <c r="D355" i="11"/>
  <c r="Z97" i="11"/>
  <c r="Q97" i="11"/>
  <c r="Z70" i="11"/>
  <c r="Q70" i="11"/>
  <c r="G166" i="11"/>
  <c r="Z204" i="11"/>
  <c r="Q204" i="11"/>
  <c r="H351" i="2"/>
  <c r="J285" i="6"/>
  <c r="D356" i="11"/>
  <c r="Z166" i="11"/>
  <c r="Q166" i="11"/>
  <c r="G165" i="11"/>
  <c r="Q94" i="11"/>
  <c r="Z94" i="11"/>
  <c r="Z211" i="11"/>
  <c r="Q211" i="11"/>
  <c r="Z69" i="4"/>
  <c r="N175" i="8"/>
  <c r="N219" i="8"/>
  <c r="G69" i="11"/>
  <c r="M69" i="11"/>
  <c r="Z162" i="4"/>
  <c r="K203" i="4"/>
  <c r="K206" i="4"/>
  <c r="K96" i="4"/>
  <c r="N100" i="8"/>
  <c r="Z206" i="4"/>
  <c r="N216" i="8"/>
  <c r="K93" i="4"/>
  <c r="Z203" i="4"/>
  <c r="K208" i="4"/>
  <c r="Z68" i="4"/>
  <c r="S69" i="11"/>
  <c r="K163" i="4"/>
  <c r="N214" i="8"/>
  <c r="C387" i="8"/>
  <c r="Z163" i="4"/>
  <c r="N72" i="8"/>
  <c r="R69" i="11"/>
  <c r="H73" i="8"/>
  <c r="N97" i="8"/>
  <c r="N221" i="8"/>
  <c r="Z96" i="4"/>
  <c r="N176" i="8"/>
  <c r="Z201" i="4"/>
  <c r="K201" i="4"/>
  <c r="N73" i="8"/>
  <c r="Z93" i="4"/>
  <c r="K162" i="4"/>
  <c r="Z208" i="4"/>
  <c r="C386" i="8"/>
  <c r="AM350" i="4"/>
  <c r="G201" i="4"/>
  <c r="L208" i="4"/>
  <c r="AA208" i="4" s="1"/>
  <c r="AG163" i="4"/>
  <c r="AI163" i="4" s="1"/>
  <c r="L93" i="4"/>
  <c r="AA93" i="4" s="1"/>
  <c r="G68" i="4"/>
  <c r="D68" i="2"/>
  <c r="L162" i="4"/>
  <c r="AA162" i="4" s="1"/>
  <c r="L206" i="4"/>
  <c r="AA206" i="4" s="1"/>
  <c r="M387" i="8"/>
  <c r="L96" i="4"/>
  <c r="AA96" i="4" s="1"/>
  <c r="AG69" i="4"/>
  <c r="AM69" i="4" s="1"/>
  <c r="L203" i="4"/>
  <c r="AA203" i="4" s="1"/>
  <c r="M386" i="8"/>
  <c r="M361" i="8"/>
  <c r="AJ325" i="4"/>
  <c r="AK325" i="4" s="1"/>
  <c r="AL325" i="4" s="1"/>
  <c r="C361" i="8"/>
  <c r="H216" i="8"/>
  <c r="H221" i="8"/>
  <c r="AI325" i="4"/>
  <c r="AM325" i="4"/>
  <c r="O214" i="8"/>
  <c r="P214" i="8" s="1"/>
  <c r="O216" i="8"/>
  <c r="P216" i="8" s="1"/>
  <c r="O221" i="8"/>
  <c r="P221" i="8" s="1"/>
  <c r="O219" i="8"/>
  <c r="P219" i="8" s="1"/>
  <c r="H214" i="8"/>
  <c r="H219" i="8"/>
  <c r="G208" i="4"/>
  <c r="C211" i="11" s="1"/>
  <c r="G206" i="4"/>
  <c r="C209" i="11" s="1"/>
  <c r="G203" i="4"/>
  <c r="C206" i="11" s="1"/>
  <c r="AG203" i="4"/>
  <c r="AG201" i="4"/>
  <c r="L201" i="4"/>
  <c r="AA201" i="4" s="1"/>
  <c r="O175" i="8"/>
  <c r="P175" i="8" s="1"/>
  <c r="O176" i="8"/>
  <c r="P176" i="8" s="1"/>
  <c r="H176" i="8"/>
  <c r="H175" i="8"/>
  <c r="O97" i="8"/>
  <c r="P97" i="8" s="1"/>
  <c r="O100" i="8"/>
  <c r="P100" i="8" s="1"/>
  <c r="L163" i="4"/>
  <c r="AA163" i="4" s="1"/>
  <c r="G163" i="4"/>
  <c r="C166" i="11" s="1"/>
  <c r="G162" i="4"/>
  <c r="C165" i="11" s="1"/>
  <c r="AG162" i="4"/>
  <c r="H100" i="8"/>
  <c r="H97" i="8"/>
  <c r="L69" i="4"/>
  <c r="AA69" i="4" s="1"/>
  <c r="O72" i="8"/>
  <c r="P72" i="8" s="1"/>
  <c r="G93" i="4"/>
  <c r="C94" i="11" s="1"/>
  <c r="G96" i="4"/>
  <c r="C97" i="11" s="1"/>
  <c r="L68" i="4"/>
  <c r="AA68" i="4" s="1"/>
  <c r="AG68" i="4"/>
  <c r="AI68" i="4" s="1"/>
  <c r="G69" i="4"/>
  <c r="C70" i="11" s="1"/>
  <c r="H72" i="8"/>
  <c r="K68" i="4"/>
  <c r="K69" i="4"/>
  <c r="O73" i="8"/>
  <c r="P73" i="8" s="1"/>
  <c r="H69" i="2" l="1"/>
  <c r="J19" i="6"/>
  <c r="D70" i="11"/>
  <c r="H206" i="2"/>
  <c r="J230" i="6"/>
  <c r="D209" i="11"/>
  <c r="H163" i="2"/>
  <c r="J195" i="6"/>
  <c r="D166" i="11"/>
  <c r="S325" i="2"/>
  <c r="W330" i="11" s="1"/>
  <c r="K264" i="6"/>
  <c r="M264" i="6" s="1"/>
  <c r="I325" i="2"/>
  <c r="H93" i="2"/>
  <c r="J176" i="6"/>
  <c r="D94" i="11"/>
  <c r="H96" i="2"/>
  <c r="J179" i="6"/>
  <c r="D97" i="11"/>
  <c r="H208" i="2"/>
  <c r="J232" i="6"/>
  <c r="D211" i="11"/>
  <c r="H201" i="2"/>
  <c r="J225" i="6"/>
  <c r="D204" i="11"/>
  <c r="H203" i="2"/>
  <c r="J227" i="6"/>
  <c r="D206" i="11"/>
  <c r="K285" i="6"/>
  <c r="M285" i="6" s="1"/>
  <c r="I351" i="2"/>
  <c r="S351" i="2"/>
  <c r="W356" i="11" s="1"/>
  <c r="AJ201" i="4"/>
  <c r="AK201" i="4" s="1"/>
  <c r="AL201" i="4" s="1"/>
  <c r="C204" i="11"/>
  <c r="H162" i="2"/>
  <c r="J34" i="6"/>
  <c r="D165" i="11"/>
  <c r="C97" i="8"/>
  <c r="O69" i="11"/>
  <c r="C72" i="8"/>
  <c r="C69" i="11"/>
  <c r="AA69" i="11"/>
  <c r="Q69" i="11"/>
  <c r="Z69" i="11"/>
  <c r="C100" i="8"/>
  <c r="C214" i="8"/>
  <c r="C219" i="8"/>
  <c r="C221" i="8"/>
  <c r="AM163" i="4"/>
  <c r="AI69" i="4"/>
  <c r="G68" i="2"/>
  <c r="J18" i="6" s="1"/>
  <c r="L68" i="2"/>
  <c r="M219" i="8"/>
  <c r="M221" i="8"/>
  <c r="M216" i="8"/>
  <c r="M214" i="8"/>
  <c r="AJ203" i="4"/>
  <c r="AK203" i="4" s="1"/>
  <c r="AL203" i="4" s="1"/>
  <c r="C216" i="8"/>
  <c r="M175" i="8"/>
  <c r="AI203" i="4"/>
  <c r="AM203" i="4"/>
  <c r="AM201" i="4"/>
  <c r="AI201" i="4"/>
  <c r="AJ163" i="4"/>
  <c r="AK163" i="4" s="1"/>
  <c r="AL163" i="4" s="1"/>
  <c r="C176" i="8"/>
  <c r="AJ162" i="4"/>
  <c r="AK162" i="4" s="1"/>
  <c r="AL162" i="4" s="1"/>
  <c r="C175" i="8"/>
  <c r="M176" i="8"/>
  <c r="M97" i="8"/>
  <c r="M100" i="8"/>
  <c r="AM162" i="4"/>
  <c r="AI162" i="4"/>
  <c r="M72" i="8"/>
  <c r="M73" i="8"/>
  <c r="AM68" i="4"/>
  <c r="AJ69" i="4"/>
  <c r="AK69" i="4" s="1"/>
  <c r="AL69" i="4" s="1"/>
  <c r="C73" i="8"/>
  <c r="K325" i="2" l="1"/>
  <c r="I330" i="11"/>
  <c r="K351" i="2"/>
  <c r="I356" i="11"/>
  <c r="U356" i="11"/>
  <c r="Y356" i="11" s="1"/>
  <c r="AA356" i="11"/>
  <c r="AA330" i="11"/>
  <c r="U330" i="11"/>
  <c r="Y330" i="11" s="1"/>
  <c r="K19" i="6"/>
  <c r="M19" i="6" s="1"/>
  <c r="S69" i="2"/>
  <c r="W70" i="11" s="1"/>
  <c r="I69" i="2"/>
  <c r="K176" i="6"/>
  <c r="M176" i="6" s="1"/>
  <c r="S93" i="2"/>
  <c r="W94" i="11" s="1"/>
  <c r="I93" i="2"/>
  <c r="S206" i="2"/>
  <c r="W209" i="11" s="1"/>
  <c r="K230" i="6"/>
  <c r="M230" i="6" s="1"/>
  <c r="I206" i="2"/>
  <c r="I203" i="2"/>
  <c r="K227" i="6"/>
  <c r="M227" i="6" s="1"/>
  <c r="S203" i="2"/>
  <c r="W206" i="11" s="1"/>
  <c r="K232" i="6"/>
  <c r="M232" i="6" s="1"/>
  <c r="I208" i="2"/>
  <c r="S208" i="2"/>
  <c r="W211" i="11" s="1"/>
  <c r="I163" i="2"/>
  <c r="K195" i="6"/>
  <c r="M195" i="6" s="1"/>
  <c r="S163" i="2"/>
  <c r="W166" i="11" s="1"/>
  <c r="S162" i="2"/>
  <c r="W165" i="11" s="1"/>
  <c r="K34" i="6"/>
  <c r="M34" i="6" s="1"/>
  <c r="I162" i="2"/>
  <c r="I201" i="2"/>
  <c r="K225" i="6"/>
  <c r="M225" i="6" s="1"/>
  <c r="S201" i="2"/>
  <c r="W204" i="11" s="1"/>
  <c r="S96" i="2"/>
  <c r="W97" i="11" s="1"/>
  <c r="K179" i="6"/>
  <c r="M179" i="6" s="1"/>
  <c r="I96" i="2"/>
  <c r="Y69" i="11"/>
  <c r="D69" i="11"/>
  <c r="Q254" i="4"/>
  <c r="R259" i="11" s="1"/>
  <c r="Z259" i="11" s="1"/>
  <c r="R254" i="4"/>
  <c r="S254" i="4"/>
  <c r="S259" i="11" s="1"/>
  <c r="M254" i="4"/>
  <c r="AB254" i="4" s="1"/>
  <c r="I254" i="4"/>
  <c r="V234" i="4"/>
  <c r="Q234" i="4"/>
  <c r="R238" i="11" s="1"/>
  <c r="R234" i="4"/>
  <c r="S234" i="4"/>
  <c r="S238" i="11" s="1"/>
  <c r="AA238" i="11" s="1"/>
  <c r="M234" i="4"/>
  <c r="AB234" i="4" s="1"/>
  <c r="I234" i="4"/>
  <c r="Z153" i="4"/>
  <c r="AA153" i="4"/>
  <c r="AB153" i="4"/>
  <c r="V140" i="4"/>
  <c r="V140" i="2" s="1"/>
  <c r="P131" i="6" s="1"/>
  <c r="Q140" i="4"/>
  <c r="R143" i="11" s="1"/>
  <c r="R140" i="4"/>
  <c r="S140" i="4"/>
  <c r="S143" i="11" s="1"/>
  <c r="Q141" i="4"/>
  <c r="R144" i="11" s="1"/>
  <c r="R141" i="4"/>
  <c r="S141" i="4"/>
  <c r="S144" i="11" s="1"/>
  <c r="Q142" i="4"/>
  <c r="R145" i="11" s="1"/>
  <c r="R142" i="4"/>
  <c r="S142" i="4"/>
  <c r="S145" i="11" s="1"/>
  <c r="M140" i="4"/>
  <c r="AB140" i="4" s="1"/>
  <c r="M141" i="4"/>
  <c r="AB141" i="4" s="1"/>
  <c r="M142" i="4"/>
  <c r="AB142" i="4" s="1"/>
  <c r="I140" i="4"/>
  <c r="I141" i="4"/>
  <c r="I142" i="4"/>
  <c r="D140" i="2"/>
  <c r="D141" i="2"/>
  <c r="D142" i="2"/>
  <c r="V21" i="4"/>
  <c r="V21" i="2" s="1"/>
  <c r="P115" i="6" s="1"/>
  <c r="Q21" i="4"/>
  <c r="R21" i="11" s="1"/>
  <c r="R21" i="4"/>
  <c r="S21" i="4"/>
  <c r="S21" i="11" s="1"/>
  <c r="M21" i="4"/>
  <c r="AB21" i="4" s="1"/>
  <c r="I21" i="4"/>
  <c r="D21" i="2"/>
  <c r="G141" i="2" l="1"/>
  <c r="L141" i="2"/>
  <c r="K208" i="2"/>
  <c r="I211" i="11"/>
  <c r="E145" i="11"/>
  <c r="E70" i="7"/>
  <c r="Q238" i="11"/>
  <c r="Y238" i="11" s="1"/>
  <c r="Z238" i="11"/>
  <c r="U211" i="11"/>
  <c r="Y211" i="11" s="1"/>
  <c r="AA211" i="11"/>
  <c r="G140" i="2"/>
  <c r="L140" i="2"/>
  <c r="K201" i="2"/>
  <c r="I204" i="11"/>
  <c r="K203" i="2"/>
  <c r="I206" i="11"/>
  <c r="U204" i="11"/>
  <c r="Y204" i="11" s="1"/>
  <c r="AA204" i="11"/>
  <c r="E143" i="11"/>
  <c r="E68" i="7"/>
  <c r="K162" i="2"/>
  <c r="I165" i="11"/>
  <c r="K206" i="2"/>
  <c r="I209" i="11"/>
  <c r="K96" i="2"/>
  <c r="I97" i="11"/>
  <c r="K69" i="2"/>
  <c r="I70" i="11"/>
  <c r="U70" i="11"/>
  <c r="Y70" i="11" s="1"/>
  <c r="AA70" i="11"/>
  <c r="Q143" i="11"/>
  <c r="Z143" i="11"/>
  <c r="M356" i="11"/>
  <c r="K356" i="11"/>
  <c r="O356" i="11" s="1"/>
  <c r="G21" i="2"/>
  <c r="L21" i="2"/>
  <c r="E21" i="11"/>
  <c r="E17" i="7"/>
  <c r="U165" i="11"/>
  <c r="Y165" i="11" s="1"/>
  <c r="AA165" i="11"/>
  <c r="U209" i="11"/>
  <c r="Y209" i="11" s="1"/>
  <c r="AA209" i="11"/>
  <c r="K163" i="2"/>
  <c r="I166" i="11"/>
  <c r="U206" i="11"/>
  <c r="Y206" i="11" s="1"/>
  <c r="AA206" i="11"/>
  <c r="Q21" i="11"/>
  <c r="Z21" i="11"/>
  <c r="U166" i="11"/>
  <c r="Y166" i="11" s="1"/>
  <c r="AA166" i="11"/>
  <c r="K93" i="2"/>
  <c r="I94" i="11"/>
  <c r="K330" i="11"/>
  <c r="O330" i="11" s="1"/>
  <c r="M330" i="11"/>
  <c r="G142" i="2"/>
  <c r="L142" i="2"/>
  <c r="Z144" i="11"/>
  <c r="Q144" i="11"/>
  <c r="U97" i="11"/>
  <c r="Y97" i="11" s="1"/>
  <c r="AA97" i="11"/>
  <c r="E144" i="11"/>
  <c r="E69" i="7"/>
  <c r="Q145" i="11"/>
  <c r="Z145" i="11"/>
  <c r="E97" i="7"/>
  <c r="E238" i="11"/>
  <c r="U94" i="11"/>
  <c r="Y94" i="11" s="1"/>
  <c r="AA94" i="11"/>
  <c r="E103" i="7"/>
  <c r="E259" i="11"/>
  <c r="Q259" i="11"/>
  <c r="Y259" i="11" s="1"/>
  <c r="AA259" i="11"/>
  <c r="L254" i="4"/>
  <c r="AA254" i="4" s="1"/>
  <c r="G254" i="4"/>
  <c r="C259" i="11" s="1"/>
  <c r="Z142" i="4"/>
  <c r="Z141" i="4"/>
  <c r="Z140" i="4"/>
  <c r="V234" i="2"/>
  <c r="P238" i="6" s="1"/>
  <c r="G234" i="2"/>
  <c r="L234" i="2"/>
  <c r="N252" i="8"/>
  <c r="N155" i="8"/>
  <c r="N21" i="8"/>
  <c r="N154" i="8"/>
  <c r="N277" i="8"/>
  <c r="N153" i="8"/>
  <c r="L234" i="4"/>
  <c r="AA234" i="4" s="1"/>
  <c r="L21" i="4"/>
  <c r="AA21" i="4" s="1"/>
  <c r="G142" i="4"/>
  <c r="G141" i="4"/>
  <c r="G140" i="4"/>
  <c r="Z21" i="4"/>
  <c r="O21" i="8"/>
  <c r="P21" i="8" s="1"/>
  <c r="O154" i="8"/>
  <c r="P154" i="8" s="1"/>
  <c r="K142" i="4"/>
  <c r="L70" i="3" s="1"/>
  <c r="H155" i="8"/>
  <c r="Z254" i="4"/>
  <c r="O277" i="8"/>
  <c r="P277" i="8" s="1"/>
  <c r="K254" i="4"/>
  <c r="L98" i="3" s="1"/>
  <c r="H277" i="8"/>
  <c r="K140" i="4"/>
  <c r="L68" i="3" s="1"/>
  <c r="H153" i="8"/>
  <c r="O153" i="8"/>
  <c r="P153" i="8" s="1"/>
  <c r="K234" i="4"/>
  <c r="L93" i="3" s="1"/>
  <c r="H252" i="8"/>
  <c r="K141" i="4"/>
  <c r="L69" i="3" s="1"/>
  <c r="H154" i="8"/>
  <c r="Z234" i="4"/>
  <c r="O252" i="8"/>
  <c r="P252" i="8" s="1"/>
  <c r="K21" i="4"/>
  <c r="L20" i="3" s="1"/>
  <c r="H21" i="8"/>
  <c r="O155" i="8"/>
  <c r="P155" i="8" s="1"/>
  <c r="G234" i="4"/>
  <c r="C238" i="11" s="1"/>
  <c r="L140" i="4"/>
  <c r="AA140" i="4" s="1"/>
  <c r="L142" i="4"/>
  <c r="AA142" i="4" s="1"/>
  <c r="L141" i="4"/>
  <c r="AA141" i="4" s="1"/>
  <c r="G21" i="4"/>
  <c r="F68" i="7" l="1"/>
  <c r="K68" i="7"/>
  <c r="F97" i="7"/>
  <c r="K97" i="7"/>
  <c r="F103" i="7"/>
  <c r="K103" i="7"/>
  <c r="F69" i="7"/>
  <c r="K69" i="7"/>
  <c r="F70" i="7"/>
  <c r="K70" i="7"/>
  <c r="F17" i="7"/>
  <c r="K17" i="7"/>
  <c r="M238" i="11"/>
  <c r="G238" i="11"/>
  <c r="O238" i="11" s="1"/>
  <c r="G143" i="11"/>
  <c r="K166" i="11"/>
  <c r="O166" i="11" s="1"/>
  <c r="M166" i="11"/>
  <c r="J238" i="6"/>
  <c r="F92" i="1"/>
  <c r="C92" i="1"/>
  <c r="G92" i="1"/>
  <c r="H92" i="1"/>
  <c r="I92" i="1"/>
  <c r="D238" i="11"/>
  <c r="J92" i="1"/>
  <c r="K92" i="1"/>
  <c r="B92" i="1"/>
  <c r="D92" i="1"/>
  <c r="E92" i="1"/>
  <c r="H140" i="2"/>
  <c r="J131" i="6"/>
  <c r="E67" i="1"/>
  <c r="D143" i="11"/>
  <c r="B67" i="1"/>
  <c r="J67" i="1"/>
  <c r="C67" i="1"/>
  <c r="D67" i="1"/>
  <c r="F67" i="1"/>
  <c r="G67" i="1"/>
  <c r="H67" i="1"/>
  <c r="I67" i="1"/>
  <c r="K94" i="11"/>
  <c r="O94" i="11" s="1"/>
  <c r="M94" i="11"/>
  <c r="C143" i="11"/>
  <c r="I68" i="3"/>
  <c r="D68" i="3"/>
  <c r="E68" i="3"/>
  <c r="K68" i="3"/>
  <c r="C68" i="3"/>
  <c r="F68" i="3"/>
  <c r="G68" i="3"/>
  <c r="H68" i="3"/>
  <c r="J68" i="3"/>
  <c r="G144" i="11"/>
  <c r="K70" i="11"/>
  <c r="O70" i="11" s="1"/>
  <c r="M70" i="11"/>
  <c r="K206" i="11"/>
  <c r="O206" i="11" s="1"/>
  <c r="M206" i="11"/>
  <c r="G145" i="11"/>
  <c r="K211" i="11"/>
  <c r="O211" i="11" s="1"/>
  <c r="M211" i="11"/>
  <c r="C145" i="11"/>
  <c r="K70" i="3"/>
  <c r="D70" i="3"/>
  <c r="E70" i="3"/>
  <c r="I70" i="3"/>
  <c r="J70" i="3"/>
  <c r="H70" i="3"/>
  <c r="C70" i="3"/>
  <c r="F70" i="3"/>
  <c r="G70" i="3"/>
  <c r="G21" i="11"/>
  <c r="K97" i="11"/>
  <c r="O97" i="11" s="1"/>
  <c r="M97" i="11"/>
  <c r="K204" i="11"/>
  <c r="O204" i="11" s="1"/>
  <c r="M204" i="11"/>
  <c r="H142" i="2"/>
  <c r="J133" i="6"/>
  <c r="D145" i="11"/>
  <c r="B69" i="1"/>
  <c r="C69" i="1"/>
  <c r="D69" i="1"/>
  <c r="E69" i="1"/>
  <c r="F69" i="1"/>
  <c r="G69" i="1"/>
  <c r="H69" i="1"/>
  <c r="I69" i="1"/>
  <c r="J69" i="1"/>
  <c r="K165" i="11"/>
  <c r="O165" i="11" s="1"/>
  <c r="M165" i="11"/>
  <c r="C21" i="11"/>
  <c r="I20" i="3"/>
  <c r="D20" i="3"/>
  <c r="E20" i="3"/>
  <c r="F20" i="3"/>
  <c r="G20" i="3"/>
  <c r="H20" i="3"/>
  <c r="J20" i="3"/>
  <c r="K20" i="3"/>
  <c r="C20" i="3"/>
  <c r="C144" i="11"/>
  <c r="J69" i="3"/>
  <c r="C69" i="3"/>
  <c r="G69" i="3"/>
  <c r="H69" i="3"/>
  <c r="D69" i="3"/>
  <c r="E69" i="3"/>
  <c r="F69" i="3"/>
  <c r="K69" i="3"/>
  <c r="I69" i="3"/>
  <c r="H21" i="2"/>
  <c r="J115" i="6"/>
  <c r="D21" i="11"/>
  <c r="J19" i="1"/>
  <c r="B19" i="1"/>
  <c r="C19" i="1"/>
  <c r="D19" i="1"/>
  <c r="E19" i="1"/>
  <c r="F19" i="1"/>
  <c r="G19" i="1"/>
  <c r="H19" i="1"/>
  <c r="I19" i="1"/>
  <c r="K209" i="11"/>
  <c r="O209" i="11" s="1"/>
  <c r="M209" i="11"/>
  <c r="H141" i="2"/>
  <c r="K68" i="1" s="1"/>
  <c r="J132" i="6"/>
  <c r="D144" i="11"/>
  <c r="B68" i="1"/>
  <c r="C68" i="1"/>
  <c r="D68" i="1"/>
  <c r="E68" i="1"/>
  <c r="F68" i="1"/>
  <c r="G68" i="1"/>
  <c r="H68" i="1"/>
  <c r="I68" i="1"/>
  <c r="J68" i="1"/>
  <c r="G259" i="11"/>
  <c r="O259" i="11" s="1"/>
  <c r="M259" i="11"/>
  <c r="C93" i="3"/>
  <c r="D93" i="3"/>
  <c r="E93" i="3"/>
  <c r="F93" i="3"/>
  <c r="G93" i="3"/>
  <c r="K93" i="3"/>
  <c r="H93" i="3"/>
  <c r="I93" i="3"/>
  <c r="J93" i="3"/>
  <c r="E98" i="3"/>
  <c r="F98" i="3"/>
  <c r="G98" i="3"/>
  <c r="H98" i="3"/>
  <c r="I98" i="3"/>
  <c r="J98" i="3"/>
  <c r="K98" i="3"/>
  <c r="C98" i="3"/>
  <c r="D98" i="3"/>
  <c r="C155" i="8"/>
  <c r="C154" i="8"/>
  <c r="C252" i="8"/>
  <c r="C277" i="8"/>
  <c r="C21" i="8"/>
  <c r="C153" i="8"/>
  <c r="L254" i="2"/>
  <c r="G254" i="2"/>
  <c r="M154" i="8"/>
  <c r="M21" i="8"/>
  <c r="M153" i="8"/>
  <c r="M155" i="8"/>
  <c r="M277" i="8"/>
  <c r="M252" i="8"/>
  <c r="S140" i="2" l="1"/>
  <c r="W143" i="11" s="1"/>
  <c r="K131" i="6"/>
  <c r="M131" i="6" s="1"/>
  <c r="I140" i="2"/>
  <c r="K133" i="6"/>
  <c r="M133" i="6" s="1"/>
  <c r="I142" i="2"/>
  <c r="S142" i="2"/>
  <c r="W145" i="11" s="1"/>
  <c r="S21" i="2"/>
  <c r="W21" i="11" s="1"/>
  <c r="K115" i="6"/>
  <c r="M115" i="6" s="1"/>
  <c r="I21" i="2"/>
  <c r="K19" i="1"/>
  <c r="I141" i="2"/>
  <c r="K132" i="6"/>
  <c r="M132" i="6" s="1"/>
  <c r="S141" i="2"/>
  <c r="W144" i="11" s="1"/>
  <c r="K69" i="1"/>
  <c r="K67" i="1"/>
  <c r="J241" i="6"/>
  <c r="B97" i="1"/>
  <c r="D259" i="11"/>
  <c r="C97" i="1"/>
  <c r="D97" i="1"/>
  <c r="E97" i="1"/>
  <c r="F97" i="1"/>
  <c r="G97" i="1"/>
  <c r="H97" i="1"/>
  <c r="I97" i="1"/>
  <c r="J97" i="1"/>
  <c r="K97" i="1"/>
  <c r="I161" i="7"/>
  <c r="F161" i="7"/>
  <c r="E163" i="7"/>
  <c r="G163" i="7"/>
  <c r="H163" i="7"/>
  <c r="D163" i="7"/>
  <c r="J163" i="7" l="1"/>
  <c r="K163" i="7"/>
  <c r="K21" i="2"/>
  <c r="L19" i="1" s="1"/>
  <c r="I21" i="11"/>
  <c r="K142" i="2"/>
  <c r="L69" i="1" s="1"/>
  <c r="I145" i="11"/>
  <c r="U21" i="11"/>
  <c r="Y21" i="11" s="1"/>
  <c r="AA21" i="11"/>
  <c r="K140" i="2"/>
  <c r="L67" i="1" s="1"/>
  <c r="I143" i="11"/>
  <c r="U145" i="11"/>
  <c r="Y145" i="11" s="1"/>
  <c r="AA145" i="11"/>
  <c r="U144" i="11"/>
  <c r="Y144" i="11" s="1"/>
  <c r="AA144" i="11"/>
  <c r="K141" i="2"/>
  <c r="L68" i="1" s="1"/>
  <c r="I144" i="11"/>
  <c r="U143" i="11"/>
  <c r="Y143" i="11" s="1"/>
  <c r="AA143" i="11"/>
  <c r="A412" i="8"/>
  <c r="D412" i="8"/>
  <c r="E412" i="8"/>
  <c r="F412" i="8" s="1"/>
  <c r="I412" i="8"/>
  <c r="J412" i="8"/>
  <c r="K412" i="8"/>
  <c r="S376" i="4"/>
  <c r="S381" i="11" s="1"/>
  <c r="AA381" i="11" s="1"/>
  <c r="R376" i="4"/>
  <c r="Q376" i="4"/>
  <c r="R381" i="11" s="1"/>
  <c r="M376" i="4"/>
  <c r="AB376" i="4" s="1"/>
  <c r="I376" i="4"/>
  <c r="E381" i="11" s="1"/>
  <c r="D376" i="2"/>
  <c r="A222" i="8"/>
  <c r="B222" i="8"/>
  <c r="D222" i="8"/>
  <c r="E222" i="8"/>
  <c r="F222" i="8" s="1"/>
  <c r="I222" i="8"/>
  <c r="J222" i="8"/>
  <c r="K222" i="8"/>
  <c r="V209" i="4"/>
  <c r="V209" i="2" s="1"/>
  <c r="P233" i="6" s="1"/>
  <c r="S209" i="4"/>
  <c r="S212" i="11" s="1"/>
  <c r="R209" i="4"/>
  <c r="Q209" i="4"/>
  <c r="R212" i="11" s="1"/>
  <c r="M209" i="4"/>
  <c r="AB209" i="4" s="1"/>
  <c r="I209" i="4"/>
  <c r="E212" i="11" s="1"/>
  <c r="D209" i="2"/>
  <c r="A211" i="8"/>
  <c r="B211" i="8"/>
  <c r="D211" i="8"/>
  <c r="E211" i="8"/>
  <c r="F211" i="8" s="1"/>
  <c r="I211" i="8"/>
  <c r="J211" i="8"/>
  <c r="K211" i="8"/>
  <c r="A213" i="8"/>
  <c r="B213" i="8"/>
  <c r="D213" i="8"/>
  <c r="E213" i="8"/>
  <c r="F213" i="8" s="1"/>
  <c r="I213" i="8"/>
  <c r="J213" i="8"/>
  <c r="K213" i="8"/>
  <c r="AH200" i="4"/>
  <c r="AF200" i="4"/>
  <c r="AN200" i="4" s="1"/>
  <c r="V200" i="4"/>
  <c r="V200" i="2" s="1"/>
  <c r="P224" i="6" s="1"/>
  <c r="S200" i="4"/>
  <c r="S203" i="11" s="1"/>
  <c r="R200" i="4"/>
  <c r="Q200" i="4"/>
  <c r="R203" i="11" s="1"/>
  <c r="M200" i="4"/>
  <c r="AB200" i="4" s="1"/>
  <c r="I200" i="4"/>
  <c r="E203" i="11" s="1"/>
  <c r="D200" i="2"/>
  <c r="AH198" i="4"/>
  <c r="AF198" i="4"/>
  <c r="AN198" i="4" s="1"/>
  <c r="V198" i="4"/>
  <c r="V198" i="2" s="1"/>
  <c r="P222" i="6" s="1"/>
  <c r="S198" i="4"/>
  <c r="S201" i="11" s="1"/>
  <c r="R198" i="4"/>
  <c r="Q198" i="4"/>
  <c r="R201" i="11" s="1"/>
  <c r="M198" i="4"/>
  <c r="AB198" i="4" s="1"/>
  <c r="I198" i="4"/>
  <c r="E201" i="11" s="1"/>
  <c r="D198" i="2"/>
  <c r="A174" i="8"/>
  <c r="B174" i="8"/>
  <c r="D174" i="8"/>
  <c r="E174" i="8"/>
  <c r="F174" i="8" s="1"/>
  <c r="I174" i="8"/>
  <c r="J174" i="8"/>
  <c r="K174" i="8"/>
  <c r="AH161" i="4"/>
  <c r="AF161" i="4"/>
  <c r="AN161" i="4" s="1"/>
  <c r="V161" i="4"/>
  <c r="V161" i="2" s="1"/>
  <c r="P194" i="6" s="1"/>
  <c r="S161" i="4"/>
  <c r="S164" i="11" s="1"/>
  <c r="R161" i="4"/>
  <c r="Q161" i="4"/>
  <c r="R164" i="11" s="1"/>
  <c r="M161" i="4"/>
  <c r="AB161" i="4" s="1"/>
  <c r="I161" i="4"/>
  <c r="E164" i="11" s="1"/>
  <c r="D161" i="2"/>
  <c r="A99" i="8"/>
  <c r="B99" i="8"/>
  <c r="D99" i="8"/>
  <c r="E99" i="8"/>
  <c r="F99" i="8" s="1"/>
  <c r="I99" i="8"/>
  <c r="J99" i="8"/>
  <c r="K99" i="8"/>
  <c r="V95" i="4"/>
  <c r="V95" i="2" s="1"/>
  <c r="P178" i="6" s="1"/>
  <c r="S95" i="4"/>
  <c r="S96" i="11" s="1"/>
  <c r="R95" i="4"/>
  <c r="Q95" i="4"/>
  <c r="R96" i="11" s="1"/>
  <c r="M95" i="4"/>
  <c r="AB95" i="4" s="1"/>
  <c r="I95" i="4"/>
  <c r="E96" i="11" s="1"/>
  <c r="D95" i="2"/>
  <c r="K143" i="11" l="1"/>
  <c r="O143" i="11" s="1"/>
  <c r="M143" i="11"/>
  <c r="Q201" i="11"/>
  <c r="Z201" i="11"/>
  <c r="G96" i="11"/>
  <c r="L209" i="2"/>
  <c r="G209" i="2"/>
  <c r="L95" i="2"/>
  <c r="G95" i="2"/>
  <c r="G164" i="11"/>
  <c r="G200" i="2"/>
  <c r="L200" i="2"/>
  <c r="G212" i="11"/>
  <c r="G203" i="11"/>
  <c r="G376" i="2"/>
  <c r="L376" i="2"/>
  <c r="K145" i="11"/>
  <c r="O145" i="11" s="1"/>
  <c r="M145" i="11"/>
  <c r="Q96" i="11"/>
  <c r="Z96" i="11"/>
  <c r="Q212" i="11"/>
  <c r="Z212" i="11"/>
  <c r="G381" i="11"/>
  <c r="O381" i="11" s="1"/>
  <c r="M381" i="11"/>
  <c r="L198" i="2"/>
  <c r="G198" i="2"/>
  <c r="Q203" i="11"/>
  <c r="Z203" i="11"/>
  <c r="K144" i="11"/>
  <c r="O144" i="11" s="1"/>
  <c r="M144" i="11"/>
  <c r="K21" i="11"/>
  <c r="O21" i="11" s="1"/>
  <c r="M21" i="11"/>
  <c r="L161" i="2"/>
  <c r="G161" i="2"/>
  <c r="Q164" i="11"/>
  <c r="Z164" i="11"/>
  <c r="G201" i="11"/>
  <c r="Q381" i="11"/>
  <c r="Y381" i="11" s="1"/>
  <c r="Z381" i="11"/>
  <c r="N211" i="8"/>
  <c r="Z376" i="4"/>
  <c r="Z209" i="4"/>
  <c r="Z200" i="4"/>
  <c r="Z198" i="4"/>
  <c r="N412" i="8"/>
  <c r="K95" i="4"/>
  <c r="N99" i="8"/>
  <c r="K209" i="4"/>
  <c r="K198" i="4"/>
  <c r="K161" i="4"/>
  <c r="K200" i="4"/>
  <c r="Z95" i="4"/>
  <c r="N174" i="8"/>
  <c r="N222" i="8"/>
  <c r="H412" i="8"/>
  <c r="Z161" i="4"/>
  <c r="N213" i="8"/>
  <c r="L200" i="4"/>
  <c r="AA200" i="4" s="1"/>
  <c r="L95" i="4"/>
  <c r="AA95" i="4" s="1"/>
  <c r="L161" i="4"/>
  <c r="AA161" i="4" s="1"/>
  <c r="G209" i="4"/>
  <c r="C212" i="11" s="1"/>
  <c r="L376" i="4"/>
  <c r="AA376" i="4" s="1"/>
  <c r="L198" i="4"/>
  <c r="AA198" i="4" s="1"/>
  <c r="K376" i="4"/>
  <c r="O412" i="8"/>
  <c r="G376" i="4"/>
  <c r="C381" i="11" s="1"/>
  <c r="O222" i="8"/>
  <c r="P222" i="8" s="1"/>
  <c r="H222" i="8"/>
  <c r="H213" i="8"/>
  <c r="L209" i="4"/>
  <c r="AA209" i="4" s="1"/>
  <c r="O213" i="8"/>
  <c r="P213" i="8" s="1"/>
  <c r="O211" i="8"/>
  <c r="P211" i="8" s="1"/>
  <c r="H211" i="8"/>
  <c r="AG161" i="4"/>
  <c r="AM161" i="4" s="1"/>
  <c r="AG200" i="4"/>
  <c r="G200" i="4"/>
  <c r="C203" i="11" s="1"/>
  <c r="G198" i="4"/>
  <c r="C201" i="11" s="1"/>
  <c r="AG198" i="4"/>
  <c r="O174" i="8"/>
  <c r="P174" i="8" s="1"/>
  <c r="G161" i="4"/>
  <c r="C164" i="11" s="1"/>
  <c r="H174" i="8"/>
  <c r="O99" i="8"/>
  <c r="P99" i="8" s="1"/>
  <c r="H99" i="8"/>
  <c r="G95" i="4"/>
  <c r="C96" i="11" s="1"/>
  <c r="H198" i="2" l="1"/>
  <c r="J222" i="6"/>
  <c r="D201" i="11"/>
  <c r="H209" i="2"/>
  <c r="J233" i="6"/>
  <c r="D212" i="11"/>
  <c r="J331" i="6"/>
  <c r="D381" i="11"/>
  <c r="H95" i="2"/>
  <c r="J178" i="6"/>
  <c r="D96" i="11"/>
  <c r="H161" i="2"/>
  <c r="J194" i="6"/>
  <c r="D164" i="11"/>
  <c r="H200" i="2"/>
  <c r="J224" i="6"/>
  <c r="D203" i="11"/>
  <c r="C174" i="8"/>
  <c r="C412" i="8"/>
  <c r="C222" i="8"/>
  <c r="C99" i="8"/>
  <c r="M412" i="8"/>
  <c r="P412" i="8"/>
  <c r="M222" i="8"/>
  <c r="M211" i="8"/>
  <c r="M213" i="8"/>
  <c r="AJ198" i="4"/>
  <c r="AK198" i="4" s="1"/>
  <c r="AL198" i="4" s="1"/>
  <c r="C211" i="8"/>
  <c r="AJ200" i="4"/>
  <c r="AK200" i="4" s="1"/>
  <c r="AL200" i="4" s="1"/>
  <c r="C213" i="8"/>
  <c r="AI161" i="4"/>
  <c r="AJ161" i="4"/>
  <c r="AK161" i="4" s="1"/>
  <c r="AL161" i="4" s="1"/>
  <c r="M174" i="8"/>
  <c r="AM200" i="4"/>
  <c r="AI200" i="4"/>
  <c r="AI198" i="4"/>
  <c r="AM198" i="4"/>
  <c r="M99" i="8"/>
  <c r="K233" i="6" l="1"/>
  <c r="M233" i="6" s="1"/>
  <c r="I209" i="2"/>
  <c r="S209" i="2"/>
  <c r="W212" i="11" s="1"/>
  <c r="K194" i="6"/>
  <c r="M194" i="6" s="1"/>
  <c r="S161" i="2"/>
  <c r="W164" i="11" s="1"/>
  <c r="I161" i="2"/>
  <c r="K224" i="6"/>
  <c r="M224" i="6" s="1"/>
  <c r="S200" i="2"/>
  <c r="W203" i="11" s="1"/>
  <c r="I200" i="2"/>
  <c r="S95" i="2"/>
  <c r="W96" i="11" s="1"/>
  <c r="K178" i="6"/>
  <c r="M178" i="6" s="1"/>
  <c r="I95" i="2"/>
  <c r="S198" i="2"/>
  <c r="W201" i="11" s="1"/>
  <c r="K222" i="6"/>
  <c r="M222" i="6" s="1"/>
  <c r="I198" i="2"/>
  <c r="K79" i="8"/>
  <c r="J79" i="8"/>
  <c r="I79" i="8"/>
  <c r="E79" i="8"/>
  <c r="D79" i="8"/>
  <c r="B79" i="8"/>
  <c r="A79" i="8"/>
  <c r="AH75" i="4"/>
  <c r="AF75" i="4"/>
  <c r="AN75" i="4" s="1"/>
  <c r="V75" i="4"/>
  <c r="V75" i="2" s="1"/>
  <c r="P25" i="6" s="1"/>
  <c r="S75" i="4"/>
  <c r="S76" i="11" s="1"/>
  <c r="R75" i="4"/>
  <c r="Q75" i="4"/>
  <c r="R76" i="11" s="1"/>
  <c r="M75" i="4"/>
  <c r="I75" i="4"/>
  <c r="E76" i="11" s="1"/>
  <c r="D75" i="2"/>
  <c r="U203" i="11" l="1"/>
  <c r="Y203" i="11" s="1"/>
  <c r="AA203" i="11"/>
  <c r="K161" i="2"/>
  <c r="I164" i="11"/>
  <c r="G76" i="11"/>
  <c r="U164" i="11"/>
  <c r="Y164" i="11" s="1"/>
  <c r="AA164" i="11"/>
  <c r="L75" i="2"/>
  <c r="G75" i="2"/>
  <c r="U96" i="11"/>
  <c r="Y96" i="11" s="1"/>
  <c r="AA96" i="11"/>
  <c r="Q76" i="11"/>
  <c r="Z76" i="11"/>
  <c r="K198" i="2"/>
  <c r="I201" i="11"/>
  <c r="U212" i="11"/>
  <c r="Y212" i="11" s="1"/>
  <c r="AA212" i="11"/>
  <c r="K200" i="2"/>
  <c r="I203" i="11"/>
  <c r="K209" i="2"/>
  <c r="I212" i="11"/>
  <c r="K95" i="2"/>
  <c r="I96" i="11"/>
  <c r="U201" i="11"/>
  <c r="Y201" i="11" s="1"/>
  <c r="AA201" i="11"/>
  <c r="O79" i="8"/>
  <c r="P79" i="8" s="1"/>
  <c r="L75" i="4"/>
  <c r="H79" i="8"/>
  <c r="AB75" i="4"/>
  <c r="N79" i="8"/>
  <c r="F79" i="8"/>
  <c r="K75" i="4"/>
  <c r="Z75" i="4"/>
  <c r="G75" i="4"/>
  <c r="C76" i="11" s="1"/>
  <c r="AG75" i="4"/>
  <c r="K212" i="11" l="1"/>
  <c r="O212" i="11" s="1"/>
  <c r="M212" i="11"/>
  <c r="H75" i="2"/>
  <c r="J25" i="6"/>
  <c r="D76" i="11"/>
  <c r="K164" i="11"/>
  <c r="O164" i="11" s="1"/>
  <c r="M164" i="11"/>
  <c r="K203" i="11"/>
  <c r="O203" i="11" s="1"/>
  <c r="M203" i="11"/>
  <c r="K201" i="11"/>
  <c r="O201" i="11" s="1"/>
  <c r="M201" i="11"/>
  <c r="K96" i="11"/>
  <c r="O96" i="11" s="1"/>
  <c r="M96" i="11"/>
  <c r="M79" i="8"/>
  <c r="AA75" i="4"/>
  <c r="AM75" i="4"/>
  <c r="AI75" i="4"/>
  <c r="AJ75" i="4"/>
  <c r="AK75" i="4" s="1"/>
  <c r="AL75" i="4" s="1"/>
  <c r="C79" i="8"/>
  <c r="A413" i="8"/>
  <c r="D413" i="8"/>
  <c r="E413" i="8"/>
  <c r="F413" i="8" s="1"/>
  <c r="I413" i="8"/>
  <c r="J413" i="8"/>
  <c r="K413" i="8"/>
  <c r="A414" i="8"/>
  <c r="D414" i="8"/>
  <c r="E414" i="8"/>
  <c r="F414" i="8" s="1"/>
  <c r="I414" i="8"/>
  <c r="J414" i="8"/>
  <c r="K414" i="8"/>
  <c r="A415" i="8"/>
  <c r="D415" i="8"/>
  <c r="E415" i="8"/>
  <c r="F415" i="8" s="1"/>
  <c r="I415" i="8"/>
  <c r="J415" i="8"/>
  <c r="K415" i="8"/>
  <c r="A416" i="8"/>
  <c r="D416" i="8"/>
  <c r="E416" i="8"/>
  <c r="F416" i="8" s="1"/>
  <c r="I416" i="8"/>
  <c r="J416" i="8"/>
  <c r="K416" i="8"/>
  <c r="A417" i="8"/>
  <c r="D417" i="8"/>
  <c r="E417" i="8"/>
  <c r="F417" i="8" s="1"/>
  <c r="I417" i="8"/>
  <c r="J417" i="8"/>
  <c r="K417" i="8"/>
  <c r="A418" i="8"/>
  <c r="D418" i="8"/>
  <c r="E418" i="8"/>
  <c r="F418" i="8" s="1"/>
  <c r="I418" i="8"/>
  <c r="J418" i="8"/>
  <c r="K418" i="8"/>
  <c r="V382" i="4"/>
  <c r="V382" i="2" s="1"/>
  <c r="P315" i="6" s="1"/>
  <c r="S382" i="4"/>
  <c r="S387" i="11" s="1"/>
  <c r="AA387" i="11" s="1"/>
  <c r="R382" i="4"/>
  <c r="Q382" i="4"/>
  <c r="R387" i="11" s="1"/>
  <c r="M382" i="4"/>
  <c r="AB382" i="4" s="1"/>
  <c r="I382" i="4"/>
  <c r="E387" i="11" s="1"/>
  <c r="D382" i="2"/>
  <c r="V381" i="4"/>
  <c r="V381" i="2" s="1"/>
  <c r="P314" i="6" s="1"/>
  <c r="S381" i="4"/>
  <c r="S386" i="11" s="1"/>
  <c r="AA386" i="11" s="1"/>
  <c r="R381" i="4"/>
  <c r="Q381" i="4"/>
  <c r="R386" i="11" s="1"/>
  <c r="M381" i="4"/>
  <c r="AB381" i="4" s="1"/>
  <c r="I381" i="4"/>
  <c r="E386" i="11" s="1"/>
  <c r="D381" i="2"/>
  <c r="V380" i="4"/>
  <c r="V380" i="2" s="1"/>
  <c r="P313" i="6" s="1"/>
  <c r="S380" i="4"/>
  <c r="S385" i="11" s="1"/>
  <c r="R380" i="4"/>
  <c r="Q380" i="4"/>
  <c r="R385" i="11" s="1"/>
  <c r="Z385" i="11" s="1"/>
  <c r="M380" i="4"/>
  <c r="AB380" i="4" s="1"/>
  <c r="I380" i="4"/>
  <c r="E385" i="11" s="1"/>
  <c r="D380" i="2"/>
  <c r="V379" i="4"/>
  <c r="V379" i="2" s="1"/>
  <c r="P312" i="6" s="1"/>
  <c r="S379" i="4"/>
  <c r="S384" i="11" s="1"/>
  <c r="AA384" i="11" s="1"/>
  <c r="R379" i="4"/>
  <c r="Q379" i="4"/>
  <c r="R384" i="11" s="1"/>
  <c r="M379" i="4"/>
  <c r="AB379" i="4" s="1"/>
  <c r="I379" i="4"/>
  <c r="E384" i="11" s="1"/>
  <c r="D379" i="2"/>
  <c r="V378" i="4"/>
  <c r="V378" i="2" s="1"/>
  <c r="P311" i="6" s="1"/>
  <c r="S378" i="4"/>
  <c r="S383" i="11" s="1"/>
  <c r="AA383" i="11" s="1"/>
  <c r="R378" i="4"/>
  <c r="Q378" i="4"/>
  <c r="R383" i="11" s="1"/>
  <c r="M378" i="4"/>
  <c r="AB378" i="4" s="1"/>
  <c r="I378" i="4"/>
  <c r="E383" i="11" s="1"/>
  <c r="D378" i="2"/>
  <c r="V377" i="4"/>
  <c r="V377" i="2" s="1"/>
  <c r="P310" i="6" s="1"/>
  <c r="S377" i="4"/>
  <c r="S382" i="11" s="1"/>
  <c r="AA382" i="11" s="1"/>
  <c r="R377" i="4"/>
  <c r="Q377" i="4"/>
  <c r="R382" i="11" s="1"/>
  <c r="M377" i="4"/>
  <c r="AB377" i="4" s="1"/>
  <c r="I377" i="4"/>
  <c r="E382" i="11" s="1"/>
  <c r="D377" i="2"/>
  <c r="A388" i="8"/>
  <c r="D388" i="8"/>
  <c r="E388" i="8"/>
  <c r="F388" i="8" s="1"/>
  <c r="I388" i="8"/>
  <c r="J388" i="8"/>
  <c r="K388" i="8"/>
  <c r="A389" i="8"/>
  <c r="D389" i="8"/>
  <c r="E389" i="8"/>
  <c r="F389" i="8" s="1"/>
  <c r="I389" i="8"/>
  <c r="J389" i="8"/>
  <c r="K389" i="8"/>
  <c r="A390" i="8"/>
  <c r="D390" i="8"/>
  <c r="E390" i="8"/>
  <c r="F390" i="8" s="1"/>
  <c r="I390" i="8"/>
  <c r="J390" i="8"/>
  <c r="K390" i="8"/>
  <c r="A391" i="8"/>
  <c r="D391" i="8"/>
  <c r="E391" i="8"/>
  <c r="F391" i="8" s="1"/>
  <c r="I391" i="8"/>
  <c r="J391" i="8"/>
  <c r="K391" i="8"/>
  <c r="A392" i="8"/>
  <c r="D392" i="8"/>
  <c r="E392" i="8"/>
  <c r="F392" i="8" s="1"/>
  <c r="I392" i="8"/>
  <c r="J392" i="8"/>
  <c r="K392" i="8"/>
  <c r="A393" i="8"/>
  <c r="D393" i="8"/>
  <c r="E393" i="8"/>
  <c r="F393" i="8" s="1"/>
  <c r="I393" i="8"/>
  <c r="J393" i="8"/>
  <c r="K393" i="8"/>
  <c r="A394" i="8"/>
  <c r="D394" i="8"/>
  <c r="E394" i="8"/>
  <c r="F394" i="8" s="1"/>
  <c r="I394" i="8"/>
  <c r="J394" i="8"/>
  <c r="K394" i="8"/>
  <c r="A395" i="8"/>
  <c r="D395" i="8"/>
  <c r="E395" i="8"/>
  <c r="F395" i="8" s="1"/>
  <c r="I395" i="8"/>
  <c r="J395" i="8"/>
  <c r="K395" i="8"/>
  <c r="A396" i="8"/>
  <c r="D396" i="8"/>
  <c r="E396" i="8"/>
  <c r="F396" i="8" s="1"/>
  <c r="I396" i="8"/>
  <c r="J396" i="8"/>
  <c r="K396" i="8"/>
  <c r="A397" i="8"/>
  <c r="D397" i="8"/>
  <c r="E397" i="8"/>
  <c r="F397" i="8" s="1"/>
  <c r="I397" i="8"/>
  <c r="J397" i="8"/>
  <c r="K397" i="8"/>
  <c r="A398" i="8"/>
  <c r="D398" i="8"/>
  <c r="E398" i="8"/>
  <c r="F398" i="8" s="1"/>
  <c r="I398" i="8"/>
  <c r="J398" i="8"/>
  <c r="K398" i="8"/>
  <c r="A399" i="8"/>
  <c r="D399" i="8"/>
  <c r="E399" i="8"/>
  <c r="F399" i="8" s="1"/>
  <c r="I399" i="8"/>
  <c r="J399" i="8"/>
  <c r="K399" i="8"/>
  <c r="A400" i="8"/>
  <c r="D400" i="8"/>
  <c r="E400" i="8"/>
  <c r="F400" i="8" s="1"/>
  <c r="I400" i="8"/>
  <c r="J400" i="8"/>
  <c r="K400" i="8"/>
  <c r="A401" i="8"/>
  <c r="D401" i="8"/>
  <c r="E401" i="8"/>
  <c r="F401" i="8" s="1"/>
  <c r="I401" i="8"/>
  <c r="J401" i="8"/>
  <c r="K401" i="8"/>
  <c r="A402" i="8"/>
  <c r="D402" i="8"/>
  <c r="E402" i="8"/>
  <c r="F402" i="8" s="1"/>
  <c r="I402" i="8"/>
  <c r="J402" i="8"/>
  <c r="K402" i="8"/>
  <c r="A403" i="8"/>
  <c r="D403" i="8"/>
  <c r="E403" i="8"/>
  <c r="F403" i="8" s="1"/>
  <c r="I403" i="8"/>
  <c r="J403" i="8"/>
  <c r="K403" i="8"/>
  <c r="A404" i="8"/>
  <c r="D404" i="8"/>
  <c r="E404" i="8"/>
  <c r="F404" i="8" s="1"/>
  <c r="I404" i="8"/>
  <c r="J404" i="8"/>
  <c r="K404" i="8"/>
  <c r="A405" i="8"/>
  <c r="D405" i="8"/>
  <c r="E405" i="8"/>
  <c r="F405" i="8" s="1"/>
  <c r="I405" i="8"/>
  <c r="J405" i="8"/>
  <c r="K405" i="8"/>
  <c r="A406" i="8"/>
  <c r="D406" i="8"/>
  <c r="E406" i="8"/>
  <c r="F406" i="8" s="1"/>
  <c r="I406" i="8"/>
  <c r="J406" i="8"/>
  <c r="K406" i="8"/>
  <c r="A407" i="8"/>
  <c r="D407" i="8"/>
  <c r="E407" i="8"/>
  <c r="F407" i="8" s="1"/>
  <c r="I407" i="8"/>
  <c r="J407" i="8"/>
  <c r="K407" i="8"/>
  <c r="A408" i="8"/>
  <c r="D408" i="8"/>
  <c r="E408" i="8"/>
  <c r="F408" i="8" s="1"/>
  <c r="I408" i="8"/>
  <c r="J408" i="8"/>
  <c r="K408" i="8"/>
  <c r="A409" i="8"/>
  <c r="D409" i="8"/>
  <c r="E409" i="8"/>
  <c r="F409" i="8" s="1"/>
  <c r="I409" i="8"/>
  <c r="J409" i="8"/>
  <c r="K409" i="8"/>
  <c r="A410" i="8"/>
  <c r="D410" i="8"/>
  <c r="E410" i="8"/>
  <c r="F410" i="8" s="1"/>
  <c r="I410" i="8"/>
  <c r="J410" i="8"/>
  <c r="K410" i="8"/>
  <c r="A411" i="8"/>
  <c r="D411" i="8"/>
  <c r="E411" i="8"/>
  <c r="F411" i="8" s="1"/>
  <c r="I411" i="8"/>
  <c r="J411" i="8"/>
  <c r="K411" i="8"/>
  <c r="V375" i="4"/>
  <c r="V375" i="2" s="1"/>
  <c r="P309" i="6" s="1"/>
  <c r="S375" i="4"/>
  <c r="S380" i="11" s="1"/>
  <c r="AA380" i="11" s="1"/>
  <c r="R375" i="4"/>
  <c r="Q375" i="4"/>
  <c r="R380" i="11" s="1"/>
  <c r="M375" i="4"/>
  <c r="AB375" i="4" s="1"/>
  <c r="I375" i="4"/>
  <c r="E380" i="11" s="1"/>
  <c r="D375" i="2"/>
  <c r="V374" i="4"/>
  <c r="V374" i="2" s="1"/>
  <c r="P308" i="6" s="1"/>
  <c r="S374" i="4"/>
  <c r="S379" i="11" s="1"/>
  <c r="R374" i="4"/>
  <c r="Q374" i="4"/>
  <c r="R379" i="11" s="1"/>
  <c r="Z379" i="11" s="1"/>
  <c r="M374" i="4"/>
  <c r="AB374" i="4" s="1"/>
  <c r="I374" i="4"/>
  <c r="E379" i="11" s="1"/>
  <c r="D374" i="2"/>
  <c r="V373" i="4"/>
  <c r="V373" i="2" s="1"/>
  <c r="P307" i="6" s="1"/>
  <c r="S373" i="4"/>
  <c r="S378" i="11" s="1"/>
  <c r="AA378" i="11" s="1"/>
  <c r="R373" i="4"/>
  <c r="Q373" i="4"/>
  <c r="R378" i="11" s="1"/>
  <c r="M373" i="4"/>
  <c r="AB373" i="4" s="1"/>
  <c r="I373" i="4"/>
  <c r="E378" i="11" s="1"/>
  <c r="D373" i="2"/>
  <c r="V372" i="4"/>
  <c r="V372" i="2" s="1"/>
  <c r="P306" i="6" s="1"/>
  <c r="S372" i="4"/>
  <c r="S377" i="11" s="1"/>
  <c r="AA377" i="11" s="1"/>
  <c r="R372" i="4"/>
  <c r="Q372" i="4"/>
  <c r="R377" i="11" s="1"/>
  <c r="M372" i="4"/>
  <c r="AB372" i="4" s="1"/>
  <c r="I372" i="4"/>
  <c r="E377" i="11" s="1"/>
  <c r="D372" i="2"/>
  <c r="V371" i="4"/>
  <c r="V371" i="2" s="1"/>
  <c r="P305" i="6" s="1"/>
  <c r="S371" i="4"/>
  <c r="S376" i="11" s="1"/>
  <c r="AA376" i="11" s="1"/>
  <c r="R371" i="4"/>
  <c r="Q371" i="4"/>
  <c r="R376" i="11" s="1"/>
  <c r="M371" i="4"/>
  <c r="AB371" i="4" s="1"/>
  <c r="I371" i="4"/>
  <c r="E376" i="11" s="1"/>
  <c r="D371" i="2"/>
  <c r="V370" i="4"/>
  <c r="V370" i="2" s="1"/>
  <c r="P304" i="6" s="1"/>
  <c r="S370" i="4"/>
  <c r="S375" i="11" s="1"/>
  <c r="AA375" i="11" s="1"/>
  <c r="R370" i="4"/>
  <c r="Q370" i="4"/>
  <c r="R375" i="11" s="1"/>
  <c r="M370" i="4"/>
  <c r="AB370" i="4" s="1"/>
  <c r="I370" i="4"/>
  <c r="E375" i="11" s="1"/>
  <c r="D370" i="2"/>
  <c r="V369" i="4"/>
  <c r="V369" i="2" s="1"/>
  <c r="P303" i="6" s="1"/>
  <c r="S369" i="4"/>
  <c r="S374" i="11" s="1"/>
  <c r="AA374" i="11" s="1"/>
  <c r="R369" i="4"/>
  <c r="Q369" i="4"/>
  <c r="R374" i="11" s="1"/>
  <c r="M369" i="4"/>
  <c r="AB369" i="4" s="1"/>
  <c r="I369" i="4"/>
  <c r="E374" i="11" s="1"/>
  <c r="D369" i="2"/>
  <c r="V368" i="4"/>
  <c r="V368" i="2" s="1"/>
  <c r="P302" i="6" s="1"/>
  <c r="S368" i="4"/>
  <c r="S373" i="11" s="1"/>
  <c r="AA373" i="11" s="1"/>
  <c r="R368" i="4"/>
  <c r="Q368" i="4"/>
  <c r="R373" i="11" s="1"/>
  <c r="M368" i="4"/>
  <c r="AB368" i="4" s="1"/>
  <c r="I368" i="4"/>
  <c r="E373" i="11" s="1"/>
  <c r="D368" i="2"/>
  <c r="V367" i="4"/>
  <c r="V367" i="2" s="1"/>
  <c r="P301" i="6" s="1"/>
  <c r="S367" i="4"/>
  <c r="S372" i="11" s="1"/>
  <c r="AA372" i="11" s="1"/>
  <c r="R367" i="4"/>
  <c r="Q367" i="4"/>
  <c r="R372" i="11" s="1"/>
  <c r="M367" i="4"/>
  <c r="AB367" i="4" s="1"/>
  <c r="I367" i="4"/>
  <c r="E372" i="11" s="1"/>
  <c r="D367" i="2"/>
  <c r="V366" i="4"/>
  <c r="V366" i="2" s="1"/>
  <c r="P300" i="6" s="1"/>
  <c r="S366" i="4"/>
  <c r="S371" i="11" s="1"/>
  <c r="AA371" i="11" s="1"/>
  <c r="R366" i="4"/>
  <c r="Q366" i="4"/>
  <c r="R371" i="11" s="1"/>
  <c r="M366" i="4"/>
  <c r="AB366" i="4" s="1"/>
  <c r="I366" i="4"/>
  <c r="E371" i="11" s="1"/>
  <c r="D366" i="2"/>
  <c r="AO365" i="4"/>
  <c r="AH365" i="4"/>
  <c r="AJ365" i="4" s="1"/>
  <c r="AF365" i="4"/>
  <c r="AN365" i="4" s="1"/>
  <c r="AD365" i="4"/>
  <c r="V365" i="4"/>
  <c r="V365" i="2" s="1"/>
  <c r="P299" i="6" s="1"/>
  <c r="S365" i="4"/>
  <c r="S370" i="11" s="1"/>
  <c r="AA370" i="11" s="1"/>
  <c r="R365" i="4"/>
  <c r="Q365" i="4"/>
  <c r="R370" i="11" s="1"/>
  <c r="M365" i="4"/>
  <c r="AB365" i="4" s="1"/>
  <c r="I365" i="4"/>
  <c r="E370" i="11" s="1"/>
  <c r="D365" i="2"/>
  <c r="AO364" i="4"/>
  <c r="AH364" i="4"/>
  <c r="AJ364" i="4" s="1"/>
  <c r="AK364" i="4" s="1"/>
  <c r="AL364" i="4" s="1"/>
  <c r="AF364" i="4"/>
  <c r="AN364" i="4" s="1"/>
  <c r="AD364" i="4"/>
  <c r="V364" i="4"/>
  <c r="V364" i="2" s="1"/>
  <c r="P298" i="6" s="1"/>
  <c r="S364" i="4"/>
  <c r="S369" i="11" s="1"/>
  <c r="AA369" i="11" s="1"/>
  <c r="R364" i="4"/>
  <c r="Q364" i="4"/>
  <c r="R369" i="11" s="1"/>
  <c r="M364" i="4"/>
  <c r="AB364" i="4" s="1"/>
  <c r="I364" i="4"/>
  <c r="E369" i="11" s="1"/>
  <c r="D364" i="2"/>
  <c r="AH363" i="4"/>
  <c r="AJ363" i="4" s="1"/>
  <c r="AF363" i="4"/>
  <c r="AN363" i="4" s="1"/>
  <c r="AD363" i="4"/>
  <c r="V363" i="4"/>
  <c r="V363" i="2" s="1"/>
  <c r="P297" i="6" s="1"/>
  <c r="S363" i="4"/>
  <c r="S368" i="11" s="1"/>
  <c r="AA368" i="11" s="1"/>
  <c r="R363" i="4"/>
  <c r="Q363" i="4"/>
  <c r="R368" i="11" s="1"/>
  <c r="M363" i="4"/>
  <c r="AB363" i="4" s="1"/>
  <c r="I363" i="4"/>
  <c r="E368" i="11" s="1"/>
  <c r="D363" i="2"/>
  <c r="AH362" i="4"/>
  <c r="AJ362" i="4" s="1"/>
  <c r="AF362" i="4"/>
  <c r="AN362" i="4" s="1"/>
  <c r="AD362" i="4"/>
  <c r="V362" i="4"/>
  <c r="V362" i="2" s="1"/>
  <c r="P296" i="6" s="1"/>
  <c r="S362" i="4"/>
  <c r="S367" i="11" s="1"/>
  <c r="AA367" i="11" s="1"/>
  <c r="R362" i="4"/>
  <c r="Q362" i="4"/>
  <c r="R367" i="11" s="1"/>
  <c r="M362" i="4"/>
  <c r="AB362" i="4" s="1"/>
  <c r="I362" i="4"/>
  <c r="E367" i="11" s="1"/>
  <c r="D362" i="2"/>
  <c r="AH361" i="4"/>
  <c r="AJ361" i="4" s="1"/>
  <c r="AF361" i="4"/>
  <c r="AN361" i="4" s="1"/>
  <c r="AD361" i="4"/>
  <c r="V361" i="4"/>
  <c r="V361" i="2" s="1"/>
  <c r="P295" i="6" s="1"/>
  <c r="S361" i="4"/>
  <c r="S366" i="11" s="1"/>
  <c r="AA366" i="11" s="1"/>
  <c r="R361" i="4"/>
  <c r="Q361" i="4"/>
  <c r="R366" i="11" s="1"/>
  <c r="M361" i="4"/>
  <c r="AB361" i="4" s="1"/>
  <c r="I361" i="4"/>
  <c r="E366" i="11" s="1"/>
  <c r="D361" i="2"/>
  <c r="AO360" i="4"/>
  <c r="AH360" i="4"/>
  <c r="AJ360" i="4" s="1"/>
  <c r="AF360" i="4"/>
  <c r="AN360" i="4" s="1"/>
  <c r="AD360" i="4"/>
  <c r="V360" i="4"/>
  <c r="V360" i="2" s="1"/>
  <c r="P294" i="6" s="1"/>
  <c r="S360" i="4"/>
  <c r="S365" i="11" s="1"/>
  <c r="AA365" i="11" s="1"/>
  <c r="R360" i="4"/>
  <c r="Q360" i="4"/>
  <c r="R365" i="11" s="1"/>
  <c r="M360" i="4"/>
  <c r="AB360" i="4" s="1"/>
  <c r="I360" i="4"/>
  <c r="E365" i="11" s="1"/>
  <c r="D360" i="2"/>
  <c r="AH359" i="4"/>
  <c r="AJ359" i="4" s="1"/>
  <c r="AF359" i="4"/>
  <c r="AN359" i="4" s="1"/>
  <c r="AD359" i="4"/>
  <c r="V359" i="4"/>
  <c r="V359" i="2" s="1"/>
  <c r="P293" i="6" s="1"/>
  <c r="S359" i="4"/>
  <c r="S364" i="11" s="1"/>
  <c r="AA364" i="11" s="1"/>
  <c r="R359" i="4"/>
  <c r="Q359" i="4"/>
  <c r="R364" i="11" s="1"/>
  <c r="M359" i="4"/>
  <c r="AB359" i="4" s="1"/>
  <c r="I359" i="4"/>
  <c r="E364" i="11" s="1"/>
  <c r="D359" i="2"/>
  <c r="AO358" i="4"/>
  <c r="AH358" i="4"/>
  <c r="AJ358" i="4" s="1"/>
  <c r="AF358" i="4"/>
  <c r="AN358" i="4" s="1"/>
  <c r="AD358" i="4"/>
  <c r="V358" i="4"/>
  <c r="V358" i="2" s="1"/>
  <c r="P292" i="6" s="1"/>
  <c r="S358" i="4"/>
  <c r="S363" i="11" s="1"/>
  <c r="AA363" i="11" s="1"/>
  <c r="R358" i="4"/>
  <c r="Q358" i="4"/>
  <c r="R363" i="11" s="1"/>
  <c r="M358" i="4"/>
  <c r="AB358" i="4" s="1"/>
  <c r="I358" i="4"/>
  <c r="E363" i="11" s="1"/>
  <c r="D358" i="2"/>
  <c r="AH357" i="4"/>
  <c r="AJ357" i="4" s="1"/>
  <c r="AF357" i="4"/>
  <c r="AN357" i="4" s="1"/>
  <c r="AD357" i="4"/>
  <c r="V357" i="4"/>
  <c r="V357" i="2" s="1"/>
  <c r="P291" i="6" s="1"/>
  <c r="S357" i="4"/>
  <c r="S362" i="11" s="1"/>
  <c r="AA362" i="11" s="1"/>
  <c r="R357" i="4"/>
  <c r="Q357" i="4"/>
  <c r="R362" i="11" s="1"/>
  <c r="M357" i="4"/>
  <c r="AB357" i="4" s="1"/>
  <c r="I357" i="4"/>
  <c r="E362" i="11" s="1"/>
  <c r="D357" i="2"/>
  <c r="AH356" i="4"/>
  <c r="AJ356" i="4" s="1"/>
  <c r="AF356" i="4"/>
  <c r="AN356" i="4" s="1"/>
  <c r="AD356" i="4"/>
  <c r="V356" i="4"/>
  <c r="V356" i="2" s="1"/>
  <c r="P290" i="6" s="1"/>
  <c r="S356" i="4"/>
  <c r="S361" i="11" s="1"/>
  <c r="AA361" i="11" s="1"/>
  <c r="R356" i="4"/>
  <c r="Q356" i="4"/>
  <c r="R361" i="11" s="1"/>
  <c r="M356" i="4"/>
  <c r="AB356" i="4" s="1"/>
  <c r="I356" i="4"/>
  <c r="E361" i="11" s="1"/>
  <c r="D356" i="2"/>
  <c r="AH355" i="4"/>
  <c r="AJ355" i="4" s="1"/>
  <c r="AF355" i="4"/>
  <c r="AN355" i="4" s="1"/>
  <c r="AD355" i="4"/>
  <c r="V355" i="4"/>
  <c r="V355" i="2" s="1"/>
  <c r="P289" i="6" s="1"/>
  <c r="S355" i="4"/>
  <c r="S360" i="11" s="1"/>
  <c r="AA360" i="11" s="1"/>
  <c r="R355" i="4"/>
  <c r="Q355" i="4"/>
  <c r="R360" i="11" s="1"/>
  <c r="M355" i="4"/>
  <c r="AB355" i="4" s="1"/>
  <c r="I355" i="4"/>
  <c r="E360" i="11" s="1"/>
  <c r="D355" i="2"/>
  <c r="AH354" i="4"/>
  <c r="AJ354" i="4" s="1"/>
  <c r="AF354" i="4"/>
  <c r="AN354" i="4" s="1"/>
  <c r="AD354" i="4"/>
  <c r="V354" i="4"/>
  <c r="V354" i="2" s="1"/>
  <c r="P288" i="6" s="1"/>
  <c r="S354" i="4"/>
  <c r="S359" i="11" s="1"/>
  <c r="AA359" i="11" s="1"/>
  <c r="R354" i="4"/>
  <c r="Q354" i="4"/>
  <c r="R359" i="11" s="1"/>
  <c r="M354" i="4"/>
  <c r="AB354" i="4" s="1"/>
  <c r="I354" i="4"/>
  <c r="E359" i="11" s="1"/>
  <c r="D354" i="2"/>
  <c r="AH353" i="4"/>
  <c r="AJ353" i="4" s="1"/>
  <c r="AF353" i="4"/>
  <c r="AN353" i="4" s="1"/>
  <c r="AD353" i="4"/>
  <c r="V353" i="4"/>
  <c r="V353" i="2" s="1"/>
  <c r="P287" i="6" s="1"/>
  <c r="S353" i="4"/>
  <c r="S358" i="11" s="1"/>
  <c r="AA358" i="11" s="1"/>
  <c r="R353" i="4"/>
  <c r="Q353" i="4"/>
  <c r="R358" i="11" s="1"/>
  <c r="M353" i="4"/>
  <c r="AB353" i="4" s="1"/>
  <c r="I353" i="4"/>
  <c r="E358" i="11" s="1"/>
  <c r="D353" i="2"/>
  <c r="AH352" i="4"/>
  <c r="AJ352" i="4" s="1"/>
  <c r="AF352" i="4"/>
  <c r="AN352" i="4" s="1"/>
  <c r="AD352" i="4"/>
  <c r="V352" i="4"/>
  <c r="V352" i="2" s="1"/>
  <c r="P286" i="6" s="1"/>
  <c r="S352" i="4"/>
  <c r="S357" i="11" s="1"/>
  <c r="AA357" i="11" s="1"/>
  <c r="R352" i="4"/>
  <c r="Q352" i="4"/>
  <c r="R357" i="11" s="1"/>
  <c r="M352" i="4"/>
  <c r="AB352" i="4" s="1"/>
  <c r="I352" i="4"/>
  <c r="E357" i="11" s="1"/>
  <c r="D352" i="2"/>
  <c r="A384" i="8"/>
  <c r="D384" i="8"/>
  <c r="E384" i="8"/>
  <c r="F384" i="8" s="1"/>
  <c r="I384" i="8"/>
  <c r="J384" i="8"/>
  <c r="K384" i="8"/>
  <c r="A385" i="8"/>
  <c r="D385" i="8"/>
  <c r="E385" i="8"/>
  <c r="F385" i="8" s="1"/>
  <c r="I385" i="8"/>
  <c r="J385" i="8"/>
  <c r="K385" i="8"/>
  <c r="AH349" i="4"/>
  <c r="AF349" i="4"/>
  <c r="AN349" i="4" s="1"/>
  <c r="AD349" i="4"/>
  <c r="V349" i="4"/>
  <c r="V349" i="2" s="1"/>
  <c r="P110" i="6" s="1"/>
  <c r="S349" i="4"/>
  <c r="S354" i="11" s="1"/>
  <c r="AA354" i="11" s="1"/>
  <c r="R349" i="4"/>
  <c r="Q349" i="4"/>
  <c r="R354" i="11" s="1"/>
  <c r="M349" i="4"/>
  <c r="AB349" i="4" s="1"/>
  <c r="I349" i="4"/>
  <c r="E354" i="11" s="1"/>
  <c r="D349" i="2"/>
  <c r="AH348" i="4"/>
  <c r="AF348" i="4"/>
  <c r="AN348" i="4" s="1"/>
  <c r="AD348" i="4"/>
  <c r="V348" i="4"/>
  <c r="V348" i="2" s="1"/>
  <c r="P283" i="6" s="1"/>
  <c r="S348" i="4"/>
  <c r="S353" i="11" s="1"/>
  <c r="AA353" i="11" s="1"/>
  <c r="R348" i="4"/>
  <c r="Q348" i="4"/>
  <c r="R353" i="11" s="1"/>
  <c r="M348" i="4"/>
  <c r="AB348" i="4" s="1"/>
  <c r="I348" i="4"/>
  <c r="E353" i="11" s="1"/>
  <c r="D348" i="2"/>
  <c r="A375" i="8"/>
  <c r="D375" i="8"/>
  <c r="E375" i="8"/>
  <c r="F375" i="8" s="1"/>
  <c r="I375" i="8"/>
  <c r="J375" i="8"/>
  <c r="K375" i="8"/>
  <c r="AO339" i="4"/>
  <c r="AH339" i="4"/>
  <c r="AJ339" i="4" s="1"/>
  <c r="AF339" i="4"/>
  <c r="AN339" i="4" s="1"/>
  <c r="AD339" i="4"/>
  <c r="V339" i="4"/>
  <c r="V339" i="2" s="1"/>
  <c r="P45" i="6" s="1"/>
  <c r="S339" i="4"/>
  <c r="S344" i="11" s="1"/>
  <c r="AA344" i="11" s="1"/>
  <c r="R339" i="4"/>
  <c r="Q339" i="4"/>
  <c r="R344" i="11" s="1"/>
  <c r="M339" i="4"/>
  <c r="AB339" i="4" s="1"/>
  <c r="I339" i="4"/>
  <c r="E344" i="11" s="1"/>
  <c r="D339" i="2"/>
  <c r="A372" i="8"/>
  <c r="D372" i="8"/>
  <c r="E372" i="8"/>
  <c r="F372" i="8" s="1"/>
  <c r="I372" i="8"/>
  <c r="J372" i="8"/>
  <c r="K372" i="8"/>
  <c r="AH336" i="4"/>
  <c r="AJ336" i="4" s="1"/>
  <c r="AF336" i="4"/>
  <c r="AN336" i="4" s="1"/>
  <c r="V336" i="4"/>
  <c r="V336" i="2" s="1"/>
  <c r="P274" i="6" s="1"/>
  <c r="S336" i="4"/>
  <c r="S341" i="11" s="1"/>
  <c r="AA341" i="11" s="1"/>
  <c r="R336" i="4"/>
  <c r="Q336" i="4"/>
  <c r="R341" i="11" s="1"/>
  <c r="M336" i="4"/>
  <c r="AB336" i="4" s="1"/>
  <c r="I336" i="4"/>
  <c r="E341" i="11" s="1"/>
  <c r="D336" i="2"/>
  <c r="A367" i="8"/>
  <c r="D367" i="8"/>
  <c r="E367" i="8"/>
  <c r="F367" i="8" s="1"/>
  <c r="I367" i="8"/>
  <c r="J367" i="8"/>
  <c r="K367" i="8"/>
  <c r="AH331" i="4"/>
  <c r="AJ331" i="4" s="1"/>
  <c r="AF331" i="4"/>
  <c r="AN331" i="4" s="1"/>
  <c r="V331" i="4"/>
  <c r="V331" i="2" s="1"/>
  <c r="P269" i="6" s="1"/>
  <c r="S331" i="4"/>
  <c r="S336" i="11" s="1"/>
  <c r="R331" i="4"/>
  <c r="Q331" i="4"/>
  <c r="R336" i="11" s="1"/>
  <c r="Z336" i="11" s="1"/>
  <c r="M331" i="4"/>
  <c r="AB331" i="4" s="1"/>
  <c r="I331" i="4"/>
  <c r="E336" i="11" s="1"/>
  <c r="D331" i="2"/>
  <c r="A137" i="8"/>
  <c r="B137" i="8"/>
  <c r="D137" i="8"/>
  <c r="E137" i="8"/>
  <c r="F137" i="8" s="1"/>
  <c r="I137" i="8"/>
  <c r="J137" i="8"/>
  <c r="K137" i="8"/>
  <c r="A151" i="8"/>
  <c r="B151" i="8"/>
  <c r="D151" i="8"/>
  <c r="E151" i="8"/>
  <c r="F151" i="8" s="1"/>
  <c r="I151" i="8"/>
  <c r="J151" i="8"/>
  <c r="K151" i="8"/>
  <c r="L357" i="2" l="1"/>
  <c r="G357" i="2"/>
  <c r="G370" i="11"/>
  <c r="O370" i="11" s="1"/>
  <c r="M370" i="11"/>
  <c r="L381" i="2"/>
  <c r="G381" i="2"/>
  <c r="Z363" i="11"/>
  <c r="Q363" i="11"/>
  <c r="Y363" i="11" s="1"/>
  <c r="Q384" i="11"/>
  <c r="Y384" i="11" s="1"/>
  <c r="Z384" i="11"/>
  <c r="L356" i="2"/>
  <c r="G356" i="2"/>
  <c r="G363" i="2"/>
  <c r="L363" i="2"/>
  <c r="Z370" i="11"/>
  <c r="Q370" i="11"/>
  <c r="Y370" i="11" s="1"/>
  <c r="L370" i="2"/>
  <c r="G370" i="2"/>
  <c r="Q378" i="11"/>
  <c r="Y378" i="11" s="1"/>
  <c r="Z378" i="11"/>
  <c r="M380" i="11"/>
  <c r="G380" i="11"/>
  <c r="O380" i="11" s="1"/>
  <c r="G348" i="2"/>
  <c r="L348" i="2"/>
  <c r="G353" i="11"/>
  <c r="O353" i="11" s="1"/>
  <c r="M353" i="11"/>
  <c r="Z354" i="11"/>
  <c r="Q354" i="11"/>
  <c r="Y354" i="11" s="1"/>
  <c r="G361" i="11"/>
  <c r="O361" i="11" s="1"/>
  <c r="M361" i="11"/>
  <c r="Z362" i="11"/>
  <c r="Q362" i="11"/>
  <c r="Y362" i="11" s="1"/>
  <c r="M368" i="11"/>
  <c r="G368" i="11"/>
  <c r="O368" i="11" s="1"/>
  <c r="Q369" i="11"/>
  <c r="Y369" i="11" s="1"/>
  <c r="Z369" i="11"/>
  <c r="Q373" i="11"/>
  <c r="Y373" i="11" s="1"/>
  <c r="Z373" i="11"/>
  <c r="G375" i="11"/>
  <c r="O375" i="11" s="1"/>
  <c r="M375" i="11"/>
  <c r="L378" i="2"/>
  <c r="G378" i="2"/>
  <c r="Q386" i="11"/>
  <c r="Y386" i="11" s="1"/>
  <c r="Z386" i="11"/>
  <c r="L355" i="2"/>
  <c r="G355" i="2"/>
  <c r="G362" i="2"/>
  <c r="L362" i="2"/>
  <c r="G372" i="2"/>
  <c r="L372" i="2"/>
  <c r="Z380" i="11"/>
  <c r="Q380" i="11"/>
  <c r="Y380" i="11" s="1"/>
  <c r="G383" i="11"/>
  <c r="O383" i="11" s="1"/>
  <c r="M383" i="11"/>
  <c r="Q358" i="11"/>
  <c r="Y358" i="11" s="1"/>
  <c r="Z358" i="11"/>
  <c r="G363" i="11"/>
  <c r="O363" i="11" s="1"/>
  <c r="M363" i="11"/>
  <c r="Z382" i="11"/>
  <c r="Q382" i="11"/>
  <c r="Y382" i="11" s="1"/>
  <c r="Z364" i="11"/>
  <c r="Q364" i="11"/>
  <c r="Y364" i="11" s="1"/>
  <c r="G378" i="11"/>
  <c r="O378" i="11" s="1"/>
  <c r="M378" i="11"/>
  <c r="G354" i="11"/>
  <c r="O354" i="11" s="1"/>
  <c r="M354" i="11"/>
  <c r="M369" i="11"/>
  <c r="G369" i="11"/>
  <c r="O369" i="11" s="1"/>
  <c r="G375" i="2"/>
  <c r="L375" i="2"/>
  <c r="Q353" i="11"/>
  <c r="Y353" i="11" s="1"/>
  <c r="Z353" i="11"/>
  <c r="M360" i="11"/>
  <c r="G360" i="11"/>
  <c r="O360" i="11" s="1"/>
  <c r="Z361" i="11"/>
  <c r="Q361" i="11"/>
  <c r="Y361" i="11" s="1"/>
  <c r="G367" i="11"/>
  <c r="O367" i="11" s="1"/>
  <c r="M367" i="11"/>
  <c r="Q368" i="11"/>
  <c r="Y368" i="11" s="1"/>
  <c r="Z368" i="11"/>
  <c r="L367" i="2"/>
  <c r="G367" i="2"/>
  <c r="Q375" i="11"/>
  <c r="Y375" i="11" s="1"/>
  <c r="Z375" i="11"/>
  <c r="G377" i="11"/>
  <c r="O377" i="11" s="1"/>
  <c r="M377" i="11"/>
  <c r="L380" i="2"/>
  <c r="G380" i="2"/>
  <c r="M357" i="11"/>
  <c r="G357" i="11"/>
  <c r="O357" i="11" s="1"/>
  <c r="G365" i="2"/>
  <c r="L365" i="2"/>
  <c r="M371" i="11"/>
  <c r="G371" i="11"/>
  <c r="O371" i="11" s="1"/>
  <c r="Q344" i="11"/>
  <c r="Y344" i="11" s="1"/>
  <c r="Z344" i="11"/>
  <c r="Z371" i="11"/>
  <c r="Q371" i="11"/>
  <c r="Y371" i="11" s="1"/>
  <c r="G354" i="2"/>
  <c r="L354" i="2"/>
  <c r="G361" i="2"/>
  <c r="L361" i="2"/>
  <c r="G372" i="11"/>
  <c r="O372" i="11" s="1"/>
  <c r="M372" i="11"/>
  <c r="L374" i="2"/>
  <c r="G374" i="2"/>
  <c r="Q383" i="11"/>
  <c r="Y383" i="11" s="1"/>
  <c r="Z383" i="11"/>
  <c r="G385" i="11"/>
  <c r="O385" i="11" s="1"/>
  <c r="M385" i="11"/>
  <c r="L373" i="2"/>
  <c r="G373" i="2"/>
  <c r="G384" i="11"/>
  <c r="O384" i="11" s="1"/>
  <c r="M384" i="11"/>
  <c r="G336" i="2"/>
  <c r="L336" i="2"/>
  <c r="Q360" i="11"/>
  <c r="Y360" i="11" s="1"/>
  <c r="Z360" i="11"/>
  <c r="G360" i="2"/>
  <c r="L360" i="2"/>
  <c r="G366" i="11"/>
  <c r="O366" i="11" s="1"/>
  <c r="M366" i="11"/>
  <c r="Z367" i="11"/>
  <c r="Q367" i="11"/>
  <c r="Y367" i="11" s="1"/>
  <c r="L369" i="2"/>
  <c r="G369" i="2"/>
  <c r="Z377" i="11"/>
  <c r="Q377" i="11"/>
  <c r="Y377" i="11" s="1"/>
  <c r="G379" i="11"/>
  <c r="O379" i="11" s="1"/>
  <c r="M379" i="11"/>
  <c r="G382" i="2"/>
  <c r="L382" i="2"/>
  <c r="S75" i="2"/>
  <c r="W76" i="11" s="1"/>
  <c r="K25" i="6"/>
  <c r="M25" i="6" s="1"/>
  <c r="I75" i="2"/>
  <c r="Q379" i="11"/>
  <c r="Y379" i="11" s="1"/>
  <c r="AA379" i="11"/>
  <c r="G364" i="2"/>
  <c r="L364" i="2"/>
  <c r="G368" i="2"/>
  <c r="L368" i="2"/>
  <c r="M362" i="11"/>
  <c r="G362" i="11"/>
  <c r="O362" i="11" s="1"/>
  <c r="G373" i="11"/>
  <c r="O373" i="11" s="1"/>
  <c r="M373" i="11"/>
  <c r="G336" i="11"/>
  <c r="O336" i="11" s="1"/>
  <c r="M336" i="11"/>
  <c r="G359" i="11"/>
  <c r="O359" i="11" s="1"/>
  <c r="M359" i="11"/>
  <c r="Q336" i="11"/>
  <c r="Y336" i="11" s="1"/>
  <c r="AA336" i="11"/>
  <c r="G353" i="2"/>
  <c r="L353" i="2"/>
  <c r="G365" i="11"/>
  <c r="O365" i="11" s="1"/>
  <c r="M365" i="11"/>
  <c r="Q372" i="11"/>
  <c r="Y372" i="11" s="1"/>
  <c r="Z372" i="11"/>
  <c r="G374" i="11"/>
  <c r="O374" i="11" s="1"/>
  <c r="M374" i="11"/>
  <c r="G377" i="2"/>
  <c r="L377" i="2"/>
  <c r="M387" i="11"/>
  <c r="G387" i="11"/>
  <c r="O387" i="11" s="1"/>
  <c r="Q357" i="11"/>
  <c r="Y357" i="11" s="1"/>
  <c r="Z357" i="11"/>
  <c r="G331" i="2"/>
  <c r="L331" i="2"/>
  <c r="M341" i="11"/>
  <c r="G341" i="11"/>
  <c r="O341" i="11" s="1"/>
  <c r="Q341" i="11"/>
  <c r="Y341" i="11" s="1"/>
  <c r="Z341" i="11"/>
  <c r="G339" i="2"/>
  <c r="L339" i="2"/>
  <c r="G358" i="11"/>
  <c r="O358" i="11" s="1"/>
  <c r="M358" i="11"/>
  <c r="Q359" i="11"/>
  <c r="Y359" i="11" s="1"/>
  <c r="Z359" i="11"/>
  <c r="G359" i="2"/>
  <c r="L359" i="2"/>
  <c r="Q366" i="11"/>
  <c r="Y366" i="11" s="1"/>
  <c r="Z366" i="11"/>
  <c r="G371" i="2"/>
  <c r="L371" i="2"/>
  <c r="G382" i="11"/>
  <c r="O382" i="11" s="1"/>
  <c r="M382" i="11"/>
  <c r="L349" i="2"/>
  <c r="G349" i="2"/>
  <c r="Z376" i="11"/>
  <c r="Q376" i="11"/>
  <c r="Y376" i="11" s="1"/>
  <c r="G386" i="11"/>
  <c r="O386" i="11" s="1"/>
  <c r="M386" i="11"/>
  <c r="M344" i="11"/>
  <c r="G344" i="11"/>
  <c r="O344" i="11" s="1"/>
  <c r="G352" i="2"/>
  <c r="L352" i="2"/>
  <c r="G358" i="2"/>
  <c r="L358" i="2"/>
  <c r="G364" i="11"/>
  <c r="O364" i="11" s="1"/>
  <c r="M364" i="11"/>
  <c r="Z365" i="11"/>
  <c r="Q365" i="11"/>
  <c r="Y365" i="11" s="1"/>
  <c r="L366" i="2"/>
  <c r="G366" i="2"/>
  <c r="Z374" i="11"/>
  <c r="Q374" i="11"/>
  <c r="Y374" i="11" s="1"/>
  <c r="G376" i="11"/>
  <c r="O376" i="11" s="1"/>
  <c r="M376" i="11"/>
  <c r="L379" i="2"/>
  <c r="G379" i="2"/>
  <c r="Q385" i="11"/>
  <c r="Y385" i="11" s="1"/>
  <c r="AA385" i="11"/>
  <c r="Q387" i="11"/>
  <c r="Y387" i="11" s="1"/>
  <c r="Z387" i="11"/>
  <c r="N375" i="8"/>
  <c r="Z367" i="4"/>
  <c r="N405" i="8"/>
  <c r="K371" i="4"/>
  <c r="Z380" i="4"/>
  <c r="N418" i="8"/>
  <c r="K377" i="4"/>
  <c r="K359" i="4"/>
  <c r="N396" i="8"/>
  <c r="K349" i="4"/>
  <c r="K352" i="4"/>
  <c r="N389" i="8"/>
  <c r="Z354" i="4"/>
  <c r="K358" i="4"/>
  <c r="Z361" i="4"/>
  <c r="K366" i="4"/>
  <c r="Z374" i="4"/>
  <c r="N413" i="8"/>
  <c r="K379" i="4"/>
  <c r="K353" i="4"/>
  <c r="Z355" i="4"/>
  <c r="N397" i="8"/>
  <c r="Z362" i="4"/>
  <c r="N410" i="8"/>
  <c r="N395" i="8"/>
  <c r="Z360" i="4"/>
  <c r="K365" i="4"/>
  <c r="Z369" i="4"/>
  <c r="N407" i="8"/>
  <c r="K373" i="4"/>
  <c r="Z382" i="4"/>
  <c r="N367" i="8"/>
  <c r="K348" i="4"/>
  <c r="N385" i="8"/>
  <c r="N388" i="8"/>
  <c r="Z353" i="4"/>
  <c r="H393" i="8"/>
  <c r="N394" i="8"/>
  <c r="K364" i="4"/>
  <c r="N402" i="8"/>
  <c r="K368" i="4"/>
  <c r="Z377" i="4"/>
  <c r="N415" i="8"/>
  <c r="K381" i="4"/>
  <c r="Z372" i="4"/>
  <c r="Z339" i="4"/>
  <c r="Z359" i="4"/>
  <c r="N401" i="8"/>
  <c r="Z371" i="4"/>
  <c r="N409" i="8"/>
  <c r="K375" i="4"/>
  <c r="N390" i="8"/>
  <c r="K331" i="4"/>
  <c r="Z331" i="4"/>
  <c r="K336" i="4"/>
  <c r="N384" i="8"/>
  <c r="Z349" i="4"/>
  <c r="Z352" i="4"/>
  <c r="K356" i="4"/>
  <c r="N393" i="8"/>
  <c r="Z358" i="4"/>
  <c r="K363" i="4"/>
  <c r="N400" i="8"/>
  <c r="Z366" i="4"/>
  <c r="N404" i="8"/>
  <c r="K370" i="4"/>
  <c r="Z379" i="4"/>
  <c r="N417" i="8"/>
  <c r="Z365" i="4"/>
  <c r="Z373" i="4"/>
  <c r="N411" i="8"/>
  <c r="K378" i="4"/>
  <c r="N372" i="8"/>
  <c r="Z348" i="4"/>
  <c r="K355" i="4"/>
  <c r="N392" i="8"/>
  <c r="Z357" i="4"/>
  <c r="K362" i="4"/>
  <c r="N399" i="8"/>
  <c r="Z364" i="4"/>
  <c r="Z368" i="4"/>
  <c r="N406" i="8"/>
  <c r="K372" i="4"/>
  <c r="Z381" i="4"/>
  <c r="K380" i="4"/>
  <c r="H403" i="8"/>
  <c r="Z375" i="4"/>
  <c r="N414" i="8"/>
  <c r="Z336" i="4"/>
  <c r="K339" i="4"/>
  <c r="K354" i="4"/>
  <c r="N391" i="8"/>
  <c r="Z356" i="4"/>
  <c r="K361" i="4"/>
  <c r="N398" i="8"/>
  <c r="Z363" i="4"/>
  <c r="Z370" i="4"/>
  <c r="N408" i="8"/>
  <c r="K374" i="4"/>
  <c r="K360" i="4"/>
  <c r="N403" i="8"/>
  <c r="K369" i="4"/>
  <c r="Z378" i="4"/>
  <c r="N416" i="8"/>
  <c r="K382" i="4"/>
  <c r="L377" i="4"/>
  <c r="AA377" i="4" s="1"/>
  <c r="L359" i="4"/>
  <c r="AA359" i="4" s="1"/>
  <c r="L371" i="4"/>
  <c r="AA371" i="4" s="1"/>
  <c r="L354" i="4"/>
  <c r="AA354" i="4" s="1"/>
  <c r="L352" i="4"/>
  <c r="AA352" i="4" s="1"/>
  <c r="G358" i="4"/>
  <c r="C363" i="11" s="1"/>
  <c r="G366" i="4"/>
  <c r="C371" i="11" s="1"/>
  <c r="G379" i="4"/>
  <c r="C384" i="11" s="1"/>
  <c r="L349" i="4"/>
  <c r="AA349" i="4" s="1"/>
  <c r="L365" i="4"/>
  <c r="AA365" i="4" s="1"/>
  <c r="L373" i="4"/>
  <c r="AA373" i="4" s="1"/>
  <c r="L353" i="4"/>
  <c r="AA353" i="4" s="1"/>
  <c r="L331" i="4"/>
  <c r="AA331" i="4" s="1"/>
  <c r="G348" i="4"/>
  <c r="C353" i="11" s="1"/>
  <c r="L357" i="4"/>
  <c r="AA357" i="4" s="1"/>
  <c r="AG364" i="4"/>
  <c r="AM364" i="4" s="1"/>
  <c r="L368" i="4"/>
  <c r="AA368" i="4" s="1"/>
  <c r="G381" i="4"/>
  <c r="C386" i="11" s="1"/>
  <c r="L375" i="4"/>
  <c r="AA375" i="4" s="1"/>
  <c r="L339" i="4"/>
  <c r="AA339" i="4" s="1"/>
  <c r="G361" i="4"/>
  <c r="C366" i="11" s="1"/>
  <c r="L374" i="4"/>
  <c r="AA374" i="4" s="1"/>
  <c r="G369" i="4"/>
  <c r="C374" i="11" s="1"/>
  <c r="G382" i="4"/>
  <c r="C387" i="11" s="1"/>
  <c r="G336" i="4"/>
  <c r="C341" i="11" s="1"/>
  <c r="G356" i="4"/>
  <c r="C361" i="11" s="1"/>
  <c r="L363" i="4"/>
  <c r="AA363" i="4" s="1"/>
  <c r="G370" i="4"/>
  <c r="C375" i="11" s="1"/>
  <c r="L378" i="4"/>
  <c r="AA378" i="4" s="1"/>
  <c r="G360" i="4"/>
  <c r="C365" i="11" s="1"/>
  <c r="G362" i="4"/>
  <c r="C367" i="11" s="1"/>
  <c r="G372" i="4"/>
  <c r="C377" i="11" s="1"/>
  <c r="G355" i="4"/>
  <c r="C360" i="11" s="1"/>
  <c r="G367" i="4"/>
  <c r="C372" i="11" s="1"/>
  <c r="G380" i="4"/>
  <c r="C385" i="11" s="1"/>
  <c r="K357" i="4"/>
  <c r="O408" i="8"/>
  <c r="P408" i="8" s="1"/>
  <c r="O403" i="8"/>
  <c r="P403" i="8" s="1"/>
  <c r="H418" i="8"/>
  <c r="O416" i="8"/>
  <c r="P416" i="8" s="1"/>
  <c r="H407" i="8"/>
  <c r="H413" i="8"/>
  <c r="O400" i="8"/>
  <c r="P400" i="8" s="1"/>
  <c r="O395" i="8"/>
  <c r="P395" i="8" s="1"/>
  <c r="O385" i="8"/>
  <c r="P385" i="8" s="1"/>
  <c r="O401" i="8"/>
  <c r="P401" i="8" s="1"/>
  <c r="O415" i="8"/>
  <c r="P415" i="8" s="1"/>
  <c r="O417" i="8"/>
  <c r="P417" i="8" s="1"/>
  <c r="O413" i="8"/>
  <c r="P413" i="8" s="1"/>
  <c r="H384" i="8"/>
  <c r="H404" i="8"/>
  <c r="O391" i="8"/>
  <c r="P391" i="8" s="1"/>
  <c r="O418" i="8"/>
  <c r="P418" i="8" s="1"/>
  <c r="O394" i="8"/>
  <c r="P394" i="8" s="1"/>
  <c r="O414" i="8"/>
  <c r="P414" i="8" s="1"/>
  <c r="H414" i="8"/>
  <c r="O392" i="8"/>
  <c r="P392" i="8" s="1"/>
  <c r="H415" i="8"/>
  <c r="O404" i="8"/>
  <c r="P404" i="8" s="1"/>
  <c r="O390" i="8"/>
  <c r="P390" i="8" s="1"/>
  <c r="H417" i="8"/>
  <c r="H405" i="8"/>
  <c r="H406" i="8"/>
  <c r="H399" i="8"/>
  <c r="H388" i="8"/>
  <c r="K367" i="4"/>
  <c r="H416" i="8"/>
  <c r="G368" i="4"/>
  <c r="C373" i="11" s="1"/>
  <c r="L382" i="4"/>
  <c r="AA382" i="4" s="1"/>
  <c r="G349" i="4"/>
  <c r="C354" i="11" s="1"/>
  <c r="L367" i="4"/>
  <c r="AA367" i="4" s="1"/>
  <c r="G373" i="4"/>
  <c r="C378" i="11" s="1"/>
  <c r="H411" i="8"/>
  <c r="H410" i="8"/>
  <c r="H409" i="8"/>
  <c r="H402" i="8"/>
  <c r="L366" i="4"/>
  <c r="AA366" i="4" s="1"/>
  <c r="H408" i="8"/>
  <c r="H401" i="8"/>
  <c r="H400" i="8"/>
  <c r="H398" i="8"/>
  <c r="H397" i="8"/>
  <c r="H396" i="8"/>
  <c r="H389" i="8"/>
  <c r="H395" i="8"/>
  <c r="H394" i="8"/>
  <c r="H392" i="8"/>
  <c r="H391" i="8"/>
  <c r="H390" i="8"/>
  <c r="G371" i="4"/>
  <c r="C376" i="11" s="1"/>
  <c r="O406" i="8"/>
  <c r="P406" i="8" s="1"/>
  <c r="O405" i="8"/>
  <c r="P405" i="8" s="1"/>
  <c r="O411" i="8"/>
  <c r="P411" i="8" s="1"/>
  <c r="O410" i="8"/>
  <c r="P410" i="8" s="1"/>
  <c r="O409" i="8"/>
  <c r="P409" i="8" s="1"/>
  <c r="O407" i="8"/>
  <c r="P407" i="8" s="1"/>
  <c r="O402" i="8"/>
  <c r="P402" i="8" s="1"/>
  <c r="O399" i="8"/>
  <c r="P399" i="8" s="1"/>
  <c r="O398" i="8"/>
  <c r="P398" i="8" s="1"/>
  <c r="O388" i="8"/>
  <c r="P388" i="8" s="1"/>
  <c r="AP365" i="4"/>
  <c r="O397" i="8"/>
  <c r="P397" i="8" s="1"/>
  <c r="O396" i="8"/>
  <c r="P396" i="8" s="1"/>
  <c r="O389" i="8"/>
  <c r="P389" i="8" s="1"/>
  <c r="O393" i="8"/>
  <c r="P393" i="8" s="1"/>
  <c r="H385" i="8"/>
  <c r="L380" i="4"/>
  <c r="AA380" i="4" s="1"/>
  <c r="L381" i="4"/>
  <c r="AA381" i="4" s="1"/>
  <c r="G378" i="4"/>
  <c r="C383" i="11" s="1"/>
  <c r="L379" i="4"/>
  <c r="AA379" i="4" s="1"/>
  <c r="G377" i="4"/>
  <c r="C382" i="11" s="1"/>
  <c r="L355" i="4"/>
  <c r="AA355" i="4" s="1"/>
  <c r="AG357" i="4"/>
  <c r="AI357" i="4" s="1"/>
  <c r="L369" i="4"/>
  <c r="AA369" i="4" s="1"/>
  <c r="AG354" i="4"/>
  <c r="L356" i="4"/>
  <c r="AA356" i="4" s="1"/>
  <c r="G357" i="4"/>
  <c r="C362" i="11" s="1"/>
  <c r="AK365" i="4"/>
  <c r="AL365" i="4" s="1"/>
  <c r="G354" i="4"/>
  <c r="C359" i="11" s="1"/>
  <c r="O384" i="8"/>
  <c r="AJ349" i="4"/>
  <c r="AK349" i="4" s="1"/>
  <c r="AL349" i="4" s="1"/>
  <c r="G359" i="4"/>
  <c r="C364" i="11" s="1"/>
  <c r="AG355" i="4"/>
  <c r="AI355" i="4" s="1"/>
  <c r="AG356" i="4"/>
  <c r="AI356" i="4" s="1"/>
  <c r="AK363" i="4"/>
  <c r="AL363" i="4" s="1"/>
  <c r="AK357" i="4"/>
  <c r="AL357" i="4" s="1"/>
  <c r="AP358" i="4"/>
  <c r="AK358" i="4"/>
  <c r="AL358" i="4" s="1"/>
  <c r="AK354" i="4"/>
  <c r="AL354" i="4" s="1"/>
  <c r="AK359" i="4"/>
  <c r="AL359" i="4" s="1"/>
  <c r="AK355" i="4"/>
  <c r="AL355" i="4" s="1"/>
  <c r="AK362" i="4"/>
  <c r="AL362" i="4" s="1"/>
  <c r="AK356" i="4"/>
  <c r="AL356" i="4" s="1"/>
  <c r="AK360" i="4"/>
  <c r="AL360" i="4" s="1"/>
  <c r="AP360" i="4"/>
  <c r="AK361" i="4"/>
  <c r="AL361" i="4" s="1"/>
  <c r="AK353" i="4"/>
  <c r="AL353" i="4" s="1"/>
  <c r="L358" i="4"/>
  <c r="AA358" i="4" s="1"/>
  <c r="AG359" i="4"/>
  <c r="G374" i="4"/>
  <c r="C379" i="11" s="1"/>
  <c r="L360" i="4"/>
  <c r="AA360" i="4" s="1"/>
  <c r="AG361" i="4"/>
  <c r="L372" i="4"/>
  <c r="AA372" i="4" s="1"/>
  <c r="G375" i="4"/>
  <c r="C380" i="11" s="1"/>
  <c r="L361" i="4"/>
  <c r="AA361" i="4" s="1"/>
  <c r="AG362" i="4"/>
  <c r="G364" i="4"/>
  <c r="C369" i="11" s="1"/>
  <c r="G353" i="4"/>
  <c r="C358" i="11" s="1"/>
  <c r="L362" i="4"/>
  <c r="AA362" i="4" s="1"/>
  <c r="AG363" i="4"/>
  <c r="G365" i="4"/>
  <c r="C370" i="11" s="1"/>
  <c r="AP364" i="4"/>
  <c r="AG352" i="4"/>
  <c r="AK352" i="4"/>
  <c r="AL352" i="4" s="1"/>
  <c r="AG358" i="4"/>
  <c r="L370" i="4"/>
  <c r="AA370" i="4" s="1"/>
  <c r="AG360" i="4"/>
  <c r="G352" i="4"/>
  <c r="C357" i="11" s="1"/>
  <c r="AG353" i="4"/>
  <c r="L364" i="4"/>
  <c r="AA364" i="4" s="1"/>
  <c r="AG365" i="4"/>
  <c r="G363" i="4"/>
  <c r="C368" i="11" s="1"/>
  <c r="AJ348" i="4"/>
  <c r="AK348" i="4" s="1"/>
  <c r="AL348" i="4" s="1"/>
  <c r="AG348" i="4"/>
  <c r="L348" i="4"/>
  <c r="AA348" i="4" s="1"/>
  <c r="AG349" i="4"/>
  <c r="O375" i="8"/>
  <c r="P375" i="8" s="1"/>
  <c r="H375" i="8"/>
  <c r="AP339" i="4"/>
  <c r="H372" i="8"/>
  <c r="AK339" i="4"/>
  <c r="AL339" i="4" s="1"/>
  <c r="AG339" i="4"/>
  <c r="G339" i="4"/>
  <c r="C344" i="11" s="1"/>
  <c r="O372" i="8"/>
  <c r="P372" i="8" s="1"/>
  <c r="H367" i="8"/>
  <c r="AK336" i="4"/>
  <c r="AL336" i="4" s="1"/>
  <c r="AG336" i="4"/>
  <c r="L336" i="4"/>
  <c r="AA336" i="4" s="1"/>
  <c r="O367" i="8"/>
  <c r="P367" i="8" s="1"/>
  <c r="AG331" i="4"/>
  <c r="AM331" i="4" s="1"/>
  <c r="AK331" i="4"/>
  <c r="AL331" i="4" s="1"/>
  <c r="G331" i="4"/>
  <c r="C336" i="11" s="1"/>
  <c r="A20" i="8"/>
  <c r="B20" i="8"/>
  <c r="D20" i="8"/>
  <c r="E20" i="8"/>
  <c r="F20" i="8" s="1"/>
  <c r="I20" i="8"/>
  <c r="J20" i="8"/>
  <c r="K20" i="8"/>
  <c r="J269" i="6" l="1"/>
  <c r="D336" i="11"/>
  <c r="J308" i="6"/>
  <c r="D379" i="11"/>
  <c r="J301" i="6"/>
  <c r="D372" i="11"/>
  <c r="J289" i="6"/>
  <c r="D360" i="11"/>
  <c r="J309" i="6"/>
  <c r="D380" i="11"/>
  <c r="J294" i="6"/>
  <c r="D365" i="11"/>
  <c r="J283" i="6"/>
  <c r="D353" i="11"/>
  <c r="J287" i="6"/>
  <c r="D358" i="11"/>
  <c r="J302" i="6"/>
  <c r="D373" i="11"/>
  <c r="J110" i="6"/>
  <c r="D354" i="11"/>
  <c r="J274" i="6"/>
  <c r="D341" i="11"/>
  <c r="J299" i="6"/>
  <c r="D370" i="11"/>
  <c r="J290" i="6"/>
  <c r="D361" i="11"/>
  <c r="J293" i="6"/>
  <c r="D364" i="11"/>
  <c r="J298" i="6"/>
  <c r="D369" i="11"/>
  <c r="J303" i="6"/>
  <c r="D374" i="11"/>
  <c r="J311" i="6"/>
  <c r="D383" i="11"/>
  <c r="J304" i="6"/>
  <c r="D375" i="11"/>
  <c r="J314" i="6"/>
  <c r="D386" i="11"/>
  <c r="J312" i="6"/>
  <c r="D384" i="11"/>
  <c r="J295" i="6"/>
  <c r="D366" i="11"/>
  <c r="J292" i="6"/>
  <c r="D363" i="11"/>
  <c r="J45" i="6"/>
  <c r="D344" i="11"/>
  <c r="J310" i="6"/>
  <c r="D382" i="11"/>
  <c r="J307" i="6"/>
  <c r="D378" i="11"/>
  <c r="J313" i="6"/>
  <c r="D385" i="11"/>
  <c r="K75" i="2"/>
  <c r="I76" i="11"/>
  <c r="J288" i="6"/>
  <c r="D359" i="11"/>
  <c r="J300" i="6"/>
  <c r="D371" i="11"/>
  <c r="J315" i="6"/>
  <c r="D387" i="11"/>
  <c r="J296" i="6"/>
  <c r="D367" i="11"/>
  <c r="J286" i="6"/>
  <c r="D357" i="11"/>
  <c r="J305" i="6"/>
  <c r="D376" i="11"/>
  <c r="J291" i="6"/>
  <c r="D362" i="11"/>
  <c r="U76" i="11"/>
  <c r="Y76" i="11" s="1"/>
  <c r="AA76" i="11"/>
  <c r="J306" i="6"/>
  <c r="D377" i="11"/>
  <c r="J297" i="6"/>
  <c r="D368" i="11"/>
  <c r="C399" i="8"/>
  <c r="C407" i="8"/>
  <c r="C400" i="8"/>
  <c r="C413" i="8"/>
  <c r="C367" i="8"/>
  <c r="C392" i="8"/>
  <c r="C372" i="8"/>
  <c r="C418" i="8"/>
  <c r="C389" i="8"/>
  <c r="C411" i="8"/>
  <c r="C409" i="8"/>
  <c r="C390" i="8"/>
  <c r="C416" i="8"/>
  <c r="C405" i="8"/>
  <c r="C414" i="8"/>
  <c r="C385" i="8"/>
  <c r="C375" i="8"/>
  <c r="C388" i="8"/>
  <c r="C395" i="8"/>
  <c r="C393" i="8"/>
  <c r="C391" i="8"/>
  <c r="C397" i="8"/>
  <c r="C417" i="8"/>
  <c r="C406" i="8"/>
  <c r="C403" i="8"/>
  <c r="C415" i="8"/>
  <c r="C384" i="8"/>
  <c r="C410" i="8"/>
  <c r="C404" i="8"/>
  <c r="C408" i="8"/>
  <c r="C401" i="8"/>
  <c r="C398" i="8"/>
  <c r="C402" i="8"/>
  <c r="C394" i="8"/>
  <c r="C396" i="8"/>
  <c r="AI364" i="4"/>
  <c r="M408" i="8"/>
  <c r="M418" i="8"/>
  <c r="M403" i="8"/>
  <c r="M401" i="8"/>
  <c r="M390" i="8"/>
  <c r="M416" i="8"/>
  <c r="M404" i="8"/>
  <c r="M392" i="8"/>
  <c r="M406" i="8"/>
  <c r="M417" i="8"/>
  <c r="M385" i="8"/>
  <c r="M391" i="8"/>
  <c r="M400" i="8"/>
  <c r="M394" i="8"/>
  <c r="M395" i="8"/>
  <c r="M413" i="8"/>
  <c r="M415" i="8"/>
  <c r="M414" i="8"/>
  <c r="M405" i="8"/>
  <c r="M388" i="8"/>
  <c r="M396" i="8"/>
  <c r="M398" i="8"/>
  <c r="M397" i="8"/>
  <c r="M409" i="8"/>
  <c r="M389" i="8"/>
  <c r="M410" i="8"/>
  <c r="AM355" i="4"/>
  <c r="M411" i="8"/>
  <c r="M399" i="8"/>
  <c r="M402" i="8"/>
  <c r="M393" i="8"/>
  <c r="M407" i="8"/>
  <c r="M384" i="8"/>
  <c r="P384" i="8"/>
  <c r="AM354" i="4"/>
  <c r="AI354" i="4"/>
  <c r="AM356" i="4"/>
  <c r="AM357" i="4"/>
  <c r="AI352" i="4"/>
  <c r="AM352" i="4"/>
  <c r="AM361" i="4"/>
  <c r="AI361" i="4"/>
  <c r="AI365" i="4"/>
  <c r="AM365" i="4"/>
  <c r="AM358" i="4"/>
  <c r="AI358" i="4"/>
  <c r="AI363" i="4"/>
  <c r="AM363" i="4"/>
  <c r="AI359" i="4"/>
  <c r="AM359" i="4"/>
  <c r="AI353" i="4"/>
  <c r="AM353" i="4"/>
  <c r="AM360" i="4"/>
  <c r="AI360" i="4"/>
  <c r="AM362" i="4"/>
  <c r="AI362" i="4"/>
  <c r="AM349" i="4"/>
  <c r="AI349" i="4"/>
  <c r="AI348" i="4"/>
  <c r="AM348" i="4"/>
  <c r="M375" i="8"/>
  <c r="M372" i="8"/>
  <c r="AI339" i="4"/>
  <c r="AM339" i="4"/>
  <c r="M367" i="8"/>
  <c r="AI336" i="4"/>
  <c r="AM336" i="4"/>
  <c r="AI331" i="4"/>
  <c r="K76" i="11" l="1"/>
  <c r="O76" i="11" s="1"/>
  <c r="M76" i="11"/>
  <c r="AH124" i="4"/>
  <c r="AF124" i="4"/>
  <c r="AN124" i="4" s="1"/>
  <c r="S124" i="4"/>
  <c r="S127" i="11" s="1"/>
  <c r="R124" i="4"/>
  <c r="Q124" i="4"/>
  <c r="R127" i="11" s="1"/>
  <c r="Z127" i="11" s="1"/>
  <c r="M124" i="4"/>
  <c r="AB124" i="4" s="1"/>
  <c r="I124" i="4"/>
  <c r="Q127" i="11" l="1"/>
  <c r="E127" i="11"/>
  <c r="G127" i="11" s="1"/>
  <c r="E52" i="7"/>
  <c r="L124" i="2"/>
  <c r="G124" i="2"/>
  <c r="K124" i="4"/>
  <c r="L52" i="3" s="1"/>
  <c r="L124" i="4"/>
  <c r="AA124" i="4" s="1"/>
  <c r="N137" i="8"/>
  <c r="AG124" i="4"/>
  <c r="AM124" i="4" s="1"/>
  <c r="H137" i="8"/>
  <c r="Z124" i="4"/>
  <c r="O137" i="8"/>
  <c r="P137" i="8" s="1"/>
  <c r="G124" i="4"/>
  <c r="V138" i="4"/>
  <c r="V138" i="2" s="1"/>
  <c r="P186" i="6" s="1"/>
  <c r="V139" i="4"/>
  <c r="V139" i="2" s="1"/>
  <c r="P130" i="6" s="1"/>
  <c r="Q138" i="4"/>
  <c r="R141" i="11" s="1"/>
  <c r="R138" i="4"/>
  <c r="S138" i="4"/>
  <c r="S141" i="11" s="1"/>
  <c r="AA141" i="11" s="1"/>
  <c r="Q139" i="4"/>
  <c r="R142" i="11" s="1"/>
  <c r="R139" i="4"/>
  <c r="S139" i="4"/>
  <c r="M138" i="4"/>
  <c r="AB138" i="4" s="1"/>
  <c r="M139" i="4"/>
  <c r="AB139" i="4" s="1"/>
  <c r="I138" i="4"/>
  <c r="I139" i="4"/>
  <c r="D139" i="2"/>
  <c r="F52" i="7" l="1"/>
  <c r="K52" i="7"/>
  <c r="G139" i="2"/>
  <c r="L139" i="2"/>
  <c r="E141" i="11"/>
  <c r="E66" i="7"/>
  <c r="Z139" i="4"/>
  <c r="S142" i="11"/>
  <c r="Q142" i="11" s="1"/>
  <c r="Z142" i="11"/>
  <c r="E142" i="11"/>
  <c r="E67" i="7"/>
  <c r="Z141" i="11"/>
  <c r="Q141" i="11"/>
  <c r="Y141" i="11" s="1"/>
  <c r="C127" i="11"/>
  <c r="J52" i="3"/>
  <c r="K52" i="3"/>
  <c r="H52" i="3"/>
  <c r="I52" i="3"/>
  <c r="C52" i="3"/>
  <c r="D52" i="3"/>
  <c r="F52" i="3"/>
  <c r="G52" i="3"/>
  <c r="E52" i="3"/>
  <c r="H124" i="2"/>
  <c r="J70" i="6"/>
  <c r="D127" i="11"/>
  <c r="B51" i="1"/>
  <c r="C51" i="1"/>
  <c r="D51" i="1"/>
  <c r="E51" i="1"/>
  <c r="F51" i="1"/>
  <c r="G51" i="1"/>
  <c r="H51" i="1"/>
  <c r="J51" i="1"/>
  <c r="I51" i="1"/>
  <c r="Z138" i="4"/>
  <c r="AI124" i="4"/>
  <c r="N151" i="8"/>
  <c r="G139" i="4"/>
  <c r="L138" i="4"/>
  <c r="AA138" i="4" s="1"/>
  <c r="K139" i="4"/>
  <c r="L67" i="3" s="1"/>
  <c r="AJ124" i="4"/>
  <c r="AK124" i="4" s="1"/>
  <c r="AL124" i="4" s="1"/>
  <c r="C137" i="8"/>
  <c r="K138" i="4"/>
  <c r="L66" i="3" s="1"/>
  <c r="H151" i="8"/>
  <c r="O151" i="8"/>
  <c r="P151" i="8" s="1"/>
  <c r="M137" i="8"/>
  <c r="G138" i="4"/>
  <c r="L139" i="4"/>
  <c r="AA139" i="4" s="1"/>
  <c r="V20" i="4"/>
  <c r="V20" i="2" s="1"/>
  <c r="P114" i="6" s="1"/>
  <c r="Q20" i="4"/>
  <c r="R20" i="11" s="1"/>
  <c r="R20" i="4"/>
  <c r="S20" i="4"/>
  <c r="S20" i="11" s="1"/>
  <c r="M20" i="4"/>
  <c r="AB20" i="4" s="1"/>
  <c r="I20" i="4"/>
  <c r="D20" i="2"/>
  <c r="F66" i="7" l="1"/>
  <c r="K66" i="7"/>
  <c r="F67" i="7"/>
  <c r="K67" i="7"/>
  <c r="E20" i="11"/>
  <c r="E16" i="7"/>
  <c r="G142" i="11"/>
  <c r="M141" i="11"/>
  <c r="G141" i="11"/>
  <c r="O141" i="11" s="1"/>
  <c r="L20" i="2"/>
  <c r="G20" i="2"/>
  <c r="Z20" i="11"/>
  <c r="Q20" i="11"/>
  <c r="C142" i="11"/>
  <c r="H67" i="3"/>
  <c r="K67" i="3"/>
  <c r="I67" i="3"/>
  <c r="J67" i="3"/>
  <c r="C67" i="3"/>
  <c r="D67" i="3"/>
  <c r="E67" i="3"/>
  <c r="F67" i="3"/>
  <c r="G67" i="3"/>
  <c r="C141" i="11"/>
  <c r="G66" i="3"/>
  <c r="J66" i="3"/>
  <c r="E66" i="3"/>
  <c r="F66" i="3"/>
  <c r="C66" i="3"/>
  <c r="D66" i="3"/>
  <c r="H66" i="3"/>
  <c r="I66" i="3"/>
  <c r="K66" i="3"/>
  <c r="H139" i="2"/>
  <c r="K66" i="1" s="1"/>
  <c r="J130" i="6"/>
  <c r="E66" i="1"/>
  <c r="D142" i="11"/>
  <c r="B66" i="1"/>
  <c r="G66" i="1"/>
  <c r="H66" i="1"/>
  <c r="I66" i="1"/>
  <c r="J66" i="1"/>
  <c r="C66" i="1"/>
  <c r="D66" i="1"/>
  <c r="F66" i="1"/>
  <c r="S124" i="2"/>
  <c r="W127" i="11" s="1"/>
  <c r="K70" i="6"/>
  <c r="M70" i="6" s="1"/>
  <c r="I124" i="2"/>
  <c r="K51" i="1"/>
  <c r="N20" i="8"/>
  <c r="G20" i="4"/>
  <c r="C151" i="8"/>
  <c r="Z20" i="4"/>
  <c r="O20" i="8"/>
  <c r="P20" i="8" s="1"/>
  <c r="K20" i="4"/>
  <c r="L19" i="3" s="1"/>
  <c r="H20" i="8"/>
  <c r="M151" i="8"/>
  <c r="L20" i="4"/>
  <c r="AA20" i="4" s="1"/>
  <c r="I30" i="13"/>
  <c r="P30" i="13" s="1"/>
  <c r="F16" i="7" l="1"/>
  <c r="K16" i="7"/>
  <c r="H20" i="2"/>
  <c r="K18" i="1" s="1"/>
  <c r="J114" i="6"/>
  <c r="D20" i="11"/>
  <c r="J18" i="1"/>
  <c r="B18" i="1"/>
  <c r="C18" i="1"/>
  <c r="D18" i="1"/>
  <c r="E18" i="1"/>
  <c r="F18" i="1"/>
  <c r="G18" i="1"/>
  <c r="H18" i="1"/>
  <c r="I18" i="1"/>
  <c r="S139" i="2"/>
  <c r="W142" i="11" s="1"/>
  <c r="K130" i="6"/>
  <c r="M130" i="6" s="1"/>
  <c r="I139" i="2"/>
  <c r="C20" i="11"/>
  <c r="H19" i="3"/>
  <c r="K19" i="3"/>
  <c r="C19" i="3"/>
  <c r="G19" i="3"/>
  <c r="D19" i="3"/>
  <c r="E19" i="3"/>
  <c r="F19" i="3"/>
  <c r="I19" i="3"/>
  <c r="J19" i="3"/>
  <c r="G20" i="11"/>
  <c r="K124" i="2"/>
  <c r="L51" i="1" s="1"/>
  <c r="I127" i="11"/>
  <c r="U127" i="11"/>
  <c r="Y127" i="11" s="1"/>
  <c r="AA127" i="11"/>
  <c r="C20" i="8"/>
  <c r="M20" i="8"/>
  <c r="K139" i="2" l="1"/>
  <c r="L66" i="1" s="1"/>
  <c r="I142" i="11"/>
  <c r="U142" i="11"/>
  <c r="Y142" i="11" s="1"/>
  <c r="AA142" i="11"/>
  <c r="K114" i="6"/>
  <c r="M114" i="6" s="1"/>
  <c r="S20" i="2"/>
  <c r="W20" i="11" s="1"/>
  <c r="I20" i="2"/>
  <c r="M127" i="11"/>
  <c r="K127" i="11"/>
  <c r="O127" i="11" s="1"/>
  <c r="G414" i="11"/>
  <c r="G413" i="11"/>
  <c r="K20" i="2" l="1"/>
  <c r="L18" i="1" s="1"/>
  <c r="I20" i="11"/>
  <c r="K142" i="11"/>
  <c r="O142" i="11" s="1"/>
  <c r="M142" i="11"/>
  <c r="U20" i="11"/>
  <c r="Y20" i="11" s="1"/>
  <c r="AA20" i="11"/>
  <c r="D45" i="13"/>
  <c r="K20" i="11" l="1"/>
  <c r="O20" i="11" s="1"/>
  <c r="M20" i="11"/>
  <c r="O12" i="13"/>
  <c r="O11" i="13"/>
  <c r="O15" i="13" l="1"/>
  <c r="K11" i="12" l="1"/>
  <c r="K13" i="12"/>
  <c r="K9" i="12"/>
  <c r="I11" i="12"/>
  <c r="I12" i="12"/>
  <c r="I13" i="12"/>
  <c r="I9" i="12"/>
  <c r="F10" i="12"/>
  <c r="F11" i="12"/>
  <c r="F13" i="12"/>
  <c r="F14" i="12"/>
  <c r="F9" i="12"/>
  <c r="E10" i="12"/>
  <c r="E11" i="12"/>
  <c r="E12" i="12"/>
  <c r="E13" i="12"/>
  <c r="E14" i="12"/>
  <c r="E9" i="12"/>
  <c r="C10" i="12"/>
  <c r="C11" i="12"/>
  <c r="C12" i="12"/>
  <c r="C13" i="12"/>
  <c r="C14" i="12"/>
  <c r="C9" i="12"/>
  <c r="A3" i="12"/>
  <c r="O34" i="13"/>
  <c r="K31" i="13"/>
  <c r="G31" i="13"/>
  <c r="J415" i="11" s="1"/>
  <c r="D31" i="13"/>
  <c r="K30" i="13"/>
  <c r="G30" i="13"/>
  <c r="J414" i="11" s="1"/>
  <c r="F30" i="13"/>
  <c r="D30" i="13"/>
  <c r="K29" i="13"/>
  <c r="F29" i="13"/>
  <c r="D29" i="13"/>
  <c r="K28" i="13"/>
  <c r="G28" i="13"/>
  <c r="J412" i="11" s="1"/>
  <c r="F28" i="13"/>
  <c r="D28" i="13"/>
  <c r="K27" i="13"/>
  <c r="G27" i="13"/>
  <c r="D27" i="13"/>
  <c r="K26" i="13"/>
  <c r="I26" i="13"/>
  <c r="G26" i="13"/>
  <c r="F26" i="13"/>
  <c r="D26" i="13"/>
  <c r="K19" i="13"/>
  <c r="D19" i="13"/>
  <c r="O16" i="13"/>
  <c r="N16" i="13"/>
  <c r="D14" i="12" s="1"/>
  <c r="P15" i="13"/>
  <c r="D13" i="12"/>
  <c r="J15" i="13"/>
  <c r="E15" i="13"/>
  <c r="O14" i="13"/>
  <c r="N14" i="13"/>
  <c r="D12" i="12" s="1"/>
  <c r="E14" i="13"/>
  <c r="H12" i="12" s="1"/>
  <c r="O13" i="13"/>
  <c r="P13" i="13" s="1"/>
  <c r="N13" i="13"/>
  <c r="D11" i="12" s="1"/>
  <c r="L13" i="13"/>
  <c r="L11" i="12" s="1"/>
  <c r="M13" i="13"/>
  <c r="G11" i="12" s="1"/>
  <c r="N12" i="13"/>
  <c r="D10" i="12" s="1"/>
  <c r="L12" i="13"/>
  <c r="L10" i="12" s="1"/>
  <c r="I12" i="13"/>
  <c r="I27" i="13" s="1"/>
  <c r="P11" i="13"/>
  <c r="N11" i="13"/>
  <c r="D9" i="12" s="1"/>
  <c r="J11" i="13"/>
  <c r="L11" i="13" s="1"/>
  <c r="L9" i="12" s="1"/>
  <c r="E11" i="13"/>
  <c r="H11" i="13" s="1"/>
  <c r="J9" i="12" s="1"/>
  <c r="J411" i="11" l="1"/>
  <c r="L15" i="13"/>
  <c r="L13" i="12" s="1"/>
  <c r="H15" i="13"/>
  <c r="J13" i="12" s="1"/>
  <c r="M15" i="13"/>
  <c r="G13" i="12" s="1"/>
  <c r="D43" i="13"/>
  <c r="F43" i="13" s="1"/>
  <c r="P26" i="13"/>
  <c r="D41" i="13"/>
  <c r="P27" i="13"/>
  <c r="D42" i="13"/>
  <c r="F42" i="13" s="1"/>
  <c r="N31" i="13"/>
  <c r="J26" i="13"/>
  <c r="J30" i="13"/>
  <c r="E26" i="13"/>
  <c r="M26" i="13" s="1"/>
  <c r="E29" i="13"/>
  <c r="H9" i="12"/>
  <c r="N30" i="13"/>
  <c r="N26" i="13"/>
  <c r="N29" i="13"/>
  <c r="F45" i="13"/>
  <c r="E30" i="13"/>
  <c r="H30" i="13" s="1"/>
  <c r="D414" i="11" s="1"/>
  <c r="H13" i="12"/>
  <c r="J28" i="13"/>
  <c r="H11" i="12"/>
  <c r="E28" i="13"/>
  <c r="M28" i="13" s="1"/>
  <c r="K10" i="12"/>
  <c r="E17" i="12"/>
  <c r="N19" i="13"/>
  <c r="D17" i="12"/>
  <c r="C17" i="12"/>
  <c r="J27" i="13"/>
  <c r="O19" i="13"/>
  <c r="N28" i="13"/>
  <c r="M11" i="13"/>
  <c r="G9" i="12" s="1"/>
  <c r="K34" i="13"/>
  <c r="D34" i="13"/>
  <c r="P12" i="13"/>
  <c r="N27" i="13"/>
  <c r="H13" i="13"/>
  <c r="J11" i="12" s="1"/>
  <c r="L30" i="13" l="1"/>
  <c r="I414" i="11"/>
  <c r="K414" i="11" s="1"/>
  <c r="L28" i="13"/>
  <c r="I412" i="11"/>
  <c r="L26" i="13"/>
  <c r="I411" i="11"/>
  <c r="H26" i="13"/>
  <c r="D411" i="11" s="1"/>
  <c r="M30" i="13"/>
  <c r="F41" i="13"/>
  <c r="H28" i="13"/>
  <c r="D412" i="11" s="1"/>
  <c r="N34" i="13"/>
  <c r="L27" i="13"/>
  <c r="P338" i="6" l="1"/>
  <c r="P339" i="6"/>
  <c r="P340" i="6"/>
  <c r="P341" i="6"/>
  <c r="P342" i="6"/>
  <c r="P343" i="6"/>
  <c r="P344" i="6"/>
  <c r="I145" i="1" l="1"/>
  <c r="A399" i="11" l="1"/>
  <c r="B399" i="11"/>
  <c r="F399" i="11"/>
  <c r="A394" i="2" l="1"/>
  <c r="A344" i="6" s="1"/>
  <c r="B394" i="2"/>
  <c r="B344" i="6" s="1"/>
  <c r="F394" i="2"/>
  <c r="J394" i="2"/>
  <c r="N394" i="2"/>
  <c r="O394" i="2"/>
  <c r="P394" i="2"/>
  <c r="T394" i="2"/>
  <c r="N344" i="6" s="1"/>
  <c r="U394" i="2"/>
  <c r="O344" i="6" s="1"/>
  <c r="F103" i="2"/>
  <c r="N103" i="2"/>
  <c r="O103" i="2"/>
  <c r="AD68" i="4"/>
  <c r="AO68" i="4"/>
  <c r="AP68" i="4" s="1"/>
  <c r="AD69" i="4"/>
  <c r="AO69" i="4"/>
  <c r="AP69" i="4" s="1"/>
  <c r="C103" i="2" l="1"/>
  <c r="P103" i="2"/>
  <c r="J103" i="2"/>
  <c r="E103" i="2"/>
  <c r="AO325" i="4"/>
  <c r="AP325" i="4" s="1"/>
  <c r="AD325" i="4"/>
  <c r="AD162" i="4"/>
  <c r="AO163" i="4"/>
  <c r="AP163" i="4" s="1"/>
  <c r="AO162" i="4"/>
  <c r="AP162" i="4" s="1"/>
  <c r="AO75" i="4"/>
  <c r="AP75" i="4" s="1"/>
  <c r="AD75" i="4"/>
  <c r="AD161" i="4"/>
  <c r="AO161" i="4"/>
  <c r="AP161" i="4" s="1"/>
  <c r="L344" i="6"/>
  <c r="AO357" i="4"/>
  <c r="AP357" i="4" s="1"/>
  <c r="Q394" i="2"/>
  <c r="V399" i="11" s="1"/>
  <c r="AD336" i="4"/>
  <c r="AO336" i="4"/>
  <c r="AP336" i="4" s="1"/>
  <c r="AD331" i="4"/>
  <c r="AO331" i="4"/>
  <c r="AP331" i="4" s="1"/>
  <c r="AO124" i="4"/>
  <c r="AP124" i="4" s="1"/>
  <c r="R394" i="2"/>
  <c r="C344" i="6"/>
  <c r="F344" i="6"/>
  <c r="J399" i="11"/>
  <c r="N399" i="11" s="1"/>
  <c r="M103" i="2"/>
  <c r="R103" i="2"/>
  <c r="Q103" i="2" l="1"/>
  <c r="A378" i="8" l="1"/>
  <c r="D378" i="8"/>
  <c r="E378" i="8"/>
  <c r="F378" i="8" s="1"/>
  <c r="I378" i="8"/>
  <c r="J378" i="8"/>
  <c r="K378" i="8"/>
  <c r="A379" i="8"/>
  <c r="D379" i="8"/>
  <c r="E379" i="8"/>
  <c r="F379" i="8" s="1"/>
  <c r="I379" i="8"/>
  <c r="J379" i="8"/>
  <c r="K379" i="8"/>
  <c r="A363" i="8"/>
  <c r="D363" i="8"/>
  <c r="E363" i="8"/>
  <c r="F363" i="8" s="1"/>
  <c r="I363" i="8"/>
  <c r="J363" i="8"/>
  <c r="K363" i="8"/>
  <c r="AO343" i="4"/>
  <c r="AH343" i="4"/>
  <c r="AF343" i="4"/>
  <c r="AN343" i="4" s="1"/>
  <c r="V343" i="4"/>
  <c r="V343" i="2" s="1"/>
  <c r="P279" i="6" s="1"/>
  <c r="S343" i="4"/>
  <c r="S348" i="11" s="1"/>
  <c r="R343" i="4"/>
  <c r="Q343" i="4"/>
  <c r="R348" i="11" s="1"/>
  <c r="M343" i="4"/>
  <c r="AB343" i="4" s="1"/>
  <c r="I343" i="4"/>
  <c r="E348" i="11" s="1"/>
  <c r="D343" i="2"/>
  <c r="AH342" i="4"/>
  <c r="AJ342" i="4" s="1"/>
  <c r="AF342" i="4"/>
  <c r="AN342" i="4" s="1"/>
  <c r="V342" i="4"/>
  <c r="V342" i="2" s="1"/>
  <c r="P278" i="6" s="1"/>
  <c r="S342" i="4"/>
  <c r="S347" i="11" s="1"/>
  <c r="AA347" i="11" s="1"/>
  <c r="R342" i="4"/>
  <c r="Q342" i="4"/>
  <c r="R347" i="11" s="1"/>
  <c r="M342" i="4"/>
  <c r="AB342" i="4" s="1"/>
  <c r="I342" i="4"/>
  <c r="E347" i="11" s="1"/>
  <c r="D342" i="2"/>
  <c r="AH327" i="4"/>
  <c r="AF327" i="4"/>
  <c r="AN327" i="4" s="1"/>
  <c r="V327" i="4"/>
  <c r="V327" i="2" s="1"/>
  <c r="P266" i="6" s="1"/>
  <c r="S327" i="4"/>
  <c r="S332" i="11" s="1"/>
  <c r="R327" i="4"/>
  <c r="Q327" i="4"/>
  <c r="R332" i="11" s="1"/>
  <c r="M327" i="4"/>
  <c r="AB327" i="4" s="1"/>
  <c r="I327" i="4"/>
  <c r="E332" i="11" s="1"/>
  <c r="D327" i="2"/>
  <c r="A215" i="8"/>
  <c r="B215" i="8"/>
  <c r="D215" i="8"/>
  <c r="E215" i="8"/>
  <c r="F215" i="8" s="1"/>
  <c r="I215" i="8"/>
  <c r="J215" i="8"/>
  <c r="K215" i="8"/>
  <c r="A218" i="8"/>
  <c r="B218" i="8"/>
  <c r="D218" i="8"/>
  <c r="E218" i="8"/>
  <c r="F218" i="8" s="1"/>
  <c r="I218" i="8"/>
  <c r="J218" i="8"/>
  <c r="K218" i="8"/>
  <c r="A204" i="8"/>
  <c r="B204" i="8"/>
  <c r="D204" i="8"/>
  <c r="E204" i="8"/>
  <c r="F204" i="8" s="1"/>
  <c r="I204" i="8"/>
  <c r="J204" i="8"/>
  <c r="K204" i="8"/>
  <c r="A187" i="8"/>
  <c r="B187" i="8"/>
  <c r="D187" i="8"/>
  <c r="E187" i="8"/>
  <c r="F187" i="8" s="1"/>
  <c r="I187" i="8"/>
  <c r="J187" i="8"/>
  <c r="K187" i="8"/>
  <c r="A179" i="8"/>
  <c r="B179" i="8"/>
  <c r="D179" i="8"/>
  <c r="E179" i="8"/>
  <c r="F179" i="8" s="1"/>
  <c r="I179" i="8"/>
  <c r="J179" i="8"/>
  <c r="K179" i="8"/>
  <c r="A181" i="8"/>
  <c r="B181" i="8"/>
  <c r="D181" i="8"/>
  <c r="E181" i="8"/>
  <c r="F181" i="8" s="1"/>
  <c r="I181" i="8"/>
  <c r="J181" i="8"/>
  <c r="K181" i="8"/>
  <c r="V205" i="4"/>
  <c r="V205" i="2" s="1"/>
  <c r="P229" i="6" s="1"/>
  <c r="S205" i="4"/>
  <c r="S208" i="11" s="1"/>
  <c r="R205" i="4"/>
  <c r="Q205" i="4"/>
  <c r="R208" i="11" s="1"/>
  <c r="M205" i="4"/>
  <c r="AB205" i="4" s="1"/>
  <c r="I205" i="4"/>
  <c r="E208" i="11" s="1"/>
  <c r="D205" i="2"/>
  <c r="AH202" i="4"/>
  <c r="AF202" i="4"/>
  <c r="AN202" i="4" s="1"/>
  <c r="V202" i="4"/>
  <c r="V202" i="2" s="1"/>
  <c r="P226" i="6" s="1"/>
  <c r="S202" i="4"/>
  <c r="S205" i="11" s="1"/>
  <c r="R202" i="4"/>
  <c r="Q202" i="4"/>
  <c r="R205" i="11" s="1"/>
  <c r="M202" i="4"/>
  <c r="AB202" i="4" s="1"/>
  <c r="I202" i="4"/>
  <c r="E205" i="11" s="1"/>
  <c r="D202" i="2"/>
  <c r="AO191" i="4"/>
  <c r="AH191" i="4"/>
  <c r="AF191" i="4"/>
  <c r="AN191" i="4" s="1"/>
  <c r="V191" i="4"/>
  <c r="V191" i="2" s="1"/>
  <c r="P215" i="6" s="1"/>
  <c r="S191" i="4"/>
  <c r="S194" i="11" s="1"/>
  <c r="R191" i="4"/>
  <c r="Q191" i="4"/>
  <c r="R194" i="11" s="1"/>
  <c r="M191" i="4"/>
  <c r="AB191" i="4" s="1"/>
  <c r="I191" i="4"/>
  <c r="E194" i="11" s="1"/>
  <c r="D191" i="2"/>
  <c r="AH174" i="4"/>
  <c r="AF174" i="4"/>
  <c r="AN174" i="4" s="1"/>
  <c r="V174" i="4"/>
  <c r="V174" i="2" s="1"/>
  <c r="P202" i="6" s="1"/>
  <c r="S174" i="4"/>
  <c r="S177" i="11" s="1"/>
  <c r="R174" i="4"/>
  <c r="Q174" i="4"/>
  <c r="R177" i="11" s="1"/>
  <c r="M174" i="4"/>
  <c r="AB174" i="4" s="1"/>
  <c r="I174" i="4"/>
  <c r="E177" i="11" s="1"/>
  <c r="D174" i="2"/>
  <c r="AH168" i="4"/>
  <c r="AF168" i="4"/>
  <c r="AN168" i="4" s="1"/>
  <c r="V168" i="4"/>
  <c r="V168" i="2" s="1"/>
  <c r="P36" i="6" s="1"/>
  <c r="S168" i="4"/>
  <c r="S171" i="11" s="1"/>
  <c r="R168" i="4"/>
  <c r="Q168" i="4"/>
  <c r="R171" i="11" s="1"/>
  <c r="M168" i="4"/>
  <c r="AB168" i="4" s="1"/>
  <c r="I168" i="4"/>
  <c r="E171" i="11" s="1"/>
  <c r="D168" i="2"/>
  <c r="AH166" i="4"/>
  <c r="AF166" i="4"/>
  <c r="AN166" i="4" s="1"/>
  <c r="V166" i="4"/>
  <c r="V166" i="2" s="1"/>
  <c r="P197" i="6" s="1"/>
  <c r="S166" i="4"/>
  <c r="S169" i="11" s="1"/>
  <c r="R166" i="4"/>
  <c r="Q166" i="4"/>
  <c r="R169" i="11" s="1"/>
  <c r="M166" i="4"/>
  <c r="AB166" i="4" s="1"/>
  <c r="I166" i="4"/>
  <c r="E169" i="11" s="1"/>
  <c r="D166" i="2"/>
  <c r="A92" i="8"/>
  <c r="B92" i="8"/>
  <c r="D92" i="8"/>
  <c r="E92" i="8"/>
  <c r="F92" i="8" s="1"/>
  <c r="I92" i="8"/>
  <c r="J92" i="8"/>
  <c r="K92" i="8"/>
  <c r="A94" i="8"/>
  <c r="B94" i="8"/>
  <c r="D94" i="8"/>
  <c r="E94" i="8"/>
  <c r="F94" i="8" s="1"/>
  <c r="I94" i="8"/>
  <c r="J94" i="8"/>
  <c r="K94" i="8"/>
  <c r="A95" i="8"/>
  <c r="B95" i="8"/>
  <c r="D95" i="8"/>
  <c r="E95" i="8"/>
  <c r="F95" i="8" s="1"/>
  <c r="I95" i="8"/>
  <c r="J95" i="8"/>
  <c r="K95" i="8"/>
  <c r="A83" i="8"/>
  <c r="B83" i="8"/>
  <c r="D83" i="8"/>
  <c r="E83" i="8"/>
  <c r="F83" i="8" s="1"/>
  <c r="I83" i="8"/>
  <c r="J83" i="8"/>
  <c r="K83" i="8"/>
  <c r="A80" i="8"/>
  <c r="B80" i="8"/>
  <c r="D80" i="8"/>
  <c r="E80" i="8"/>
  <c r="I80" i="8"/>
  <c r="J80" i="8"/>
  <c r="K80" i="8"/>
  <c r="AO91" i="4"/>
  <c r="AH91" i="4"/>
  <c r="AF91" i="4"/>
  <c r="AN91" i="4" s="1"/>
  <c r="V91" i="4"/>
  <c r="V91" i="2" s="1"/>
  <c r="P174" i="6" s="1"/>
  <c r="S91" i="4"/>
  <c r="S92" i="11" s="1"/>
  <c r="R91" i="4"/>
  <c r="Q91" i="4"/>
  <c r="R92" i="11" s="1"/>
  <c r="M91" i="4"/>
  <c r="AB91" i="4" s="1"/>
  <c r="I91" i="4"/>
  <c r="E92" i="11" s="1"/>
  <c r="D91" i="2"/>
  <c r="AO90" i="4"/>
  <c r="AH90" i="4"/>
  <c r="AF90" i="4"/>
  <c r="AN90" i="4" s="1"/>
  <c r="V90" i="4"/>
  <c r="V90" i="2" s="1"/>
  <c r="P173" i="6" s="1"/>
  <c r="S90" i="4"/>
  <c r="S91" i="11" s="1"/>
  <c r="R90" i="4"/>
  <c r="Q90" i="4"/>
  <c r="R91" i="11" s="1"/>
  <c r="M90" i="4"/>
  <c r="AB90" i="4" s="1"/>
  <c r="I90" i="4"/>
  <c r="E91" i="11" s="1"/>
  <c r="D90" i="2"/>
  <c r="AH88" i="4"/>
  <c r="AF88" i="4"/>
  <c r="AN88" i="4" s="1"/>
  <c r="V88" i="4"/>
  <c r="V88" i="2" s="1"/>
  <c r="P172" i="6" s="1"/>
  <c r="S88" i="4"/>
  <c r="S89" i="11" s="1"/>
  <c r="R88" i="4"/>
  <c r="Q88" i="4"/>
  <c r="R89" i="11" s="1"/>
  <c r="M88" i="4"/>
  <c r="AB88" i="4" s="1"/>
  <c r="I88" i="4"/>
  <c r="E89" i="11" s="1"/>
  <c r="D88" i="2"/>
  <c r="AO79" i="4"/>
  <c r="AH79" i="4"/>
  <c r="AF79" i="4"/>
  <c r="AN79" i="4" s="1"/>
  <c r="AD79" i="4"/>
  <c r="V79" i="4"/>
  <c r="V79" i="2" s="1"/>
  <c r="P166" i="6" s="1"/>
  <c r="S79" i="4"/>
  <c r="S80" i="11" s="1"/>
  <c r="R79" i="4"/>
  <c r="Q79" i="4"/>
  <c r="R80" i="11" s="1"/>
  <c r="M79" i="4"/>
  <c r="AB79" i="4" s="1"/>
  <c r="I79" i="4"/>
  <c r="E80" i="11" s="1"/>
  <c r="D79" i="2"/>
  <c r="AH76" i="4"/>
  <c r="AF76" i="4"/>
  <c r="AN76" i="4" s="1"/>
  <c r="V76" i="4"/>
  <c r="V76" i="2" s="1"/>
  <c r="P26" i="6" s="1"/>
  <c r="S76" i="4"/>
  <c r="S77" i="11" s="1"/>
  <c r="R76" i="4"/>
  <c r="Q76" i="4"/>
  <c r="R77" i="11" s="1"/>
  <c r="M76" i="4"/>
  <c r="I76" i="4"/>
  <c r="E77" i="11" s="1"/>
  <c r="D76" i="2"/>
  <c r="L168" i="2" l="1"/>
  <c r="G168" i="2"/>
  <c r="Z177" i="11"/>
  <c r="Q177" i="11"/>
  <c r="G347" i="11"/>
  <c r="O347" i="11" s="1"/>
  <c r="M347" i="11"/>
  <c r="L79" i="2"/>
  <c r="G79" i="2"/>
  <c r="G89" i="11"/>
  <c r="G80" i="11"/>
  <c r="G171" i="11"/>
  <c r="G205" i="2"/>
  <c r="L205" i="2"/>
  <c r="Z89" i="11"/>
  <c r="Q89" i="11"/>
  <c r="G208" i="11"/>
  <c r="L327" i="2"/>
  <c r="G327" i="2"/>
  <c r="Q347" i="11"/>
  <c r="Y347" i="11" s="1"/>
  <c r="Z347" i="11"/>
  <c r="G166" i="2"/>
  <c r="L166" i="2"/>
  <c r="Q171" i="11"/>
  <c r="Z171" i="11"/>
  <c r="G332" i="11"/>
  <c r="Z208" i="11"/>
  <c r="Q208" i="11"/>
  <c r="G76" i="2"/>
  <c r="L76" i="2"/>
  <c r="G77" i="11"/>
  <c r="G205" i="11"/>
  <c r="Q332" i="11"/>
  <c r="Z332" i="11"/>
  <c r="Z77" i="11"/>
  <c r="Q77" i="11"/>
  <c r="G91" i="2"/>
  <c r="L91" i="2"/>
  <c r="Q169" i="11"/>
  <c r="Z169" i="11"/>
  <c r="L191" i="2"/>
  <c r="G191" i="2"/>
  <c r="Z80" i="11"/>
  <c r="Q80" i="11"/>
  <c r="G169" i="11"/>
  <c r="Z205" i="11"/>
  <c r="Q205" i="11"/>
  <c r="G92" i="11"/>
  <c r="G90" i="2"/>
  <c r="L90" i="2"/>
  <c r="G343" i="2"/>
  <c r="L343" i="2"/>
  <c r="G91" i="11"/>
  <c r="Z92" i="11"/>
  <c r="Q92" i="11"/>
  <c r="L174" i="2"/>
  <c r="G174" i="2"/>
  <c r="Z194" i="11"/>
  <c r="Q194" i="11"/>
  <c r="G348" i="11"/>
  <c r="G177" i="11"/>
  <c r="G202" i="2"/>
  <c r="L202" i="2"/>
  <c r="G194" i="11"/>
  <c r="G88" i="2"/>
  <c r="L88" i="2"/>
  <c r="Z91" i="11"/>
  <c r="Q91" i="11"/>
  <c r="G342" i="2"/>
  <c r="L342" i="2"/>
  <c r="Q348" i="11"/>
  <c r="Z348" i="11"/>
  <c r="O378" i="8"/>
  <c r="P378" i="8" s="1"/>
  <c r="H379" i="8"/>
  <c r="H378" i="8"/>
  <c r="O379" i="8"/>
  <c r="P379" i="8" s="1"/>
  <c r="AB76" i="4"/>
  <c r="F80" i="8"/>
  <c r="N378" i="8"/>
  <c r="N379" i="8"/>
  <c r="L202" i="4"/>
  <c r="AA202" i="4" s="1"/>
  <c r="K79" i="4"/>
  <c r="K202" i="4"/>
  <c r="K76" i="4"/>
  <c r="N363" i="8"/>
  <c r="K88" i="4"/>
  <c r="Z327" i="4"/>
  <c r="Z88" i="4"/>
  <c r="Z166" i="4"/>
  <c r="Z79" i="4"/>
  <c r="L174" i="4"/>
  <c r="AA174" i="4" s="1"/>
  <c r="N204" i="8"/>
  <c r="Z202" i="4"/>
  <c r="L343" i="4"/>
  <c r="AA343" i="4" s="1"/>
  <c r="L91" i="4"/>
  <c r="AA91" i="4" s="1"/>
  <c r="K174" i="4"/>
  <c r="K343" i="4"/>
  <c r="Z342" i="4"/>
  <c r="L191" i="4"/>
  <c r="AA191" i="4" s="1"/>
  <c r="N179" i="8"/>
  <c r="Z76" i="4"/>
  <c r="L90" i="4"/>
  <c r="AA90" i="4" s="1"/>
  <c r="G168" i="4"/>
  <c r="C171" i="11" s="1"/>
  <c r="N187" i="8"/>
  <c r="G342" i="4"/>
  <c r="C347" i="11" s="1"/>
  <c r="Z168" i="4"/>
  <c r="Z205" i="4"/>
  <c r="N83" i="8"/>
  <c r="N215" i="8"/>
  <c r="N80" i="8"/>
  <c r="K91" i="4"/>
  <c r="N95" i="8"/>
  <c r="K168" i="4"/>
  <c r="G205" i="4"/>
  <c r="C208" i="11" s="1"/>
  <c r="K342" i="4"/>
  <c r="K90" i="4"/>
  <c r="Z174" i="4"/>
  <c r="K205" i="4"/>
  <c r="AG327" i="4"/>
  <c r="AM327" i="4" s="1"/>
  <c r="Z343" i="4"/>
  <c r="L79" i="4"/>
  <c r="AA79" i="4" s="1"/>
  <c r="K166" i="4"/>
  <c r="N218" i="8"/>
  <c r="Z90" i="4"/>
  <c r="N92" i="8"/>
  <c r="G76" i="4"/>
  <c r="C77" i="11" s="1"/>
  <c r="K191" i="4"/>
  <c r="Z191" i="4"/>
  <c r="G88" i="4"/>
  <c r="C89" i="11" s="1"/>
  <c r="N94" i="8"/>
  <c r="Z91" i="4"/>
  <c r="L166" i="4"/>
  <c r="AA166" i="4" s="1"/>
  <c r="N181" i="8"/>
  <c r="K327" i="4"/>
  <c r="H363" i="8"/>
  <c r="O363" i="8"/>
  <c r="P363" i="8" s="1"/>
  <c r="AK342" i="4"/>
  <c r="AL342" i="4" s="1"/>
  <c r="G343" i="4"/>
  <c r="C348" i="11" s="1"/>
  <c r="AG342" i="4"/>
  <c r="L342" i="4"/>
  <c r="AA342" i="4" s="1"/>
  <c r="AG343" i="4"/>
  <c r="H215" i="8"/>
  <c r="O179" i="8"/>
  <c r="P179" i="8" s="1"/>
  <c r="O215" i="8"/>
  <c r="P215" i="8" s="1"/>
  <c r="O218" i="8"/>
  <c r="P218" i="8" s="1"/>
  <c r="O181" i="8"/>
  <c r="P181" i="8" s="1"/>
  <c r="O204" i="8"/>
  <c r="P204" i="8" s="1"/>
  <c r="O187" i="8"/>
  <c r="P187" i="8" s="1"/>
  <c r="G327" i="4"/>
  <c r="C332" i="11" s="1"/>
  <c r="L327" i="4"/>
  <c r="AA327" i="4" s="1"/>
  <c r="H181" i="8"/>
  <c r="H179" i="8"/>
  <c r="H187" i="8"/>
  <c r="H204" i="8"/>
  <c r="H218" i="8"/>
  <c r="L205" i="4"/>
  <c r="AA205" i="4" s="1"/>
  <c r="AG202" i="4"/>
  <c r="G202" i="4"/>
  <c r="C205" i="11" s="1"/>
  <c r="AG191" i="4"/>
  <c r="G191" i="4"/>
  <c r="C194" i="11" s="1"/>
  <c r="O92" i="8"/>
  <c r="P92" i="8" s="1"/>
  <c r="O83" i="8"/>
  <c r="H95" i="8"/>
  <c r="AG174" i="4"/>
  <c r="G174" i="4"/>
  <c r="C177" i="11" s="1"/>
  <c r="AG168" i="4"/>
  <c r="L168" i="4"/>
  <c r="AA168" i="4" s="1"/>
  <c r="H80" i="8"/>
  <c r="H83" i="8"/>
  <c r="AG166" i="4"/>
  <c r="G166" i="4"/>
  <c r="C169" i="11" s="1"/>
  <c r="O94" i="8"/>
  <c r="P94" i="8" s="1"/>
  <c r="H92" i="8"/>
  <c r="O95" i="8"/>
  <c r="P95" i="8" s="1"/>
  <c r="O80" i="8"/>
  <c r="H94" i="8"/>
  <c r="L88" i="4"/>
  <c r="AA88" i="4" s="1"/>
  <c r="AG91" i="4"/>
  <c r="AM91" i="4" s="1"/>
  <c r="G90" i="4"/>
  <c r="C91" i="11" s="1"/>
  <c r="G91" i="4"/>
  <c r="C92" i="11" s="1"/>
  <c r="AG90" i="4"/>
  <c r="AG88" i="4"/>
  <c r="G79" i="4"/>
  <c r="C80" i="11" s="1"/>
  <c r="AG79" i="4"/>
  <c r="AG76" i="4"/>
  <c r="L76" i="4"/>
  <c r="H202" i="2" l="1"/>
  <c r="J226" i="6"/>
  <c r="D205" i="11"/>
  <c r="H91" i="2"/>
  <c r="J174" i="6"/>
  <c r="D92" i="11"/>
  <c r="H76" i="2"/>
  <c r="J26" i="6"/>
  <c r="D77" i="11"/>
  <c r="J278" i="6"/>
  <c r="D347" i="11"/>
  <c r="H79" i="2"/>
  <c r="J166" i="6"/>
  <c r="D80" i="11"/>
  <c r="H327" i="2"/>
  <c r="J266" i="6"/>
  <c r="D332" i="11"/>
  <c r="H343" i="2"/>
  <c r="J279" i="6"/>
  <c r="D348" i="11"/>
  <c r="H191" i="2"/>
  <c r="J215" i="6"/>
  <c r="D194" i="11"/>
  <c r="H205" i="2"/>
  <c r="J229" i="6"/>
  <c r="D208" i="11"/>
  <c r="H90" i="2"/>
  <c r="J173" i="6"/>
  <c r="D91" i="11"/>
  <c r="H166" i="2"/>
  <c r="J197" i="6"/>
  <c r="D169" i="11"/>
  <c r="H88" i="2"/>
  <c r="J172" i="6"/>
  <c r="D89" i="11"/>
  <c r="H168" i="2"/>
  <c r="J36" i="6"/>
  <c r="D171" i="11"/>
  <c r="H174" i="2"/>
  <c r="J202" i="6"/>
  <c r="D177" i="11"/>
  <c r="M379" i="8"/>
  <c r="M378" i="8"/>
  <c r="AJ168" i="4"/>
  <c r="AK168" i="4" s="1"/>
  <c r="AL168" i="4" s="1"/>
  <c r="AJ76" i="4"/>
  <c r="AK76" i="4" s="1"/>
  <c r="AL76" i="4" s="1"/>
  <c r="AJ88" i="4"/>
  <c r="AK88" i="4" s="1"/>
  <c r="AL88" i="4" s="1"/>
  <c r="AI327" i="4"/>
  <c r="M83" i="8"/>
  <c r="M218" i="8"/>
  <c r="C80" i="8"/>
  <c r="C181" i="8"/>
  <c r="C218" i="8"/>
  <c r="AJ343" i="4"/>
  <c r="AK343" i="4" s="1"/>
  <c r="AL343" i="4" s="1"/>
  <c r="C379" i="8"/>
  <c r="M80" i="8"/>
  <c r="C92" i="8"/>
  <c r="C378" i="8"/>
  <c r="M363" i="8"/>
  <c r="AJ327" i="4"/>
  <c r="AK327" i="4" s="1"/>
  <c r="AL327" i="4" s="1"/>
  <c r="C363" i="8"/>
  <c r="M187" i="8"/>
  <c r="M204" i="8"/>
  <c r="AI343" i="4"/>
  <c r="AM343" i="4"/>
  <c r="AI342" i="4"/>
  <c r="AM342" i="4"/>
  <c r="M181" i="8"/>
  <c r="M179" i="8"/>
  <c r="M215" i="8"/>
  <c r="AJ166" i="4"/>
  <c r="AK166" i="4" s="1"/>
  <c r="AL166" i="4" s="1"/>
  <c r="C179" i="8"/>
  <c r="AJ191" i="4"/>
  <c r="AP191" i="4" s="1"/>
  <c r="C204" i="8"/>
  <c r="AJ174" i="4"/>
  <c r="AK174" i="4" s="1"/>
  <c r="AL174" i="4" s="1"/>
  <c r="C187" i="8"/>
  <c r="AJ202" i="4"/>
  <c r="AK202" i="4" s="1"/>
  <c r="AL202" i="4" s="1"/>
  <c r="C215" i="8"/>
  <c r="P83" i="8"/>
  <c r="AI202" i="4"/>
  <c r="AM202" i="4"/>
  <c r="AI191" i="4"/>
  <c r="AM191" i="4"/>
  <c r="M92" i="8"/>
  <c r="AM174" i="4"/>
  <c r="AI174" i="4"/>
  <c r="M94" i="8"/>
  <c r="M95" i="8"/>
  <c r="AI168" i="4"/>
  <c r="AM168" i="4"/>
  <c r="AI166" i="4"/>
  <c r="AM166" i="4"/>
  <c r="AA76" i="4"/>
  <c r="AJ79" i="4"/>
  <c r="AP79" i="4" s="1"/>
  <c r="C83" i="8"/>
  <c r="AJ91" i="4"/>
  <c r="AP91" i="4" s="1"/>
  <c r="C95" i="8"/>
  <c r="AJ90" i="4"/>
  <c r="AP90" i="4" s="1"/>
  <c r="C94" i="8"/>
  <c r="P80" i="8"/>
  <c r="AI91" i="4"/>
  <c r="AM90" i="4"/>
  <c r="AI90" i="4"/>
  <c r="AI88" i="4"/>
  <c r="AM88" i="4"/>
  <c r="AM79" i="4"/>
  <c r="AI79" i="4"/>
  <c r="AM76" i="4"/>
  <c r="AI76" i="4"/>
  <c r="S79" i="2" l="1"/>
  <c r="W80" i="11" s="1"/>
  <c r="K166" i="6"/>
  <c r="I79" i="2"/>
  <c r="K173" i="6"/>
  <c r="M173" i="6" s="1"/>
  <c r="I90" i="2"/>
  <c r="S90" i="2"/>
  <c r="W91" i="11" s="1"/>
  <c r="S91" i="2"/>
  <c r="W92" i="11" s="1"/>
  <c r="K174" i="6"/>
  <c r="M174" i="6" s="1"/>
  <c r="I91" i="2"/>
  <c r="K279" i="6"/>
  <c r="M279" i="6" s="1"/>
  <c r="S343" i="2"/>
  <c r="W348" i="11" s="1"/>
  <c r="I343" i="2"/>
  <c r="S168" i="2"/>
  <c r="W171" i="11" s="1"/>
  <c r="K36" i="6"/>
  <c r="M36" i="6" s="1"/>
  <c r="I168" i="2"/>
  <c r="S205" i="2"/>
  <c r="W208" i="11" s="1"/>
  <c r="K229" i="6"/>
  <c r="M229" i="6" s="1"/>
  <c r="I205" i="2"/>
  <c r="K202" i="6"/>
  <c r="M202" i="6" s="1"/>
  <c r="S174" i="2"/>
  <c r="W177" i="11" s="1"/>
  <c r="I174" i="2"/>
  <c r="K172" i="6"/>
  <c r="M172" i="6" s="1"/>
  <c r="I88" i="2"/>
  <c r="S88" i="2"/>
  <c r="W89" i="11" s="1"/>
  <c r="K26" i="6"/>
  <c r="M26" i="6" s="1"/>
  <c r="S76" i="2"/>
  <c r="W77" i="11" s="1"/>
  <c r="I76" i="2"/>
  <c r="I191" i="2"/>
  <c r="K215" i="6"/>
  <c r="M215" i="6" s="1"/>
  <c r="S191" i="2"/>
  <c r="W194" i="11" s="1"/>
  <c r="S327" i="2"/>
  <c r="W332" i="11" s="1"/>
  <c r="K266" i="6"/>
  <c r="M266" i="6" s="1"/>
  <c r="I327" i="2"/>
  <c r="K226" i="6"/>
  <c r="M226" i="6" s="1"/>
  <c r="I202" i="2"/>
  <c r="S202" i="2"/>
  <c r="W205" i="11" s="1"/>
  <c r="K197" i="6"/>
  <c r="M197" i="6" s="1"/>
  <c r="S166" i="2"/>
  <c r="W169" i="11" s="1"/>
  <c r="I166" i="2"/>
  <c r="AP343" i="4"/>
  <c r="AK191" i="4"/>
  <c r="AL191" i="4" s="1"/>
  <c r="AK79" i="4"/>
  <c r="AL79" i="4" s="1"/>
  <c r="AK90" i="4"/>
  <c r="AL90" i="4" s="1"/>
  <c r="AK91" i="4"/>
  <c r="AL91" i="4" s="1"/>
  <c r="K327" i="2" l="1"/>
  <c r="I332" i="11"/>
  <c r="AA348" i="11"/>
  <c r="U348" i="11"/>
  <c r="Y348" i="11" s="1"/>
  <c r="U177" i="11"/>
  <c r="Y177" i="11" s="1"/>
  <c r="AA177" i="11"/>
  <c r="U92" i="11"/>
  <c r="Y92" i="11" s="1"/>
  <c r="AA92" i="11"/>
  <c r="U91" i="11"/>
  <c r="Y91" i="11" s="1"/>
  <c r="AA91" i="11"/>
  <c r="K91" i="2"/>
  <c r="I92" i="11"/>
  <c r="K90" i="2"/>
  <c r="I91" i="11"/>
  <c r="U89" i="11"/>
  <c r="Y89" i="11" s="1"/>
  <c r="AA89" i="11"/>
  <c r="I348" i="11"/>
  <c r="K343" i="2"/>
  <c r="K88" i="2"/>
  <c r="I89" i="11"/>
  <c r="K174" i="2"/>
  <c r="I177" i="11"/>
  <c r="U208" i="11"/>
  <c r="Y208" i="11" s="1"/>
  <c r="AA208" i="11"/>
  <c r="U205" i="11"/>
  <c r="Y205" i="11" s="1"/>
  <c r="AA205" i="11"/>
  <c r="AA332" i="11"/>
  <c r="U332" i="11"/>
  <c r="Y332" i="11" s="1"/>
  <c r="U194" i="11"/>
  <c r="Y194" i="11" s="1"/>
  <c r="AA194" i="11"/>
  <c r="K205" i="2"/>
  <c r="I208" i="11"/>
  <c r="K191" i="2"/>
  <c r="I194" i="11"/>
  <c r="K166" i="2"/>
  <c r="I169" i="11"/>
  <c r="K76" i="2"/>
  <c r="I77" i="11"/>
  <c r="K168" i="2"/>
  <c r="I171" i="11"/>
  <c r="K79" i="2"/>
  <c r="I80" i="11"/>
  <c r="K202" i="2"/>
  <c r="I205" i="11"/>
  <c r="U169" i="11"/>
  <c r="Y169" i="11" s="1"/>
  <c r="AA169" i="11"/>
  <c r="U77" i="11"/>
  <c r="Y77" i="11" s="1"/>
  <c r="AA77" i="11"/>
  <c r="M166" i="6"/>
  <c r="U171" i="11"/>
  <c r="Y171" i="11" s="1"/>
  <c r="AA171" i="11"/>
  <c r="U80" i="11"/>
  <c r="Y80" i="11" s="1"/>
  <c r="AA80" i="11"/>
  <c r="A433" i="8"/>
  <c r="B433" i="8"/>
  <c r="I433" i="8"/>
  <c r="K433" i="8"/>
  <c r="Q394" i="4"/>
  <c r="R394" i="4"/>
  <c r="C394" i="4"/>
  <c r="P65" i="4"/>
  <c r="O65" i="4"/>
  <c r="N65" i="4"/>
  <c r="J65" i="4"/>
  <c r="H65" i="4"/>
  <c r="E65" i="4"/>
  <c r="K194" i="11" l="1"/>
  <c r="O194" i="11" s="1"/>
  <c r="M194" i="11"/>
  <c r="K177" i="11"/>
  <c r="O177" i="11" s="1"/>
  <c r="M177" i="11"/>
  <c r="K205" i="11"/>
  <c r="O205" i="11" s="1"/>
  <c r="M205" i="11"/>
  <c r="K208" i="11"/>
  <c r="O208" i="11" s="1"/>
  <c r="M208" i="11"/>
  <c r="K89" i="11"/>
  <c r="O89" i="11" s="1"/>
  <c r="M89" i="11"/>
  <c r="K169" i="11"/>
  <c r="O169" i="11" s="1"/>
  <c r="M169" i="11"/>
  <c r="K80" i="11"/>
  <c r="O80" i="11" s="1"/>
  <c r="M80" i="11"/>
  <c r="K92" i="11"/>
  <c r="O92" i="11" s="1"/>
  <c r="M92" i="11"/>
  <c r="K348" i="11"/>
  <c r="O348" i="11" s="1"/>
  <c r="M348" i="11"/>
  <c r="K171" i="11"/>
  <c r="O171" i="11" s="1"/>
  <c r="M171" i="11"/>
  <c r="K77" i="11"/>
  <c r="O77" i="11" s="1"/>
  <c r="M77" i="11"/>
  <c r="K91" i="11"/>
  <c r="O91" i="11" s="1"/>
  <c r="M91" i="11"/>
  <c r="K332" i="11"/>
  <c r="O332" i="11" s="1"/>
  <c r="M332" i="11"/>
  <c r="N433" i="8"/>
  <c r="R399" i="11"/>
  <c r="M394" i="4"/>
  <c r="AB394" i="4" s="1"/>
  <c r="C394" i="2"/>
  <c r="D433" i="8"/>
  <c r="E394" i="4"/>
  <c r="D394" i="4" s="1"/>
  <c r="H394" i="4"/>
  <c r="F65" i="4"/>
  <c r="A251" i="8"/>
  <c r="B251" i="8"/>
  <c r="D251" i="8"/>
  <c r="E251" i="8"/>
  <c r="F251" i="8" s="1"/>
  <c r="I251" i="8"/>
  <c r="J251" i="8"/>
  <c r="K251" i="8"/>
  <c r="A150" i="8"/>
  <c r="B150" i="8"/>
  <c r="D150" i="8"/>
  <c r="E150" i="8"/>
  <c r="F150" i="8" s="1"/>
  <c r="I150" i="8"/>
  <c r="J150" i="8"/>
  <c r="K150" i="8"/>
  <c r="A152" i="8"/>
  <c r="B152" i="8"/>
  <c r="D152" i="8"/>
  <c r="E152" i="8"/>
  <c r="F152" i="8" s="1"/>
  <c r="I152" i="8"/>
  <c r="J152" i="8"/>
  <c r="K152" i="8"/>
  <c r="V233" i="4"/>
  <c r="V233" i="2" s="1"/>
  <c r="P137" i="6" s="1"/>
  <c r="Q233" i="4"/>
  <c r="R237" i="11" s="1"/>
  <c r="R233" i="4"/>
  <c r="S233" i="4"/>
  <c r="S237" i="11" s="1"/>
  <c r="M233" i="4"/>
  <c r="AB233" i="4" s="1"/>
  <c r="I233" i="4"/>
  <c r="V137" i="4"/>
  <c r="V137" i="2" s="1"/>
  <c r="P129" i="6" s="1"/>
  <c r="Q137" i="4"/>
  <c r="R140" i="11" s="1"/>
  <c r="R137" i="4"/>
  <c r="S137" i="4"/>
  <c r="S140" i="11" s="1"/>
  <c r="M137" i="4"/>
  <c r="AB137" i="4" s="1"/>
  <c r="I137" i="4"/>
  <c r="D137" i="2"/>
  <c r="Z64" i="4"/>
  <c r="AA64" i="4"/>
  <c r="AB64" i="4"/>
  <c r="Z66" i="4"/>
  <c r="AA66" i="4"/>
  <c r="AB66" i="4"/>
  <c r="Q53" i="4"/>
  <c r="R54" i="11" s="1"/>
  <c r="R53" i="4"/>
  <c r="S53" i="4"/>
  <c r="S54" i="11" s="1"/>
  <c r="Q55" i="4"/>
  <c r="R56" i="11" s="1"/>
  <c r="R55" i="4"/>
  <c r="S55" i="4"/>
  <c r="S56" i="11" s="1"/>
  <c r="M53" i="4"/>
  <c r="AB53" i="4" s="1"/>
  <c r="M55" i="4"/>
  <c r="AB55" i="4" s="1"/>
  <c r="I53" i="4"/>
  <c r="I55" i="4"/>
  <c r="D53" i="2"/>
  <c r="D55" i="2"/>
  <c r="E140" i="11" l="1"/>
  <c r="E65" i="7"/>
  <c r="G137" i="2"/>
  <c r="L137" i="2"/>
  <c r="Q56" i="11"/>
  <c r="Z56" i="11"/>
  <c r="L55" i="2"/>
  <c r="G55" i="2"/>
  <c r="E56" i="11"/>
  <c r="E34" i="7"/>
  <c r="E96" i="7"/>
  <c r="E237" i="11"/>
  <c r="Z237" i="11"/>
  <c r="Q237" i="11"/>
  <c r="Q54" i="11"/>
  <c r="Z54" i="11"/>
  <c r="Z140" i="11"/>
  <c r="Q140" i="11"/>
  <c r="L53" i="2"/>
  <c r="G53" i="2"/>
  <c r="E54" i="11"/>
  <c r="E32" i="7"/>
  <c r="G233" i="2"/>
  <c r="H233" i="2" s="1"/>
  <c r="L233" i="2"/>
  <c r="G53" i="4"/>
  <c r="G137" i="4"/>
  <c r="G233" i="4"/>
  <c r="C237" i="11" s="1"/>
  <c r="G394" i="4"/>
  <c r="E394" i="2"/>
  <c r="K233" i="4"/>
  <c r="L92" i="3" s="1"/>
  <c r="Z53" i="4"/>
  <c r="Z137" i="4"/>
  <c r="N251" i="8"/>
  <c r="M394" i="2"/>
  <c r="E344" i="6"/>
  <c r="Z399" i="11"/>
  <c r="N150" i="8"/>
  <c r="Z55" i="4"/>
  <c r="K55" i="4"/>
  <c r="L36" i="3" s="1"/>
  <c r="N152" i="8"/>
  <c r="G55" i="4"/>
  <c r="K53" i="4"/>
  <c r="L34" i="3" s="1"/>
  <c r="K137" i="4"/>
  <c r="L65" i="3" s="1"/>
  <c r="Z233" i="4"/>
  <c r="I394" i="4"/>
  <c r="E399" i="11" s="1"/>
  <c r="J433" i="8"/>
  <c r="E433" i="8" s="1"/>
  <c r="F433" i="8" s="1"/>
  <c r="S394" i="4"/>
  <c r="S399" i="11" s="1"/>
  <c r="O150" i="8"/>
  <c r="P150" i="8" s="1"/>
  <c r="H251" i="8"/>
  <c r="O152" i="8"/>
  <c r="P152" i="8" s="1"/>
  <c r="O251" i="8"/>
  <c r="P251" i="8" s="1"/>
  <c r="L233" i="4"/>
  <c r="AA233" i="4" s="1"/>
  <c r="H152" i="8"/>
  <c r="H150" i="8"/>
  <c r="L137" i="4"/>
  <c r="AA137" i="4" s="1"/>
  <c r="L55" i="4"/>
  <c r="AA55" i="4" s="1"/>
  <c r="L53" i="4"/>
  <c r="AA53" i="4" s="1"/>
  <c r="F32" i="7" l="1"/>
  <c r="K32" i="7"/>
  <c r="F96" i="7"/>
  <c r="K96" i="7"/>
  <c r="F34" i="7"/>
  <c r="K34" i="7"/>
  <c r="F65" i="7"/>
  <c r="K65" i="7"/>
  <c r="K137" i="6"/>
  <c r="M137" i="6" s="1"/>
  <c r="I233" i="2"/>
  <c r="S233" i="2"/>
  <c r="W237" i="11" s="1"/>
  <c r="G54" i="11"/>
  <c r="H55" i="2"/>
  <c r="K35" i="1" s="1"/>
  <c r="J120" i="6"/>
  <c r="D56" i="11"/>
  <c r="J35" i="1"/>
  <c r="B35" i="1"/>
  <c r="C35" i="1"/>
  <c r="D35" i="1"/>
  <c r="E35" i="1"/>
  <c r="F35" i="1"/>
  <c r="G35" i="1"/>
  <c r="H35" i="1"/>
  <c r="I35" i="1"/>
  <c r="C140" i="11"/>
  <c r="F65" i="3"/>
  <c r="I65" i="3"/>
  <c r="C65" i="3"/>
  <c r="H65" i="3"/>
  <c r="J65" i="3"/>
  <c r="D65" i="3"/>
  <c r="E65" i="3"/>
  <c r="G65" i="3"/>
  <c r="K65" i="3"/>
  <c r="H36" i="3"/>
  <c r="K36" i="3"/>
  <c r="C56" i="11"/>
  <c r="C36" i="3"/>
  <c r="G36" i="3"/>
  <c r="I36" i="3"/>
  <c r="J36" i="3"/>
  <c r="D36" i="3"/>
  <c r="E36" i="3"/>
  <c r="F36" i="3"/>
  <c r="H137" i="2"/>
  <c r="K64" i="1" s="1"/>
  <c r="J129" i="6"/>
  <c r="D140" i="11"/>
  <c r="E64" i="1"/>
  <c r="B64" i="1"/>
  <c r="C64" i="1"/>
  <c r="D64" i="1"/>
  <c r="F64" i="1"/>
  <c r="G64" i="1"/>
  <c r="H64" i="1"/>
  <c r="I64" i="1"/>
  <c r="J64" i="1"/>
  <c r="H53" i="2"/>
  <c r="K33" i="1" s="1"/>
  <c r="J119" i="6"/>
  <c r="D54" i="11"/>
  <c r="J33" i="1"/>
  <c r="B33" i="1"/>
  <c r="C33" i="1"/>
  <c r="D33" i="1"/>
  <c r="E33" i="1"/>
  <c r="F33" i="1"/>
  <c r="G33" i="1"/>
  <c r="H33" i="1"/>
  <c r="I33" i="1"/>
  <c r="G237" i="11"/>
  <c r="G56" i="11"/>
  <c r="J137" i="6"/>
  <c r="D237" i="11"/>
  <c r="F91" i="1"/>
  <c r="C91" i="1"/>
  <c r="B91" i="1"/>
  <c r="D91" i="1"/>
  <c r="E91" i="1"/>
  <c r="G91" i="1"/>
  <c r="H91" i="1"/>
  <c r="I91" i="1"/>
  <c r="J91" i="1"/>
  <c r="K91" i="1"/>
  <c r="G140" i="11"/>
  <c r="C54" i="11"/>
  <c r="F34" i="3"/>
  <c r="I34" i="3"/>
  <c r="K34" i="3"/>
  <c r="C34" i="3"/>
  <c r="D34" i="3"/>
  <c r="E34" i="3"/>
  <c r="G34" i="3"/>
  <c r="H34" i="3"/>
  <c r="J34" i="3"/>
  <c r="C92" i="3"/>
  <c r="D92" i="3"/>
  <c r="E92" i="3"/>
  <c r="F92" i="3"/>
  <c r="K92" i="3"/>
  <c r="G92" i="3"/>
  <c r="H92" i="3"/>
  <c r="I92" i="3"/>
  <c r="J92" i="3"/>
  <c r="C433" i="8"/>
  <c r="C399" i="11"/>
  <c r="D344" i="6"/>
  <c r="H394" i="2"/>
  <c r="I344" i="6"/>
  <c r="H344" i="6" s="1"/>
  <c r="G344" i="6" s="1"/>
  <c r="C152" i="8"/>
  <c r="L394" i="4"/>
  <c r="AA394" i="4" s="1"/>
  <c r="D394" i="2"/>
  <c r="G399" i="11"/>
  <c r="C150" i="8"/>
  <c r="Q399" i="11"/>
  <c r="C251" i="8"/>
  <c r="Z394" i="4"/>
  <c r="O433" i="8"/>
  <c r="K394" i="4"/>
  <c r="H433" i="8"/>
  <c r="M152" i="8"/>
  <c r="M150" i="8"/>
  <c r="M251" i="8"/>
  <c r="U237" i="11" l="1"/>
  <c r="Y237" i="11" s="1"/>
  <c r="AA237" i="11"/>
  <c r="K233" i="2"/>
  <c r="L91" i="1" s="1"/>
  <c r="I237" i="11"/>
  <c r="S137" i="2"/>
  <c r="W140" i="11" s="1"/>
  <c r="K129" i="6"/>
  <c r="M129" i="6" s="1"/>
  <c r="I137" i="2"/>
  <c r="I55" i="2"/>
  <c r="K120" i="6"/>
  <c r="M120" i="6" s="1"/>
  <c r="S55" i="2"/>
  <c r="W56" i="11" s="1"/>
  <c r="K119" i="6"/>
  <c r="M119" i="6" s="1"/>
  <c r="S53" i="2"/>
  <c r="W54" i="11" s="1"/>
  <c r="I53" i="2"/>
  <c r="K344" i="6"/>
  <c r="M344" i="6" s="1"/>
  <c r="S394" i="2"/>
  <c r="W399" i="11" s="1"/>
  <c r="I394" i="2"/>
  <c r="G394" i="2"/>
  <c r="L394" i="2"/>
  <c r="P433" i="8"/>
  <c r="M433" i="8"/>
  <c r="K237" i="11" l="1"/>
  <c r="O237" i="11" s="1"/>
  <c r="M237" i="11"/>
  <c r="K53" i="2"/>
  <c r="L33" i="1" s="1"/>
  <c r="I54" i="11"/>
  <c r="U54" i="11"/>
  <c r="Y54" i="11" s="1"/>
  <c r="AA54" i="11"/>
  <c r="U56" i="11"/>
  <c r="Y56" i="11" s="1"/>
  <c r="AA56" i="11"/>
  <c r="K55" i="2"/>
  <c r="L35" i="1" s="1"/>
  <c r="I56" i="11"/>
  <c r="K137" i="2"/>
  <c r="L64" i="1" s="1"/>
  <c r="I140" i="11"/>
  <c r="U140" i="11"/>
  <c r="Y140" i="11" s="1"/>
  <c r="AA140" i="11"/>
  <c r="K394" i="2"/>
  <c r="I399" i="11"/>
  <c r="U399" i="11"/>
  <c r="Y399" i="11" s="1"/>
  <c r="AA399" i="11"/>
  <c r="J344" i="6"/>
  <c r="D399" i="11"/>
  <c r="A394" i="11"/>
  <c r="B394" i="11"/>
  <c r="F394" i="11"/>
  <c r="A395" i="11"/>
  <c r="B395" i="11"/>
  <c r="F395" i="11"/>
  <c r="A396" i="11"/>
  <c r="B396" i="11"/>
  <c r="F396" i="11"/>
  <c r="A397" i="11"/>
  <c r="B397" i="11"/>
  <c r="F397" i="11"/>
  <c r="A398" i="11"/>
  <c r="B398" i="11"/>
  <c r="F398" i="11"/>
  <c r="A325" i="11"/>
  <c r="B325" i="11"/>
  <c r="F325" i="11"/>
  <c r="A247" i="11"/>
  <c r="B247" i="11"/>
  <c r="F247" i="11"/>
  <c r="A248" i="11"/>
  <c r="B248" i="11"/>
  <c r="F248" i="11"/>
  <c r="A244" i="11"/>
  <c r="B244" i="11"/>
  <c r="F244" i="11"/>
  <c r="E229" i="2"/>
  <c r="I86" i="6" s="1"/>
  <c r="C229" i="2"/>
  <c r="E86" i="6" s="1"/>
  <c r="E227" i="2"/>
  <c r="I84" i="6" s="1"/>
  <c r="C227" i="2"/>
  <c r="E84" i="6" s="1"/>
  <c r="C225" i="2"/>
  <c r="E82" i="6" s="1"/>
  <c r="E225" i="2"/>
  <c r="I82" i="6" s="1"/>
  <c r="E224" i="2"/>
  <c r="I81" i="6" s="1"/>
  <c r="C224" i="2"/>
  <c r="E81" i="6" s="1"/>
  <c r="E45" i="2"/>
  <c r="C45" i="2"/>
  <c r="C40" i="2"/>
  <c r="I59" i="6" l="1"/>
  <c r="E59" i="6"/>
  <c r="H59" i="6" s="1"/>
  <c r="H86" i="6"/>
  <c r="K56" i="11"/>
  <c r="O56" i="11" s="1"/>
  <c r="M56" i="11"/>
  <c r="H81" i="6"/>
  <c r="K140" i="11"/>
  <c r="O140" i="11" s="1"/>
  <c r="M140" i="11"/>
  <c r="H82" i="6"/>
  <c r="H84" i="6"/>
  <c r="K54" i="11"/>
  <c r="O54" i="11" s="1"/>
  <c r="M54" i="11"/>
  <c r="E40" i="2"/>
  <c r="AD36" i="4"/>
  <c r="K399" i="11"/>
  <c r="O399" i="11" s="1"/>
  <c r="M399" i="11"/>
  <c r="F389" i="11"/>
  <c r="F40" i="11" l="1"/>
  <c r="AO327" i="4" l="1"/>
  <c r="AP327" i="4" s="1"/>
  <c r="AD327" i="4"/>
  <c r="A320" i="2"/>
  <c r="A260" i="6" s="1"/>
  <c r="B320" i="2"/>
  <c r="B260" i="6" s="1"/>
  <c r="C320" i="2"/>
  <c r="E260" i="6" s="1"/>
  <c r="E320" i="2"/>
  <c r="I260" i="6" s="1"/>
  <c r="F320" i="2"/>
  <c r="F260" i="6" s="1"/>
  <c r="J320" i="2"/>
  <c r="C260" i="6" s="1"/>
  <c r="N320" i="2"/>
  <c r="O320" i="2"/>
  <c r="P320" i="2"/>
  <c r="L260" i="6" s="1"/>
  <c r="T320" i="2"/>
  <c r="N260" i="6" s="1"/>
  <c r="U320" i="2"/>
  <c r="O260" i="6" s="1"/>
  <c r="A243" i="2"/>
  <c r="A240" i="6" s="1"/>
  <c r="B243" i="2"/>
  <c r="B240" i="6" s="1"/>
  <c r="C243" i="2"/>
  <c r="E240" i="6" s="1"/>
  <c r="E243" i="2"/>
  <c r="I240" i="6" s="1"/>
  <c r="F243" i="2"/>
  <c r="F240" i="6" s="1"/>
  <c r="J243" i="2"/>
  <c r="C240" i="6" s="1"/>
  <c r="N243" i="2"/>
  <c r="O243" i="2"/>
  <c r="P243" i="2"/>
  <c r="L240" i="6" s="1"/>
  <c r="T243" i="2"/>
  <c r="N240" i="6" s="1"/>
  <c r="U243" i="2"/>
  <c r="O240" i="6" s="1"/>
  <c r="V243" i="2"/>
  <c r="P240" i="6" s="1"/>
  <c r="A244" i="2"/>
  <c r="A109" i="6" s="1"/>
  <c r="B244" i="2"/>
  <c r="B109" i="6" s="1"/>
  <c r="C244" i="2"/>
  <c r="E109" i="6" s="1"/>
  <c r="E244" i="2"/>
  <c r="I109" i="6" s="1"/>
  <c r="F244" i="2"/>
  <c r="F109" i="6" s="1"/>
  <c r="J244" i="2"/>
  <c r="C109" i="6" s="1"/>
  <c r="N244" i="2"/>
  <c r="O244" i="2"/>
  <c r="P244" i="2"/>
  <c r="L109" i="6" s="1"/>
  <c r="T244" i="2"/>
  <c r="N109" i="6" s="1"/>
  <c r="U244" i="2"/>
  <c r="O109" i="6" s="1"/>
  <c r="A240" i="2"/>
  <c r="A41" i="6" s="1"/>
  <c r="B240" i="2"/>
  <c r="B41" i="6" s="1"/>
  <c r="C240" i="2"/>
  <c r="E41" i="6" s="1"/>
  <c r="E240" i="2"/>
  <c r="I41" i="6" s="1"/>
  <c r="F240" i="2"/>
  <c r="F41" i="6" s="1"/>
  <c r="J240" i="2"/>
  <c r="C41" i="6" s="1"/>
  <c r="N240" i="2"/>
  <c r="O240" i="2"/>
  <c r="P240" i="2"/>
  <c r="L41" i="6" s="1"/>
  <c r="T240" i="2"/>
  <c r="N41" i="6" s="1"/>
  <c r="U240" i="2"/>
  <c r="O41" i="6" s="1"/>
  <c r="A224" i="2"/>
  <c r="B224" i="2"/>
  <c r="B81" i="6" s="1"/>
  <c r="F224" i="2"/>
  <c r="J224" i="2"/>
  <c r="C81" i="6" s="1"/>
  <c r="D81" i="6" s="1"/>
  <c r="N224" i="2"/>
  <c r="O224" i="2"/>
  <c r="P224" i="2"/>
  <c r="L81" i="6" s="1"/>
  <c r="T224" i="2"/>
  <c r="N81" i="6" s="1"/>
  <c r="U224" i="2"/>
  <c r="O81" i="6" s="1"/>
  <c r="A225" i="2"/>
  <c r="B225" i="2"/>
  <c r="B82" i="6" s="1"/>
  <c r="F225" i="2"/>
  <c r="J225" i="2"/>
  <c r="C82" i="6" s="1"/>
  <c r="D82" i="6" s="1"/>
  <c r="N225" i="2"/>
  <c r="O225" i="2"/>
  <c r="P225" i="2"/>
  <c r="L82" i="6" s="1"/>
  <c r="T225" i="2"/>
  <c r="N82" i="6" s="1"/>
  <c r="U225" i="2"/>
  <c r="O82" i="6" s="1"/>
  <c r="A226" i="2"/>
  <c r="B226" i="2"/>
  <c r="B83" i="6" s="1"/>
  <c r="J226" i="2"/>
  <c r="C83" i="6" s="1"/>
  <c r="N226" i="2"/>
  <c r="O226" i="2"/>
  <c r="P226" i="2"/>
  <c r="L83" i="6" s="1"/>
  <c r="T226" i="2"/>
  <c r="N83" i="6" s="1"/>
  <c r="U226" i="2"/>
  <c r="O83" i="6" s="1"/>
  <c r="A227" i="2"/>
  <c r="B227" i="2"/>
  <c r="B84" i="6" s="1"/>
  <c r="F227" i="2"/>
  <c r="J227" i="2"/>
  <c r="C84" i="6" s="1"/>
  <c r="D84" i="6" s="1"/>
  <c r="N227" i="2"/>
  <c r="O227" i="2"/>
  <c r="P227" i="2"/>
  <c r="L84" i="6" s="1"/>
  <c r="T227" i="2"/>
  <c r="N84" i="6" s="1"/>
  <c r="U227" i="2"/>
  <c r="O84" i="6" s="1"/>
  <c r="A228" i="2"/>
  <c r="B228" i="2"/>
  <c r="B85" i="6" s="1"/>
  <c r="J228" i="2"/>
  <c r="C85" i="6" s="1"/>
  <c r="N228" i="2"/>
  <c r="O228" i="2"/>
  <c r="P228" i="2"/>
  <c r="L85" i="6" s="1"/>
  <c r="T228" i="2"/>
  <c r="N85" i="6" s="1"/>
  <c r="U228" i="2"/>
  <c r="O85" i="6" s="1"/>
  <c r="A229" i="2"/>
  <c r="B229" i="2"/>
  <c r="B86" i="6" s="1"/>
  <c r="F229" i="2"/>
  <c r="J229" i="2"/>
  <c r="C86" i="6" s="1"/>
  <c r="D86" i="6" s="1"/>
  <c r="N229" i="2"/>
  <c r="O229" i="2"/>
  <c r="P229" i="2"/>
  <c r="L86" i="6" s="1"/>
  <c r="T229" i="2"/>
  <c r="N86" i="6" s="1"/>
  <c r="U229" i="2"/>
  <c r="O86" i="6" s="1"/>
  <c r="AO166" i="4"/>
  <c r="AP166" i="4" s="1"/>
  <c r="AO168" i="4"/>
  <c r="AP168" i="4" s="1"/>
  <c r="AD166" i="4"/>
  <c r="AD168" i="4"/>
  <c r="AO174" i="4"/>
  <c r="AP174" i="4" s="1"/>
  <c r="AD174" i="4"/>
  <c r="AD76" i="4"/>
  <c r="AO76" i="4"/>
  <c r="AP76" i="4" s="1"/>
  <c r="A45" i="2"/>
  <c r="B45" i="2"/>
  <c r="B59" i="6" s="1"/>
  <c r="F45" i="2"/>
  <c r="J45" i="2"/>
  <c r="C59" i="6" s="1"/>
  <c r="D59" i="6" s="1"/>
  <c r="N45" i="2"/>
  <c r="O45" i="2"/>
  <c r="P45" i="2"/>
  <c r="T45" i="2"/>
  <c r="N59" i="6" s="1"/>
  <c r="U45" i="2"/>
  <c r="O59" i="6" s="1"/>
  <c r="O40" i="2"/>
  <c r="N40" i="2"/>
  <c r="J40" i="2"/>
  <c r="L59" i="6" l="1"/>
  <c r="AO38" i="4"/>
  <c r="AP38" i="4" s="1"/>
  <c r="A59" i="6"/>
  <c r="A25" i="1"/>
  <c r="F86" i="6"/>
  <c r="G86" i="6" s="1"/>
  <c r="J233" i="11"/>
  <c r="N233" i="11" s="1"/>
  <c r="A82" i="6"/>
  <c r="A83" i="1"/>
  <c r="A81" i="6"/>
  <c r="A82" i="1"/>
  <c r="F82" i="6"/>
  <c r="G82" i="6" s="1"/>
  <c r="J229" i="11"/>
  <c r="N229" i="11" s="1"/>
  <c r="A86" i="6"/>
  <c r="A87" i="1"/>
  <c r="A83" i="6"/>
  <c r="A84" i="1"/>
  <c r="D260" i="6"/>
  <c r="H260" i="6"/>
  <c r="G260" i="6" s="1"/>
  <c r="F84" i="6"/>
  <c r="G84" i="6" s="1"/>
  <c r="J231" i="11"/>
  <c r="N231" i="11" s="1"/>
  <c r="H109" i="6"/>
  <c r="G109" i="6" s="1"/>
  <c r="D109" i="6"/>
  <c r="H240" i="6"/>
  <c r="G240" i="6" s="1"/>
  <c r="D240" i="6"/>
  <c r="D41" i="6"/>
  <c r="H41" i="6"/>
  <c r="G41" i="6" s="1"/>
  <c r="F59" i="6"/>
  <c r="G59" i="6" s="1"/>
  <c r="J46" i="11"/>
  <c r="N46" i="11" s="1"/>
  <c r="A84" i="6"/>
  <c r="A85" i="1"/>
  <c r="F81" i="6"/>
  <c r="G81" i="6" s="1"/>
  <c r="J228" i="11"/>
  <c r="N228" i="11" s="1"/>
  <c r="A85" i="6"/>
  <c r="A86" i="1"/>
  <c r="AO242" i="4"/>
  <c r="AP242" i="4" s="1"/>
  <c r="F40" i="2"/>
  <c r="AO29" i="4"/>
  <c r="AP29" i="4" s="1"/>
  <c r="P40" i="2"/>
  <c r="AO203" i="4"/>
  <c r="AP203" i="4" s="1"/>
  <c r="AO201" i="4"/>
  <c r="AP201" i="4" s="1"/>
  <c r="AO200" i="4"/>
  <c r="AP200" i="4" s="1"/>
  <c r="C226" i="2"/>
  <c r="J325" i="11"/>
  <c r="N325" i="11" s="1"/>
  <c r="J248" i="11"/>
  <c r="N248" i="11" s="1"/>
  <c r="J247" i="11"/>
  <c r="N247" i="11" s="1"/>
  <c r="M227" i="2"/>
  <c r="J244" i="11"/>
  <c r="N244" i="11" s="1"/>
  <c r="C228" i="2"/>
  <c r="AO202" i="4"/>
  <c r="AP202" i="4" s="1"/>
  <c r="M320" i="2"/>
  <c r="Q320" i="2"/>
  <c r="V325" i="11" s="1"/>
  <c r="J40" i="11"/>
  <c r="R320" i="2"/>
  <c r="R240" i="2"/>
  <c r="R243" i="2"/>
  <c r="M244" i="2"/>
  <c r="Q244" i="2"/>
  <c r="V248" i="11" s="1"/>
  <c r="M240" i="2"/>
  <c r="R244" i="2"/>
  <c r="Q243" i="2"/>
  <c r="V247" i="11" s="1"/>
  <c r="M243" i="2"/>
  <c r="Q240" i="2"/>
  <c r="V244" i="11" s="1"/>
  <c r="R229" i="2"/>
  <c r="Q227" i="2"/>
  <c r="V231" i="11" s="1"/>
  <c r="R228" i="2"/>
  <c r="R226" i="2"/>
  <c r="R227" i="2"/>
  <c r="Q224" i="2"/>
  <c r="V228" i="11" s="1"/>
  <c r="Q225" i="2"/>
  <c r="V229" i="11" s="1"/>
  <c r="M225" i="2"/>
  <c r="M224" i="2"/>
  <c r="Q229" i="2"/>
  <c r="V233" i="11" s="1"/>
  <c r="R224" i="2"/>
  <c r="R225" i="2"/>
  <c r="M40" i="2"/>
  <c r="R40" i="2"/>
  <c r="M45" i="2"/>
  <c r="R45" i="2"/>
  <c r="Q45" i="2"/>
  <c r="V46" i="11" s="1"/>
  <c r="Q40" i="2"/>
  <c r="E85" i="6" l="1"/>
  <c r="C421" i="4"/>
  <c r="E83" i="6"/>
  <c r="D83" i="6" s="1"/>
  <c r="C420" i="4"/>
  <c r="D85" i="6"/>
  <c r="M226" i="2"/>
  <c r="M228" i="2"/>
  <c r="N40" i="11"/>
  <c r="V40" i="11"/>
  <c r="M229" i="2"/>
  <c r="A376" i="8" l="1"/>
  <c r="D376" i="8"/>
  <c r="E376" i="8"/>
  <c r="F376" i="8" s="1"/>
  <c r="I376" i="8"/>
  <c r="J376" i="8"/>
  <c r="K376" i="8"/>
  <c r="AO340" i="4"/>
  <c r="AH340" i="4"/>
  <c r="AF340" i="4"/>
  <c r="AN340" i="4" s="1"/>
  <c r="AD340" i="4"/>
  <c r="V340" i="4"/>
  <c r="V340" i="2" s="1"/>
  <c r="P46" i="6" s="1"/>
  <c r="S340" i="4"/>
  <c r="S345" i="11" s="1"/>
  <c r="R340" i="4"/>
  <c r="Q340" i="4"/>
  <c r="R345" i="11" s="1"/>
  <c r="M340" i="4"/>
  <c r="AB340" i="4" s="1"/>
  <c r="I340" i="4"/>
  <c r="E345" i="11" s="1"/>
  <c r="D340" i="2"/>
  <c r="G340" i="2" l="1"/>
  <c r="L340" i="2"/>
  <c r="G345" i="11"/>
  <c r="Q345" i="11"/>
  <c r="Z345" i="11"/>
  <c r="H376" i="8"/>
  <c r="Z340" i="4"/>
  <c r="L340" i="4"/>
  <c r="AA340" i="4" s="1"/>
  <c r="K340" i="4"/>
  <c r="O376" i="8"/>
  <c r="P376" i="8" s="1"/>
  <c r="N376" i="8"/>
  <c r="AG340" i="4"/>
  <c r="G340" i="4"/>
  <c r="C345" i="11" s="1"/>
  <c r="H340" i="2" l="1"/>
  <c r="J46" i="6"/>
  <c r="D345" i="11"/>
  <c r="M376" i="8"/>
  <c r="AJ340" i="4"/>
  <c r="AK340" i="4" s="1"/>
  <c r="AL340" i="4" s="1"/>
  <c r="C376" i="8"/>
  <c r="AM340" i="4"/>
  <c r="AI340" i="4"/>
  <c r="S340" i="2" l="1"/>
  <c r="W345" i="11" s="1"/>
  <c r="K46" i="6"/>
  <c r="M46" i="6" s="1"/>
  <c r="I340" i="2"/>
  <c r="AP340" i="4"/>
  <c r="A262" i="8"/>
  <c r="B262" i="8"/>
  <c r="D262" i="8"/>
  <c r="E262" i="8"/>
  <c r="F262" i="8" s="1"/>
  <c r="I262" i="8"/>
  <c r="J262" i="8"/>
  <c r="K262" i="8"/>
  <c r="A258" i="8"/>
  <c r="B258" i="8"/>
  <c r="D258" i="8"/>
  <c r="E258" i="8"/>
  <c r="F258" i="8" s="1"/>
  <c r="I258" i="8"/>
  <c r="J258" i="8"/>
  <c r="K258" i="8"/>
  <c r="P248" i="4"/>
  <c r="O248" i="4"/>
  <c r="N248" i="4"/>
  <c r="J248" i="4"/>
  <c r="H248" i="4"/>
  <c r="F248" i="4"/>
  <c r="E248" i="4"/>
  <c r="C248" i="4"/>
  <c r="AH244" i="4"/>
  <c r="AF244" i="4"/>
  <c r="AN244" i="4" s="1"/>
  <c r="V244" i="4"/>
  <c r="V244" i="2" s="1"/>
  <c r="P109" i="6" s="1"/>
  <c r="S244" i="4"/>
  <c r="R244" i="4"/>
  <c r="Q244" i="4"/>
  <c r="M244" i="4"/>
  <c r="AB244" i="4" s="1"/>
  <c r="I244" i="4"/>
  <c r="AH240" i="4"/>
  <c r="AF240" i="4"/>
  <c r="AN240" i="4" s="1"/>
  <c r="V240" i="4"/>
  <c r="V240" i="2" s="1"/>
  <c r="P41" i="6" s="1"/>
  <c r="S240" i="4"/>
  <c r="R240" i="4"/>
  <c r="Q240" i="4"/>
  <c r="M240" i="4"/>
  <c r="AB240" i="4" s="1"/>
  <c r="I240" i="4"/>
  <c r="A210" i="8"/>
  <c r="B210" i="8"/>
  <c r="D210" i="8"/>
  <c r="E210" i="8"/>
  <c r="F210" i="8" s="1"/>
  <c r="I210" i="8"/>
  <c r="J210" i="8"/>
  <c r="K210" i="8"/>
  <c r="A195" i="8"/>
  <c r="B195" i="8"/>
  <c r="D195" i="8"/>
  <c r="E195" i="8"/>
  <c r="F195" i="8" s="1"/>
  <c r="I195" i="8"/>
  <c r="J195" i="8"/>
  <c r="K195" i="8"/>
  <c r="AH197" i="4"/>
  <c r="AF197" i="4"/>
  <c r="AN197" i="4" s="1"/>
  <c r="V197" i="4"/>
  <c r="V197" i="2" s="1"/>
  <c r="P221" i="6" s="1"/>
  <c r="S197" i="4"/>
  <c r="S200" i="11" s="1"/>
  <c r="R197" i="4"/>
  <c r="Q197" i="4"/>
  <c r="R200" i="11" s="1"/>
  <c r="M197" i="4"/>
  <c r="AB197" i="4" s="1"/>
  <c r="I197" i="4"/>
  <c r="E200" i="11" s="1"/>
  <c r="D197" i="2"/>
  <c r="AO182" i="4"/>
  <c r="AH182" i="4"/>
  <c r="AF182" i="4"/>
  <c r="AN182" i="4" s="1"/>
  <c r="V182" i="4"/>
  <c r="V182" i="2" s="1"/>
  <c r="P209" i="6" s="1"/>
  <c r="S182" i="4"/>
  <c r="S185" i="11" s="1"/>
  <c r="R182" i="4"/>
  <c r="Q182" i="4"/>
  <c r="R185" i="11" s="1"/>
  <c r="M182" i="4"/>
  <c r="AB182" i="4" s="1"/>
  <c r="I182" i="4"/>
  <c r="E185" i="11" s="1"/>
  <c r="D182" i="2"/>
  <c r="A91" i="8"/>
  <c r="B91" i="8"/>
  <c r="D91" i="8"/>
  <c r="E91" i="8"/>
  <c r="F91" i="8" s="1"/>
  <c r="I91" i="8"/>
  <c r="J91" i="8"/>
  <c r="K91" i="8"/>
  <c r="A96" i="8"/>
  <c r="B96" i="8"/>
  <c r="D96" i="8"/>
  <c r="E96" i="8"/>
  <c r="I96" i="8"/>
  <c r="J96" i="8"/>
  <c r="K96" i="8"/>
  <c r="V92" i="4"/>
  <c r="V92" i="2" s="1"/>
  <c r="P175" i="6" s="1"/>
  <c r="S92" i="4"/>
  <c r="S93" i="11" s="1"/>
  <c r="R92" i="4"/>
  <c r="Q92" i="4"/>
  <c r="R93" i="11" s="1"/>
  <c r="M92" i="4"/>
  <c r="I92" i="4"/>
  <c r="E93" i="11" s="1"/>
  <c r="D92" i="2"/>
  <c r="AH87" i="4"/>
  <c r="AF87" i="4"/>
  <c r="AN87" i="4" s="1"/>
  <c r="V87" i="4"/>
  <c r="V87" i="2" s="1"/>
  <c r="P171" i="6" s="1"/>
  <c r="S87" i="4"/>
  <c r="S88" i="11" s="1"/>
  <c r="R87" i="4"/>
  <c r="Q87" i="4"/>
  <c r="R88" i="11" s="1"/>
  <c r="M87" i="4"/>
  <c r="AB87" i="4" s="1"/>
  <c r="I87" i="4"/>
  <c r="E88" i="11" s="1"/>
  <c r="D87" i="2"/>
  <c r="K34" i="8"/>
  <c r="K40" i="8" s="1"/>
  <c r="J34" i="8"/>
  <c r="J40" i="8" s="1"/>
  <c r="I34" i="8"/>
  <c r="I40" i="8" s="1"/>
  <c r="E34" i="8"/>
  <c r="D34" i="8"/>
  <c r="D40" i="8" s="1"/>
  <c r="B34" i="8"/>
  <c r="A34" i="8"/>
  <c r="AH34" i="4"/>
  <c r="AF34" i="4"/>
  <c r="AN34" i="4" s="1"/>
  <c r="AD34" i="4"/>
  <c r="V34" i="4"/>
  <c r="V34" i="2" s="1"/>
  <c r="P15" i="6" s="1"/>
  <c r="S34" i="4"/>
  <c r="R34" i="4"/>
  <c r="R40" i="4" s="1"/>
  <c r="Q34" i="4"/>
  <c r="M34" i="4"/>
  <c r="I34" i="4"/>
  <c r="D34" i="2"/>
  <c r="D40" i="2" s="1"/>
  <c r="L197" i="2" l="1"/>
  <c r="G197" i="2"/>
  <c r="G182" i="2"/>
  <c r="L182" i="2"/>
  <c r="Q93" i="11"/>
  <c r="Z93" i="11"/>
  <c r="G88" i="11"/>
  <c r="L34" i="2"/>
  <c r="G34" i="2"/>
  <c r="G185" i="11"/>
  <c r="Z200" i="11"/>
  <c r="Q200" i="11"/>
  <c r="G87" i="2"/>
  <c r="L87" i="2"/>
  <c r="Q88" i="11"/>
  <c r="Z88" i="11"/>
  <c r="I40" i="4"/>
  <c r="E34" i="11"/>
  <c r="K340" i="2"/>
  <c r="I345" i="11"/>
  <c r="S40" i="4"/>
  <c r="S34" i="11"/>
  <c r="S40" i="11" s="1"/>
  <c r="G92" i="2"/>
  <c r="L92" i="2"/>
  <c r="Q185" i="11"/>
  <c r="Z185" i="11"/>
  <c r="G200" i="11"/>
  <c r="Q40" i="4"/>
  <c r="R34" i="11"/>
  <c r="R40" i="11" s="1"/>
  <c r="G93" i="11"/>
  <c r="U345" i="11"/>
  <c r="Y345" i="11" s="1"/>
  <c r="AA345" i="11"/>
  <c r="F34" i="8"/>
  <c r="F40" i="8" s="1"/>
  <c r="E40" i="8"/>
  <c r="AB34" i="4"/>
  <c r="M40" i="4"/>
  <c r="AB92" i="4"/>
  <c r="F96" i="8"/>
  <c r="Z92" i="4"/>
  <c r="N96" i="8"/>
  <c r="K92" i="4"/>
  <c r="K244" i="4"/>
  <c r="E248" i="11"/>
  <c r="K87" i="4"/>
  <c r="N91" i="8"/>
  <c r="G240" i="4"/>
  <c r="D240" i="2"/>
  <c r="N262" i="8"/>
  <c r="R248" i="11"/>
  <c r="L197" i="4"/>
  <c r="AA197" i="4" s="1"/>
  <c r="K240" i="4"/>
  <c r="E244" i="11"/>
  <c r="Z87" i="4"/>
  <c r="K197" i="4"/>
  <c r="Z244" i="4"/>
  <c r="S248" i="11"/>
  <c r="N258" i="8"/>
  <c r="R244" i="11"/>
  <c r="G34" i="4"/>
  <c r="C34" i="11" s="1"/>
  <c r="K182" i="4"/>
  <c r="N210" i="8"/>
  <c r="L182" i="4"/>
  <c r="AA182" i="4" s="1"/>
  <c r="K34" i="4"/>
  <c r="K40" i="4" s="1"/>
  <c r="Z240" i="4"/>
  <c r="S244" i="11"/>
  <c r="L92" i="4"/>
  <c r="N195" i="8"/>
  <c r="Z197" i="4"/>
  <c r="Z182" i="4"/>
  <c r="Z34" i="4"/>
  <c r="L87" i="4"/>
  <c r="AA87" i="4" s="1"/>
  <c r="L244" i="4"/>
  <c r="AA244" i="4" s="1"/>
  <c r="D244" i="2"/>
  <c r="O262" i="8"/>
  <c r="P262" i="8" s="1"/>
  <c r="H258" i="8"/>
  <c r="H262" i="8"/>
  <c r="O258" i="8"/>
  <c r="AG244" i="4"/>
  <c r="G244" i="4"/>
  <c r="AG240" i="4"/>
  <c r="L240" i="4"/>
  <c r="O210" i="8"/>
  <c r="P210" i="8" s="1"/>
  <c r="O195" i="8"/>
  <c r="P195" i="8" s="1"/>
  <c r="H210" i="8"/>
  <c r="H195" i="8"/>
  <c r="AG197" i="4"/>
  <c r="G197" i="4"/>
  <c r="C200" i="11" s="1"/>
  <c r="G182" i="4"/>
  <c r="C185" i="11" s="1"/>
  <c r="AG182" i="4"/>
  <c r="O96" i="8"/>
  <c r="H91" i="8"/>
  <c r="H96" i="8"/>
  <c r="O91" i="8"/>
  <c r="P91" i="8" s="1"/>
  <c r="G92" i="4"/>
  <c r="C93" i="11" s="1"/>
  <c r="O34" i="8"/>
  <c r="G87" i="4"/>
  <c r="C88" i="11" s="1"/>
  <c r="AG87" i="4"/>
  <c r="H34" i="8"/>
  <c r="H40" i="8" s="1"/>
  <c r="AG34" i="4"/>
  <c r="AM34" i="4" s="1"/>
  <c r="N34" i="8"/>
  <c r="N40" i="8" s="1"/>
  <c r="L34" i="4"/>
  <c r="H34" i="2" l="1"/>
  <c r="J15" i="6"/>
  <c r="D34" i="11"/>
  <c r="G34" i="11"/>
  <c r="H87" i="2"/>
  <c r="J171" i="6"/>
  <c r="D88" i="11"/>
  <c r="H92" i="2"/>
  <c r="J175" i="6"/>
  <c r="D93" i="11"/>
  <c r="H182" i="2"/>
  <c r="J209" i="6"/>
  <c r="D185" i="11"/>
  <c r="E40" i="11"/>
  <c r="H197" i="2"/>
  <c r="J221" i="6"/>
  <c r="D200" i="11"/>
  <c r="Q34" i="11"/>
  <c r="Q40" i="11" s="1"/>
  <c r="Z34" i="11"/>
  <c r="Z40" i="11" s="1"/>
  <c r="K345" i="11"/>
  <c r="O345" i="11" s="1"/>
  <c r="M345" i="11"/>
  <c r="P34" i="8"/>
  <c r="P40" i="8" s="1"/>
  <c r="O40" i="8"/>
  <c r="AA34" i="4"/>
  <c r="L40" i="4"/>
  <c r="AA92" i="4"/>
  <c r="P96" i="8"/>
  <c r="C96" i="8"/>
  <c r="M258" i="8"/>
  <c r="M262" i="8"/>
  <c r="C262" i="8"/>
  <c r="C248" i="11"/>
  <c r="C34" i="8"/>
  <c r="L40" i="2"/>
  <c r="Q244" i="11"/>
  <c r="Z244" i="11"/>
  <c r="Q248" i="11"/>
  <c r="Z248" i="11"/>
  <c r="L240" i="2"/>
  <c r="G240" i="2"/>
  <c r="J41" i="6" s="1"/>
  <c r="C258" i="8"/>
  <c r="C244" i="11"/>
  <c r="G248" i="11"/>
  <c r="AJ34" i="4"/>
  <c r="AK34" i="4" s="1"/>
  <c r="AL34" i="4" s="1"/>
  <c r="L244" i="2"/>
  <c r="G244" i="2"/>
  <c r="J109" i="6" s="1"/>
  <c r="G244" i="11"/>
  <c r="AA240" i="4"/>
  <c r="P258" i="8"/>
  <c r="AM244" i="4"/>
  <c r="AI244" i="4"/>
  <c r="AJ244" i="4" s="1"/>
  <c r="AM240" i="4"/>
  <c r="AI240" i="4"/>
  <c r="AJ240" i="4" s="1"/>
  <c r="M96" i="8"/>
  <c r="AJ182" i="4"/>
  <c r="AP182" i="4" s="1"/>
  <c r="C195" i="8"/>
  <c r="AJ197" i="4"/>
  <c r="AK197" i="4" s="1"/>
  <c r="AL197" i="4" s="1"/>
  <c r="C210" i="8"/>
  <c r="M195" i="8"/>
  <c r="M210" i="8"/>
  <c r="AM197" i="4"/>
  <c r="AI197" i="4"/>
  <c r="AM182" i="4"/>
  <c r="AI182" i="4"/>
  <c r="AJ87" i="4"/>
  <c r="AK87" i="4" s="1"/>
  <c r="AL87" i="4" s="1"/>
  <c r="C91" i="8"/>
  <c r="M91" i="8"/>
  <c r="AI34" i="4"/>
  <c r="AM87" i="4"/>
  <c r="AI87" i="4"/>
  <c r="M34" i="8"/>
  <c r="M40" i="8" s="1"/>
  <c r="A149" i="8"/>
  <c r="B149" i="8"/>
  <c r="D149" i="8"/>
  <c r="E149" i="8"/>
  <c r="F149" i="8" s="1"/>
  <c r="I149" i="8"/>
  <c r="J149" i="8"/>
  <c r="K149" i="8"/>
  <c r="A148" i="8"/>
  <c r="B148" i="8"/>
  <c r="D148" i="8"/>
  <c r="E148" i="8"/>
  <c r="F148" i="8" s="1"/>
  <c r="I148" i="8"/>
  <c r="J148" i="8"/>
  <c r="K148" i="8"/>
  <c r="A59" i="8"/>
  <c r="B59" i="8"/>
  <c r="D59" i="8"/>
  <c r="E59" i="8"/>
  <c r="F59" i="8" s="1"/>
  <c r="I59" i="8"/>
  <c r="J59" i="8"/>
  <c r="K59" i="8"/>
  <c r="K221" i="6" l="1"/>
  <c r="M221" i="6" s="1"/>
  <c r="S197" i="2"/>
  <c r="W200" i="11" s="1"/>
  <c r="I197" i="2"/>
  <c r="K209" i="6"/>
  <c r="M209" i="6" s="1"/>
  <c r="I182" i="2"/>
  <c r="S182" i="2"/>
  <c r="W185" i="11" s="1"/>
  <c r="S87" i="2"/>
  <c r="W88" i="11" s="1"/>
  <c r="K171" i="6"/>
  <c r="M171" i="6" s="1"/>
  <c r="I87" i="2"/>
  <c r="G40" i="11"/>
  <c r="S92" i="2"/>
  <c r="W93" i="11" s="1"/>
  <c r="K175" i="6"/>
  <c r="M175" i="6" s="1"/>
  <c r="I92" i="2"/>
  <c r="S34" i="2"/>
  <c r="W34" i="11" s="1"/>
  <c r="K15" i="6"/>
  <c r="M15" i="6" s="1"/>
  <c r="I34" i="2"/>
  <c r="H244" i="2"/>
  <c r="K109" i="6" s="1"/>
  <c r="M109" i="6" s="1"/>
  <c r="D248" i="11"/>
  <c r="H240" i="2"/>
  <c r="K41" i="6" s="1"/>
  <c r="M41" i="6" s="1"/>
  <c r="D244" i="11"/>
  <c r="AK182" i="4"/>
  <c r="AL182" i="4" s="1"/>
  <c r="AK244" i="4"/>
  <c r="AL244" i="4" s="1"/>
  <c r="AK240" i="4"/>
  <c r="AL240" i="4" s="1"/>
  <c r="A351" i="8"/>
  <c r="D351" i="8"/>
  <c r="E351" i="8"/>
  <c r="F351" i="8" s="1"/>
  <c r="I351" i="8"/>
  <c r="J351" i="8"/>
  <c r="K351" i="8"/>
  <c r="A348" i="8"/>
  <c r="D348" i="8"/>
  <c r="E348" i="8"/>
  <c r="F348" i="8" s="1"/>
  <c r="I348" i="8"/>
  <c r="J348" i="8"/>
  <c r="K348" i="8"/>
  <c r="A349" i="8"/>
  <c r="D349" i="8"/>
  <c r="E349" i="8"/>
  <c r="F349" i="8" s="1"/>
  <c r="I349" i="8"/>
  <c r="J349" i="8"/>
  <c r="K349" i="8"/>
  <c r="K87" i="2" l="1"/>
  <c r="I88" i="11"/>
  <c r="K34" i="2"/>
  <c r="I34" i="11"/>
  <c r="K182" i="2"/>
  <c r="I185" i="11"/>
  <c r="K92" i="2"/>
  <c r="I93" i="11"/>
  <c r="K197" i="2"/>
  <c r="I200" i="11"/>
  <c r="U88" i="11"/>
  <c r="Y88" i="11" s="1"/>
  <c r="AA88" i="11"/>
  <c r="U185" i="11"/>
  <c r="Y185" i="11" s="1"/>
  <c r="AA185" i="11"/>
  <c r="U34" i="11"/>
  <c r="Y34" i="11" s="1"/>
  <c r="AA34" i="11"/>
  <c r="U200" i="11"/>
  <c r="Y200" i="11" s="1"/>
  <c r="AA200" i="11"/>
  <c r="U93" i="11"/>
  <c r="Y93" i="11" s="1"/>
  <c r="AA93" i="11"/>
  <c r="H40" i="2"/>
  <c r="S40" i="2"/>
  <c r="S240" i="2"/>
  <c r="W244" i="11" s="1"/>
  <c r="I240" i="2"/>
  <c r="I244" i="2"/>
  <c r="S244" i="2"/>
  <c r="W248" i="11" s="1"/>
  <c r="Z316" i="4"/>
  <c r="AA316" i="4"/>
  <c r="AB316" i="4"/>
  <c r="V312" i="4"/>
  <c r="V312" i="2" s="1"/>
  <c r="P257" i="6" s="1"/>
  <c r="V313" i="4"/>
  <c r="V313" i="2" s="1"/>
  <c r="P142" i="6" s="1"/>
  <c r="V314" i="4"/>
  <c r="V314" i="2" s="1"/>
  <c r="P258" i="6" s="1"/>
  <c r="V315" i="4"/>
  <c r="V315" i="2" s="1"/>
  <c r="P259" i="6" s="1"/>
  <c r="Q312" i="4"/>
  <c r="R317" i="11" s="1"/>
  <c r="R312" i="4"/>
  <c r="S312" i="4"/>
  <c r="S317" i="11" s="1"/>
  <c r="Q313" i="4"/>
  <c r="R318" i="11" s="1"/>
  <c r="R313" i="4"/>
  <c r="S313" i="4"/>
  <c r="S318" i="11" s="1"/>
  <c r="Q314" i="4"/>
  <c r="R319" i="11" s="1"/>
  <c r="R314" i="4"/>
  <c r="S314" i="4"/>
  <c r="S319" i="11" s="1"/>
  <c r="Q315" i="4"/>
  <c r="R320" i="11" s="1"/>
  <c r="R315" i="4"/>
  <c r="S315" i="4"/>
  <c r="S320" i="11" s="1"/>
  <c r="M312" i="4"/>
  <c r="AB312" i="4" s="1"/>
  <c r="M313" i="4"/>
  <c r="AB313" i="4" s="1"/>
  <c r="M314" i="4"/>
  <c r="AB314" i="4" s="1"/>
  <c r="M315" i="4"/>
  <c r="AB315" i="4" s="1"/>
  <c r="I312" i="4"/>
  <c r="I313" i="4"/>
  <c r="I314" i="4"/>
  <c r="I315" i="4"/>
  <c r="D312" i="2"/>
  <c r="D313" i="2"/>
  <c r="D314" i="2"/>
  <c r="D315" i="2"/>
  <c r="K93" i="11" l="1"/>
  <c r="O93" i="11" s="1"/>
  <c r="M93" i="11"/>
  <c r="K185" i="11"/>
  <c r="O185" i="11" s="1"/>
  <c r="M185" i="11"/>
  <c r="Z317" i="11"/>
  <c r="Q317" i="11"/>
  <c r="G315" i="2"/>
  <c r="L315" i="2"/>
  <c r="K34" i="11"/>
  <c r="O34" i="11" s="1"/>
  <c r="M34" i="11"/>
  <c r="G314" i="2"/>
  <c r="L314" i="2"/>
  <c r="G312" i="2"/>
  <c r="L312" i="2"/>
  <c r="E320" i="11"/>
  <c r="E146" i="7"/>
  <c r="E318" i="11"/>
  <c r="E144" i="7"/>
  <c r="L313" i="2"/>
  <c r="G313" i="2"/>
  <c r="E319" i="11"/>
  <c r="E145" i="7"/>
  <c r="K88" i="11"/>
  <c r="O88" i="11" s="1"/>
  <c r="M88" i="11"/>
  <c r="K200" i="11"/>
  <c r="O200" i="11" s="1"/>
  <c r="M200" i="11"/>
  <c r="Q320" i="11"/>
  <c r="Z320" i="11"/>
  <c r="Z319" i="11"/>
  <c r="Q319" i="11"/>
  <c r="E317" i="11"/>
  <c r="E143" i="7"/>
  <c r="Q318" i="11"/>
  <c r="Z318" i="11"/>
  <c r="W40" i="11"/>
  <c r="I40" i="2"/>
  <c r="K40" i="2"/>
  <c r="N348" i="8"/>
  <c r="L315" i="4"/>
  <c r="AA315" i="4" s="1"/>
  <c r="K314" i="4"/>
  <c r="L134" i="3" s="1"/>
  <c r="L314" i="4"/>
  <c r="AA314" i="4" s="1"/>
  <c r="H349" i="8"/>
  <c r="N351" i="8"/>
  <c r="Z314" i="4"/>
  <c r="G313" i="4"/>
  <c r="H348" i="8"/>
  <c r="L312" i="4"/>
  <c r="AA312" i="4" s="1"/>
  <c r="AA248" i="11"/>
  <c r="U248" i="11"/>
  <c r="Y248" i="11" s="1"/>
  <c r="K244" i="2"/>
  <c r="I248" i="11"/>
  <c r="I244" i="11"/>
  <c r="K240" i="2"/>
  <c r="AA244" i="11"/>
  <c r="U244" i="11"/>
  <c r="N349" i="8"/>
  <c r="K312" i="4"/>
  <c r="L132" i="3" s="1"/>
  <c r="Z313" i="4"/>
  <c r="O349" i="8"/>
  <c r="P349" i="8" s="1"/>
  <c r="K315" i="4"/>
  <c r="L135" i="3" s="1"/>
  <c r="H351" i="8"/>
  <c r="Z312" i="4"/>
  <c r="O348" i="8"/>
  <c r="P348" i="8" s="1"/>
  <c r="L313" i="4"/>
  <c r="AA313" i="4" s="1"/>
  <c r="K313" i="4"/>
  <c r="L133" i="3" s="1"/>
  <c r="Z315" i="4"/>
  <c r="O351" i="8"/>
  <c r="P351" i="8" s="1"/>
  <c r="G315" i="4"/>
  <c r="G314" i="4"/>
  <c r="G312" i="4"/>
  <c r="F143" i="7" l="1"/>
  <c r="K143" i="7"/>
  <c r="F145" i="7"/>
  <c r="K145" i="7"/>
  <c r="F146" i="7"/>
  <c r="K146" i="7"/>
  <c r="F144" i="7"/>
  <c r="K144" i="7"/>
  <c r="H315" i="2"/>
  <c r="J259" i="6"/>
  <c r="G134" i="1"/>
  <c r="B134" i="1"/>
  <c r="D134" i="1"/>
  <c r="C134" i="1"/>
  <c r="D320" i="11"/>
  <c r="E134" i="1"/>
  <c r="F134" i="1"/>
  <c r="H134" i="1"/>
  <c r="I134" i="1"/>
  <c r="J134" i="1"/>
  <c r="K134" i="1"/>
  <c r="G317" i="11"/>
  <c r="G318" i="11"/>
  <c r="H314" i="2"/>
  <c r="J258" i="6"/>
  <c r="D319" i="11"/>
  <c r="G133" i="1"/>
  <c r="B133" i="1"/>
  <c r="D133" i="1"/>
  <c r="C133" i="1"/>
  <c r="E133" i="1"/>
  <c r="F133" i="1"/>
  <c r="H133" i="1"/>
  <c r="I133" i="1"/>
  <c r="J133" i="1"/>
  <c r="G320" i="11"/>
  <c r="H313" i="2"/>
  <c r="K132" i="1" s="1"/>
  <c r="J142" i="6"/>
  <c r="D318" i="11"/>
  <c r="G132" i="1"/>
  <c r="B132" i="1"/>
  <c r="D132" i="1"/>
  <c r="E132" i="1"/>
  <c r="F132" i="1"/>
  <c r="H132" i="1"/>
  <c r="I132" i="1"/>
  <c r="J132" i="1"/>
  <c r="C132" i="1"/>
  <c r="C320" i="11"/>
  <c r="D135" i="3"/>
  <c r="C135" i="3"/>
  <c r="E135" i="3"/>
  <c r="I135" i="3"/>
  <c r="J135" i="3"/>
  <c r="F135" i="3"/>
  <c r="G135" i="3"/>
  <c r="H135" i="3"/>
  <c r="K135" i="3"/>
  <c r="C317" i="11"/>
  <c r="J132" i="3"/>
  <c r="H132" i="3"/>
  <c r="I132" i="3"/>
  <c r="D132" i="3"/>
  <c r="C132" i="3"/>
  <c r="E132" i="3"/>
  <c r="F132" i="3"/>
  <c r="G132" i="3"/>
  <c r="K132" i="3"/>
  <c r="H312" i="2"/>
  <c r="K131" i="1" s="1"/>
  <c r="J257" i="6"/>
  <c r="D317" i="11"/>
  <c r="G131" i="1"/>
  <c r="B131" i="1"/>
  <c r="D131" i="1"/>
  <c r="C131" i="1"/>
  <c r="E131" i="1"/>
  <c r="F131" i="1"/>
  <c r="H131" i="1"/>
  <c r="I131" i="1"/>
  <c r="J131" i="1"/>
  <c r="C319" i="11"/>
  <c r="C134" i="3"/>
  <c r="F134" i="3"/>
  <c r="G134" i="3"/>
  <c r="K134" i="3"/>
  <c r="D134" i="3"/>
  <c r="E134" i="3"/>
  <c r="H134" i="3"/>
  <c r="I134" i="3"/>
  <c r="J134" i="3"/>
  <c r="C318" i="11"/>
  <c r="K133" i="3"/>
  <c r="J133" i="3"/>
  <c r="C133" i="3"/>
  <c r="D133" i="3"/>
  <c r="E133" i="3"/>
  <c r="F133" i="3"/>
  <c r="G133" i="3"/>
  <c r="H133" i="3"/>
  <c r="I133" i="3"/>
  <c r="G319" i="11"/>
  <c r="AA40" i="11"/>
  <c r="U40" i="11"/>
  <c r="K40" i="11"/>
  <c r="I40" i="11"/>
  <c r="M40" i="11"/>
  <c r="Y244" i="11"/>
  <c r="C349" i="8"/>
  <c r="C351" i="8"/>
  <c r="C348" i="8"/>
  <c r="K244" i="11"/>
  <c r="M244" i="11"/>
  <c r="K248" i="11"/>
  <c r="O248" i="11" s="1"/>
  <c r="M248" i="11"/>
  <c r="M349" i="8"/>
  <c r="M348" i="8"/>
  <c r="M351" i="8"/>
  <c r="S312" i="2" l="1"/>
  <c r="W317" i="11" s="1"/>
  <c r="K257" i="6"/>
  <c r="M257" i="6" s="1"/>
  <c r="I312" i="2"/>
  <c r="S314" i="2"/>
  <c r="W319" i="11" s="1"/>
  <c r="K258" i="6"/>
  <c r="M258" i="6" s="1"/>
  <c r="I314" i="2"/>
  <c r="K142" i="6"/>
  <c r="M142" i="6" s="1"/>
  <c r="S313" i="2"/>
  <c r="W318" i="11" s="1"/>
  <c r="I313" i="2"/>
  <c r="K133" i="1"/>
  <c r="S315" i="2"/>
  <c r="W320" i="11" s="1"/>
  <c r="K259" i="6"/>
  <c r="M259" i="6" s="1"/>
  <c r="I315" i="2"/>
  <c r="Y40" i="11"/>
  <c r="O40" i="11"/>
  <c r="O244" i="11"/>
  <c r="F226" i="2"/>
  <c r="F228" i="2"/>
  <c r="A19" i="8"/>
  <c r="B19" i="8"/>
  <c r="D19" i="8"/>
  <c r="E19" i="8"/>
  <c r="F19" i="8" s="1"/>
  <c r="I19" i="8"/>
  <c r="J19" i="8"/>
  <c r="K19" i="8"/>
  <c r="U318" i="11" l="1"/>
  <c r="Y318" i="11" s="1"/>
  <c r="AA318" i="11"/>
  <c r="K314" i="2"/>
  <c r="L133" i="1" s="1"/>
  <c r="I319" i="11"/>
  <c r="U319" i="11"/>
  <c r="Y319" i="11" s="1"/>
  <c r="AA319" i="11"/>
  <c r="F85" i="6"/>
  <c r="J232" i="11"/>
  <c r="N232" i="11" s="1"/>
  <c r="K313" i="2"/>
  <c r="L132" i="1" s="1"/>
  <c r="I318" i="11"/>
  <c r="F83" i="6"/>
  <c r="J230" i="11"/>
  <c r="N230" i="11" s="1"/>
  <c r="K315" i="2"/>
  <c r="L134" i="1" s="1"/>
  <c r="I320" i="11"/>
  <c r="U320" i="11"/>
  <c r="Y320" i="11" s="1"/>
  <c r="AA320" i="11"/>
  <c r="K312" i="2"/>
  <c r="L131" i="1" s="1"/>
  <c r="I317" i="11"/>
  <c r="U317" i="11"/>
  <c r="Y317" i="11" s="1"/>
  <c r="AA317" i="11"/>
  <c r="D226" i="2"/>
  <c r="D420" i="4" s="1"/>
  <c r="Q226" i="2"/>
  <c r="V230" i="11" s="1"/>
  <c r="S13" i="4"/>
  <c r="S13" i="11" s="1"/>
  <c r="Q228" i="2"/>
  <c r="V232" i="11" s="1"/>
  <c r="D228" i="2"/>
  <c r="D421" i="4" s="1"/>
  <c r="V135" i="4"/>
  <c r="V135" i="2" s="1"/>
  <c r="P127" i="6" s="1"/>
  <c r="V136" i="4"/>
  <c r="V136" i="2" s="1"/>
  <c r="P128" i="6" s="1"/>
  <c r="Q135" i="4"/>
  <c r="R138" i="11" s="1"/>
  <c r="R135" i="4"/>
  <c r="S135" i="4"/>
  <c r="S138" i="11" s="1"/>
  <c r="AA138" i="11" s="1"/>
  <c r="Q136" i="4"/>
  <c r="R139" i="11" s="1"/>
  <c r="R136" i="4"/>
  <c r="S136" i="4"/>
  <c r="S139" i="11" s="1"/>
  <c r="M135" i="4"/>
  <c r="AB135" i="4" s="1"/>
  <c r="M136" i="4"/>
  <c r="AB136" i="4" s="1"/>
  <c r="I135" i="4"/>
  <c r="I136" i="4"/>
  <c r="D135" i="2"/>
  <c r="V19" i="4"/>
  <c r="V19" i="2" s="1"/>
  <c r="P113" i="6" s="1"/>
  <c r="Q19" i="4"/>
  <c r="R19" i="11" s="1"/>
  <c r="R19" i="4"/>
  <c r="S19" i="4"/>
  <c r="S19" i="11" s="1"/>
  <c r="M19" i="4"/>
  <c r="AB19" i="4" s="1"/>
  <c r="I19" i="4"/>
  <c r="D19" i="2"/>
  <c r="K318" i="11" l="1"/>
  <c r="O318" i="11" s="1"/>
  <c r="M318" i="11"/>
  <c r="E19" i="11"/>
  <c r="E15" i="7"/>
  <c r="G19" i="2"/>
  <c r="L19" i="2"/>
  <c r="K317" i="11"/>
  <c r="O317" i="11" s="1"/>
  <c r="M317" i="11"/>
  <c r="Z19" i="11"/>
  <c r="Q19" i="11"/>
  <c r="K319" i="11"/>
  <c r="O319" i="11" s="1"/>
  <c r="M319" i="11"/>
  <c r="L136" i="2"/>
  <c r="G136" i="2"/>
  <c r="E138" i="11"/>
  <c r="E63" i="7"/>
  <c r="G135" i="2"/>
  <c r="L135" i="2"/>
  <c r="Z139" i="11"/>
  <c r="Q139" i="11"/>
  <c r="Q138" i="11"/>
  <c r="Y138" i="11" s="1"/>
  <c r="Z138" i="11"/>
  <c r="K320" i="11"/>
  <c r="O320" i="11" s="1"/>
  <c r="M320" i="11"/>
  <c r="E139" i="11"/>
  <c r="E64" i="7"/>
  <c r="N19" i="8"/>
  <c r="G136" i="4"/>
  <c r="L19" i="4"/>
  <c r="AA19" i="4" s="1"/>
  <c r="L135" i="4"/>
  <c r="AA135" i="4" s="1"/>
  <c r="N149" i="8"/>
  <c r="N148" i="8"/>
  <c r="G226" i="2"/>
  <c r="L226" i="2"/>
  <c r="E226" i="2"/>
  <c r="I83" i="6" s="1"/>
  <c r="H83" i="6" s="1"/>
  <c r="G83" i="6" s="1"/>
  <c r="E228" i="2"/>
  <c r="I85" i="6" s="1"/>
  <c r="H85" i="6" s="1"/>
  <c r="G85" i="6" s="1"/>
  <c r="L228" i="2"/>
  <c r="G228" i="2"/>
  <c r="N59" i="8"/>
  <c r="Z136" i="4"/>
  <c r="O149" i="8"/>
  <c r="P149" i="8" s="1"/>
  <c r="K135" i="4"/>
  <c r="L63" i="3" s="1"/>
  <c r="H148" i="8"/>
  <c r="H59" i="8"/>
  <c r="O59" i="8"/>
  <c r="P59" i="8" s="1"/>
  <c r="K136" i="4"/>
  <c r="L64" i="3" s="1"/>
  <c r="H149" i="8"/>
  <c r="Z135" i="4"/>
  <c r="O148" i="8"/>
  <c r="P148" i="8" s="1"/>
  <c r="K19" i="4"/>
  <c r="L18" i="3" s="1"/>
  <c r="H19" i="8"/>
  <c r="Z19" i="4"/>
  <c r="O19" i="8"/>
  <c r="P19" i="8" s="1"/>
  <c r="G135" i="4"/>
  <c r="L136" i="4"/>
  <c r="AA136" i="4" s="1"/>
  <c r="G19" i="4"/>
  <c r="Q389" i="4"/>
  <c r="R394" i="11" s="1"/>
  <c r="R389" i="4"/>
  <c r="Q390" i="4"/>
  <c r="R395" i="11" s="1"/>
  <c r="R390" i="4"/>
  <c r="Q391" i="4"/>
  <c r="R396" i="11" s="1"/>
  <c r="R391" i="4"/>
  <c r="Q392" i="4"/>
  <c r="R397" i="11" s="1"/>
  <c r="R392" i="4"/>
  <c r="Q393" i="4"/>
  <c r="R398" i="11" s="1"/>
  <c r="R393" i="4"/>
  <c r="C389" i="4"/>
  <c r="C390" i="4"/>
  <c r="C391" i="4"/>
  <c r="C392" i="4"/>
  <c r="C393" i="4"/>
  <c r="Q323" i="4"/>
  <c r="R328" i="11" s="1"/>
  <c r="R323" i="4"/>
  <c r="S323" i="4"/>
  <c r="S328" i="11" s="1"/>
  <c r="Q324" i="4"/>
  <c r="R329" i="11" s="1"/>
  <c r="R324" i="4"/>
  <c r="S324" i="4"/>
  <c r="S329" i="11" s="1"/>
  <c r="Q328" i="4"/>
  <c r="R333" i="11" s="1"/>
  <c r="R328" i="4"/>
  <c r="S328" i="4"/>
  <c r="S333" i="11" s="1"/>
  <c r="AA333" i="11" s="1"/>
  <c r="Q333" i="4"/>
  <c r="R338" i="11" s="1"/>
  <c r="R333" i="4"/>
  <c r="S333" i="4"/>
  <c r="S338" i="11" s="1"/>
  <c r="Q334" i="4"/>
  <c r="R339" i="11" s="1"/>
  <c r="R334" i="4"/>
  <c r="S334" i="4"/>
  <c r="S339" i="11" s="1"/>
  <c r="Q337" i="4"/>
  <c r="R342" i="11" s="1"/>
  <c r="R337" i="4"/>
  <c r="S337" i="4"/>
  <c r="S342" i="11" s="1"/>
  <c r="AA342" i="11" s="1"/>
  <c r="Q338" i="4"/>
  <c r="R343" i="11" s="1"/>
  <c r="R338" i="4"/>
  <c r="S338" i="4"/>
  <c r="S343" i="11" s="1"/>
  <c r="Q345" i="4"/>
  <c r="R350" i="11" s="1"/>
  <c r="R345" i="4"/>
  <c r="S345" i="4"/>
  <c r="S350" i="11" s="1"/>
  <c r="Q346" i="4"/>
  <c r="R351" i="11" s="1"/>
  <c r="R346" i="4"/>
  <c r="S346" i="4"/>
  <c r="S351" i="11" s="1"/>
  <c r="M323" i="4"/>
  <c r="M324" i="4"/>
  <c r="M328" i="4"/>
  <c r="M333" i="4"/>
  <c r="M334" i="4"/>
  <c r="M337" i="4"/>
  <c r="M338" i="4"/>
  <c r="M345" i="4"/>
  <c r="M346" i="4"/>
  <c r="I323" i="4"/>
  <c r="E328" i="11" s="1"/>
  <c r="I324" i="4"/>
  <c r="E329" i="11" s="1"/>
  <c r="I328" i="4"/>
  <c r="E333" i="11" s="1"/>
  <c r="I333" i="4"/>
  <c r="E338" i="11" s="1"/>
  <c r="I334" i="4"/>
  <c r="E339" i="11" s="1"/>
  <c r="I337" i="4"/>
  <c r="E342" i="11" s="1"/>
  <c r="I338" i="4"/>
  <c r="E343" i="11" s="1"/>
  <c r="G343" i="11" s="1"/>
  <c r="I345" i="4"/>
  <c r="E350" i="11" s="1"/>
  <c r="I346" i="4"/>
  <c r="E351" i="11" s="1"/>
  <c r="D323" i="2"/>
  <c r="D324" i="2"/>
  <c r="D328" i="2"/>
  <c r="D333" i="2"/>
  <c r="D334" i="2"/>
  <c r="D337" i="2"/>
  <c r="D338" i="2"/>
  <c r="D345" i="2"/>
  <c r="D346" i="2"/>
  <c r="Q283" i="4"/>
  <c r="R288" i="11" s="1"/>
  <c r="R283" i="4"/>
  <c r="S283" i="4"/>
  <c r="S288" i="11" s="1"/>
  <c r="Q284" i="4"/>
  <c r="R289" i="11" s="1"/>
  <c r="R284" i="4"/>
  <c r="S284" i="4"/>
  <c r="S289" i="11" s="1"/>
  <c r="Q285" i="4"/>
  <c r="R290" i="11" s="1"/>
  <c r="R285" i="4"/>
  <c r="S285" i="4"/>
  <c r="S290" i="11" s="1"/>
  <c r="Q286" i="4"/>
  <c r="R291" i="11" s="1"/>
  <c r="R286" i="4"/>
  <c r="S286" i="4"/>
  <c r="S291" i="11" s="1"/>
  <c r="AA291" i="11" s="1"/>
  <c r="Q287" i="4"/>
  <c r="R292" i="11" s="1"/>
  <c r="R287" i="4"/>
  <c r="S287" i="4"/>
  <c r="S292" i="11" s="1"/>
  <c r="AA292" i="11" s="1"/>
  <c r="Q288" i="4"/>
  <c r="R293" i="11" s="1"/>
  <c r="R288" i="4"/>
  <c r="S288" i="4"/>
  <c r="S293" i="11" s="1"/>
  <c r="Q289" i="4"/>
  <c r="R294" i="11" s="1"/>
  <c r="R289" i="4"/>
  <c r="S289" i="4"/>
  <c r="S294" i="11" s="1"/>
  <c r="Q290" i="4"/>
  <c r="R295" i="11" s="1"/>
  <c r="R290" i="4"/>
  <c r="S290" i="4"/>
  <c r="S295" i="11" s="1"/>
  <c r="Q291" i="4"/>
  <c r="R296" i="11" s="1"/>
  <c r="R291" i="4"/>
  <c r="S291" i="4"/>
  <c r="S296" i="11" s="1"/>
  <c r="Q292" i="4"/>
  <c r="R297" i="11" s="1"/>
  <c r="R292" i="4"/>
  <c r="S292" i="4"/>
  <c r="S297" i="11" s="1"/>
  <c r="AA297" i="11" s="1"/>
  <c r="Q293" i="4"/>
  <c r="R298" i="11" s="1"/>
  <c r="R293" i="4"/>
  <c r="S293" i="4"/>
  <c r="S298" i="11" s="1"/>
  <c r="Q294" i="4"/>
  <c r="R299" i="11" s="1"/>
  <c r="R294" i="4"/>
  <c r="S294" i="4"/>
  <c r="S299" i="11" s="1"/>
  <c r="Q295" i="4"/>
  <c r="R300" i="11" s="1"/>
  <c r="R295" i="4"/>
  <c r="S295" i="4"/>
  <c r="S300" i="11" s="1"/>
  <c r="Q296" i="4"/>
  <c r="R301" i="11" s="1"/>
  <c r="R296" i="4"/>
  <c r="S296" i="4"/>
  <c r="S301" i="11" s="1"/>
  <c r="AA301" i="11" s="1"/>
  <c r="Q297" i="4"/>
  <c r="R302" i="11" s="1"/>
  <c r="R297" i="4"/>
  <c r="S297" i="4"/>
  <c r="S302" i="11" s="1"/>
  <c r="Q298" i="4"/>
  <c r="R303" i="11" s="1"/>
  <c r="R298" i="4"/>
  <c r="S298" i="4"/>
  <c r="S303" i="11" s="1"/>
  <c r="Q299" i="4"/>
  <c r="R304" i="11" s="1"/>
  <c r="R299" i="4"/>
  <c r="S299" i="4"/>
  <c r="S304" i="11" s="1"/>
  <c r="Q300" i="4"/>
  <c r="R305" i="11" s="1"/>
  <c r="R300" i="4"/>
  <c r="S300" i="4"/>
  <c r="S305" i="11" s="1"/>
  <c r="Q301" i="4"/>
  <c r="R306" i="11" s="1"/>
  <c r="R301" i="4"/>
  <c r="S301" i="4"/>
  <c r="S306" i="11" s="1"/>
  <c r="Q302" i="4"/>
  <c r="R307" i="11" s="1"/>
  <c r="R302" i="4"/>
  <c r="S302" i="4"/>
  <c r="S307" i="11" s="1"/>
  <c r="Q303" i="4"/>
  <c r="R308" i="11" s="1"/>
  <c r="R303" i="4"/>
  <c r="S303" i="4"/>
  <c r="S308" i="11" s="1"/>
  <c r="Q304" i="4"/>
  <c r="R309" i="11" s="1"/>
  <c r="R304" i="4"/>
  <c r="S304" i="4"/>
  <c r="S309" i="11" s="1"/>
  <c r="Q305" i="4"/>
  <c r="R310" i="11" s="1"/>
  <c r="R305" i="4"/>
  <c r="S305" i="4"/>
  <c r="S310" i="11" s="1"/>
  <c r="Q306" i="4"/>
  <c r="R311" i="11" s="1"/>
  <c r="R306" i="4"/>
  <c r="S306" i="4"/>
  <c r="S311" i="11" s="1"/>
  <c r="Q307" i="4"/>
  <c r="R312" i="11" s="1"/>
  <c r="R307" i="4"/>
  <c r="S307" i="4"/>
  <c r="S312" i="11" s="1"/>
  <c r="Q308" i="4"/>
  <c r="R313" i="11" s="1"/>
  <c r="R308" i="4"/>
  <c r="S308" i="4"/>
  <c r="S313" i="11" s="1"/>
  <c r="AA313" i="11" s="1"/>
  <c r="Q309" i="4"/>
  <c r="R314" i="11" s="1"/>
  <c r="R309" i="4"/>
  <c r="S309" i="4"/>
  <c r="S314" i="11" s="1"/>
  <c r="AA314" i="11" s="1"/>
  <c r="Q310" i="4"/>
  <c r="R315" i="11" s="1"/>
  <c r="R310" i="4"/>
  <c r="S310" i="4"/>
  <c r="S315" i="11" s="1"/>
  <c r="Q311" i="4"/>
  <c r="R316" i="11" s="1"/>
  <c r="R311" i="4"/>
  <c r="S311" i="4"/>
  <c r="S316" i="11" s="1"/>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D283" i="2"/>
  <c r="D284" i="2"/>
  <c r="D287" i="2"/>
  <c r="D288" i="2"/>
  <c r="D289" i="2"/>
  <c r="D290" i="2"/>
  <c r="D292" i="2"/>
  <c r="D293" i="2"/>
  <c r="D294" i="2"/>
  <c r="D295" i="2"/>
  <c r="D296" i="2"/>
  <c r="D297" i="2"/>
  <c r="D298" i="2"/>
  <c r="D299" i="2"/>
  <c r="D300" i="2"/>
  <c r="D301" i="2"/>
  <c r="D302" i="2"/>
  <c r="D303" i="2"/>
  <c r="D304" i="2"/>
  <c r="D305" i="2"/>
  <c r="D306" i="2"/>
  <c r="D307" i="2"/>
  <c r="D310" i="2"/>
  <c r="D311" i="2"/>
  <c r="Q253" i="4"/>
  <c r="R258" i="11" s="1"/>
  <c r="R253" i="4"/>
  <c r="M253" i="4"/>
  <c r="G253" i="4"/>
  <c r="C258" i="11" s="1"/>
  <c r="Q243" i="4"/>
  <c r="R247" i="11" s="1"/>
  <c r="R243" i="4"/>
  <c r="S243" i="4"/>
  <c r="S247" i="11" s="1"/>
  <c r="M243" i="4"/>
  <c r="I243" i="4"/>
  <c r="Q224" i="4"/>
  <c r="R228" i="11" s="1"/>
  <c r="R224" i="4"/>
  <c r="S224" i="4"/>
  <c r="S228" i="11" s="1"/>
  <c r="Q225" i="4"/>
  <c r="R229" i="11" s="1"/>
  <c r="R225" i="4"/>
  <c r="S225" i="4"/>
  <c r="S229" i="11" s="1"/>
  <c r="R226" i="4"/>
  <c r="S226" i="4"/>
  <c r="S230" i="11" s="1"/>
  <c r="Q227" i="4"/>
  <c r="R231" i="11" s="1"/>
  <c r="R227" i="4"/>
  <c r="S227" i="4"/>
  <c r="S231" i="11" s="1"/>
  <c r="R228" i="4"/>
  <c r="S228" i="4"/>
  <c r="S232" i="11" s="1"/>
  <c r="Q229" i="4"/>
  <c r="R233" i="11" s="1"/>
  <c r="R229" i="4"/>
  <c r="S229" i="4"/>
  <c r="S233" i="11" s="1"/>
  <c r="Q230" i="4"/>
  <c r="R234" i="11" s="1"/>
  <c r="R230" i="4"/>
  <c r="S230" i="4"/>
  <c r="S234" i="11" s="1"/>
  <c r="Q231" i="4"/>
  <c r="R235" i="11" s="1"/>
  <c r="R231" i="4"/>
  <c r="S231" i="4"/>
  <c r="S235" i="11" s="1"/>
  <c r="Q232" i="4"/>
  <c r="R236" i="11" s="1"/>
  <c r="R232" i="4"/>
  <c r="S232" i="4"/>
  <c r="S236" i="11" s="1"/>
  <c r="M224" i="4"/>
  <c r="M225" i="4"/>
  <c r="M226" i="4"/>
  <c r="M227" i="4"/>
  <c r="M228" i="4"/>
  <c r="M229" i="4"/>
  <c r="M230" i="4"/>
  <c r="M231" i="4"/>
  <c r="M232" i="4"/>
  <c r="I224" i="4"/>
  <c r="I225" i="4"/>
  <c r="I227" i="4"/>
  <c r="I229" i="4"/>
  <c r="I230" i="4"/>
  <c r="I231" i="4"/>
  <c r="I232" i="4"/>
  <c r="L228" i="4"/>
  <c r="D231" i="2"/>
  <c r="D232" i="2"/>
  <c r="Q164" i="4"/>
  <c r="R167" i="11" s="1"/>
  <c r="R164" i="4"/>
  <c r="S164" i="4"/>
  <c r="S167" i="11" s="1"/>
  <c r="Q169" i="4"/>
  <c r="R172" i="11" s="1"/>
  <c r="R169" i="4"/>
  <c r="S169" i="4"/>
  <c r="S172" i="11" s="1"/>
  <c r="Q171" i="4"/>
  <c r="R174" i="11" s="1"/>
  <c r="R171" i="4"/>
  <c r="S171" i="4"/>
  <c r="S174" i="11" s="1"/>
  <c r="Q172" i="4"/>
  <c r="R175" i="11" s="1"/>
  <c r="R172" i="4"/>
  <c r="S172" i="4"/>
  <c r="S175" i="11" s="1"/>
  <c r="Q173" i="4"/>
  <c r="R176" i="11" s="1"/>
  <c r="R173" i="4"/>
  <c r="S173" i="4"/>
  <c r="S176" i="11" s="1"/>
  <c r="Q175" i="4"/>
  <c r="R178" i="11" s="1"/>
  <c r="R175" i="4"/>
  <c r="S175" i="4"/>
  <c r="S178" i="11" s="1"/>
  <c r="Q176" i="4"/>
  <c r="R179" i="11" s="1"/>
  <c r="R176" i="4"/>
  <c r="S176" i="4"/>
  <c r="S179" i="11" s="1"/>
  <c r="Q177" i="4"/>
  <c r="R180" i="11" s="1"/>
  <c r="R177" i="4"/>
  <c r="S177" i="4"/>
  <c r="S180" i="11" s="1"/>
  <c r="Q178" i="4"/>
  <c r="R181" i="11" s="1"/>
  <c r="R178" i="4"/>
  <c r="S178" i="4"/>
  <c r="S181" i="11" s="1"/>
  <c r="Q179" i="4"/>
  <c r="R182" i="11" s="1"/>
  <c r="R179" i="4"/>
  <c r="S179" i="4"/>
  <c r="S182" i="11" s="1"/>
  <c r="Q181" i="4"/>
  <c r="R184" i="11" s="1"/>
  <c r="R181" i="4"/>
  <c r="S181" i="4"/>
  <c r="S184" i="11" s="1"/>
  <c r="Q183" i="4"/>
  <c r="R186" i="11" s="1"/>
  <c r="R183" i="4"/>
  <c r="S183" i="4"/>
  <c r="S186" i="11" s="1"/>
  <c r="Q184" i="4"/>
  <c r="R187" i="11" s="1"/>
  <c r="R184" i="4"/>
  <c r="S184" i="4"/>
  <c r="S187" i="11" s="1"/>
  <c r="Q185" i="4"/>
  <c r="R188" i="11" s="1"/>
  <c r="R185" i="4"/>
  <c r="S185" i="4"/>
  <c r="S188" i="11" s="1"/>
  <c r="Q186" i="4"/>
  <c r="R189" i="11" s="1"/>
  <c r="R186" i="4"/>
  <c r="S186" i="4"/>
  <c r="S189" i="11" s="1"/>
  <c r="Q187" i="4"/>
  <c r="R190" i="11" s="1"/>
  <c r="R187" i="4"/>
  <c r="S187" i="4"/>
  <c r="S190" i="11" s="1"/>
  <c r="Q188" i="4"/>
  <c r="R191" i="11" s="1"/>
  <c r="R188" i="4"/>
  <c r="S188" i="4"/>
  <c r="S191" i="11" s="1"/>
  <c r="Q192" i="4"/>
  <c r="R195" i="11" s="1"/>
  <c r="R192" i="4"/>
  <c r="S192" i="4"/>
  <c r="S195" i="11" s="1"/>
  <c r="Q193" i="4"/>
  <c r="R196" i="11" s="1"/>
  <c r="R193" i="4"/>
  <c r="S193" i="4"/>
  <c r="S196" i="11" s="1"/>
  <c r="Q194" i="4"/>
  <c r="R197" i="11" s="1"/>
  <c r="R194" i="4"/>
  <c r="S194" i="4"/>
  <c r="S197" i="11" s="1"/>
  <c r="Q195" i="4"/>
  <c r="R198" i="11" s="1"/>
  <c r="R195" i="4"/>
  <c r="S195" i="4"/>
  <c r="S198" i="11" s="1"/>
  <c r="M164" i="4"/>
  <c r="M169" i="4"/>
  <c r="M171" i="4"/>
  <c r="M172" i="4"/>
  <c r="M173" i="4"/>
  <c r="M175" i="4"/>
  <c r="M176" i="4"/>
  <c r="M177" i="4"/>
  <c r="M178" i="4"/>
  <c r="M179" i="4"/>
  <c r="M181" i="4"/>
  <c r="M183" i="4"/>
  <c r="M184" i="4"/>
  <c r="M185" i="4"/>
  <c r="M186" i="4"/>
  <c r="M187" i="4"/>
  <c r="M188" i="4"/>
  <c r="M192" i="4"/>
  <c r="M193" i="4"/>
  <c r="M194" i="4"/>
  <c r="M195" i="4"/>
  <c r="I164" i="4"/>
  <c r="E167" i="11" s="1"/>
  <c r="I169" i="4"/>
  <c r="E172" i="11" s="1"/>
  <c r="I171" i="4"/>
  <c r="E174" i="11" s="1"/>
  <c r="I172" i="4"/>
  <c r="E175" i="11" s="1"/>
  <c r="I173" i="4"/>
  <c r="E176" i="11" s="1"/>
  <c r="I175" i="4"/>
  <c r="E178" i="11" s="1"/>
  <c r="I176" i="4"/>
  <c r="E179" i="11" s="1"/>
  <c r="I177" i="4"/>
  <c r="E180" i="11" s="1"/>
  <c r="I178" i="4"/>
  <c r="E181" i="11" s="1"/>
  <c r="I179" i="4"/>
  <c r="E182" i="11" s="1"/>
  <c r="I181" i="4"/>
  <c r="E184" i="11" s="1"/>
  <c r="I183" i="4"/>
  <c r="E186" i="11" s="1"/>
  <c r="I184" i="4"/>
  <c r="E187" i="11" s="1"/>
  <c r="I185" i="4"/>
  <c r="E188" i="11" s="1"/>
  <c r="I186" i="4"/>
  <c r="E189" i="11" s="1"/>
  <c r="I187" i="4"/>
  <c r="E190" i="11" s="1"/>
  <c r="I188" i="4"/>
  <c r="E191" i="11" s="1"/>
  <c r="I192" i="4"/>
  <c r="E195" i="11" s="1"/>
  <c r="I193" i="4"/>
  <c r="E196" i="11" s="1"/>
  <c r="I194" i="4"/>
  <c r="E197" i="11" s="1"/>
  <c r="I195" i="4"/>
  <c r="E198" i="11" s="1"/>
  <c r="D164" i="2"/>
  <c r="D169" i="2"/>
  <c r="D171" i="2"/>
  <c r="D172" i="2"/>
  <c r="D173" i="2"/>
  <c r="D175" i="2"/>
  <c r="D176" i="2"/>
  <c r="D177" i="2"/>
  <c r="D178" i="2"/>
  <c r="D179" i="2"/>
  <c r="D181" i="2"/>
  <c r="D183" i="2"/>
  <c r="D184" i="2"/>
  <c r="D185" i="2"/>
  <c r="D186" i="2"/>
  <c r="D187" i="2"/>
  <c r="D188" i="2"/>
  <c r="D192" i="2"/>
  <c r="D193" i="2"/>
  <c r="D194" i="2"/>
  <c r="D195" i="2"/>
  <c r="J154" i="4"/>
  <c r="N154" i="4"/>
  <c r="O154" i="4"/>
  <c r="P154" i="4"/>
  <c r="H154" i="4"/>
  <c r="E154" i="4"/>
  <c r="F154" i="4"/>
  <c r="C154" i="4"/>
  <c r="Q121" i="4"/>
  <c r="R124" i="11" s="1"/>
  <c r="R121" i="4"/>
  <c r="S121" i="4"/>
  <c r="S124" i="11" s="1"/>
  <c r="Q122" i="4"/>
  <c r="R125" i="11" s="1"/>
  <c r="R122" i="4"/>
  <c r="S122" i="4"/>
  <c r="S125" i="11" s="1"/>
  <c r="Q123" i="4"/>
  <c r="R126" i="11" s="1"/>
  <c r="R123" i="4"/>
  <c r="S123" i="4"/>
  <c r="S126" i="11" s="1"/>
  <c r="Q125" i="4"/>
  <c r="R128" i="11" s="1"/>
  <c r="R125" i="4"/>
  <c r="S125" i="4"/>
  <c r="S128" i="11" s="1"/>
  <c r="Q126" i="4"/>
  <c r="R129" i="11" s="1"/>
  <c r="R126" i="4"/>
  <c r="S126" i="4"/>
  <c r="S129" i="11" s="1"/>
  <c r="Q127" i="4"/>
  <c r="R130" i="11" s="1"/>
  <c r="R127" i="4"/>
  <c r="S127" i="4"/>
  <c r="S130" i="11" s="1"/>
  <c r="Q128" i="4"/>
  <c r="R131" i="11" s="1"/>
  <c r="R128" i="4"/>
  <c r="S128" i="4"/>
  <c r="S131" i="11" s="1"/>
  <c r="Q129" i="4"/>
  <c r="R132" i="11" s="1"/>
  <c r="R129" i="4"/>
  <c r="S129" i="4"/>
  <c r="S132" i="11" s="1"/>
  <c r="Q130" i="4"/>
  <c r="R133" i="11" s="1"/>
  <c r="R130" i="4"/>
  <c r="S130" i="4"/>
  <c r="S133" i="11" s="1"/>
  <c r="Q131" i="4"/>
  <c r="R134" i="11" s="1"/>
  <c r="R131" i="4"/>
  <c r="S131" i="4"/>
  <c r="S134" i="11" s="1"/>
  <c r="Q132" i="4"/>
  <c r="R135" i="11" s="1"/>
  <c r="R132" i="4"/>
  <c r="S132" i="4"/>
  <c r="S135" i="11" s="1"/>
  <c r="Q133" i="4"/>
  <c r="R136" i="11" s="1"/>
  <c r="R133" i="4"/>
  <c r="S133" i="4"/>
  <c r="S136" i="11" s="1"/>
  <c r="Q134" i="4"/>
  <c r="R137" i="11" s="1"/>
  <c r="R134" i="4"/>
  <c r="S134" i="4"/>
  <c r="S137" i="11" s="1"/>
  <c r="M121" i="4"/>
  <c r="AB121" i="4" s="1"/>
  <c r="M122" i="4"/>
  <c r="AB122" i="4" s="1"/>
  <c r="M123" i="4"/>
  <c r="AB123" i="4" s="1"/>
  <c r="M125" i="4"/>
  <c r="AB125" i="4" s="1"/>
  <c r="AB126" i="4"/>
  <c r="M127" i="4"/>
  <c r="AB127" i="4" s="1"/>
  <c r="M128" i="4"/>
  <c r="AB128" i="4" s="1"/>
  <c r="M129" i="4"/>
  <c r="AB129" i="4" s="1"/>
  <c r="M130" i="4"/>
  <c r="AB130" i="4" s="1"/>
  <c r="M131" i="4"/>
  <c r="AB131" i="4" s="1"/>
  <c r="M132" i="4"/>
  <c r="AB132" i="4" s="1"/>
  <c r="M133" i="4"/>
  <c r="AB133" i="4" s="1"/>
  <c r="M134" i="4"/>
  <c r="AB134" i="4" s="1"/>
  <c r="I121" i="4"/>
  <c r="I122" i="4"/>
  <c r="I123" i="4"/>
  <c r="I125" i="4"/>
  <c r="I126" i="4"/>
  <c r="I127" i="4"/>
  <c r="I128" i="4"/>
  <c r="I129" i="4"/>
  <c r="I130" i="4"/>
  <c r="I131" i="4"/>
  <c r="I132" i="4"/>
  <c r="I133" i="4"/>
  <c r="I134" i="4"/>
  <c r="D121" i="2"/>
  <c r="D122" i="2"/>
  <c r="D123" i="2"/>
  <c r="D125" i="2"/>
  <c r="D126" i="2"/>
  <c r="D127" i="2"/>
  <c r="D128" i="2"/>
  <c r="D129" i="2"/>
  <c r="D130" i="2"/>
  <c r="D131" i="2"/>
  <c r="D132" i="2"/>
  <c r="D133" i="2"/>
  <c r="D134" i="2"/>
  <c r="Q84" i="4"/>
  <c r="R85" i="11" s="1"/>
  <c r="R84" i="4"/>
  <c r="S84" i="4"/>
  <c r="S85" i="11" s="1"/>
  <c r="Q86" i="4"/>
  <c r="R87" i="11" s="1"/>
  <c r="R86" i="4"/>
  <c r="S86" i="4"/>
  <c r="S87" i="11" s="1"/>
  <c r="M84" i="4"/>
  <c r="AB84" i="4" s="1"/>
  <c r="M86" i="4"/>
  <c r="AB86" i="4" s="1"/>
  <c r="I84" i="4"/>
  <c r="E85" i="11" s="1"/>
  <c r="I86" i="4"/>
  <c r="E87" i="11" s="1"/>
  <c r="D84" i="2"/>
  <c r="D86" i="2"/>
  <c r="Q45" i="4"/>
  <c r="R46" i="11" s="1"/>
  <c r="R45" i="4"/>
  <c r="S45" i="4"/>
  <c r="S46" i="11" s="1"/>
  <c r="Q46" i="4"/>
  <c r="R47" i="11" s="1"/>
  <c r="R46" i="4"/>
  <c r="S46" i="4"/>
  <c r="S47" i="11" s="1"/>
  <c r="Q47" i="4"/>
  <c r="R48" i="11" s="1"/>
  <c r="R47" i="4"/>
  <c r="S47" i="4"/>
  <c r="S48" i="11" s="1"/>
  <c r="Q48" i="4"/>
  <c r="R49" i="11" s="1"/>
  <c r="R48" i="4"/>
  <c r="S48" i="4"/>
  <c r="S49" i="11" s="1"/>
  <c r="Q49" i="4"/>
  <c r="R50" i="11" s="1"/>
  <c r="R49" i="4"/>
  <c r="S49" i="4"/>
  <c r="S50" i="11" s="1"/>
  <c r="Q50" i="4"/>
  <c r="R51" i="11" s="1"/>
  <c r="R50" i="4"/>
  <c r="S50" i="4"/>
  <c r="S51" i="11" s="1"/>
  <c r="Q51" i="4"/>
  <c r="R52" i="11" s="1"/>
  <c r="R51" i="4"/>
  <c r="S51" i="4"/>
  <c r="S52" i="11" s="1"/>
  <c r="Q52" i="4"/>
  <c r="R53" i="11" s="1"/>
  <c r="R52" i="4"/>
  <c r="S52" i="4"/>
  <c r="S53" i="11" s="1"/>
  <c r="M45" i="4"/>
  <c r="AB45" i="4" s="1"/>
  <c r="M46" i="4"/>
  <c r="AB46" i="4" s="1"/>
  <c r="M47" i="4"/>
  <c r="AB47" i="4" s="1"/>
  <c r="M48" i="4"/>
  <c r="AB48" i="4" s="1"/>
  <c r="M49" i="4"/>
  <c r="AB49" i="4" s="1"/>
  <c r="M50" i="4"/>
  <c r="AB50" i="4" s="1"/>
  <c r="M51" i="4"/>
  <c r="AB51" i="4" s="1"/>
  <c r="M52" i="4"/>
  <c r="AB52" i="4" s="1"/>
  <c r="I45" i="4"/>
  <c r="I46" i="4"/>
  <c r="I47" i="4"/>
  <c r="I48" i="4"/>
  <c r="I49" i="4"/>
  <c r="I50" i="4"/>
  <c r="I51" i="4"/>
  <c r="I52" i="4"/>
  <c r="D46" i="2"/>
  <c r="D47" i="2"/>
  <c r="D49" i="2"/>
  <c r="D50" i="2"/>
  <c r="D51" i="2"/>
  <c r="D52" i="2"/>
  <c r="D10" i="2"/>
  <c r="D11" i="2"/>
  <c r="D12" i="2"/>
  <c r="D14" i="2"/>
  <c r="D15" i="2"/>
  <c r="D16" i="2"/>
  <c r="D17" i="2"/>
  <c r="D18" i="2"/>
  <c r="Q10" i="4"/>
  <c r="R10" i="11" s="1"/>
  <c r="R10" i="4"/>
  <c r="S10" i="4"/>
  <c r="S10" i="11" s="1"/>
  <c r="Q11" i="4"/>
  <c r="R11" i="11" s="1"/>
  <c r="R11" i="4"/>
  <c r="S11" i="4"/>
  <c r="S11" i="11" s="1"/>
  <c r="Q12" i="4"/>
  <c r="R12" i="11" s="1"/>
  <c r="R12" i="4"/>
  <c r="S12" i="4"/>
  <c r="S12" i="11" s="1"/>
  <c r="R13" i="4"/>
  <c r="Q14" i="4"/>
  <c r="R14" i="11" s="1"/>
  <c r="R14" i="4"/>
  <c r="S14" i="4"/>
  <c r="S14" i="11" s="1"/>
  <c r="Q15" i="4"/>
  <c r="R15" i="11" s="1"/>
  <c r="R15" i="4"/>
  <c r="S15" i="4"/>
  <c r="S15" i="11" s="1"/>
  <c r="Q16" i="4"/>
  <c r="R16" i="11" s="1"/>
  <c r="R16" i="4"/>
  <c r="S16" i="4"/>
  <c r="S16" i="11" s="1"/>
  <c r="Q17" i="4"/>
  <c r="R17" i="11" s="1"/>
  <c r="R17" i="4"/>
  <c r="S17" i="4"/>
  <c r="S17" i="11" s="1"/>
  <c r="Q18" i="4"/>
  <c r="R18" i="11" s="1"/>
  <c r="R18" i="4"/>
  <c r="S18" i="4"/>
  <c r="S18" i="11" s="1"/>
  <c r="AA18" i="11" s="1"/>
  <c r="M10" i="4"/>
  <c r="AB10" i="4" s="1"/>
  <c r="M11" i="4"/>
  <c r="AB11" i="4" s="1"/>
  <c r="M12" i="4"/>
  <c r="AB12" i="4" s="1"/>
  <c r="AB13" i="4"/>
  <c r="M14" i="4"/>
  <c r="AB14" i="4" s="1"/>
  <c r="M15" i="4"/>
  <c r="AB15" i="4" s="1"/>
  <c r="M16" i="4"/>
  <c r="AB16" i="4" s="1"/>
  <c r="M17" i="4"/>
  <c r="AB17" i="4" s="1"/>
  <c r="M18" i="4"/>
  <c r="AB18" i="4" s="1"/>
  <c r="Z25" i="4"/>
  <c r="AA25" i="4"/>
  <c r="AB25" i="4"/>
  <c r="Z27" i="4"/>
  <c r="AA27" i="4"/>
  <c r="AB27" i="4"/>
  <c r="Z28" i="4"/>
  <c r="AA28" i="4"/>
  <c r="AB28" i="4"/>
  <c r="Z39" i="4"/>
  <c r="AA39" i="4"/>
  <c r="AB39" i="4"/>
  <c r="Z42" i="4"/>
  <c r="AA42" i="4"/>
  <c r="AB42" i="4"/>
  <c r="Z43" i="4"/>
  <c r="AA43" i="4"/>
  <c r="AB43" i="4"/>
  <c r="Z67" i="4"/>
  <c r="AA67" i="4"/>
  <c r="AB67" i="4"/>
  <c r="Z102" i="4"/>
  <c r="AA102" i="4"/>
  <c r="AB102" i="4"/>
  <c r="Z105" i="4"/>
  <c r="AA105" i="4"/>
  <c r="AB105" i="4"/>
  <c r="Z106" i="4"/>
  <c r="AA106" i="4"/>
  <c r="AB106" i="4"/>
  <c r="Z108" i="4"/>
  <c r="AA108" i="4"/>
  <c r="AB108" i="4"/>
  <c r="Z110" i="4"/>
  <c r="AA110" i="4"/>
  <c r="AB110" i="4"/>
  <c r="Z111" i="4"/>
  <c r="AA111" i="4"/>
  <c r="AB111" i="4"/>
  <c r="Z115" i="4"/>
  <c r="AA115" i="4"/>
  <c r="AB115" i="4"/>
  <c r="Z118" i="4"/>
  <c r="AA118" i="4"/>
  <c r="AB118" i="4"/>
  <c r="Z119" i="4"/>
  <c r="AA119" i="4"/>
  <c r="AB119" i="4"/>
  <c r="Z155" i="4"/>
  <c r="AA155" i="4"/>
  <c r="AB155" i="4"/>
  <c r="Z156" i="4"/>
  <c r="AA156" i="4"/>
  <c r="AB156" i="4"/>
  <c r="Z214" i="4"/>
  <c r="Z217" i="4"/>
  <c r="AA217" i="4"/>
  <c r="AB217" i="4"/>
  <c r="Z221" i="4"/>
  <c r="AA221" i="4"/>
  <c r="AB221" i="4"/>
  <c r="Z222" i="4"/>
  <c r="AA222" i="4"/>
  <c r="AB222" i="4"/>
  <c r="Z236" i="4"/>
  <c r="AA236" i="4"/>
  <c r="AB236" i="4"/>
  <c r="Z238" i="4"/>
  <c r="AA238" i="4"/>
  <c r="AB238" i="4"/>
  <c r="Z239" i="4"/>
  <c r="AA239" i="4"/>
  <c r="AB239" i="4"/>
  <c r="Z247" i="4"/>
  <c r="Z250" i="4"/>
  <c r="AA250" i="4"/>
  <c r="AB250" i="4"/>
  <c r="Z251" i="4"/>
  <c r="AA251" i="4"/>
  <c r="AB251" i="4"/>
  <c r="Z256" i="4"/>
  <c r="AA256" i="4"/>
  <c r="AB256" i="4"/>
  <c r="Z258" i="4"/>
  <c r="AA258" i="4"/>
  <c r="AB258" i="4"/>
  <c r="Z259" i="4"/>
  <c r="AA259" i="4"/>
  <c r="AB259" i="4"/>
  <c r="Z262" i="4"/>
  <c r="AA262" i="4"/>
  <c r="AB262" i="4"/>
  <c r="Z265" i="4"/>
  <c r="AA265" i="4"/>
  <c r="AB265" i="4"/>
  <c r="Z266" i="4"/>
  <c r="AA266" i="4"/>
  <c r="AB266" i="4"/>
  <c r="Z268" i="4"/>
  <c r="AA268" i="4"/>
  <c r="AB268" i="4"/>
  <c r="Z270" i="4"/>
  <c r="AA270" i="4"/>
  <c r="AB270" i="4"/>
  <c r="Z271" i="4"/>
  <c r="AA271" i="4"/>
  <c r="AB271" i="4"/>
  <c r="Z274" i="4"/>
  <c r="AA274" i="4"/>
  <c r="AB274" i="4"/>
  <c r="Z277" i="4"/>
  <c r="AA277" i="4"/>
  <c r="AB277" i="4"/>
  <c r="Z281" i="4"/>
  <c r="AA281" i="4"/>
  <c r="AB281" i="4"/>
  <c r="Z282" i="4"/>
  <c r="AA282" i="4"/>
  <c r="AB282" i="4"/>
  <c r="Z318" i="4"/>
  <c r="AA318" i="4"/>
  <c r="AB318" i="4"/>
  <c r="Z319" i="4"/>
  <c r="AA319" i="4"/>
  <c r="AB319" i="4"/>
  <c r="Z383" i="4"/>
  <c r="AA383" i="4"/>
  <c r="AB383" i="4"/>
  <c r="Z386" i="4"/>
  <c r="AA386" i="4"/>
  <c r="AB386" i="4"/>
  <c r="Z387" i="4"/>
  <c r="AA387" i="4"/>
  <c r="AB387" i="4"/>
  <c r="Z395" i="4"/>
  <c r="AA395" i="4"/>
  <c r="AB395" i="4"/>
  <c r="Z397" i="4"/>
  <c r="AA397" i="4"/>
  <c r="AB397" i="4"/>
  <c r="F63" i="7" l="1"/>
  <c r="K63" i="7"/>
  <c r="F15" i="7"/>
  <c r="K15" i="7"/>
  <c r="F64" i="7"/>
  <c r="K64" i="7"/>
  <c r="H393" i="4"/>
  <c r="M392" i="4"/>
  <c r="E391" i="4"/>
  <c r="D391" i="4" s="1"/>
  <c r="G391" i="4" s="1"/>
  <c r="C396" i="11" s="1"/>
  <c r="E390" i="4"/>
  <c r="D390" i="4" s="1"/>
  <c r="L390" i="4" s="1"/>
  <c r="M389" i="4"/>
  <c r="D317" i="2"/>
  <c r="G173" i="2"/>
  <c r="L173" i="2"/>
  <c r="L15" i="2"/>
  <c r="G15" i="2"/>
  <c r="G301" i="2"/>
  <c r="L301" i="2"/>
  <c r="G346" i="2"/>
  <c r="L346" i="2"/>
  <c r="G342" i="11"/>
  <c r="O342" i="11" s="1"/>
  <c r="M342" i="11"/>
  <c r="L127" i="2"/>
  <c r="G127" i="2"/>
  <c r="E133" i="11"/>
  <c r="E58" i="7"/>
  <c r="G185" i="2"/>
  <c r="L185" i="2"/>
  <c r="G169" i="2"/>
  <c r="L169" i="2"/>
  <c r="G184" i="11"/>
  <c r="E95" i="7"/>
  <c r="E236" i="11"/>
  <c r="Z228" i="11"/>
  <c r="Q228" i="11"/>
  <c r="G310" i="2"/>
  <c r="L310" i="2"/>
  <c r="G299" i="2"/>
  <c r="L299" i="2"/>
  <c r="L287" i="2"/>
  <c r="G287" i="2"/>
  <c r="E310" i="11"/>
  <c r="E136" i="7"/>
  <c r="E298" i="11"/>
  <c r="E124" i="7"/>
  <c r="G345" i="2"/>
  <c r="L345" i="2"/>
  <c r="G339" i="11"/>
  <c r="C139" i="11"/>
  <c r="E64" i="3"/>
  <c r="H64" i="3"/>
  <c r="D64" i="3"/>
  <c r="F64" i="3"/>
  <c r="C64" i="3"/>
  <c r="G64" i="3"/>
  <c r="I64" i="3"/>
  <c r="J64" i="3"/>
  <c r="K64" i="3"/>
  <c r="J127" i="6"/>
  <c r="E62" i="1"/>
  <c r="B62" i="1"/>
  <c r="G62" i="1"/>
  <c r="D138" i="11"/>
  <c r="H62" i="1"/>
  <c r="I62" i="1"/>
  <c r="J62" i="1"/>
  <c r="K62" i="1"/>
  <c r="C62" i="1"/>
  <c r="D62" i="1"/>
  <c r="F62" i="1"/>
  <c r="E289" i="11"/>
  <c r="E115" i="7"/>
  <c r="E135" i="11"/>
  <c r="E60" i="7"/>
  <c r="L172" i="2"/>
  <c r="G172" i="2"/>
  <c r="Q47" i="11"/>
  <c r="Z47" i="11"/>
  <c r="Z136" i="11"/>
  <c r="Q136" i="11"/>
  <c r="L311" i="2"/>
  <c r="G311" i="2"/>
  <c r="L300" i="2"/>
  <c r="G300" i="2"/>
  <c r="G288" i="2"/>
  <c r="L288" i="2"/>
  <c r="E311" i="11"/>
  <c r="E137" i="7"/>
  <c r="E299" i="11"/>
  <c r="E125" i="7"/>
  <c r="Z18" i="11"/>
  <c r="Q18" i="11"/>
  <c r="Y18" i="11" s="1"/>
  <c r="Q16" i="11"/>
  <c r="Z16" i="11"/>
  <c r="L12" i="2"/>
  <c r="G12" i="2"/>
  <c r="Q11" i="11"/>
  <c r="Z11" i="11"/>
  <c r="L11" i="2"/>
  <c r="G11" i="2"/>
  <c r="G126" i="2"/>
  <c r="L126" i="2"/>
  <c r="E132" i="11"/>
  <c r="E57" i="7"/>
  <c r="G184" i="2"/>
  <c r="L184" i="2"/>
  <c r="L164" i="2"/>
  <c r="G164" i="2"/>
  <c r="G182" i="11"/>
  <c r="Z197" i="11"/>
  <c r="Q197" i="11"/>
  <c r="Q190" i="11"/>
  <c r="Z190" i="11"/>
  <c r="Q186" i="11"/>
  <c r="Z186" i="11"/>
  <c r="Z180" i="11"/>
  <c r="Q180" i="11"/>
  <c r="Q175" i="11"/>
  <c r="Z175" i="11"/>
  <c r="E94" i="7"/>
  <c r="E235" i="11"/>
  <c r="G309" i="2"/>
  <c r="L309" i="2"/>
  <c r="L298" i="2"/>
  <c r="G298" i="2"/>
  <c r="E309" i="11"/>
  <c r="E135" i="7"/>
  <c r="E297" i="11"/>
  <c r="E123" i="7"/>
  <c r="Q314" i="11"/>
  <c r="Y314" i="11" s="1"/>
  <c r="Z314" i="11"/>
  <c r="Q311" i="11"/>
  <c r="Z311" i="11"/>
  <c r="Q307" i="11"/>
  <c r="Z307" i="11"/>
  <c r="Z303" i="11"/>
  <c r="Q303" i="11"/>
  <c r="Q299" i="11"/>
  <c r="Z299" i="11"/>
  <c r="Z295" i="11"/>
  <c r="Q295" i="11"/>
  <c r="Q291" i="11"/>
  <c r="Y291" i="11" s="1"/>
  <c r="Z291" i="11"/>
  <c r="G338" i="2"/>
  <c r="L338" i="2"/>
  <c r="G338" i="11"/>
  <c r="Q342" i="11"/>
  <c r="Y342" i="11" s="1"/>
  <c r="Z342" i="11"/>
  <c r="Z329" i="11"/>
  <c r="Q329" i="11"/>
  <c r="G172" i="11"/>
  <c r="G47" i="2"/>
  <c r="L47" i="2"/>
  <c r="L187" i="2"/>
  <c r="G187" i="2"/>
  <c r="Z304" i="11"/>
  <c r="Q304" i="11"/>
  <c r="C138" i="11"/>
  <c r="D63" i="3"/>
  <c r="G63" i="3"/>
  <c r="J63" i="3"/>
  <c r="K63" i="3"/>
  <c r="F63" i="3"/>
  <c r="H63" i="3"/>
  <c r="I63" i="3"/>
  <c r="C63" i="3"/>
  <c r="E63" i="3"/>
  <c r="Z51" i="11"/>
  <c r="Q51" i="11"/>
  <c r="Z233" i="11"/>
  <c r="Q233" i="11"/>
  <c r="Q85" i="11"/>
  <c r="Z85" i="11"/>
  <c r="G198" i="11"/>
  <c r="E93" i="7"/>
  <c r="E234" i="11"/>
  <c r="Q236" i="11"/>
  <c r="Z236" i="11"/>
  <c r="G297" i="2"/>
  <c r="L297" i="2"/>
  <c r="G285" i="2"/>
  <c r="L285" i="2"/>
  <c r="E308" i="11"/>
  <c r="E134" i="7"/>
  <c r="E296" i="11"/>
  <c r="E122" i="7"/>
  <c r="G337" i="2"/>
  <c r="L337" i="2"/>
  <c r="M333" i="11"/>
  <c r="G333" i="11"/>
  <c r="O333" i="11" s="1"/>
  <c r="J85" i="6"/>
  <c r="D232" i="11"/>
  <c r="F86" i="1"/>
  <c r="C86" i="1"/>
  <c r="B86" i="1"/>
  <c r="D86" i="1"/>
  <c r="E86" i="1"/>
  <c r="G86" i="1"/>
  <c r="H86" i="1"/>
  <c r="I86" i="1"/>
  <c r="J86" i="1"/>
  <c r="Q229" i="11"/>
  <c r="Z229" i="11"/>
  <c r="E313" i="11"/>
  <c r="E139" i="7"/>
  <c r="Z167" i="11"/>
  <c r="Q167" i="11"/>
  <c r="Q300" i="11"/>
  <c r="Z300" i="11"/>
  <c r="L171" i="2"/>
  <c r="G171" i="2"/>
  <c r="L86" i="2"/>
  <c r="G86" i="2"/>
  <c r="G134" i="2"/>
  <c r="L134" i="2"/>
  <c r="G123" i="2"/>
  <c r="L123" i="2"/>
  <c r="E130" i="11"/>
  <c r="E55" i="7"/>
  <c r="G181" i="2"/>
  <c r="L181" i="2"/>
  <c r="G197" i="11"/>
  <c r="G180" i="11"/>
  <c r="E92" i="7"/>
  <c r="E233" i="11"/>
  <c r="L296" i="2"/>
  <c r="G296" i="2"/>
  <c r="L284" i="2"/>
  <c r="G284" i="2"/>
  <c r="E307" i="11"/>
  <c r="E133" i="7"/>
  <c r="E295" i="11"/>
  <c r="E121" i="7"/>
  <c r="G334" i="2"/>
  <c r="L334" i="2"/>
  <c r="G329" i="11"/>
  <c r="G139" i="11"/>
  <c r="G138" i="11"/>
  <c r="O138" i="11" s="1"/>
  <c r="M138" i="11"/>
  <c r="H19" i="2"/>
  <c r="K17" i="1" s="1"/>
  <c r="J113" i="6"/>
  <c r="D19" i="11"/>
  <c r="J17" i="1"/>
  <c r="B17" i="1"/>
  <c r="C17" i="1"/>
  <c r="D17" i="1"/>
  <c r="E17" i="1"/>
  <c r="F17" i="1"/>
  <c r="G17" i="1"/>
  <c r="H17" i="1"/>
  <c r="I17" i="1"/>
  <c r="L16" i="2"/>
  <c r="G16" i="2"/>
  <c r="G130" i="2"/>
  <c r="L130" i="2"/>
  <c r="Z292" i="11"/>
  <c r="Q292" i="11"/>
  <c r="Y292" i="11" s="1"/>
  <c r="Q132" i="11"/>
  <c r="Z132" i="11"/>
  <c r="G186" i="11"/>
  <c r="Z137" i="11"/>
  <c r="Q137" i="11"/>
  <c r="Q126" i="11"/>
  <c r="Z126" i="11"/>
  <c r="L183" i="2"/>
  <c r="G183" i="2"/>
  <c r="Q15" i="11"/>
  <c r="Z15" i="11"/>
  <c r="E53" i="11"/>
  <c r="E31" i="7"/>
  <c r="Z10" i="11"/>
  <c r="Q10" i="11"/>
  <c r="E52" i="11"/>
  <c r="E30" i="7"/>
  <c r="G84" i="2"/>
  <c r="L84" i="2"/>
  <c r="G122" i="2"/>
  <c r="L122" i="2"/>
  <c r="E129" i="11"/>
  <c r="E54" i="7"/>
  <c r="G179" i="2"/>
  <c r="L179" i="2"/>
  <c r="G196" i="11"/>
  <c r="G179" i="11"/>
  <c r="Q196" i="11"/>
  <c r="Z196" i="11"/>
  <c r="Z189" i="11"/>
  <c r="Q189" i="11"/>
  <c r="Z184" i="11"/>
  <c r="Q184" i="11"/>
  <c r="Q179" i="11"/>
  <c r="Z179" i="11"/>
  <c r="Q174" i="11"/>
  <c r="Z174" i="11"/>
  <c r="E90" i="7"/>
  <c r="E231" i="11"/>
  <c r="Z231" i="11"/>
  <c r="Q231" i="11"/>
  <c r="L307" i="2"/>
  <c r="G307" i="2"/>
  <c r="L295" i="2"/>
  <c r="G295" i="2"/>
  <c r="E306" i="11"/>
  <c r="E132" i="7"/>
  <c r="E294" i="11"/>
  <c r="E120" i="7"/>
  <c r="Q310" i="11"/>
  <c r="Z310" i="11"/>
  <c r="Q306" i="11"/>
  <c r="Z306" i="11"/>
  <c r="Z302" i="11"/>
  <c r="Q302" i="11"/>
  <c r="Z298" i="11"/>
  <c r="Q298" i="11"/>
  <c r="Z294" i="11"/>
  <c r="Q294" i="11"/>
  <c r="Q290" i="11"/>
  <c r="Z290" i="11"/>
  <c r="L333" i="2"/>
  <c r="G333" i="2"/>
  <c r="G328" i="11"/>
  <c r="Q351" i="11"/>
  <c r="Z351" i="11"/>
  <c r="Z339" i="11"/>
  <c r="Q339" i="11"/>
  <c r="Z328" i="11"/>
  <c r="Q328" i="11"/>
  <c r="H136" i="2"/>
  <c r="J128" i="6"/>
  <c r="E63" i="1"/>
  <c r="D139" i="11"/>
  <c r="B63" i="1"/>
  <c r="J63" i="1"/>
  <c r="C63" i="1"/>
  <c r="D63" i="1"/>
  <c r="F63" i="1"/>
  <c r="G63" i="1"/>
  <c r="H63" i="1"/>
  <c r="I63" i="1"/>
  <c r="L48" i="2"/>
  <c r="G48" i="2"/>
  <c r="E47" i="11"/>
  <c r="E25" i="7"/>
  <c r="E136" i="11"/>
  <c r="E61" i="7"/>
  <c r="L302" i="2"/>
  <c r="G302" i="2"/>
  <c r="G350" i="11"/>
  <c r="G167" i="11"/>
  <c r="Z181" i="11"/>
  <c r="Q181" i="11"/>
  <c r="L289" i="2"/>
  <c r="G289" i="2"/>
  <c r="E312" i="11"/>
  <c r="E138" i="7"/>
  <c r="E300" i="11"/>
  <c r="E126" i="7"/>
  <c r="Z296" i="11"/>
  <c r="Q296" i="11"/>
  <c r="Z343" i="11"/>
  <c r="Q343" i="11"/>
  <c r="G14" i="2"/>
  <c r="L14" i="2"/>
  <c r="E134" i="11"/>
  <c r="E59" i="7"/>
  <c r="Q46" i="11"/>
  <c r="Z46" i="11"/>
  <c r="G125" i="2"/>
  <c r="L125" i="2"/>
  <c r="Z135" i="11"/>
  <c r="Q135" i="11"/>
  <c r="G87" i="11"/>
  <c r="G121" i="2"/>
  <c r="L121" i="2"/>
  <c r="Q134" i="11"/>
  <c r="Z134" i="11"/>
  <c r="Z130" i="11"/>
  <c r="Q130" i="11"/>
  <c r="Z125" i="11"/>
  <c r="Q125" i="11"/>
  <c r="G195" i="2"/>
  <c r="L195" i="2"/>
  <c r="G178" i="2"/>
  <c r="L178" i="2"/>
  <c r="G195" i="11"/>
  <c r="G178" i="11"/>
  <c r="E88" i="7"/>
  <c r="E229" i="11"/>
  <c r="Z235" i="11"/>
  <c r="Q235" i="11"/>
  <c r="L306" i="2"/>
  <c r="G306" i="2"/>
  <c r="G294" i="2"/>
  <c r="L294" i="2"/>
  <c r="E316" i="11"/>
  <c r="E142" i="7"/>
  <c r="E305" i="11"/>
  <c r="E131" i="7"/>
  <c r="E293" i="11"/>
  <c r="E119" i="7"/>
  <c r="G328" i="2"/>
  <c r="L328" i="2"/>
  <c r="Z17" i="11"/>
  <c r="Q17" i="11"/>
  <c r="G129" i="2"/>
  <c r="L129" i="2"/>
  <c r="Z198" i="11"/>
  <c r="Q198" i="11"/>
  <c r="Q308" i="11"/>
  <c r="Z308" i="11"/>
  <c r="Q128" i="11"/>
  <c r="Z128" i="11"/>
  <c r="G186" i="2"/>
  <c r="L186" i="2"/>
  <c r="Z50" i="11"/>
  <c r="Q50" i="11"/>
  <c r="Z131" i="11"/>
  <c r="Q131" i="11"/>
  <c r="G181" i="11"/>
  <c r="L52" i="2"/>
  <c r="G52" i="2"/>
  <c r="E51" i="11"/>
  <c r="E29" i="7"/>
  <c r="Z53" i="11"/>
  <c r="Q53" i="11"/>
  <c r="Z49" i="11"/>
  <c r="Q49" i="11"/>
  <c r="E128" i="11"/>
  <c r="E53" i="7"/>
  <c r="Z14" i="11"/>
  <c r="Q14" i="11"/>
  <c r="G51" i="2"/>
  <c r="L51" i="2"/>
  <c r="E50" i="11"/>
  <c r="E28" i="7"/>
  <c r="G85" i="11"/>
  <c r="G133" i="2"/>
  <c r="L133" i="2"/>
  <c r="E137" i="11"/>
  <c r="E62" i="7"/>
  <c r="E126" i="11"/>
  <c r="E51" i="7"/>
  <c r="L194" i="2"/>
  <c r="G194" i="2"/>
  <c r="G177" i="2"/>
  <c r="L177" i="2"/>
  <c r="G191" i="11"/>
  <c r="G176" i="11"/>
  <c r="E87" i="7"/>
  <c r="E228" i="11"/>
  <c r="L305" i="2"/>
  <c r="G305" i="2"/>
  <c r="L293" i="2"/>
  <c r="G293" i="2"/>
  <c r="E315" i="11"/>
  <c r="E141" i="7"/>
  <c r="E304" i="11"/>
  <c r="E130" i="7"/>
  <c r="E292" i="11"/>
  <c r="E118" i="7"/>
  <c r="L324" i="2"/>
  <c r="G324" i="2"/>
  <c r="G19" i="11"/>
  <c r="G188" i="11"/>
  <c r="E301" i="11"/>
  <c r="E127" i="7"/>
  <c r="Q191" i="11"/>
  <c r="Z191" i="11"/>
  <c r="Z176" i="11"/>
  <c r="Q176" i="11"/>
  <c r="Q312" i="11"/>
  <c r="Z312" i="11"/>
  <c r="Z333" i="11"/>
  <c r="Q333" i="11"/>
  <c r="Y333" i="11" s="1"/>
  <c r="Z87" i="11"/>
  <c r="Q87" i="11"/>
  <c r="G128" i="2"/>
  <c r="L128" i="2"/>
  <c r="E131" i="11"/>
  <c r="E56" i="7"/>
  <c r="G18" i="2"/>
  <c r="L18" i="2"/>
  <c r="L50" i="2"/>
  <c r="G50" i="2"/>
  <c r="E49" i="11"/>
  <c r="E27" i="7"/>
  <c r="L132" i="2"/>
  <c r="G132" i="2"/>
  <c r="E125" i="11"/>
  <c r="E50" i="7"/>
  <c r="L193" i="2"/>
  <c r="G193" i="2"/>
  <c r="L176" i="2"/>
  <c r="G176" i="2"/>
  <c r="G190" i="11"/>
  <c r="G175" i="11"/>
  <c r="Q195" i="11"/>
  <c r="Z195" i="11"/>
  <c r="Q188" i="11"/>
  <c r="Z188" i="11"/>
  <c r="Q182" i="11"/>
  <c r="Z182" i="11"/>
  <c r="Q178" i="11"/>
  <c r="Z178" i="11"/>
  <c r="Z172" i="11"/>
  <c r="Q172" i="11"/>
  <c r="L304" i="2"/>
  <c r="G304" i="2"/>
  <c r="L292" i="2"/>
  <c r="G292" i="2"/>
  <c r="E314" i="11"/>
  <c r="E140" i="7"/>
  <c r="E303" i="11"/>
  <c r="E129" i="7"/>
  <c r="E291" i="11"/>
  <c r="E117" i="7"/>
  <c r="Z316" i="11"/>
  <c r="Q316" i="11"/>
  <c r="Z313" i="11"/>
  <c r="Q313" i="11"/>
  <c r="Y313" i="11" s="1"/>
  <c r="Z309" i="11"/>
  <c r="Q309" i="11"/>
  <c r="Q305" i="11"/>
  <c r="Z305" i="11"/>
  <c r="Z301" i="11"/>
  <c r="Q301" i="11"/>
  <c r="Y301" i="11" s="1"/>
  <c r="Q297" i="11"/>
  <c r="Y297" i="11" s="1"/>
  <c r="Z297" i="11"/>
  <c r="Z293" i="11"/>
  <c r="Q293" i="11"/>
  <c r="Z289" i="11"/>
  <c r="Q289" i="11"/>
  <c r="G323" i="2"/>
  <c r="L323" i="2"/>
  <c r="Q350" i="11"/>
  <c r="Z350" i="11"/>
  <c r="Q338" i="11"/>
  <c r="Z338" i="11"/>
  <c r="J83" i="6"/>
  <c r="D230" i="11"/>
  <c r="F84" i="1"/>
  <c r="C84" i="1"/>
  <c r="B84" i="1"/>
  <c r="D84" i="1"/>
  <c r="E84" i="1"/>
  <c r="G84" i="1"/>
  <c r="H84" i="1"/>
  <c r="I84" i="1"/>
  <c r="J84" i="1"/>
  <c r="L188" i="2"/>
  <c r="G188" i="2"/>
  <c r="L290" i="2"/>
  <c r="G290" i="2"/>
  <c r="Q12" i="11"/>
  <c r="Z12" i="11"/>
  <c r="E46" i="11"/>
  <c r="E24" i="7"/>
  <c r="G187" i="11"/>
  <c r="Q187" i="11"/>
  <c r="Z187" i="11"/>
  <c r="Q315" i="11"/>
  <c r="Z315" i="11"/>
  <c r="G17" i="2"/>
  <c r="L17" i="2"/>
  <c r="G49" i="2"/>
  <c r="L49" i="2"/>
  <c r="E48" i="11"/>
  <c r="E26" i="7"/>
  <c r="Q52" i="11"/>
  <c r="Z52" i="11"/>
  <c r="Z48" i="11"/>
  <c r="Q48" i="11"/>
  <c r="L131" i="2"/>
  <c r="G131" i="2"/>
  <c r="E124" i="11"/>
  <c r="E49" i="7"/>
  <c r="Q133" i="11"/>
  <c r="Z133" i="11"/>
  <c r="Z129" i="11"/>
  <c r="Q129" i="11"/>
  <c r="Q124" i="11"/>
  <c r="Z124" i="11"/>
  <c r="G192" i="2"/>
  <c r="L192" i="2"/>
  <c r="L175" i="2"/>
  <c r="G175" i="2"/>
  <c r="G189" i="11"/>
  <c r="G174" i="11"/>
  <c r="Z234" i="11"/>
  <c r="Q234" i="11"/>
  <c r="L303" i="2"/>
  <c r="G303" i="2"/>
  <c r="G291" i="2"/>
  <c r="L291" i="2"/>
  <c r="E302" i="11"/>
  <c r="E128" i="7"/>
  <c r="E290" i="11"/>
  <c r="E116" i="7"/>
  <c r="G351" i="11"/>
  <c r="C19" i="11"/>
  <c r="G18" i="3"/>
  <c r="I18" i="3"/>
  <c r="K18" i="3"/>
  <c r="C18" i="3"/>
  <c r="D18" i="3"/>
  <c r="E18" i="3"/>
  <c r="F18" i="3"/>
  <c r="H18" i="3"/>
  <c r="J18" i="3"/>
  <c r="G10" i="2"/>
  <c r="L10" i="2"/>
  <c r="L46" i="2"/>
  <c r="G46" i="2"/>
  <c r="G283" i="2"/>
  <c r="L283" i="2"/>
  <c r="G230" i="2"/>
  <c r="L230" i="2"/>
  <c r="G231" i="2"/>
  <c r="L231" i="2"/>
  <c r="L232" i="2"/>
  <c r="G232" i="2"/>
  <c r="C97" i="3"/>
  <c r="D97" i="3"/>
  <c r="E97" i="3"/>
  <c r="F97" i="3"/>
  <c r="H97" i="3"/>
  <c r="I97" i="3"/>
  <c r="J97" i="3"/>
  <c r="K97" i="3"/>
  <c r="Z288" i="11"/>
  <c r="Q288" i="11"/>
  <c r="E288" i="11"/>
  <c r="E114" i="7"/>
  <c r="L323" i="4"/>
  <c r="H228" i="2"/>
  <c r="K85" i="6" s="1"/>
  <c r="M85" i="6" s="1"/>
  <c r="K49" i="4"/>
  <c r="L30" i="3" s="1"/>
  <c r="G310" i="4"/>
  <c r="G297" i="4"/>
  <c r="K298" i="4"/>
  <c r="L118" i="3" s="1"/>
  <c r="K346" i="4"/>
  <c r="Z18" i="4"/>
  <c r="Z16" i="4"/>
  <c r="L133" i="4"/>
  <c r="G126" i="4"/>
  <c r="L193" i="4"/>
  <c r="L176" i="4"/>
  <c r="K188" i="4"/>
  <c r="K173" i="4"/>
  <c r="L232" i="4"/>
  <c r="K232" i="4"/>
  <c r="L91" i="3" s="1"/>
  <c r="L309" i="4"/>
  <c r="L303" i="4"/>
  <c r="G294" i="4"/>
  <c r="G287" i="4"/>
  <c r="K295" i="4"/>
  <c r="L115" i="3" s="1"/>
  <c r="K288" i="4"/>
  <c r="L108" i="3" s="1"/>
  <c r="L346" i="4"/>
  <c r="K337" i="4"/>
  <c r="Z12" i="4"/>
  <c r="K194" i="4"/>
  <c r="L45" i="4"/>
  <c r="D45" i="2"/>
  <c r="K52" i="4"/>
  <c r="L33" i="3" s="1"/>
  <c r="G132" i="4"/>
  <c r="K131" i="4"/>
  <c r="L59" i="3" s="1"/>
  <c r="K125" i="4"/>
  <c r="L53" i="3" s="1"/>
  <c r="L192" i="4"/>
  <c r="L175" i="4"/>
  <c r="K187" i="4"/>
  <c r="K172" i="4"/>
  <c r="L231" i="4"/>
  <c r="K231" i="4"/>
  <c r="L90" i="3" s="1"/>
  <c r="L302" i="4"/>
  <c r="K309" i="4"/>
  <c r="L129" i="3" s="1"/>
  <c r="K303" i="4"/>
  <c r="L123" i="3" s="1"/>
  <c r="K294" i="4"/>
  <c r="L114" i="3" s="1"/>
  <c r="K287" i="4"/>
  <c r="L107" i="3" s="1"/>
  <c r="G345" i="4"/>
  <c r="C350" i="11" s="1"/>
  <c r="K334" i="4"/>
  <c r="Z11" i="4"/>
  <c r="G18" i="4"/>
  <c r="K51" i="4"/>
  <c r="L32" i="3" s="1"/>
  <c r="L52" i="4"/>
  <c r="Z52" i="4"/>
  <c r="Z50" i="4"/>
  <c r="Z86" i="4"/>
  <c r="K127" i="4"/>
  <c r="L55" i="3" s="1"/>
  <c r="K121" i="4"/>
  <c r="L49" i="3" s="1"/>
  <c r="Z127" i="4"/>
  <c r="Z17" i="4"/>
  <c r="G224" i="4"/>
  <c r="C228" i="11" s="1"/>
  <c r="D224" i="2"/>
  <c r="Z10" i="4"/>
  <c r="Z48" i="4"/>
  <c r="L86" i="4"/>
  <c r="Z133" i="4"/>
  <c r="Z128" i="4"/>
  <c r="Z126" i="4"/>
  <c r="L188" i="4"/>
  <c r="L173" i="4"/>
  <c r="K186" i="4"/>
  <c r="K171" i="4"/>
  <c r="L308" i="4"/>
  <c r="L293" i="4"/>
  <c r="L286" i="4"/>
  <c r="K302" i="4"/>
  <c r="L122" i="3" s="1"/>
  <c r="G338" i="4"/>
  <c r="C343" i="11" s="1"/>
  <c r="K333" i="4"/>
  <c r="G15" i="4"/>
  <c r="Z15" i="4"/>
  <c r="K46" i="4"/>
  <c r="L27" i="3" s="1"/>
  <c r="G84" i="4"/>
  <c r="C85" i="11" s="1"/>
  <c r="L131" i="4"/>
  <c r="L125" i="4"/>
  <c r="K130" i="4"/>
  <c r="L58" i="3" s="1"/>
  <c r="K123" i="4"/>
  <c r="L51" i="3" s="1"/>
  <c r="G187" i="4"/>
  <c r="C190" i="11" s="1"/>
  <c r="G172" i="4"/>
  <c r="C175" i="11" s="1"/>
  <c r="K185" i="4"/>
  <c r="K169" i="4"/>
  <c r="L230" i="4"/>
  <c r="K230" i="4"/>
  <c r="L89" i="3" s="1"/>
  <c r="L307" i="4"/>
  <c r="L301" i="4"/>
  <c r="L292" i="4"/>
  <c r="L285" i="4"/>
  <c r="K308" i="4"/>
  <c r="L128" i="3" s="1"/>
  <c r="K293" i="4"/>
  <c r="L113" i="3" s="1"/>
  <c r="K286" i="4"/>
  <c r="L106" i="3" s="1"/>
  <c r="L337" i="4"/>
  <c r="K328" i="4"/>
  <c r="C148" i="8"/>
  <c r="G186" i="4"/>
  <c r="C189" i="11" s="1"/>
  <c r="G171" i="4"/>
  <c r="C174" i="11" s="1"/>
  <c r="K184" i="4"/>
  <c r="K164" i="4"/>
  <c r="G229" i="4"/>
  <c r="C233" i="11" s="1"/>
  <c r="D229" i="2"/>
  <c r="K229" i="4"/>
  <c r="L88" i="3" s="1"/>
  <c r="G291" i="4"/>
  <c r="K307" i="4"/>
  <c r="L127" i="3" s="1"/>
  <c r="K301" i="4"/>
  <c r="L121" i="3" s="1"/>
  <c r="K292" i="4"/>
  <c r="L112" i="3" s="1"/>
  <c r="K285" i="4"/>
  <c r="L105" i="3" s="1"/>
  <c r="G334" i="4"/>
  <c r="C339" i="11" s="1"/>
  <c r="K324" i="4"/>
  <c r="L11" i="4"/>
  <c r="AA11" i="4" s="1"/>
  <c r="L49" i="4"/>
  <c r="K45" i="4"/>
  <c r="L26" i="3" s="1"/>
  <c r="Z51" i="4"/>
  <c r="Z47" i="4"/>
  <c r="Z46" i="4"/>
  <c r="K84" i="4"/>
  <c r="G130" i="4"/>
  <c r="L123" i="4"/>
  <c r="K129" i="4"/>
  <c r="L57" i="3" s="1"/>
  <c r="K122" i="4"/>
  <c r="L50" i="3" s="1"/>
  <c r="Z134" i="4"/>
  <c r="Z132" i="4"/>
  <c r="Z130" i="4"/>
  <c r="Z123" i="4"/>
  <c r="G185" i="4"/>
  <c r="C188" i="11" s="1"/>
  <c r="G169" i="4"/>
  <c r="C172" i="11" s="1"/>
  <c r="K183" i="4"/>
  <c r="K227" i="4"/>
  <c r="L86" i="3" s="1"/>
  <c r="G290" i="4"/>
  <c r="G284" i="4"/>
  <c r="K291" i="4"/>
  <c r="L111" i="3" s="1"/>
  <c r="G333" i="4"/>
  <c r="C338" i="11" s="1"/>
  <c r="K323" i="4"/>
  <c r="C149" i="8"/>
  <c r="G328" i="4"/>
  <c r="C333" i="11" s="1"/>
  <c r="L50" i="4"/>
  <c r="K86" i="4"/>
  <c r="Z14" i="4"/>
  <c r="L48" i="4"/>
  <c r="K128" i="4"/>
  <c r="L56" i="3" s="1"/>
  <c r="L184" i="4"/>
  <c r="L164" i="4"/>
  <c r="K181" i="4"/>
  <c r="L227" i="4"/>
  <c r="D227" i="2"/>
  <c r="K225" i="4"/>
  <c r="L84" i="3" s="1"/>
  <c r="L243" i="4"/>
  <c r="D243" i="2"/>
  <c r="G300" i="4"/>
  <c r="G289" i="4"/>
  <c r="G283" i="4"/>
  <c r="K290" i="4"/>
  <c r="L110" i="3" s="1"/>
  <c r="K284" i="4"/>
  <c r="L104" i="3" s="1"/>
  <c r="L17" i="4"/>
  <c r="AA17" i="4" s="1"/>
  <c r="L129" i="4"/>
  <c r="L122" i="4"/>
  <c r="K134" i="4"/>
  <c r="L62" i="3" s="1"/>
  <c r="G183" i="4"/>
  <c r="C186" i="11" s="1"/>
  <c r="K179" i="4"/>
  <c r="K224" i="4"/>
  <c r="L83" i="3" s="1"/>
  <c r="K243" i="4"/>
  <c r="E247" i="11"/>
  <c r="G311" i="4"/>
  <c r="G306" i="4"/>
  <c r="L299" i="4"/>
  <c r="K300" i="4"/>
  <c r="L120" i="3" s="1"/>
  <c r="K289" i="4"/>
  <c r="L109" i="3" s="1"/>
  <c r="K283" i="4"/>
  <c r="L103" i="3" s="1"/>
  <c r="L324" i="4"/>
  <c r="K50" i="4"/>
  <c r="L31" i="3" s="1"/>
  <c r="Z121" i="4"/>
  <c r="G181" i="4"/>
  <c r="C184" i="11" s="1"/>
  <c r="K195" i="4"/>
  <c r="K178" i="4"/>
  <c r="G225" i="4"/>
  <c r="C229" i="11" s="1"/>
  <c r="D225" i="2"/>
  <c r="L305" i="4"/>
  <c r="G298" i="4"/>
  <c r="K311" i="4"/>
  <c r="L131" i="3" s="1"/>
  <c r="K306" i="4"/>
  <c r="L126" i="3" s="1"/>
  <c r="K299" i="4"/>
  <c r="L119" i="3" s="1"/>
  <c r="G179" i="4"/>
  <c r="C182" i="11" s="1"/>
  <c r="C19" i="8"/>
  <c r="K48" i="4"/>
  <c r="L29" i="3" s="1"/>
  <c r="L127" i="4"/>
  <c r="L121" i="4"/>
  <c r="K133" i="4"/>
  <c r="L61" i="3" s="1"/>
  <c r="K126" i="4"/>
  <c r="L54" i="3" s="1"/>
  <c r="L195" i="4"/>
  <c r="L178" i="4"/>
  <c r="K193" i="4"/>
  <c r="K176" i="4"/>
  <c r="G304" i="4"/>
  <c r="G296" i="4"/>
  <c r="K310" i="4"/>
  <c r="L130" i="3" s="1"/>
  <c r="K297" i="4"/>
  <c r="L117" i="3" s="1"/>
  <c r="K345" i="4"/>
  <c r="H226" i="2"/>
  <c r="K83" i="6" s="1"/>
  <c r="M83" i="6" s="1"/>
  <c r="K177" i="4"/>
  <c r="K305" i="4"/>
  <c r="L125" i="3" s="1"/>
  <c r="L51" i="4"/>
  <c r="K47" i="4"/>
  <c r="L28" i="3" s="1"/>
  <c r="Z49" i="4"/>
  <c r="Z45" i="4"/>
  <c r="Z84" i="4"/>
  <c r="K132" i="4"/>
  <c r="L60" i="3" s="1"/>
  <c r="Z131" i="4"/>
  <c r="Z129" i="4"/>
  <c r="Z125" i="4"/>
  <c r="Z122" i="4"/>
  <c r="L194" i="4"/>
  <c r="G177" i="4"/>
  <c r="C180" i="11" s="1"/>
  <c r="K192" i="4"/>
  <c r="K175" i="4"/>
  <c r="Q247" i="11"/>
  <c r="Z247" i="11"/>
  <c r="L295" i="4"/>
  <c r="L288" i="4"/>
  <c r="K304" i="4"/>
  <c r="L124" i="3" s="1"/>
  <c r="K296" i="4"/>
  <c r="L116" i="3" s="1"/>
  <c r="K338" i="4"/>
  <c r="C59" i="8"/>
  <c r="M149" i="8"/>
  <c r="M148" i="8"/>
  <c r="M59" i="8"/>
  <c r="M19" i="8"/>
  <c r="L18" i="4"/>
  <c r="AA18" i="4" s="1"/>
  <c r="G11" i="4"/>
  <c r="G125" i="4"/>
  <c r="E393" i="4"/>
  <c r="D393" i="4" s="1"/>
  <c r="G303" i="4"/>
  <c r="G346" i="4"/>
  <c r="C351" i="11" s="1"/>
  <c r="E392" i="4"/>
  <c r="D392" i="4" s="1"/>
  <c r="G232" i="4"/>
  <c r="C236" i="11" s="1"/>
  <c r="G195" i="4"/>
  <c r="C198" i="11" s="1"/>
  <c r="L187" i="4"/>
  <c r="L177" i="4"/>
  <c r="L294" i="4"/>
  <c r="G324" i="4"/>
  <c r="C329" i="11" s="1"/>
  <c r="L84" i="4"/>
  <c r="G194" i="4"/>
  <c r="C197" i="11" s="1"/>
  <c r="G323" i="4"/>
  <c r="C328" i="11" s="1"/>
  <c r="E389" i="4"/>
  <c r="D389" i="4" s="1"/>
  <c r="G188" i="4"/>
  <c r="C191" i="11" s="1"/>
  <c r="G131" i="4"/>
  <c r="L126" i="4"/>
  <c r="G178" i="4"/>
  <c r="C181" i="11" s="1"/>
  <c r="L345" i="4"/>
  <c r="G129" i="4"/>
  <c r="G173" i="4"/>
  <c r="C176" i="11" s="1"/>
  <c r="L291" i="4"/>
  <c r="L287" i="4"/>
  <c r="H390" i="4"/>
  <c r="L183" i="4"/>
  <c r="L172" i="4"/>
  <c r="L298" i="4"/>
  <c r="M393" i="4"/>
  <c r="G123" i="4"/>
  <c r="L130" i="4"/>
  <c r="G295" i="4"/>
  <c r="L334" i="4"/>
  <c r="M390" i="4"/>
  <c r="G45" i="4"/>
  <c r="G122" i="4"/>
  <c r="L310" i="4"/>
  <c r="I393" i="4"/>
  <c r="S393" i="4"/>
  <c r="S398" i="11" s="1"/>
  <c r="Q398" i="11" s="1"/>
  <c r="G17" i="4"/>
  <c r="G51" i="4"/>
  <c r="G193" i="4"/>
  <c r="C196" i="11" s="1"/>
  <c r="G176" i="4"/>
  <c r="C179" i="11" s="1"/>
  <c r="G231" i="4"/>
  <c r="C235" i="11" s="1"/>
  <c r="G308" i="4"/>
  <c r="G302" i="4"/>
  <c r="G121" i="4"/>
  <c r="G192" i="4"/>
  <c r="C195" i="11" s="1"/>
  <c r="G175" i="4"/>
  <c r="C178" i="11" s="1"/>
  <c r="L186" i="4"/>
  <c r="L181" i="4"/>
  <c r="L171" i="4"/>
  <c r="L229" i="4"/>
  <c r="L225" i="4"/>
  <c r="G243" i="4"/>
  <c r="C247" i="11" s="1"/>
  <c r="L253" i="4"/>
  <c r="G97" i="3" s="1"/>
  <c r="G307" i="4"/>
  <c r="G293" i="4"/>
  <c r="G286" i="4"/>
  <c r="L297" i="4"/>
  <c r="L290" i="4"/>
  <c r="L284" i="4"/>
  <c r="L333" i="4"/>
  <c r="H389" i="4"/>
  <c r="L132" i="4"/>
  <c r="G230" i="4"/>
  <c r="C234" i="11" s="1"/>
  <c r="G301" i="4"/>
  <c r="G292" i="4"/>
  <c r="G285" i="4"/>
  <c r="G309" i="4"/>
  <c r="G288" i="4"/>
  <c r="G50" i="4"/>
  <c r="L185" i="4"/>
  <c r="L179" i="4"/>
  <c r="L169" i="4"/>
  <c r="L224" i="4"/>
  <c r="L311" i="4"/>
  <c r="L306" i="4"/>
  <c r="L304" i="4"/>
  <c r="L300" i="4"/>
  <c r="L296" i="4"/>
  <c r="L289" i="4"/>
  <c r="L283" i="4"/>
  <c r="L338" i="4"/>
  <c r="L328" i="4"/>
  <c r="G52" i="4"/>
  <c r="G184" i="4"/>
  <c r="C187" i="11" s="1"/>
  <c r="G164" i="4"/>
  <c r="C167" i="11" s="1"/>
  <c r="G227" i="4"/>
  <c r="C231" i="11" s="1"/>
  <c r="G305" i="4"/>
  <c r="G299" i="4"/>
  <c r="G337" i="4"/>
  <c r="C342" i="11" s="1"/>
  <c r="H392" i="4"/>
  <c r="G127" i="4"/>
  <c r="M391" i="4"/>
  <c r="H391" i="4"/>
  <c r="G14" i="4"/>
  <c r="L14" i="4"/>
  <c r="AA14" i="4" s="1"/>
  <c r="G12" i="4"/>
  <c r="L12" i="4"/>
  <c r="AA12" i="4" s="1"/>
  <c r="G46" i="4"/>
  <c r="L46" i="4"/>
  <c r="G10" i="4"/>
  <c r="L10" i="4"/>
  <c r="AA10" i="4" s="1"/>
  <c r="G49" i="4"/>
  <c r="G47" i="4"/>
  <c r="L47" i="4"/>
  <c r="L16" i="4"/>
  <c r="AA16" i="4" s="1"/>
  <c r="G16" i="4"/>
  <c r="L134" i="4"/>
  <c r="G134" i="4"/>
  <c r="L128" i="4"/>
  <c r="G128" i="4"/>
  <c r="L15" i="4"/>
  <c r="AA15" i="4" s="1"/>
  <c r="G48" i="4"/>
  <c r="G133" i="4"/>
  <c r="G86" i="4"/>
  <c r="C87" i="11" s="1"/>
  <c r="I157" i="7"/>
  <c r="I156" i="7"/>
  <c r="F117" i="7" l="1"/>
  <c r="K117" i="7"/>
  <c r="F127" i="7"/>
  <c r="K127" i="7"/>
  <c r="F114" i="7"/>
  <c r="K114" i="7"/>
  <c r="F126" i="7"/>
  <c r="K126" i="7"/>
  <c r="F123" i="7"/>
  <c r="K123" i="7"/>
  <c r="F124" i="7"/>
  <c r="K124" i="7"/>
  <c r="F141" i="7"/>
  <c r="K141" i="7"/>
  <c r="F128" i="7"/>
  <c r="K128" i="7"/>
  <c r="F140" i="7"/>
  <c r="K140" i="7"/>
  <c r="F142" i="7"/>
  <c r="K142" i="7"/>
  <c r="F115" i="7"/>
  <c r="K115" i="7"/>
  <c r="F138" i="7"/>
  <c r="K138" i="7"/>
  <c r="F135" i="7"/>
  <c r="K135" i="7"/>
  <c r="F136" i="7"/>
  <c r="K136" i="7"/>
  <c r="F116" i="7"/>
  <c r="K116" i="7"/>
  <c r="F120" i="7"/>
  <c r="K120" i="7"/>
  <c r="F122" i="7"/>
  <c r="K122" i="7"/>
  <c r="F125" i="7"/>
  <c r="K125" i="7"/>
  <c r="F121" i="7"/>
  <c r="K121" i="7"/>
  <c r="F118" i="7"/>
  <c r="K118" i="7"/>
  <c r="F119" i="7"/>
  <c r="K119" i="7"/>
  <c r="F132" i="7"/>
  <c r="K132" i="7"/>
  <c r="F134" i="7"/>
  <c r="K134" i="7"/>
  <c r="F137" i="7"/>
  <c r="K137" i="7"/>
  <c r="F133" i="7"/>
  <c r="K133" i="7"/>
  <c r="F129" i="7"/>
  <c r="K129" i="7"/>
  <c r="F130" i="7"/>
  <c r="K130" i="7"/>
  <c r="F131" i="7"/>
  <c r="K131" i="7"/>
  <c r="F139" i="7"/>
  <c r="K139" i="7"/>
  <c r="F49" i="7"/>
  <c r="K49" i="7"/>
  <c r="F53" i="7"/>
  <c r="K53" i="7"/>
  <c r="F61" i="7"/>
  <c r="K61" i="7"/>
  <c r="F62" i="7"/>
  <c r="K62" i="7"/>
  <c r="F92" i="7"/>
  <c r="K92" i="7"/>
  <c r="F57" i="7"/>
  <c r="K57" i="7"/>
  <c r="F95" i="7"/>
  <c r="K95" i="7"/>
  <c r="F94" i="7"/>
  <c r="K94" i="7"/>
  <c r="F30" i="7"/>
  <c r="K30" i="7"/>
  <c r="F25" i="7"/>
  <c r="K25" i="7"/>
  <c r="F90" i="7"/>
  <c r="K90" i="7"/>
  <c r="F93" i="7"/>
  <c r="K93" i="7"/>
  <c r="F27" i="7"/>
  <c r="K27" i="7"/>
  <c r="F31" i="7"/>
  <c r="K31" i="7"/>
  <c r="F50" i="7"/>
  <c r="K50" i="7"/>
  <c r="F24" i="7"/>
  <c r="K24" i="7"/>
  <c r="F87" i="7"/>
  <c r="K87" i="7"/>
  <c r="F59" i="7"/>
  <c r="K59" i="7"/>
  <c r="F26" i="7"/>
  <c r="K26" i="7"/>
  <c r="F54" i="7"/>
  <c r="K54" i="7"/>
  <c r="F28" i="7"/>
  <c r="K28" i="7"/>
  <c r="F29" i="7"/>
  <c r="K29" i="7"/>
  <c r="F88" i="7"/>
  <c r="K88" i="7"/>
  <c r="F55" i="7"/>
  <c r="K55" i="7"/>
  <c r="F56" i="7"/>
  <c r="K56" i="7"/>
  <c r="F60" i="7"/>
  <c r="K60" i="7"/>
  <c r="F58" i="7"/>
  <c r="K58" i="7"/>
  <c r="F51" i="7"/>
  <c r="K51" i="7"/>
  <c r="G390" i="4"/>
  <c r="C395" i="11" s="1"/>
  <c r="L391" i="4"/>
  <c r="L389" i="4"/>
  <c r="H305" i="2"/>
  <c r="K124" i="1" s="1"/>
  <c r="J103" i="6"/>
  <c r="D310" i="11"/>
  <c r="F124" i="1"/>
  <c r="B124" i="1"/>
  <c r="C124" i="1"/>
  <c r="J124" i="1"/>
  <c r="D124" i="1"/>
  <c r="E124" i="1"/>
  <c r="G124" i="1"/>
  <c r="H124" i="1"/>
  <c r="I124" i="1"/>
  <c r="C291" i="11"/>
  <c r="G106" i="3"/>
  <c r="J106" i="3"/>
  <c r="H106" i="3"/>
  <c r="I106" i="3"/>
  <c r="C106" i="3"/>
  <c r="D106" i="3"/>
  <c r="E106" i="3"/>
  <c r="F106" i="3"/>
  <c r="K106" i="3"/>
  <c r="H291" i="2"/>
  <c r="K110" i="1" s="1"/>
  <c r="J248" i="6"/>
  <c r="D296" i="11"/>
  <c r="F110" i="1"/>
  <c r="B110" i="1"/>
  <c r="C110" i="1"/>
  <c r="J110" i="1"/>
  <c r="D110" i="1"/>
  <c r="E110" i="1"/>
  <c r="G110" i="1"/>
  <c r="H110" i="1"/>
  <c r="I110" i="1"/>
  <c r="H188" i="2"/>
  <c r="J214" i="6"/>
  <c r="D191" i="11"/>
  <c r="G49" i="11"/>
  <c r="H14" i="2"/>
  <c r="K12" i="1" s="1"/>
  <c r="J54" i="6"/>
  <c r="D14" i="11"/>
  <c r="J12" i="1"/>
  <c r="B12" i="1"/>
  <c r="C12" i="1"/>
  <c r="D12" i="1"/>
  <c r="E12" i="1"/>
  <c r="F12" i="1"/>
  <c r="G12" i="1"/>
  <c r="H12" i="1"/>
  <c r="I12" i="1"/>
  <c r="G47" i="11"/>
  <c r="H333" i="2"/>
  <c r="J271" i="6"/>
  <c r="D338" i="11"/>
  <c r="H130" i="2"/>
  <c r="J76" i="6"/>
  <c r="E57" i="1"/>
  <c r="D133" i="11"/>
  <c r="B57" i="1"/>
  <c r="J57" i="1"/>
  <c r="C57" i="1"/>
  <c r="D57" i="1"/>
  <c r="F57" i="1"/>
  <c r="G57" i="1"/>
  <c r="H57" i="1"/>
  <c r="I57" i="1"/>
  <c r="H334" i="2"/>
  <c r="J272" i="6"/>
  <c r="D339" i="11"/>
  <c r="G309" i="11"/>
  <c r="G132" i="11"/>
  <c r="H288" i="2"/>
  <c r="K107" i="1" s="1"/>
  <c r="J246" i="6"/>
  <c r="D293" i="11"/>
  <c r="F107" i="1"/>
  <c r="B107" i="1"/>
  <c r="C107" i="1"/>
  <c r="D107" i="1"/>
  <c r="E107" i="1"/>
  <c r="G107" i="1"/>
  <c r="H107" i="1"/>
  <c r="I107" i="1"/>
  <c r="J107" i="1"/>
  <c r="H345" i="2"/>
  <c r="J281" i="6"/>
  <c r="D350" i="11"/>
  <c r="C131" i="11"/>
  <c r="G56" i="3"/>
  <c r="J56" i="3"/>
  <c r="K56" i="3"/>
  <c r="C56" i="3"/>
  <c r="E56" i="3"/>
  <c r="F56" i="3"/>
  <c r="H56" i="3"/>
  <c r="I56" i="3"/>
  <c r="D56" i="3"/>
  <c r="C10" i="11"/>
  <c r="H9" i="3"/>
  <c r="D9" i="3"/>
  <c r="E9" i="3"/>
  <c r="G9" i="3"/>
  <c r="C9" i="3"/>
  <c r="F9" i="3"/>
  <c r="I9" i="3"/>
  <c r="J9" i="3"/>
  <c r="K9" i="3"/>
  <c r="C304" i="11"/>
  <c r="H119" i="3"/>
  <c r="K119" i="3"/>
  <c r="F119" i="3"/>
  <c r="G119" i="3"/>
  <c r="J119" i="3"/>
  <c r="C119" i="3"/>
  <c r="D119" i="3"/>
  <c r="E119" i="3"/>
  <c r="I119" i="3"/>
  <c r="C290" i="11"/>
  <c r="F105" i="3"/>
  <c r="I105" i="3"/>
  <c r="D105" i="3"/>
  <c r="E105" i="3"/>
  <c r="G105" i="3"/>
  <c r="K105" i="3"/>
  <c r="C105" i="3"/>
  <c r="H105" i="3"/>
  <c r="J105" i="3"/>
  <c r="C298" i="11"/>
  <c r="E113" i="3"/>
  <c r="G113" i="3"/>
  <c r="H113" i="3"/>
  <c r="D113" i="3"/>
  <c r="C113" i="3"/>
  <c r="F113" i="3"/>
  <c r="I113" i="3"/>
  <c r="J113" i="3"/>
  <c r="K113" i="3"/>
  <c r="H303" i="2"/>
  <c r="J102" i="6"/>
  <c r="D308" i="11"/>
  <c r="F122" i="1"/>
  <c r="B122" i="1"/>
  <c r="C122" i="1"/>
  <c r="J122" i="1"/>
  <c r="D122" i="1"/>
  <c r="E122" i="1"/>
  <c r="G122" i="1"/>
  <c r="H122" i="1"/>
  <c r="I122" i="1"/>
  <c r="G291" i="11"/>
  <c r="O291" i="11" s="1"/>
  <c r="M291" i="11"/>
  <c r="H176" i="2"/>
  <c r="J204" i="6"/>
  <c r="D179" i="11"/>
  <c r="H50" i="2"/>
  <c r="J64" i="6"/>
  <c r="D51" i="11"/>
  <c r="J30" i="1"/>
  <c r="B30" i="1"/>
  <c r="C30" i="1"/>
  <c r="D30" i="1"/>
  <c r="E30" i="1"/>
  <c r="F30" i="1"/>
  <c r="G30" i="1"/>
  <c r="H30" i="1"/>
  <c r="I30" i="1"/>
  <c r="H324" i="2"/>
  <c r="J263" i="6"/>
  <c r="D329" i="11"/>
  <c r="G128" i="11"/>
  <c r="G316" i="11"/>
  <c r="H195" i="2"/>
  <c r="J219" i="6"/>
  <c r="D198" i="11"/>
  <c r="H48" i="2"/>
  <c r="J62" i="6"/>
  <c r="D49" i="11"/>
  <c r="J28" i="1"/>
  <c r="B28" i="1"/>
  <c r="C28" i="1"/>
  <c r="D28" i="1"/>
  <c r="E28" i="1"/>
  <c r="F28" i="1"/>
  <c r="G28" i="1"/>
  <c r="H28" i="1"/>
  <c r="I28" i="1"/>
  <c r="G53" i="11"/>
  <c r="H123" i="2"/>
  <c r="K50" i="1" s="1"/>
  <c r="J69" i="6"/>
  <c r="F50" i="1"/>
  <c r="C50" i="1"/>
  <c r="D126" i="11"/>
  <c r="B50" i="1"/>
  <c r="D50" i="1"/>
  <c r="E50" i="1"/>
  <c r="G50" i="1"/>
  <c r="H50" i="1"/>
  <c r="I50" i="1"/>
  <c r="J50" i="1"/>
  <c r="H298" i="2"/>
  <c r="K117" i="1" s="1"/>
  <c r="J251" i="6"/>
  <c r="D303" i="11"/>
  <c r="F117" i="1"/>
  <c r="B117" i="1"/>
  <c r="C117" i="1"/>
  <c r="D117" i="1"/>
  <c r="E117" i="1"/>
  <c r="G117" i="1"/>
  <c r="H117" i="1"/>
  <c r="I117" i="1"/>
  <c r="J117" i="1"/>
  <c r="H300" i="2"/>
  <c r="J100" i="6"/>
  <c r="D305" i="11"/>
  <c r="F119" i="1"/>
  <c r="B119" i="1"/>
  <c r="C119" i="1"/>
  <c r="D119" i="1"/>
  <c r="E119" i="1"/>
  <c r="G119" i="1"/>
  <c r="H119" i="1"/>
  <c r="I119" i="1"/>
  <c r="J119" i="1"/>
  <c r="C125" i="11"/>
  <c r="C50" i="3"/>
  <c r="F50" i="3"/>
  <c r="I50" i="3"/>
  <c r="J50" i="3"/>
  <c r="D50" i="3"/>
  <c r="K50" i="3"/>
  <c r="E50" i="3"/>
  <c r="G50" i="3"/>
  <c r="H50" i="3"/>
  <c r="K84" i="1"/>
  <c r="J267" i="6"/>
  <c r="D333" i="11"/>
  <c r="G231" i="11"/>
  <c r="H16" i="2"/>
  <c r="J56" i="6"/>
  <c r="D16" i="11"/>
  <c r="J14" i="1"/>
  <c r="B14" i="1"/>
  <c r="C14" i="1"/>
  <c r="D14" i="1"/>
  <c r="E14" i="1"/>
  <c r="F14" i="1"/>
  <c r="G14" i="1"/>
  <c r="H14" i="1"/>
  <c r="I14" i="1"/>
  <c r="G295" i="11"/>
  <c r="G296" i="11"/>
  <c r="G234" i="11"/>
  <c r="H126" i="2"/>
  <c r="J72" i="6"/>
  <c r="E53" i="1"/>
  <c r="D129" i="11"/>
  <c r="B53" i="1"/>
  <c r="F53" i="1"/>
  <c r="G53" i="1"/>
  <c r="H53" i="1"/>
  <c r="I53" i="1"/>
  <c r="J53" i="1"/>
  <c r="C53" i="1"/>
  <c r="D53" i="1"/>
  <c r="G298" i="11"/>
  <c r="H346" i="2"/>
  <c r="J282" i="6"/>
  <c r="D351" i="11"/>
  <c r="H311" i="2"/>
  <c r="K130" i="1" s="1"/>
  <c r="J141" i="6"/>
  <c r="G130" i="1"/>
  <c r="D316" i="11"/>
  <c r="B130" i="1"/>
  <c r="D130" i="1"/>
  <c r="H130" i="1"/>
  <c r="I130" i="1"/>
  <c r="J130" i="1"/>
  <c r="C130" i="1"/>
  <c r="E130" i="1"/>
  <c r="F130" i="1"/>
  <c r="G236" i="11"/>
  <c r="C15" i="11"/>
  <c r="J14" i="3"/>
  <c r="C14" i="3"/>
  <c r="I14" i="3"/>
  <c r="K14" i="3"/>
  <c r="D14" i="3"/>
  <c r="E14" i="3"/>
  <c r="F14" i="3"/>
  <c r="G14" i="3"/>
  <c r="H14" i="3"/>
  <c r="H128" i="2"/>
  <c r="J74" i="6"/>
  <c r="E55" i="1"/>
  <c r="B55" i="1"/>
  <c r="C55" i="1"/>
  <c r="D55" i="1"/>
  <c r="F55" i="1"/>
  <c r="D131" i="11"/>
  <c r="G55" i="1"/>
  <c r="H55" i="1"/>
  <c r="I55" i="1"/>
  <c r="J55" i="1"/>
  <c r="G292" i="11"/>
  <c r="O292" i="11" s="1"/>
  <c r="M292" i="11"/>
  <c r="J104" i="6"/>
  <c r="D311" i="11"/>
  <c r="F125" i="1"/>
  <c r="B125" i="1"/>
  <c r="C125" i="1"/>
  <c r="D125" i="1"/>
  <c r="E125" i="1"/>
  <c r="G125" i="1"/>
  <c r="H125" i="1"/>
  <c r="I125" i="1"/>
  <c r="J125" i="1"/>
  <c r="H306" i="2"/>
  <c r="K125" i="1" s="1"/>
  <c r="K113" i="6"/>
  <c r="M113" i="6" s="1"/>
  <c r="S19" i="2"/>
  <c r="W19" i="11" s="1"/>
  <c r="I19" i="2"/>
  <c r="G307" i="11"/>
  <c r="H86" i="2"/>
  <c r="J170" i="6"/>
  <c r="D87" i="11"/>
  <c r="G308" i="11"/>
  <c r="H187" i="2"/>
  <c r="J213" i="6"/>
  <c r="D190" i="11"/>
  <c r="J255" i="6"/>
  <c r="D314" i="11"/>
  <c r="G128" i="1"/>
  <c r="B128" i="1"/>
  <c r="D128" i="1"/>
  <c r="J128" i="1"/>
  <c r="K128" i="1"/>
  <c r="C128" i="1"/>
  <c r="E128" i="1"/>
  <c r="F128" i="1"/>
  <c r="H128" i="1"/>
  <c r="I128" i="1"/>
  <c r="G310" i="11"/>
  <c r="G133" i="11"/>
  <c r="C134" i="11"/>
  <c r="J59" i="3"/>
  <c r="F59" i="3"/>
  <c r="G59" i="3"/>
  <c r="D59" i="3"/>
  <c r="C59" i="3"/>
  <c r="E59" i="3"/>
  <c r="H59" i="3"/>
  <c r="I59" i="3"/>
  <c r="K59" i="3"/>
  <c r="H194" i="2"/>
  <c r="J218" i="6"/>
  <c r="D197" i="11"/>
  <c r="G305" i="11"/>
  <c r="H122" i="2"/>
  <c r="J68" i="6"/>
  <c r="F49" i="1"/>
  <c r="D125" i="11"/>
  <c r="C49" i="1"/>
  <c r="G49" i="1"/>
  <c r="H49" i="1"/>
  <c r="I49" i="1"/>
  <c r="J49" i="1"/>
  <c r="B49" i="1"/>
  <c r="D49" i="1"/>
  <c r="E49" i="1"/>
  <c r="H294" i="2"/>
  <c r="K113" i="1" s="1"/>
  <c r="J96" i="6"/>
  <c r="D299" i="11"/>
  <c r="F113" i="1"/>
  <c r="B113" i="1"/>
  <c r="C113" i="1"/>
  <c r="D113" i="1"/>
  <c r="E113" i="1"/>
  <c r="G113" i="1"/>
  <c r="H113" i="1"/>
  <c r="I113" i="1"/>
  <c r="J113" i="1"/>
  <c r="K128" i="6"/>
  <c r="M128" i="6" s="1"/>
  <c r="S136" i="2"/>
  <c r="W139" i="11" s="1"/>
  <c r="I136" i="2"/>
  <c r="C313" i="11"/>
  <c r="E128" i="3"/>
  <c r="H128" i="3"/>
  <c r="F128" i="3"/>
  <c r="G128" i="3"/>
  <c r="J128" i="3"/>
  <c r="K128" i="3"/>
  <c r="C128" i="3"/>
  <c r="D128" i="3"/>
  <c r="I128" i="3"/>
  <c r="M314" i="11"/>
  <c r="G314" i="11"/>
  <c r="O314" i="11" s="1"/>
  <c r="G126" i="11"/>
  <c r="H125" i="2"/>
  <c r="J71" i="6"/>
  <c r="E52" i="1"/>
  <c r="B52" i="1"/>
  <c r="D128" i="11"/>
  <c r="C52" i="1"/>
  <c r="D52" i="1"/>
  <c r="F52" i="1"/>
  <c r="G52" i="1"/>
  <c r="H52" i="1"/>
  <c r="I52" i="1"/>
  <c r="J52" i="1"/>
  <c r="G294" i="11"/>
  <c r="G52" i="11"/>
  <c r="H284" i="2"/>
  <c r="K103" i="1" s="1"/>
  <c r="J242" i="6"/>
  <c r="D289" i="11"/>
  <c r="H103" i="1"/>
  <c r="B103" i="1"/>
  <c r="C103" i="1"/>
  <c r="D103" i="1"/>
  <c r="E103" i="1"/>
  <c r="F103" i="1"/>
  <c r="G103" i="1"/>
  <c r="I103" i="1"/>
  <c r="J103" i="1"/>
  <c r="G235" i="11"/>
  <c r="H11" i="2"/>
  <c r="J51" i="6"/>
  <c r="D11" i="11"/>
  <c r="J9" i="1"/>
  <c r="B9" i="1"/>
  <c r="C9" i="1"/>
  <c r="D9" i="1"/>
  <c r="E9" i="1"/>
  <c r="F9" i="1"/>
  <c r="G9" i="1"/>
  <c r="H9" i="1"/>
  <c r="I9" i="1"/>
  <c r="H172" i="2"/>
  <c r="J201" i="6"/>
  <c r="D175" i="11"/>
  <c r="J245" i="6"/>
  <c r="E106" i="1"/>
  <c r="D292" i="11"/>
  <c r="H106" i="1"/>
  <c r="F106" i="1"/>
  <c r="I106" i="1"/>
  <c r="J106" i="1"/>
  <c r="K106" i="1"/>
  <c r="B106" i="1"/>
  <c r="G106" i="1"/>
  <c r="C106" i="1"/>
  <c r="D106" i="1"/>
  <c r="H127" i="2"/>
  <c r="K54" i="1" s="1"/>
  <c r="J73" i="6"/>
  <c r="D130" i="11"/>
  <c r="E54" i="1"/>
  <c r="B54" i="1"/>
  <c r="J54" i="1"/>
  <c r="C54" i="1"/>
  <c r="D54" i="1"/>
  <c r="F54" i="1"/>
  <c r="G54" i="1"/>
  <c r="H54" i="1"/>
  <c r="I54" i="1"/>
  <c r="C310" i="11"/>
  <c r="E125" i="3"/>
  <c r="J125" i="3"/>
  <c r="K125" i="3"/>
  <c r="C125" i="3"/>
  <c r="D125" i="3"/>
  <c r="F125" i="3"/>
  <c r="G125" i="3"/>
  <c r="H125" i="3"/>
  <c r="I125" i="3"/>
  <c r="C297" i="11"/>
  <c r="D112" i="3"/>
  <c r="E112" i="3"/>
  <c r="F112" i="3"/>
  <c r="G112" i="3"/>
  <c r="H112" i="3"/>
  <c r="I112" i="3"/>
  <c r="J112" i="3"/>
  <c r="K112" i="3"/>
  <c r="C112" i="3"/>
  <c r="C124" i="11"/>
  <c r="E49" i="3"/>
  <c r="F49" i="3"/>
  <c r="G49" i="3"/>
  <c r="K49" i="3"/>
  <c r="J49" i="3"/>
  <c r="C49" i="3"/>
  <c r="D49" i="3"/>
  <c r="H49" i="3"/>
  <c r="I49" i="3"/>
  <c r="C306" i="11"/>
  <c r="J121" i="3"/>
  <c r="E121" i="3"/>
  <c r="F121" i="3"/>
  <c r="H121" i="3"/>
  <c r="I121" i="3"/>
  <c r="K121" i="3"/>
  <c r="C121" i="3"/>
  <c r="D121" i="3"/>
  <c r="G121" i="3"/>
  <c r="C129" i="11"/>
  <c r="E54" i="3"/>
  <c r="H54" i="3"/>
  <c r="C54" i="3"/>
  <c r="D54" i="3"/>
  <c r="J54" i="3"/>
  <c r="K54" i="3"/>
  <c r="G54" i="3"/>
  <c r="I54" i="3"/>
  <c r="F54" i="3"/>
  <c r="J87" i="6"/>
  <c r="D234" i="11"/>
  <c r="F88" i="1"/>
  <c r="C88" i="1"/>
  <c r="G88" i="1"/>
  <c r="H88" i="1"/>
  <c r="I88" i="1"/>
  <c r="J88" i="1"/>
  <c r="B88" i="1"/>
  <c r="D88" i="1"/>
  <c r="E88" i="1"/>
  <c r="G50" i="11"/>
  <c r="H84" i="2"/>
  <c r="J168" i="6"/>
  <c r="D85" i="11"/>
  <c r="C308" i="11"/>
  <c r="C123" i="3"/>
  <c r="E123" i="3"/>
  <c r="F123" i="3"/>
  <c r="J123" i="3"/>
  <c r="K123" i="3"/>
  <c r="D123" i="3"/>
  <c r="G123" i="3"/>
  <c r="H123" i="3"/>
  <c r="I123" i="3"/>
  <c r="C16" i="11"/>
  <c r="K15" i="3"/>
  <c r="C15" i="3"/>
  <c r="D15" i="3"/>
  <c r="G15" i="3"/>
  <c r="E15" i="3"/>
  <c r="H15" i="3"/>
  <c r="I15" i="3"/>
  <c r="J15" i="3"/>
  <c r="F15" i="3"/>
  <c r="C12" i="11"/>
  <c r="J11" i="3"/>
  <c r="D11" i="3"/>
  <c r="H11" i="3"/>
  <c r="I11" i="3"/>
  <c r="K11" i="3"/>
  <c r="C11" i="3"/>
  <c r="E11" i="3"/>
  <c r="F11" i="3"/>
  <c r="G11" i="3"/>
  <c r="C296" i="11"/>
  <c r="C111" i="3"/>
  <c r="I111" i="3"/>
  <c r="J111" i="3"/>
  <c r="D111" i="3"/>
  <c r="F111" i="3"/>
  <c r="E111" i="3"/>
  <c r="G111" i="3"/>
  <c r="H111" i="3"/>
  <c r="K111" i="3"/>
  <c r="C135" i="11"/>
  <c r="K60" i="3"/>
  <c r="H60" i="3"/>
  <c r="I60" i="3"/>
  <c r="C60" i="3"/>
  <c r="D60" i="3"/>
  <c r="E60" i="3"/>
  <c r="F60" i="3"/>
  <c r="G60" i="3"/>
  <c r="J60" i="3"/>
  <c r="H283" i="2"/>
  <c r="K93" i="6" s="1"/>
  <c r="M93" i="6" s="1"/>
  <c r="J93" i="6"/>
  <c r="H51" i="2"/>
  <c r="K31" i="1" s="1"/>
  <c r="J65" i="6"/>
  <c r="D52" i="11"/>
  <c r="J31" i="1"/>
  <c r="B31" i="1"/>
  <c r="C31" i="1"/>
  <c r="D31" i="1"/>
  <c r="E31" i="1"/>
  <c r="F31" i="1"/>
  <c r="G31" i="1"/>
  <c r="H31" i="1"/>
  <c r="I31" i="1"/>
  <c r="C53" i="11"/>
  <c r="C33" i="3"/>
  <c r="F33" i="3"/>
  <c r="E33" i="3"/>
  <c r="G33" i="3"/>
  <c r="I33" i="3"/>
  <c r="J33" i="3"/>
  <c r="K33" i="3"/>
  <c r="D33" i="3"/>
  <c r="H33" i="3"/>
  <c r="C300" i="11"/>
  <c r="D115" i="3"/>
  <c r="G115" i="3"/>
  <c r="H115" i="3"/>
  <c r="I115" i="3"/>
  <c r="C115" i="3"/>
  <c r="E115" i="3"/>
  <c r="F115" i="3"/>
  <c r="J115" i="3"/>
  <c r="K115" i="3"/>
  <c r="C132" i="11"/>
  <c r="H57" i="3"/>
  <c r="K57" i="3"/>
  <c r="E57" i="3"/>
  <c r="F57" i="3"/>
  <c r="D57" i="3"/>
  <c r="C57" i="3"/>
  <c r="G57" i="3"/>
  <c r="I57" i="3"/>
  <c r="J57" i="3"/>
  <c r="C128" i="11"/>
  <c r="D53" i="3"/>
  <c r="G53" i="3"/>
  <c r="F53" i="3"/>
  <c r="H53" i="3"/>
  <c r="I53" i="3"/>
  <c r="C53" i="3"/>
  <c r="E53" i="3"/>
  <c r="J53" i="3"/>
  <c r="K53" i="3"/>
  <c r="C299" i="11"/>
  <c r="C114" i="3"/>
  <c r="F114" i="3"/>
  <c r="D114" i="3"/>
  <c r="E114" i="3"/>
  <c r="J114" i="3"/>
  <c r="K114" i="3"/>
  <c r="G114" i="3"/>
  <c r="H114" i="3"/>
  <c r="I114" i="3"/>
  <c r="J89" i="6"/>
  <c r="D236" i="11"/>
  <c r="F90" i="1"/>
  <c r="C90" i="1"/>
  <c r="B90" i="1"/>
  <c r="D90" i="1"/>
  <c r="E90" i="1"/>
  <c r="G90" i="1"/>
  <c r="H90" i="1"/>
  <c r="I90" i="1"/>
  <c r="J90" i="1"/>
  <c r="J60" i="6"/>
  <c r="D47" i="11"/>
  <c r="J26" i="1"/>
  <c r="B26" i="1"/>
  <c r="C26" i="1"/>
  <c r="D26" i="1"/>
  <c r="E26" i="1"/>
  <c r="F26" i="1"/>
  <c r="G26" i="1"/>
  <c r="H26" i="1"/>
  <c r="I26" i="1"/>
  <c r="G290" i="11"/>
  <c r="G48" i="11"/>
  <c r="J249" i="6"/>
  <c r="D297" i="11"/>
  <c r="F111" i="1"/>
  <c r="K111" i="1"/>
  <c r="B111" i="1"/>
  <c r="C111" i="1"/>
  <c r="D111" i="1"/>
  <c r="E111" i="1"/>
  <c r="G111" i="1"/>
  <c r="H111" i="1"/>
  <c r="I111" i="1"/>
  <c r="J111" i="1"/>
  <c r="G125" i="11"/>
  <c r="G301" i="11"/>
  <c r="O301" i="11" s="1"/>
  <c r="M301" i="11"/>
  <c r="G304" i="11"/>
  <c r="H129" i="2"/>
  <c r="K56" i="1" s="1"/>
  <c r="J75" i="6"/>
  <c r="E56" i="1"/>
  <c r="D132" i="11"/>
  <c r="B56" i="1"/>
  <c r="F56" i="1"/>
  <c r="G56" i="1"/>
  <c r="H56" i="1"/>
  <c r="I56" i="1"/>
  <c r="J56" i="1"/>
  <c r="C56" i="1"/>
  <c r="D56" i="1"/>
  <c r="G300" i="11"/>
  <c r="J101" i="6"/>
  <c r="D307" i="11"/>
  <c r="F121" i="1"/>
  <c r="B121" i="1"/>
  <c r="C121" i="1"/>
  <c r="D121" i="1"/>
  <c r="E121" i="1"/>
  <c r="G121" i="1"/>
  <c r="H121" i="1"/>
  <c r="I121" i="1"/>
  <c r="J121" i="1"/>
  <c r="H302" i="2"/>
  <c r="K121" i="1" s="1"/>
  <c r="H181" i="2"/>
  <c r="J208" i="6"/>
  <c r="D184" i="11"/>
  <c r="J275" i="6"/>
  <c r="D342" i="11"/>
  <c r="H285" i="2"/>
  <c r="K104" i="1" s="1"/>
  <c r="J243" i="6"/>
  <c r="D290" i="11"/>
  <c r="H104" i="1"/>
  <c r="B104" i="1"/>
  <c r="C104" i="1"/>
  <c r="D104" i="1"/>
  <c r="E104" i="1"/>
  <c r="F104" i="1"/>
  <c r="G104" i="1"/>
  <c r="I104" i="1"/>
  <c r="J104" i="1"/>
  <c r="H338" i="2"/>
  <c r="J276" i="6"/>
  <c r="D343" i="11"/>
  <c r="H301" i="2"/>
  <c r="J252" i="6"/>
  <c r="D306" i="11"/>
  <c r="F120" i="1"/>
  <c r="B120" i="1"/>
  <c r="C120" i="1"/>
  <c r="J120" i="1"/>
  <c r="D120" i="1"/>
  <c r="E120" i="1"/>
  <c r="G120" i="1"/>
  <c r="H120" i="1"/>
  <c r="I120" i="1"/>
  <c r="G229" i="11"/>
  <c r="H178" i="2"/>
  <c r="J206" i="6"/>
  <c r="D181" i="11"/>
  <c r="H121" i="2"/>
  <c r="K48" i="1" s="1"/>
  <c r="J67" i="6"/>
  <c r="F48" i="1"/>
  <c r="D124" i="11"/>
  <c r="C48" i="1"/>
  <c r="B48" i="1"/>
  <c r="D48" i="1"/>
  <c r="E48" i="1"/>
  <c r="G48" i="1"/>
  <c r="H48" i="1"/>
  <c r="I48" i="1"/>
  <c r="J48" i="1"/>
  <c r="C312" i="11"/>
  <c r="D127" i="3"/>
  <c r="G127" i="3"/>
  <c r="C127" i="3"/>
  <c r="I127" i="3"/>
  <c r="J127" i="3"/>
  <c r="E127" i="3"/>
  <c r="F127" i="3"/>
  <c r="K127" i="3"/>
  <c r="H127" i="3"/>
  <c r="C303" i="11"/>
  <c r="G118" i="3"/>
  <c r="J118" i="3"/>
  <c r="C118" i="3"/>
  <c r="D118" i="3"/>
  <c r="I118" i="3"/>
  <c r="K118" i="3"/>
  <c r="E118" i="3"/>
  <c r="F118" i="3"/>
  <c r="H118" i="3"/>
  <c r="H193" i="2"/>
  <c r="J217" i="6"/>
  <c r="D196" i="11"/>
  <c r="H134" i="2"/>
  <c r="K61" i="1" s="1"/>
  <c r="J126" i="6"/>
  <c r="E61" i="1"/>
  <c r="D137" i="11"/>
  <c r="B61" i="1"/>
  <c r="C61" i="1"/>
  <c r="D61" i="1"/>
  <c r="F61" i="1"/>
  <c r="G61" i="1"/>
  <c r="H61" i="1"/>
  <c r="I61" i="1"/>
  <c r="J61" i="1"/>
  <c r="C14" i="11"/>
  <c r="H13" i="3"/>
  <c r="E13" i="3"/>
  <c r="F13" i="3"/>
  <c r="G13" i="3"/>
  <c r="I13" i="3"/>
  <c r="J13" i="3"/>
  <c r="K13" i="3"/>
  <c r="C13" i="3"/>
  <c r="D13" i="3"/>
  <c r="G46" i="11"/>
  <c r="H323" i="2"/>
  <c r="J262" i="6"/>
  <c r="D328" i="11"/>
  <c r="J159" i="6"/>
  <c r="D18" i="11"/>
  <c r="J16" i="1"/>
  <c r="K16" i="1"/>
  <c r="B16" i="1"/>
  <c r="C16" i="1"/>
  <c r="D16" i="1"/>
  <c r="E16" i="1"/>
  <c r="F16" i="1"/>
  <c r="G16" i="1"/>
  <c r="H16" i="1"/>
  <c r="I16" i="1"/>
  <c r="G137" i="11"/>
  <c r="H179" i="2"/>
  <c r="J207" i="6"/>
  <c r="D182" i="11"/>
  <c r="J250" i="6"/>
  <c r="D301" i="11"/>
  <c r="F115" i="1"/>
  <c r="K115" i="1"/>
  <c r="B115" i="1"/>
  <c r="C115" i="1"/>
  <c r="D115" i="1"/>
  <c r="E115" i="1"/>
  <c r="G115" i="1"/>
  <c r="H115" i="1"/>
  <c r="I115" i="1"/>
  <c r="J115" i="1"/>
  <c r="K86" i="1"/>
  <c r="H47" i="2"/>
  <c r="K27" i="1" s="1"/>
  <c r="J61" i="6"/>
  <c r="D48" i="11"/>
  <c r="J27" i="1"/>
  <c r="B27" i="1"/>
  <c r="C27" i="1"/>
  <c r="D27" i="1"/>
  <c r="E27" i="1"/>
  <c r="F27" i="1"/>
  <c r="G27" i="1"/>
  <c r="H27" i="1"/>
  <c r="I27" i="1"/>
  <c r="H164" i="2"/>
  <c r="J196" i="6"/>
  <c r="D167" i="11"/>
  <c r="H15" i="2"/>
  <c r="K13" i="1" s="1"/>
  <c r="J55" i="6"/>
  <c r="D15" i="11"/>
  <c r="J13" i="1"/>
  <c r="B13" i="1"/>
  <c r="C13" i="1"/>
  <c r="D13" i="1"/>
  <c r="E13" i="1"/>
  <c r="F13" i="1"/>
  <c r="G13" i="1"/>
  <c r="H13" i="1"/>
  <c r="I13" i="1"/>
  <c r="G233" i="11"/>
  <c r="G130" i="11"/>
  <c r="C314" i="11"/>
  <c r="G129" i="3"/>
  <c r="J129" i="3"/>
  <c r="D129" i="3"/>
  <c r="E129" i="3"/>
  <c r="H129" i="3"/>
  <c r="I129" i="3"/>
  <c r="K129" i="3"/>
  <c r="C129" i="3"/>
  <c r="F129" i="3"/>
  <c r="C292" i="11"/>
  <c r="H107" i="3"/>
  <c r="K107" i="3"/>
  <c r="C107" i="3"/>
  <c r="D107" i="3"/>
  <c r="E107" i="3"/>
  <c r="F107" i="3"/>
  <c r="G107" i="3"/>
  <c r="I107" i="3"/>
  <c r="J107" i="3"/>
  <c r="C11" i="11"/>
  <c r="I10" i="3"/>
  <c r="F10" i="3"/>
  <c r="G10" i="3"/>
  <c r="C10" i="3"/>
  <c r="D10" i="3"/>
  <c r="E10" i="3"/>
  <c r="H10" i="3"/>
  <c r="J10" i="3"/>
  <c r="K10" i="3"/>
  <c r="C301" i="11"/>
  <c r="E116" i="3"/>
  <c r="H116" i="3"/>
  <c r="K116" i="3"/>
  <c r="C116" i="3"/>
  <c r="D116" i="3"/>
  <c r="F116" i="3"/>
  <c r="G116" i="3"/>
  <c r="J116" i="3"/>
  <c r="I116" i="3"/>
  <c r="C311" i="11"/>
  <c r="C126" i="3"/>
  <c r="F126" i="3"/>
  <c r="E126" i="3"/>
  <c r="G126" i="3"/>
  <c r="K126" i="3"/>
  <c r="D126" i="3"/>
  <c r="H126" i="3"/>
  <c r="I126" i="3"/>
  <c r="J126" i="3"/>
  <c r="H175" i="2"/>
  <c r="J203" i="6"/>
  <c r="D178" i="11"/>
  <c r="G306" i="11"/>
  <c r="C136" i="11"/>
  <c r="C61" i="3"/>
  <c r="K61" i="3"/>
  <c r="D61" i="3"/>
  <c r="E61" i="3"/>
  <c r="J61" i="3"/>
  <c r="F61" i="3"/>
  <c r="G61" i="3"/>
  <c r="H61" i="3"/>
  <c r="I61" i="3"/>
  <c r="C48" i="11"/>
  <c r="J28" i="3"/>
  <c r="E28" i="3"/>
  <c r="F28" i="3"/>
  <c r="I28" i="3"/>
  <c r="K28" i="3"/>
  <c r="C28" i="3"/>
  <c r="D28" i="3"/>
  <c r="G28" i="3"/>
  <c r="H28" i="3"/>
  <c r="C52" i="11"/>
  <c r="E32" i="3"/>
  <c r="K32" i="3"/>
  <c r="C32" i="3"/>
  <c r="D32" i="3"/>
  <c r="F32" i="3"/>
  <c r="G32" i="3"/>
  <c r="I32" i="3"/>
  <c r="H32" i="3"/>
  <c r="J32" i="3"/>
  <c r="C126" i="11"/>
  <c r="D51" i="3"/>
  <c r="G51" i="3"/>
  <c r="C51" i="3"/>
  <c r="E51" i="3"/>
  <c r="J51" i="3"/>
  <c r="K51" i="3"/>
  <c r="F51" i="3"/>
  <c r="H51" i="3"/>
  <c r="I51" i="3"/>
  <c r="C309" i="11"/>
  <c r="D124" i="3"/>
  <c r="H124" i="3"/>
  <c r="I124" i="3"/>
  <c r="E124" i="3"/>
  <c r="C124" i="3"/>
  <c r="F124" i="3"/>
  <c r="G124" i="3"/>
  <c r="J124" i="3"/>
  <c r="K124" i="3"/>
  <c r="C316" i="11"/>
  <c r="I131" i="3"/>
  <c r="E131" i="3"/>
  <c r="F131" i="3"/>
  <c r="K131" i="3"/>
  <c r="D131" i="3"/>
  <c r="G131" i="3"/>
  <c r="H131" i="3"/>
  <c r="J131" i="3"/>
  <c r="C131" i="3"/>
  <c r="C289" i="11"/>
  <c r="E104" i="3"/>
  <c r="H104" i="3"/>
  <c r="G104" i="3"/>
  <c r="I104" i="3"/>
  <c r="K104" i="3"/>
  <c r="C104" i="3"/>
  <c r="D104" i="3"/>
  <c r="F104" i="3"/>
  <c r="J104" i="3"/>
  <c r="G302" i="11"/>
  <c r="G124" i="11"/>
  <c r="H49" i="2"/>
  <c r="K29" i="1" s="1"/>
  <c r="J63" i="6"/>
  <c r="D50" i="11"/>
  <c r="J29" i="1"/>
  <c r="B29" i="1"/>
  <c r="C29" i="1"/>
  <c r="D29" i="1"/>
  <c r="E29" i="1"/>
  <c r="F29" i="1"/>
  <c r="G29" i="1"/>
  <c r="H29" i="1"/>
  <c r="I29" i="1"/>
  <c r="H304" i="2"/>
  <c r="K123" i="1" s="1"/>
  <c r="J253" i="6"/>
  <c r="D309" i="11"/>
  <c r="F123" i="1"/>
  <c r="B123" i="1"/>
  <c r="C123" i="1"/>
  <c r="D123" i="1"/>
  <c r="E123" i="1"/>
  <c r="G123" i="1"/>
  <c r="H123" i="1"/>
  <c r="I123" i="1"/>
  <c r="J123" i="1"/>
  <c r="G315" i="11"/>
  <c r="G312" i="11"/>
  <c r="H295" i="2"/>
  <c r="K114" i="1" s="1"/>
  <c r="J97" i="6"/>
  <c r="D300" i="11"/>
  <c r="F114" i="1"/>
  <c r="B114" i="1"/>
  <c r="C114" i="1"/>
  <c r="J114" i="1"/>
  <c r="D114" i="1"/>
  <c r="E114" i="1"/>
  <c r="G114" i="1"/>
  <c r="H114" i="1"/>
  <c r="I114" i="1"/>
  <c r="G313" i="11"/>
  <c r="O313" i="11" s="1"/>
  <c r="M313" i="11"/>
  <c r="H297" i="2"/>
  <c r="J98" i="6"/>
  <c r="D302" i="11"/>
  <c r="F116" i="1"/>
  <c r="B116" i="1"/>
  <c r="C116" i="1"/>
  <c r="J116" i="1"/>
  <c r="D116" i="1"/>
  <c r="E116" i="1"/>
  <c r="G116" i="1"/>
  <c r="H116" i="1"/>
  <c r="I116" i="1"/>
  <c r="G299" i="11"/>
  <c r="G135" i="11"/>
  <c r="H299" i="2"/>
  <c r="K118" i="1" s="1"/>
  <c r="J99" i="6"/>
  <c r="D304" i="11"/>
  <c r="F118" i="1"/>
  <c r="B118" i="1"/>
  <c r="C118" i="1"/>
  <c r="J118" i="1"/>
  <c r="D118" i="1"/>
  <c r="E118" i="1"/>
  <c r="G118" i="1"/>
  <c r="H118" i="1"/>
  <c r="I118" i="1"/>
  <c r="H169" i="2"/>
  <c r="J199" i="6"/>
  <c r="D172" i="11"/>
  <c r="C137" i="11"/>
  <c r="C62" i="3"/>
  <c r="F62" i="3"/>
  <c r="G62" i="3"/>
  <c r="H62" i="3"/>
  <c r="I62" i="3"/>
  <c r="D62" i="3"/>
  <c r="E62" i="3"/>
  <c r="J62" i="3"/>
  <c r="K62" i="3"/>
  <c r="C307" i="11"/>
  <c r="K122" i="3"/>
  <c r="C122" i="3"/>
  <c r="G122" i="3"/>
  <c r="H122" i="3"/>
  <c r="E122" i="3"/>
  <c r="D122" i="3"/>
  <c r="F122" i="3"/>
  <c r="I122" i="3"/>
  <c r="J122" i="3"/>
  <c r="H26" i="3"/>
  <c r="C46" i="11"/>
  <c r="K26" i="3"/>
  <c r="G26" i="3"/>
  <c r="D26" i="3"/>
  <c r="C26" i="3"/>
  <c r="E26" i="3"/>
  <c r="F26" i="3"/>
  <c r="I26" i="3"/>
  <c r="J26" i="3"/>
  <c r="C302" i="11"/>
  <c r="F117" i="3"/>
  <c r="I117" i="3"/>
  <c r="E117" i="3"/>
  <c r="G117" i="3"/>
  <c r="K117" i="3"/>
  <c r="C117" i="3"/>
  <c r="D117" i="3"/>
  <c r="H117" i="3"/>
  <c r="J117" i="3"/>
  <c r="J50" i="6"/>
  <c r="D10" i="11"/>
  <c r="J8" i="1"/>
  <c r="B8" i="1"/>
  <c r="C8" i="1"/>
  <c r="D8" i="1"/>
  <c r="E8" i="1"/>
  <c r="F8" i="1"/>
  <c r="G8" i="1"/>
  <c r="H8" i="1"/>
  <c r="I8" i="1"/>
  <c r="K63" i="1"/>
  <c r="G129" i="11"/>
  <c r="H171" i="2"/>
  <c r="J200" i="6"/>
  <c r="D174" i="11"/>
  <c r="C18" i="11"/>
  <c r="F17" i="3"/>
  <c r="G17" i="3"/>
  <c r="K17" i="3"/>
  <c r="D17" i="3"/>
  <c r="E17" i="3"/>
  <c r="H17" i="3"/>
  <c r="I17" i="3"/>
  <c r="J17" i="3"/>
  <c r="C17" i="3"/>
  <c r="H131" i="2"/>
  <c r="K58" i="1" s="1"/>
  <c r="J77" i="6"/>
  <c r="E58" i="1"/>
  <c r="B58" i="1"/>
  <c r="D134" i="11"/>
  <c r="C58" i="1"/>
  <c r="D58" i="1"/>
  <c r="F58" i="1"/>
  <c r="G58" i="1"/>
  <c r="H58" i="1"/>
  <c r="I58" i="1"/>
  <c r="J58" i="1"/>
  <c r="C47" i="11"/>
  <c r="I27" i="3"/>
  <c r="K27" i="3"/>
  <c r="C27" i="3"/>
  <c r="D27" i="3"/>
  <c r="J27" i="3"/>
  <c r="E27" i="3"/>
  <c r="F27" i="3"/>
  <c r="G27" i="3"/>
  <c r="H27" i="3"/>
  <c r="G303" i="11"/>
  <c r="G228" i="11"/>
  <c r="C50" i="11"/>
  <c r="C30" i="3"/>
  <c r="F30" i="3"/>
  <c r="J30" i="3"/>
  <c r="K30" i="3"/>
  <c r="E30" i="3"/>
  <c r="H30" i="3"/>
  <c r="I30" i="3"/>
  <c r="D30" i="3"/>
  <c r="G30" i="3"/>
  <c r="C51" i="11"/>
  <c r="D31" i="3"/>
  <c r="I31" i="3"/>
  <c r="E31" i="3"/>
  <c r="C31" i="3"/>
  <c r="F31" i="3"/>
  <c r="G31" i="3"/>
  <c r="H31" i="3"/>
  <c r="J31" i="3"/>
  <c r="K31" i="3"/>
  <c r="C17" i="11"/>
  <c r="C16" i="3"/>
  <c r="E16" i="3"/>
  <c r="F16" i="3"/>
  <c r="D16" i="3"/>
  <c r="G16" i="3"/>
  <c r="H16" i="3"/>
  <c r="I16" i="3"/>
  <c r="J16" i="3"/>
  <c r="K16" i="3"/>
  <c r="C294" i="11"/>
  <c r="J109" i="3"/>
  <c r="D109" i="3"/>
  <c r="E109" i="3"/>
  <c r="I109" i="3"/>
  <c r="K109" i="3"/>
  <c r="H109" i="3"/>
  <c r="C109" i="3"/>
  <c r="F109" i="3"/>
  <c r="G109" i="3"/>
  <c r="C295" i="11"/>
  <c r="K110" i="3"/>
  <c r="F110" i="3"/>
  <c r="G110" i="3"/>
  <c r="H110" i="3"/>
  <c r="I110" i="3"/>
  <c r="J110" i="3"/>
  <c r="C110" i="3"/>
  <c r="D110" i="3"/>
  <c r="E110" i="3"/>
  <c r="J88" i="6"/>
  <c r="D235" i="11"/>
  <c r="F89" i="1"/>
  <c r="C89" i="1"/>
  <c r="B89" i="1"/>
  <c r="D89" i="1"/>
  <c r="E89" i="1"/>
  <c r="G89" i="1"/>
  <c r="H89" i="1"/>
  <c r="I89" i="1"/>
  <c r="J89" i="1"/>
  <c r="H132" i="2"/>
  <c r="K59" i="1" s="1"/>
  <c r="J78" i="6"/>
  <c r="E59" i="1"/>
  <c r="D135" i="11"/>
  <c r="B59" i="1"/>
  <c r="C59" i="1"/>
  <c r="D59" i="1"/>
  <c r="F59" i="1"/>
  <c r="G59" i="1"/>
  <c r="H59" i="1"/>
  <c r="I59" i="1"/>
  <c r="J59" i="1"/>
  <c r="H293" i="2"/>
  <c r="J95" i="6"/>
  <c r="D298" i="11"/>
  <c r="F112" i="1"/>
  <c r="B112" i="1"/>
  <c r="C112" i="1"/>
  <c r="J112" i="1"/>
  <c r="D112" i="1"/>
  <c r="E112" i="1"/>
  <c r="G112" i="1"/>
  <c r="H112" i="1"/>
  <c r="I112" i="1"/>
  <c r="H133" i="2"/>
  <c r="K60" i="1" s="1"/>
  <c r="J79" i="6"/>
  <c r="D136" i="11"/>
  <c r="E60" i="1"/>
  <c r="B60" i="1"/>
  <c r="G60" i="1"/>
  <c r="H60" i="1"/>
  <c r="I60" i="1"/>
  <c r="J60" i="1"/>
  <c r="C60" i="1"/>
  <c r="D60" i="1"/>
  <c r="F60" i="1"/>
  <c r="G51" i="11"/>
  <c r="G293" i="11"/>
  <c r="H289" i="2"/>
  <c r="K108" i="1" s="1"/>
  <c r="J247" i="6"/>
  <c r="D294" i="11"/>
  <c r="F108" i="1"/>
  <c r="B108" i="1"/>
  <c r="C108" i="1"/>
  <c r="J108" i="1"/>
  <c r="D108" i="1"/>
  <c r="E108" i="1"/>
  <c r="G108" i="1"/>
  <c r="H108" i="1"/>
  <c r="I108" i="1"/>
  <c r="C49" i="11"/>
  <c r="K29" i="3"/>
  <c r="C29" i="3"/>
  <c r="G29" i="3"/>
  <c r="H29" i="3"/>
  <c r="D29" i="3"/>
  <c r="F29" i="3"/>
  <c r="E29" i="3"/>
  <c r="I29" i="3"/>
  <c r="J29" i="3"/>
  <c r="C130" i="11"/>
  <c r="F55" i="3"/>
  <c r="I55" i="3"/>
  <c r="G55" i="3"/>
  <c r="H55" i="3"/>
  <c r="C55" i="3"/>
  <c r="E55" i="3"/>
  <c r="D55" i="3"/>
  <c r="J55" i="3"/>
  <c r="K55" i="3"/>
  <c r="C293" i="11"/>
  <c r="I108" i="3"/>
  <c r="F108" i="3"/>
  <c r="G108" i="3"/>
  <c r="J108" i="3"/>
  <c r="K108" i="3"/>
  <c r="C108" i="3"/>
  <c r="D108" i="3"/>
  <c r="E108" i="3"/>
  <c r="H108" i="3"/>
  <c r="C305" i="11"/>
  <c r="I120" i="3"/>
  <c r="J120" i="3"/>
  <c r="K120" i="3"/>
  <c r="C120" i="3"/>
  <c r="G120" i="3"/>
  <c r="D120" i="3"/>
  <c r="E120" i="3"/>
  <c r="F120" i="3"/>
  <c r="H120" i="3"/>
  <c r="C133" i="11"/>
  <c r="I58" i="3"/>
  <c r="C58" i="3"/>
  <c r="D58" i="3"/>
  <c r="H58" i="3"/>
  <c r="J58" i="3"/>
  <c r="E58" i="3"/>
  <c r="F58" i="3"/>
  <c r="G58" i="3"/>
  <c r="K58" i="3"/>
  <c r="C315" i="11"/>
  <c r="H130" i="3"/>
  <c r="K130" i="3"/>
  <c r="C130" i="3"/>
  <c r="G130" i="3"/>
  <c r="I130" i="3"/>
  <c r="E130" i="3"/>
  <c r="D130" i="3"/>
  <c r="F130" i="3"/>
  <c r="J130" i="3"/>
  <c r="H192" i="2"/>
  <c r="J216" i="6"/>
  <c r="D195" i="11"/>
  <c r="H17" i="2"/>
  <c r="J57" i="6"/>
  <c r="D17" i="11"/>
  <c r="J15" i="1"/>
  <c r="B15" i="1"/>
  <c r="C15" i="1"/>
  <c r="D15" i="1"/>
  <c r="E15" i="1"/>
  <c r="F15" i="1"/>
  <c r="G15" i="1"/>
  <c r="H15" i="1"/>
  <c r="I15" i="1"/>
  <c r="H290" i="2"/>
  <c r="K109" i="1" s="1"/>
  <c r="J94" i="6"/>
  <c r="D295" i="11"/>
  <c r="F109" i="1"/>
  <c r="B109" i="1"/>
  <c r="C109" i="1"/>
  <c r="D109" i="1"/>
  <c r="E109" i="1"/>
  <c r="G109" i="1"/>
  <c r="H109" i="1"/>
  <c r="I109" i="1"/>
  <c r="J109" i="1"/>
  <c r="G131" i="11"/>
  <c r="H177" i="2"/>
  <c r="J205" i="6"/>
  <c r="D180" i="11"/>
  <c r="H52" i="2"/>
  <c r="J66" i="6"/>
  <c r="D53" i="11"/>
  <c r="J32" i="1"/>
  <c r="B32" i="1"/>
  <c r="C32" i="1"/>
  <c r="D32" i="1"/>
  <c r="E32" i="1"/>
  <c r="F32" i="1"/>
  <c r="G32" i="1"/>
  <c r="H32" i="1"/>
  <c r="I32" i="1"/>
  <c r="H186" i="2"/>
  <c r="J212" i="6"/>
  <c r="D189" i="11"/>
  <c r="G134" i="11"/>
  <c r="G136" i="11"/>
  <c r="H307" i="2"/>
  <c r="K126" i="1" s="1"/>
  <c r="J254" i="6"/>
  <c r="D312" i="11"/>
  <c r="F126" i="1"/>
  <c r="B126" i="1"/>
  <c r="C126" i="1"/>
  <c r="J126" i="1"/>
  <c r="D126" i="1"/>
  <c r="E126" i="1"/>
  <c r="G126" i="1"/>
  <c r="H126" i="1"/>
  <c r="I126" i="1"/>
  <c r="H183" i="2"/>
  <c r="J40" i="6"/>
  <c r="D186" i="11"/>
  <c r="G297" i="11"/>
  <c r="O297" i="11" s="1"/>
  <c r="M297" i="11"/>
  <c r="H184" i="2"/>
  <c r="J210" i="6"/>
  <c r="D187" i="11"/>
  <c r="H12" i="2"/>
  <c r="K10" i="1" s="1"/>
  <c r="J52" i="6"/>
  <c r="D12" i="11"/>
  <c r="J10" i="1"/>
  <c r="B10" i="1"/>
  <c r="C10" i="1"/>
  <c r="D10" i="1"/>
  <c r="E10" i="1"/>
  <c r="F10" i="1"/>
  <c r="G10" i="1"/>
  <c r="H10" i="1"/>
  <c r="I10" i="1"/>
  <c r="G311" i="11"/>
  <c r="G289" i="11"/>
  <c r="H310" i="2"/>
  <c r="K129" i="1" s="1"/>
  <c r="J256" i="6"/>
  <c r="D315" i="11"/>
  <c r="G129" i="1"/>
  <c r="B129" i="1"/>
  <c r="D129" i="1"/>
  <c r="C129" i="1"/>
  <c r="E129" i="1"/>
  <c r="F129" i="1"/>
  <c r="H129" i="1"/>
  <c r="I129" i="1"/>
  <c r="J129" i="1"/>
  <c r="H185" i="2"/>
  <c r="J211" i="6"/>
  <c r="D188" i="11"/>
  <c r="H173" i="2"/>
  <c r="J38" i="6"/>
  <c r="D176" i="11"/>
  <c r="H10" i="2"/>
  <c r="K50" i="6" s="1"/>
  <c r="M50" i="6" s="1"/>
  <c r="H46" i="2"/>
  <c r="K60" i="6" s="1"/>
  <c r="M60" i="6" s="1"/>
  <c r="H232" i="2"/>
  <c r="K89" i="6" s="1"/>
  <c r="M89" i="6" s="1"/>
  <c r="H231" i="2"/>
  <c r="K88" i="6" s="1"/>
  <c r="M88" i="6" s="1"/>
  <c r="H230" i="2"/>
  <c r="K87" i="6" s="1"/>
  <c r="M87" i="6" s="1"/>
  <c r="C84" i="3"/>
  <c r="D84" i="3"/>
  <c r="E84" i="3"/>
  <c r="F84" i="3"/>
  <c r="G84" i="3"/>
  <c r="H84" i="3"/>
  <c r="I84" i="3"/>
  <c r="J84" i="3"/>
  <c r="K84" i="3"/>
  <c r="G88" i="3"/>
  <c r="H88" i="3"/>
  <c r="D88" i="3"/>
  <c r="F88" i="3"/>
  <c r="I88" i="3"/>
  <c r="E88" i="3"/>
  <c r="J88" i="3"/>
  <c r="K88" i="3"/>
  <c r="C88" i="3"/>
  <c r="H89" i="3"/>
  <c r="E89" i="3"/>
  <c r="I89" i="3"/>
  <c r="J89" i="3"/>
  <c r="G89" i="3"/>
  <c r="K89" i="3"/>
  <c r="F89" i="3"/>
  <c r="C89" i="3"/>
  <c r="D89" i="3"/>
  <c r="I90" i="3"/>
  <c r="G90" i="3"/>
  <c r="J90" i="3"/>
  <c r="K90" i="3"/>
  <c r="C90" i="3"/>
  <c r="F90" i="3"/>
  <c r="D90" i="3"/>
  <c r="H90" i="3"/>
  <c r="E90" i="3"/>
  <c r="E86" i="3"/>
  <c r="F86" i="3"/>
  <c r="G86" i="3"/>
  <c r="H86" i="3"/>
  <c r="I86" i="3"/>
  <c r="J86" i="3"/>
  <c r="K86" i="3"/>
  <c r="C86" i="3"/>
  <c r="D86" i="3"/>
  <c r="C83" i="3"/>
  <c r="D83" i="3"/>
  <c r="E83" i="3"/>
  <c r="F83" i="3"/>
  <c r="G83" i="3"/>
  <c r="H83" i="3"/>
  <c r="I83" i="3"/>
  <c r="J83" i="3"/>
  <c r="K83" i="3"/>
  <c r="J91" i="3"/>
  <c r="K91" i="3"/>
  <c r="H91" i="3"/>
  <c r="G91" i="3"/>
  <c r="I91" i="3"/>
  <c r="C91" i="3"/>
  <c r="D91" i="3"/>
  <c r="E91" i="3"/>
  <c r="F91" i="3"/>
  <c r="D288" i="11"/>
  <c r="H102" i="1"/>
  <c r="I102" i="1"/>
  <c r="J102" i="1"/>
  <c r="B102" i="1"/>
  <c r="C102" i="1"/>
  <c r="D102" i="1"/>
  <c r="E102" i="1"/>
  <c r="F102" i="1"/>
  <c r="G102" i="1"/>
  <c r="C288" i="11"/>
  <c r="F103" i="3"/>
  <c r="G103" i="3"/>
  <c r="K103" i="3"/>
  <c r="D103" i="3"/>
  <c r="E103" i="3"/>
  <c r="C103" i="3"/>
  <c r="H103" i="3"/>
  <c r="I103" i="3"/>
  <c r="J103" i="3"/>
  <c r="G288" i="11"/>
  <c r="S228" i="2"/>
  <c r="W232" i="11" s="1"/>
  <c r="I228" i="2"/>
  <c r="I232" i="11" s="1"/>
  <c r="K232" i="11" s="1"/>
  <c r="G243" i="2"/>
  <c r="J240" i="6" s="1"/>
  <c r="L243" i="2"/>
  <c r="G224" i="2"/>
  <c r="L224" i="2"/>
  <c r="L229" i="2"/>
  <c r="G229" i="2"/>
  <c r="G45" i="2"/>
  <c r="L45" i="2"/>
  <c r="S226" i="2"/>
  <c r="W230" i="11" s="1"/>
  <c r="I226" i="2"/>
  <c r="I230" i="11" s="1"/>
  <c r="K230" i="11" s="1"/>
  <c r="L227" i="2"/>
  <c r="G227" i="2"/>
  <c r="G247" i="11"/>
  <c r="K393" i="4"/>
  <c r="E398" i="11"/>
  <c r="L225" i="2"/>
  <c r="G225" i="2"/>
  <c r="G389" i="4"/>
  <c r="C394" i="11" s="1"/>
  <c r="S390" i="4"/>
  <c r="S395" i="11" s="1"/>
  <c r="I390" i="4"/>
  <c r="I391" i="4"/>
  <c r="S391" i="4"/>
  <c r="S396" i="11" s="1"/>
  <c r="L393" i="4"/>
  <c r="G393" i="4"/>
  <c r="C398" i="11" s="1"/>
  <c r="L392" i="4"/>
  <c r="G392" i="4"/>
  <c r="C397" i="11" s="1"/>
  <c r="I392" i="4"/>
  <c r="S392" i="4"/>
  <c r="S397" i="11" s="1"/>
  <c r="S389" i="4"/>
  <c r="S394" i="11" s="1"/>
  <c r="I389" i="4"/>
  <c r="I283" i="2" l="1"/>
  <c r="K283" i="2" s="1"/>
  <c r="S283" i="2"/>
  <c r="S303" i="2"/>
  <c r="W308" i="11" s="1"/>
  <c r="K102" i="6"/>
  <c r="M102" i="6" s="1"/>
  <c r="I303" i="2"/>
  <c r="U230" i="11"/>
  <c r="AA230" i="11"/>
  <c r="S11" i="2"/>
  <c r="W11" i="11" s="1"/>
  <c r="K51" i="6"/>
  <c r="M51" i="6" s="1"/>
  <c r="I11" i="2"/>
  <c r="I125" i="2"/>
  <c r="K71" i="6"/>
  <c r="M71" i="6" s="1"/>
  <c r="S125" i="2"/>
  <c r="W128" i="11" s="1"/>
  <c r="S122" i="2"/>
  <c r="W125" i="11" s="1"/>
  <c r="K68" i="6"/>
  <c r="M68" i="6" s="1"/>
  <c r="I122" i="2"/>
  <c r="K74" i="6"/>
  <c r="M74" i="6" s="1"/>
  <c r="I128" i="2"/>
  <c r="S128" i="2"/>
  <c r="W131" i="11" s="1"/>
  <c r="J59" i="6"/>
  <c r="D46" i="11"/>
  <c r="J25" i="1"/>
  <c r="B25" i="1"/>
  <c r="C25" i="1"/>
  <c r="D25" i="1"/>
  <c r="E25" i="1"/>
  <c r="F25" i="1"/>
  <c r="G25" i="1"/>
  <c r="H25" i="1"/>
  <c r="I25" i="1"/>
  <c r="K78" i="6"/>
  <c r="M78" i="6" s="1"/>
  <c r="S132" i="2"/>
  <c r="W135" i="11" s="1"/>
  <c r="I132" i="2"/>
  <c r="S171" i="2"/>
  <c r="W174" i="11" s="1"/>
  <c r="K200" i="6"/>
  <c r="M200" i="6" s="1"/>
  <c r="I171" i="2"/>
  <c r="S301" i="2"/>
  <c r="W306" i="11" s="1"/>
  <c r="K252" i="6"/>
  <c r="M252" i="6" s="1"/>
  <c r="I301" i="2"/>
  <c r="K90" i="1"/>
  <c r="S84" i="2"/>
  <c r="W85" i="11" s="1"/>
  <c r="K168" i="6"/>
  <c r="I84" i="2"/>
  <c r="K72" i="6"/>
  <c r="M72" i="6" s="1"/>
  <c r="S126" i="2"/>
  <c r="W129" i="11" s="1"/>
  <c r="I126" i="2"/>
  <c r="I300" i="2"/>
  <c r="K100" i="6"/>
  <c r="M100" i="6" s="1"/>
  <c r="S300" i="2"/>
  <c r="W305" i="11" s="1"/>
  <c r="S334" i="2"/>
  <c r="W339" i="11" s="1"/>
  <c r="K272" i="6"/>
  <c r="M272" i="6" s="1"/>
  <c r="I334" i="2"/>
  <c r="S293" i="2"/>
  <c r="W298" i="11" s="1"/>
  <c r="K95" i="6"/>
  <c r="M95" i="6" s="1"/>
  <c r="I293" i="2"/>
  <c r="J86" i="6"/>
  <c r="D233" i="11"/>
  <c r="F87" i="1"/>
  <c r="C87" i="1"/>
  <c r="B87" i="1"/>
  <c r="D87" i="1"/>
  <c r="E87" i="1"/>
  <c r="G87" i="1"/>
  <c r="H87" i="1"/>
  <c r="I87" i="1"/>
  <c r="J87" i="1"/>
  <c r="S183" i="2"/>
  <c r="W186" i="11" s="1"/>
  <c r="K40" i="6"/>
  <c r="M40" i="6" s="1"/>
  <c r="I183" i="2"/>
  <c r="I169" i="2"/>
  <c r="K199" i="6"/>
  <c r="M199" i="6" s="1"/>
  <c r="S169" i="2"/>
  <c r="W172" i="11" s="1"/>
  <c r="K196" i="6"/>
  <c r="M196" i="6" s="1"/>
  <c r="I164" i="2"/>
  <c r="S164" i="2"/>
  <c r="W167" i="11" s="1"/>
  <c r="I181" i="2"/>
  <c r="K208" i="6"/>
  <c r="M208" i="6" s="1"/>
  <c r="S181" i="2"/>
  <c r="W184" i="11" s="1"/>
  <c r="I187" i="2"/>
  <c r="K213" i="6"/>
  <c r="M213" i="6" s="1"/>
  <c r="S187" i="2"/>
  <c r="W190" i="11" s="1"/>
  <c r="K64" i="6"/>
  <c r="M64" i="6" s="1"/>
  <c r="I50" i="2"/>
  <c r="S50" i="2"/>
  <c r="W51" i="11" s="1"/>
  <c r="K281" i="6"/>
  <c r="M281" i="6" s="1"/>
  <c r="S345" i="2"/>
  <c r="W350" i="11" s="1"/>
  <c r="I345" i="2"/>
  <c r="S130" i="2"/>
  <c r="W133" i="11" s="1"/>
  <c r="K76" i="6"/>
  <c r="M76" i="6" s="1"/>
  <c r="I130" i="2"/>
  <c r="I175" i="2"/>
  <c r="K203" i="6"/>
  <c r="M203" i="6" s="1"/>
  <c r="S175" i="2"/>
  <c r="W178" i="11" s="1"/>
  <c r="K61" i="6"/>
  <c r="M61" i="6" s="1"/>
  <c r="I47" i="2"/>
  <c r="S47" i="2"/>
  <c r="W48" i="11" s="1"/>
  <c r="S51" i="2"/>
  <c r="W52" i="11" s="1"/>
  <c r="K65" i="6"/>
  <c r="M65" i="6" s="1"/>
  <c r="I51" i="2"/>
  <c r="S284" i="2"/>
  <c r="W289" i="11" s="1"/>
  <c r="K242" i="6"/>
  <c r="M242" i="6" s="1"/>
  <c r="I284" i="2"/>
  <c r="K49" i="1"/>
  <c r="S298" i="2"/>
  <c r="W303" i="11" s="1"/>
  <c r="K251" i="6"/>
  <c r="M251" i="6" s="1"/>
  <c r="I298" i="2"/>
  <c r="S288" i="2"/>
  <c r="W293" i="11" s="1"/>
  <c r="K246" i="6"/>
  <c r="M246" i="6" s="1"/>
  <c r="I288" i="2"/>
  <c r="S17" i="2"/>
  <c r="W17" i="11" s="1"/>
  <c r="K57" i="6"/>
  <c r="M57" i="6" s="1"/>
  <c r="I17" i="2"/>
  <c r="S133" i="2"/>
  <c r="W136" i="11" s="1"/>
  <c r="K79" i="6"/>
  <c r="M79" i="6" s="1"/>
  <c r="I133" i="2"/>
  <c r="S324" i="2"/>
  <c r="W329" i="11" s="1"/>
  <c r="K263" i="6"/>
  <c r="M263" i="6" s="1"/>
  <c r="I324" i="2"/>
  <c r="S307" i="2"/>
  <c r="W312" i="11" s="1"/>
  <c r="K254" i="6"/>
  <c r="M254" i="6" s="1"/>
  <c r="I307" i="2"/>
  <c r="K216" i="6"/>
  <c r="M216" i="6" s="1"/>
  <c r="S192" i="2"/>
  <c r="W195" i="11" s="1"/>
  <c r="I192" i="2"/>
  <c r="S323" i="2"/>
  <c r="W328" i="11" s="1"/>
  <c r="K262" i="6"/>
  <c r="M262" i="6" s="1"/>
  <c r="I323" i="2"/>
  <c r="K212" i="6"/>
  <c r="M212" i="6" s="1"/>
  <c r="S186" i="2"/>
  <c r="W189" i="11" s="1"/>
  <c r="I186" i="2"/>
  <c r="S297" i="2"/>
  <c r="W302" i="11" s="1"/>
  <c r="K98" i="6"/>
  <c r="M98" i="6" s="1"/>
  <c r="I297" i="2"/>
  <c r="U19" i="11"/>
  <c r="Y19" i="11" s="1"/>
  <c r="AA19" i="11"/>
  <c r="J82" i="6"/>
  <c r="D229" i="11"/>
  <c r="F83" i="1"/>
  <c r="C83" i="1"/>
  <c r="B83" i="1"/>
  <c r="D83" i="1"/>
  <c r="E83" i="1"/>
  <c r="G83" i="1"/>
  <c r="H83" i="1"/>
  <c r="I83" i="1"/>
  <c r="J83" i="1"/>
  <c r="K205" i="6"/>
  <c r="M205" i="6" s="1"/>
  <c r="S177" i="2"/>
  <c r="W180" i="11" s="1"/>
  <c r="I177" i="2"/>
  <c r="K8" i="1"/>
  <c r="S299" i="2"/>
  <c r="W304" i="11" s="1"/>
  <c r="K99" i="6"/>
  <c r="M99" i="6" s="1"/>
  <c r="I299" i="2"/>
  <c r="S289" i="2"/>
  <c r="W294" i="11" s="1"/>
  <c r="K247" i="6"/>
  <c r="M247" i="6" s="1"/>
  <c r="I289" i="2"/>
  <c r="J81" i="6"/>
  <c r="D228" i="11"/>
  <c r="F82" i="1"/>
  <c r="C82" i="1"/>
  <c r="G82" i="1"/>
  <c r="H82" i="1"/>
  <c r="I82" i="1"/>
  <c r="J82" i="1"/>
  <c r="B82" i="1"/>
  <c r="D82" i="1"/>
  <c r="E82" i="1"/>
  <c r="K38" i="6"/>
  <c r="M38" i="6" s="1"/>
  <c r="S173" i="2"/>
  <c r="W176" i="11" s="1"/>
  <c r="I173" i="2"/>
  <c r="S302" i="2"/>
  <c r="W307" i="11" s="1"/>
  <c r="K101" i="6"/>
  <c r="M101" i="6" s="1"/>
  <c r="I302" i="2"/>
  <c r="K218" i="6"/>
  <c r="M218" i="6" s="1"/>
  <c r="S194" i="2"/>
  <c r="W197" i="11" s="1"/>
  <c r="I194" i="2"/>
  <c r="I195" i="2"/>
  <c r="K219" i="6"/>
  <c r="M219" i="6" s="1"/>
  <c r="S195" i="2"/>
  <c r="W198" i="11" s="1"/>
  <c r="K204" i="6"/>
  <c r="M204" i="6" s="1"/>
  <c r="I176" i="2"/>
  <c r="S176" i="2"/>
  <c r="W179" i="11" s="1"/>
  <c r="K19" i="2"/>
  <c r="L17" i="1" s="1"/>
  <c r="I19" i="11"/>
  <c r="S48" i="2"/>
  <c r="W49" i="11" s="1"/>
  <c r="K62" i="6"/>
  <c r="M62" i="6" s="1"/>
  <c r="I48" i="2"/>
  <c r="S12" i="2"/>
  <c r="W12" i="11" s="1"/>
  <c r="K52" i="6"/>
  <c r="M52" i="6" s="1"/>
  <c r="I12" i="2"/>
  <c r="S184" i="2"/>
  <c r="W187" i="11" s="1"/>
  <c r="K210" i="6"/>
  <c r="M210" i="6" s="1"/>
  <c r="I184" i="2"/>
  <c r="S306" i="2"/>
  <c r="W311" i="11" s="1"/>
  <c r="K104" i="6"/>
  <c r="M104" i="6" s="1"/>
  <c r="I306" i="2"/>
  <c r="I311" i="2"/>
  <c r="K141" i="6"/>
  <c r="M141" i="6" s="1"/>
  <c r="S311" i="2"/>
  <c r="W316" i="11" s="1"/>
  <c r="K69" i="6"/>
  <c r="M69" i="6" s="1"/>
  <c r="S123" i="2"/>
  <c r="W126" i="11" s="1"/>
  <c r="I123" i="2"/>
  <c r="S333" i="2"/>
  <c r="W338" i="11" s="1"/>
  <c r="K271" i="6"/>
  <c r="M271" i="6" s="1"/>
  <c r="I333" i="2"/>
  <c r="K56" i="6"/>
  <c r="M56" i="6" s="1"/>
  <c r="S16" i="2"/>
  <c r="W16" i="11" s="1"/>
  <c r="I16" i="2"/>
  <c r="K15" i="1"/>
  <c r="S134" i="2"/>
  <c r="W137" i="11" s="1"/>
  <c r="K126" i="6"/>
  <c r="M126" i="6" s="1"/>
  <c r="I134" i="2"/>
  <c r="S121" i="2"/>
  <c r="W124" i="11" s="1"/>
  <c r="K67" i="6"/>
  <c r="M67" i="6" s="1"/>
  <c r="I121" i="2"/>
  <c r="K276" i="6"/>
  <c r="M276" i="6" s="1"/>
  <c r="S338" i="2"/>
  <c r="W343" i="11" s="1"/>
  <c r="I338" i="2"/>
  <c r="S127" i="2"/>
  <c r="W130" i="11" s="1"/>
  <c r="K73" i="6"/>
  <c r="M73" i="6" s="1"/>
  <c r="I127" i="2"/>
  <c r="K9" i="1"/>
  <c r="K136" i="2"/>
  <c r="L63" i="1" s="1"/>
  <c r="I139" i="11"/>
  <c r="K170" i="6"/>
  <c r="M170" i="6" s="1"/>
  <c r="I86" i="2"/>
  <c r="S86" i="2"/>
  <c r="W87" i="11" s="1"/>
  <c r="K14" i="1"/>
  <c r="K122" i="1"/>
  <c r="K66" i="6"/>
  <c r="M66" i="6" s="1"/>
  <c r="I52" i="2"/>
  <c r="S52" i="2"/>
  <c r="W53" i="11" s="1"/>
  <c r="K116" i="1"/>
  <c r="K32" i="1"/>
  <c r="K112" i="1"/>
  <c r="S304" i="2"/>
  <c r="W309" i="11" s="1"/>
  <c r="K253" i="6"/>
  <c r="M253" i="6" s="1"/>
  <c r="I304" i="2"/>
  <c r="K207" i="6"/>
  <c r="M207" i="6" s="1"/>
  <c r="S179" i="2"/>
  <c r="W182" i="11" s="1"/>
  <c r="I179" i="2"/>
  <c r="K88" i="1"/>
  <c r="U139" i="11"/>
  <c r="Y139" i="11" s="1"/>
  <c r="AA139" i="11"/>
  <c r="K28" i="1"/>
  <c r="K57" i="1"/>
  <c r="K214" i="6"/>
  <c r="M214" i="6" s="1"/>
  <c r="S188" i="2"/>
  <c r="W191" i="11" s="1"/>
  <c r="I188" i="2"/>
  <c r="S295" i="2"/>
  <c r="W300" i="11" s="1"/>
  <c r="K97" i="6"/>
  <c r="M97" i="6" s="1"/>
  <c r="I295" i="2"/>
  <c r="J84" i="6"/>
  <c r="D231" i="11"/>
  <c r="F85" i="1"/>
  <c r="C85" i="1"/>
  <c r="G85" i="1"/>
  <c r="H85" i="1"/>
  <c r="I85" i="1"/>
  <c r="J85" i="1"/>
  <c r="B85" i="1"/>
  <c r="D85" i="1"/>
  <c r="E85" i="1"/>
  <c r="I185" i="2"/>
  <c r="K211" i="6"/>
  <c r="M211" i="6" s="1"/>
  <c r="S185" i="2"/>
  <c r="W188" i="11" s="1"/>
  <c r="U232" i="11"/>
  <c r="AA232" i="11"/>
  <c r="S310" i="2"/>
  <c r="W315" i="11" s="1"/>
  <c r="K256" i="6"/>
  <c r="M256" i="6" s="1"/>
  <c r="I310" i="2"/>
  <c r="K89" i="1"/>
  <c r="I131" i="2"/>
  <c r="K77" i="6"/>
  <c r="M77" i="6" s="1"/>
  <c r="S131" i="2"/>
  <c r="W134" i="11" s="1"/>
  <c r="K55" i="6"/>
  <c r="M55" i="6" s="1"/>
  <c r="I15" i="2"/>
  <c r="S15" i="2"/>
  <c r="W15" i="11" s="1"/>
  <c r="K120" i="1"/>
  <c r="S285" i="2"/>
  <c r="W290" i="11" s="1"/>
  <c r="K243" i="6"/>
  <c r="M243" i="6" s="1"/>
  <c r="I285" i="2"/>
  <c r="K26" i="1"/>
  <c r="K52" i="1"/>
  <c r="K55" i="1"/>
  <c r="S346" i="2"/>
  <c r="W351" i="11" s="1"/>
  <c r="K282" i="6"/>
  <c r="M282" i="6" s="1"/>
  <c r="I346" i="2"/>
  <c r="K53" i="1"/>
  <c r="K119" i="1"/>
  <c r="S14" i="2"/>
  <c r="W14" i="11" s="1"/>
  <c r="K54" i="6"/>
  <c r="M54" i="6" s="1"/>
  <c r="I14" i="2"/>
  <c r="K94" i="6"/>
  <c r="M94" i="6" s="1"/>
  <c r="I290" i="2"/>
  <c r="S290" i="2"/>
  <c r="W295" i="11" s="1"/>
  <c r="S49" i="2"/>
  <c r="W50" i="11" s="1"/>
  <c r="K63" i="6"/>
  <c r="M63" i="6" s="1"/>
  <c r="I49" i="2"/>
  <c r="S193" i="2"/>
  <c r="W196" i="11" s="1"/>
  <c r="K217" i="6"/>
  <c r="M217" i="6" s="1"/>
  <c r="I193" i="2"/>
  <c r="S178" i="2"/>
  <c r="W181" i="11" s="1"/>
  <c r="K206" i="6"/>
  <c r="M206" i="6" s="1"/>
  <c r="I178" i="2"/>
  <c r="S129" i="2"/>
  <c r="W132" i="11" s="1"/>
  <c r="K75" i="6"/>
  <c r="M75" i="6" s="1"/>
  <c r="I129" i="2"/>
  <c r="K201" i="6"/>
  <c r="M201" i="6" s="1"/>
  <c r="S172" i="2"/>
  <c r="W175" i="11" s="1"/>
  <c r="I172" i="2"/>
  <c r="I294" i="2"/>
  <c r="K96" i="6"/>
  <c r="M96" i="6" s="1"/>
  <c r="S294" i="2"/>
  <c r="W299" i="11" s="1"/>
  <c r="K30" i="1"/>
  <c r="S291" i="2"/>
  <c r="W296" i="11" s="1"/>
  <c r="K248" i="6"/>
  <c r="M248" i="6" s="1"/>
  <c r="I291" i="2"/>
  <c r="S305" i="2"/>
  <c r="W310" i="11" s="1"/>
  <c r="K103" i="6"/>
  <c r="M103" i="6" s="1"/>
  <c r="I305" i="2"/>
  <c r="S10" i="2"/>
  <c r="W10" i="11" s="1"/>
  <c r="I10" i="2"/>
  <c r="I231" i="2"/>
  <c r="I232" i="2"/>
  <c r="S232" i="2"/>
  <c r="W236" i="11" s="1"/>
  <c r="S231" i="2"/>
  <c r="W235" i="11" s="1"/>
  <c r="I230" i="2"/>
  <c r="I46" i="2"/>
  <c r="S46" i="2"/>
  <c r="W47" i="11" s="1"/>
  <c r="S230" i="2"/>
  <c r="W234" i="11" s="1"/>
  <c r="K102" i="1"/>
  <c r="W288" i="11"/>
  <c r="K228" i="2"/>
  <c r="L86" i="1" s="1"/>
  <c r="H225" i="2"/>
  <c r="K82" i="6" s="1"/>
  <c r="M82" i="6" s="1"/>
  <c r="Q396" i="11"/>
  <c r="H224" i="2"/>
  <c r="K81" i="6" s="1"/>
  <c r="M81" i="6" s="1"/>
  <c r="K390" i="4"/>
  <c r="E395" i="11"/>
  <c r="H45" i="2"/>
  <c r="K59" i="6" s="1"/>
  <c r="M59" i="6" s="1"/>
  <c r="G398" i="11"/>
  <c r="Q395" i="11"/>
  <c r="K389" i="4"/>
  <c r="E394" i="11"/>
  <c r="Q394" i="11"/>
  <c r="Q397" i="11"/>
  <c r="K226" i="2"/>
  <c r="L84" i="1" s="1"/>
  <c r="K391" i="4"/>
  <c r="E396" i="11"/>
  <c r="K392" i="4"/>
  <c r="E397" i="11"/>
  <c r="H229" i="2"/>
  <c r="K86" i="6" s="1"/>
  <c r="M86" i="6" s="1"/>
  <c r="D247" i="11"/>
  <c r="H243" i="2"/>
  <c r="K240" i="6" s="1"/>
  <c r="M240" i="6" s="1"/>
  <c r="H227" i="2"/>
  <c r="K84" i="6" s="1"/>
  <c r="M84" i="6" s="1"/>
  <c r="I241" i="4"/>
  <c r="M247" i="4"/>
  <c r="AB247" i="4" s="1"/>
  <c r="L247" i="4"/>
  <c r="AA247" i="4" s="1"/>
  <c r="K247" i="4"/>
  <c r="AB243" i="4"/>
  <c r="M241" i="4"/>
  <c r="U191" i="11" l="1"/>
  <c r="Y191" i="11" s="1"/>
  <c r="AA191" i="11"/>
  <c r="U307" i="11"/>
  <c r="Y307" i="11" s="1"/>
  <c r="AA307" i="11"/>
  <c r="K83" i="1"/>
  <c r="U234" i="11"/>
  <c r="Y234" i="11" s="1"/>
  <c r="AA234" i="11"/>
  <c r="K172" i="2"/>
  <c r="I175" i="11"/>
  <c r="K49" i="2"/>
  <c r="L29" i="1" s="1"/>
  <c r="I50" i="11"/>
  <c r="K15" i="2"/>
  <c r="L13" i="1" s="1"/>
  <c r="I15" i="11"/>
  <c r="K15" i="11" s="1"/>
  <c r="K121" i="2"/>
  <c r="L48" i="1" s="1"/>
  <c r="I124" i="11"/>
  <c r="U184" i="11"/>
  <c r="Y184" i="11" s="1"/>
  <c r="AA184" i="11"/>
  <c r="K126" i="2"/>
  <c r="L53" i="1" s="1"/>
  <c r="I129" i="11"/>
  <c r="K171" i="2"/>
  <c r="I174" i="11"/>
  <c r="U175" i="11"/>
  <c r="Y175" i="11" s="1"/>
  <c r="AA175" i="11"/>
  <c r="U188" i="11"/>
  <c r="Y188" i="11" s="1"/>
  <c r="AA188" i="11"/>
  <c r="K333" i="2"/>
  <c r="I338" i="11"/>
  <c r="U176" i="11"/>
  <c r="Y176" i="11" s="1"/>
  <c r="AA176" i="11"/>
  <c r="K177" i="2"/>
  <c r="I180" i="11"/>
  <c r="K324" i="2"/>
  <c r="I329" i="11"/>
  <c r="U293" i="11"/>
  <c r="Y293" i="11" s="1"/>
  <c r="AA293" i="11"/>
  <c r="U52" i="11"/>
  <c r="Y52" i="11" s="1"/>
  <c r="AA52" i="11"/>
  <c r="K345" i="2"/>
  <c r="I350" i="11"/>
  <c r="U129" i="11"/>
  <c r="Y129" i="11" s="1"/>
  <c r="AA129" i="11"/>
  <c r="K16" i="2"/>
  <c r="L14" i="1" s="1"/>
  <c r="I16" i="11"/>
  <c r="K16" i="11" s="1"/>
  <c r="U16" i="11"/>
  <c r="Y16" i="11" s="1"/>
  <c r="AA16" i="11"/>
  <c r="U187" i="11"/>
  <c r="Y187" i="11" s="1"/>
  <c r="AA187" i="11"/>
  <c r="U189" i="11"/>
  <c r="Y189" i="11" s="1"/>
  <c r="AA189" i="11"/>
  <c r="U310" i="11"/>
  <c r="Y310" i="11" s="1"/>
  <c r="AA310" i="11"/>
  <c r="K346" i="2"/>
  <c r="I351" i="11"/>
  <c r="K86" i="2"/>
  <c r="I87" i="11"/>
  <c r="U198" i="11"/>
  <c r="Y198" i="11" s="1"/>
  <c r="AA198" i="11"/>
  <c r="U312" i="11"/>
  <c r="Y312" i="11" s="1"/>
  <c r="AA312" i="11"/>
  <c r="U47" i="11"/>
  <c r="Y47" i="11" s="1"/>
  <c r="AA47" i="11"/>
  <c r="U311" i="11"/>
  <c r="Y311" i="11" s="1"/>
  <c r="AA311" i="11"/>
  <c r="K46" i="2"/>
  <c r="L26" i="1" s="1"/>
  <c r="I47" i="11"/>
  <c r="U50" i="11"/>
  <c r="Y50" i="11" s="1"/>
  <c r="AA50" i="11"/>
  <c r="U351" i="11"/>
  <c r="Y351" i="11" s="1"/>
  <c r="AA351" i="11"/>
  <c r="K139" i="11"/>
  <c r="O139" i="11" s="1"/>
  <c r="M139" i="11"/>
  <c r="U124" i="11"/>
  <c r="Y124" i="11" s="1"/>
  <c r="AA124" i="11"/>
  <c r="U12" i="11"/>
  <c r="Y12" i="11" s="1"/>
  <c r="AA12" i="11"/>
  <c r="K195" i="2"/>
  <c r="I198" i="11"/>
  <c r="U180" i="11"/>
  <c r="Y180" i="11" s="1"/>
  <c r="AA180" i="11"/>
  <c r="K298" i="2"/>
  <c r="L117" i="1" s="1"/>
  <c r="I303" i="11"/>
  <c r="U48" i="11"/>
  <c r="Y48" i="11" s="1"/>
  <c r="AA48" i="11"/>
  <c r="U350" i="11"/>
  <c r="Y350" i="11" s="1"/>
  <c r="AA350" i="11"/>
  <c r="K181" i="2"/>
  <c r="I184" i="11"/>
  <c r="K87" i="1"/>
  <c r="K293" i="2"/>
  <c r="L112" i="1" s="1"/>
  <c r="I298" i="11"/>
  <c r="U174" i="11"/>
  <c r="Y174" i="11" s="1"/>
  <c r="AA174" i="11"/>
  <c r="K25" i="1"/>
  <c r="K125" i="2"/>
  <c r="L52" i="1" s="1"/>
  <c r="I128" i="11"/>
  <c r="U315" i="11"/>
  <c r="Y315" i="11" s="1"/>
  <c r="AA315" i="11"/>
  <c r="AA343" i="11"/>
  <c r="U343" i="11"/>
  <c r="Y343" i="11" s="1"/>
  <c r="U196" i="11"/>
  <c r="Y196" i="11" s="1"/>
  <c r="AA196" i="11"/>
  <c r="U15" i="11"/>
  <c r="Y15" i="11" s="1"/>
  <c r="AA15" i="11"/>
  <c r="U87" i="11"/>
  <c r="Y87" i="11" s="1"/>
  <c r="AA87" i="11"/>
  <c r="K306" i="2"/>
  <c r="L125" i="1" s="1"/>
  <c r="I311" i="11"/>
  <c r="K288" i="2"/>
  <c r="L107" i="1" s="1"/>
  <c r="I293" i="11"/>
  <c r="K51" i="2"/>
  <c r="L31" i="1" s="1"/>
  <c r="I52" i="11"/>
  <c r="K300" i="2"/>
  <c r="L119" i="1" s="1"/>
  <c r="I305" i="11"/>
  <c r="U309" i="11"/>
  <c r="Y309" i="11" s="1"/>
  <c r="AA309" i="11"/>
  <c r="K12" i="2"/>
  <c r="L10" i="1" s="1"/>
  <c r="I12" i="11"/>
  <c r="K12" i="11" s="1"/>
  <c r="K173" i="2"/>
  <c r="I176" i="11"/>
  <c r="U133" i="11"/>
  <c r="Y133" i="11" s="1"/>
  <c r="AA133" i="11"/>
  <c r="U186" i="11"/>
  <c r="Y186" i="11" s="1"/>
  <c r="AA186" i="11"/>
  <c r="U128" i="11"/>
  <c r="Y128" i="11" s="1"/>
  <c r="AA128" i="11"/>
  <c r="K291" i="2"/>
  <c r="L110" i="1" s="1"/>
  <c r="I296" i="11"/>
  <c r="K230" i="2"/>
  <c r="L88" i="1" s="1"/>
  <c r="I234" i="11"/>
  <c r="U296" i="11"/>
  <c r="Y296" i="11" s="1"/>
  <c r="AA296" i="11"/>
  <c r="K129" i="2"/>
  <c r="L56" i="1" s="1"/>
  <c r="I132" i="11"/>
  <c r="U134" i="11"/>
  <c r="Y134" i="11" s="1"/>
  <c r="AA134" i="11"/>
  <c r="K185" i="2"/>
  <c r="I188" i="11"/>
  <c r="K134" i="2"/>
  <c r="L61" i="1" s="1"/>
  <c r="I137" i="11"/>
  <c r="U338" i="11"/>
  <c r="Y338" i="11" s="1"/>
  <c r="AA338" i="11"/>
  <c r="K48" i="2"/>
  <c r="L28" i="1" s="1"/>
  <c r="I49" i="11"/>
  <c r="U329" i="11"/>
  <c r="Y329" i="11" s="1"/>
  <c r="AA329" i="11"/>
  <c r="K47" i="2"/>
  <c r="L27" i="1" s="1"/>
  <c r="I48" i="11"/>
  <c r="U167" i="11"/>
  <c r="Y167" i="11" s="1"/>
  <c r="AA167" i="11"/>
  <c r="K84" i="2"/>
  <c r="I85" i="11"/>
  <c r="K132" i="2"/>
  <c r="L59" i="1" s="1"/>
  <c r="I135" i="11"/>
  <c r="U298" i="11"/>
  <c r="Y298" i="11" s="1"/>
  <c r="AA298" i="11"/>
  <c r="M168" i="6"/>
  <c r="U135" i="11"/>
  <c r="Y135" i="11" s="1"/>
  <c r="AA135" i="11"/>
  <c r="K11" i="2"/>
  <c r="L9" i="1" s="1"/>
  <c r="I11" i="11"/>
  <c r="K11" i="11" s="1"/>
  <c r="U299" i="11"/>
  <c r="Y299" i="11" s="1"/>
  <c r="AA299" i="11"/>
  <c r="K294" i="2"/>
  <c r="L113" i="1" s="1"/>
  <c r="I299" i="11"/>
  <c r="U235" i="11"/>
  <c r="Y235" i="11" s="1"/>
  <c r="AA235" i="11"/>
  <c r="U51" i="11"/>
  <c r="Y51" i="11" s="1"/>
  <c r="AA51" i="11"/>
  <c r="U236" i="11"/>
  <c r="Y236" i="11" s="1"/>
  <c r="AA236" i="11"/>
  <c r="K290" i="2"/>
  <c r="L109" i="1" s="1"/>
  <c r="I295" i="11"/>
  <c r="U178" i="11"/>
  <c r="Y178" i="11" s="1"/>
  <c r="AA178" i="11"/>
  <c r="K50" i="2"/>
  <c r="L30" i="1" s="1"/>
  <c r="I51" i="11"/>
  <c r="U85" i="11"/>
  <c r="Y85" i="11" s="1"/>
  <c r="AA85" i="11"/>
  <c r="U181" i="11"/>
  <c r="Y181" i="11" s="1"/>
  <c r="AA181" i="11"/>
  <c r="K295" i="2"/>
  <c r="L114" i="1" s="1"/>
  <c r="I300" i="11"/>
  <c r="K289" i="2"/>
  <c r="L108" i="1" s="1"/>
  <c r="I294" i="11"/>
  <c r="K323" i="2"/>
  <c r="I328" i="11"/>
  <c r="U303" i="11"/>
  <c r="Y303" i="11" s="1"/>
  <c r="AA303" i="11"/>
  <c r="K164" i="2"/>
  <c r="I167" i="11"/>
  <c r="U132" i="11"/>
  <c r="Y132" i="11" s="1"/>
  <c r="AA132" i="11"/>
  <c r="K131" i="2"/>
  <c r="L58" i="1" s="1"/>
  <c r="I134" i="11"/>
  <c r="U137" i="11"/>
  <c r="Y137" i="11" s="1"/>
  <c r="AA137" i="11"/>
  <c r="K123" i="2"/>
  <c r="L50" i="1" s="1"/>
  <c r="I126" i="11"/>
  <c r="U49" i="11"/>
  <c r="Y49" i="11" s="1"/>
  <c r="AA49" i="11"/>
  <c r="K194" i="2"/>
  <c r="I197" i="11"/>
  <c r="K133" i="2"/>
  <c r="L60" i="1" s="1"/>
  <c r="I136" i="11"/>
  <c r="K232" i="2"/>
  <c r="L90" i="1" s="1"/>
  <c r="I236" i="11"/>
  <c r="K178" i="2"/>
  <c r="I181" i="11"/>
  <c r="U300" i="11"/>
  <c r="Y300" i="11" s="1"/>
  <c r="AA300" i="11"/>
  <c r="U53" i="11"/>
  <c r="Y53" i="11" s="1"/>
  <c r="AA53" i="11"/>
  <c r="K127" i="2"/>
  <c r="L54" i="1" s="1"/>
  <c r="I130" i="11"/>
  <c r="U126" i="11"/>
  <c r="Y126" i="11" s="1"/>
  <c r="AA126" i="11"/>
  <c r="K19" i="11"/>
  <c r="O19" i="11" s="1"/>
  <c r="M19" i="11"/>
  <c r="U197" i="11"/>
  <c r="Y197" i="11" s="1"/>
  <c r="AA197" i="11"/>
  <c r="K82" i="1"/>
  <c r="U294" i="11"/>
  <c r="Y294" i="11" s="1"/>
  <c r="AA294" i="11"/>
  <c r="U328" i="11"/>
  <c r="Y328" i="11" s="1"/>
  <c r="AA328" i="11"/>
  <c r="K334" i="2"/>
  <c r="I339" i="11"/>
  <c r="U131" i="11"/>
  <c r="Y131" i="11" s="1"/>
  <c r="AA131" i="11"/>
  <c r="U11" i="11"/>
  <c r="Y11" i="11" s="1"/>
  <c r="AA11" i="11"/>
  <c r="U182" i="11"/>
  <c r="Y182" i="11" s="1"/>
  <c r="AA182" i="11"/>
  <c r="K305" i="2"/>
  <c r="L124" i="1" s="1"/>
  <c r="I310" i="11"/>
  <c r="K304" i="2"/>
  <c r="L123" i="1" s="1"/>
  <c r="I309" i="11"/>
  <c r="U295" i="11"/>
  <c r="Y295" i="11" s="1"/>
  <c r="AA295" i="11"/>
  <c r="K231" i="2"/>
  <c r="L89" i="1" s="1"/>
  <c r="I235" i="11"/>
  <c r="K14" i="2"/>
  <c r="L12" i="1" s="1"/>
  <c r="I14" i="11"/>
  <c r="K14" i="11" s="1"/>
  <c r="K285" i="2"/>
  <c r="L104" i="1" s="1"/>
  <c r="I290" i="11"/>
  <c r="K85" i="1"/>
  <c r="K188" i="2"/>
  <c r="I191" i="11"/>
  <c r="K179" i="2"/>
  <c r="I182" i="11"/>
  <c r="K52" i="2"/>
  <c r="L32" i="1" s="1"/>
  <c r="I53" i="11"/>
  <c r="K297" i="2"/>
  <c r="L116" i="1" s="1"/>
  <c r="I302" i="11"/>
  <c r="K192" i="2"/>
  <c r="I195" i="11"/>
  <c r="U136" i="11"/>
  <c r="Y136" i="11" s="1"/>
  <c r="AA136" i="11"/>
  <c r="K284" i="2"/>
  <c r="L103" i="1" s="1"/>
  <c r="I289" i="11"/>
  <c r="K175" i="2"/>
  <c r="I178" i="11"/>
  <c r="U172" i="11"/>
  <c r="Y172" i="11" s="1"/>
  <c r="AA172" i="11"/>
  <c r="K128" i="2"/>
  <c r="L55" i="1" s="1"/>
  <c r="I131" i="11"/>
  <c r="U190" i="11"/>
  <c r="Y190" i="11" s="1"/>
  <c r="AA190" i="11"/>
  <c r="U339" i="11"/>
  <c r="Y339" i="11" s="1"/>
  <c r="AA339" i="11"/>
  <c r="K301" i="2"/>
  <c r="L120" i="1" s="1"/>
  <c r="I306" i="11"/>
  <c r="K10" i="2"/>
  <c r="L8" i="1" s="1"/>
  <c r="I10" i="11"/>
  <c r="K10" i="11" s="1"/>
  <c r="K310" i="2"/>
  <c r="L129" i="1" s="1"/>
  <c r="I315" i="11"/>
  <c r="U130" i="11"/>
  <c r="Y130" i="11" s="1"/>
  <c r="AA130" i="11"/>
  <c r="U316" i="11"/>
  <c r="Y316" i="11" s="1"/>
  <c r="AA316" i="11"/>
  <c r="K299" i="2"/>
  <c r="L118" i="1" s="1"/>
  <c r="I304" i="11"/>
  <c r="U195" i="11"/>
  <c r="Y195" i="11" s="1"/>
  <c r="AA195" i="11"/>
  <c r="K17" i="2"/>
  <c r="L15" i="1" s="1"/>
  <c r="I17" i="11"/>
  <c r="K17" i="11" s="1"/>
  <c r="U10" i="11"/>
  <c r="Y10" i="11" s="1"/>
  <c r="AA10" i="11"/>
  <c r="K193" i="2"/>
  <c r="I196" i="11"/>
  <c r="U14" i="11"/>
  <c r="Y14" i="11" s="1"/>
  <c r="AA14" i="11"/>
  <c r="U290" i="11"/>
  <c r="Y290" i="11" s="1"/>
  <c r="AA290" i="11"/>
  <c r="K338" i="2"/>
  <c r="I343" i="11"/>
  <c r="K184" i="2"/>
  <c r="I187" i="11"/>
  <c r="U179" i="11"/>
  <c r="Y179" i="11" s="1"/>
  <c r="AA179" i="11"/>
  <c r="K302" i="2"/>
  <c r="L121" i="1" s="1"/>
  <c r="I307" i="11"/>
  <c r="U302" i="11"/>
  <c r="Y302" i="11" s="1"/>
  <c r="AA302" i="11"/>
  <c r="U289" i="11"/>
  <c r="Y289" i="11" s="1"/>
  <c r="AA289" i="11"/>
  <c r="K169" i="2"/>
  <c r="I172" i="11"/>
  <c r="U305" i="11"/>
  <c r="Y305" i="11" s="1"/>
  <c r="AA305" i="11"/>
  <c r="K122" i="2"/>
  <c r="L49" i="1" s="1"/>
  <c r="I125" i="11"/>
  <c r="K303" i="2"/>
  <c r="L122" i="1" s="1"/>
  <c r="I308" i="11"/>
  <c r="K311" i="2"/>
  <c r="L130" i="1" s="1"/>
  <c r="I316" i="11"/>
  <c r="K176" i="2"/>
  <c r="I179" i="11"/>
  <c r="U304" i="11"/>
  <c r="Y304" i="11" s="1"/>
  <c r="AA304" i="11"/>
  <c r="K186" i="2"/>
  <c r="I189" i="11"/>
  <c r="K307" i="2"/>
  <c r="L126" i="1" s="1"/>
  <c r="I312" i="11"/>
  <c r="U17" i="11"/>
  <c r="Y17" i="11" s="1"/>
  <c r="AA17" i="11"/>
  <c r="K130" i="2"/>
  <c r="L57" i="1" s="1"/>
  <c r="I133" i="11"/>
  <c r="K187" i="2"/>
  <c r="I190" i="11"/>
  <c r="K183" i="2"/>
  <c r="I186" i="11"/>
  <c r="U306" i="11"/>
  <c r="Y306" i="11" s="1"/>
  <c r="AA306" i="11"/>
  <c r="U125" i="11"/>
  <c r="Y125" i="11" s="1"/>
  <c r="AA125" i="11"/>
  <c r="U308" i="11"/>
  <c r="Y308" i="11" s="1"/>
  <c r="AA308" i="11"/>
  <c r="L102" i="1"/>
  <c r="I288" i="11"/>
  <c r="U288" i="11"/>
  <c r="Y288" i="11" s="1"/>
  <c r="AA288" i="11"/>
  <c r="G395" i="11"/>
  <c r="S243" i="2"/>
  <c r="W247" i="11" s="1"/>
  <c r="I243" i="2"/>
  <c r="S225" i="2"/>
  <c r="W229" i="11" s="1"/>
  <c r="I225" i="2"/>
  <c r="I229" i="11" s="1"/>
  <c r="G397" i="11"/>
  <c r="G394" i="11"/>
  <c r="I227" i="2"/>
  <c r="I231" i="11" s="1"/>
  <c r="S227" i="2"/>
  <c r="W231" i="11" s="1"/>
  <c r="I229" i="2"/>
  <c r="I233" i="11" s="1"/>
  <c r="S229" i="2"/>
  <c r="W233" i="11" s="1"/>
  <c r="G396" i="11"/>
  <c r="S45" i="2"/>
  <c r="W46" i="11" s="1"/>
  <c r="I45" i="2"/>
  <c r="I46" i="11" s="1"/>
  <c r="I224" i="2"/>
  <c r="I228" i="11" s="1"/>
  <c r="S224" i="2"/>
  <c r="W228" i="11" s="1"/>
  <c r="AB241" i="4"/>
  <c r="M248" i="4"/>
  <c r="K241" i="4"/>
  <c r="K248" i="4" s="1"/>
  <c r="I248" i="4"/>
  <c r="I226" i="4"/>
  <c r="Q226" i="4"/>
  <c r="R230" i="11" s="1"/>
  <c r="L226" i="4"/>
  <c r="G226" i="4"/>
  <c r="C230" i="11" s="1"/>
  <c r="Q228" i="4"/>
  <c r="R232" i="11" s="1"/>
  <c r="I228" i="4"/>
  <c r="E232" i="11" s="1"/>
  <c r="G228" i="4"/>
  <c r="C232" i="11" s="1"/>
  <c r="Z323" i="4"/>
  <c r="Z324" i="4"/>
  <c r="Z328" i="4"/>
  <c r="Z333" i="4"/>
  <c r="Z334" i="4"/>
  <c r="Z337" i="4"/>
  <c r="Z338" i="4"/>
  <c r="Z345" i="4"/>
  <c r="Z346" i="4"/>
  <c r="AB323" i="4"/>
  <c r="AB324" i="4"/>
  <c r="AB328" i="4"/>
  <c r="AB333" i="4"/>
  <c r="AB334" i="4"/>
  <c r="AB337" i="4"/>
  <c r="AB338" i="4"/>
  <c r="AB345" i="4"/>
  <c r="AB346"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AB283" i="4"/>
  <c r="AB284" i="4"/>
  <c r="AB285" i="4"/>
  <c r="AB286" i="4"/>
  <c r="AB287" i="4"/>
  <c r="AB288" i="4"/>
  <c r="AB289" i="4"/>
  <c r="AB290" i="4"/>
  <c r="AB291" i="4"/>
  <c r="AB292" i="4"/>
  <c r="AB293" i="4"/>
  <c r="AB294" i="4"/>
  <c r="AB295" i="4"/>
  <c r="AB296" i="4"/>
  <c r="AB297" i="4"/>
  <c r="AB298" i="4"/>
  <c r="AB299" i="4"/>
  <c r="AB300" i="4"/>
  <c r="AB301" i="4"/>
  <c r="AB302" i="4"/>
  <c r="AB303" i="4"/>
  <c r="AB304" i="4"/>
  <c r="AB305" i="4"/>
  <c r="AB306" i="4"/>
  <c r="AB307" i="4"/>
  <c r="AB308" i="4"/>
  <c r="AB309" i="4"/>
  <c r="AB310" i="4"/>
  <c r="AB311" i="4"/>
  <c r="AA284" i="4"/>
  <c r="AA285" i="4"/>
  <c r="AA286" i="4"/>
  <c r="AA288" i="4"/>
  <c r="AA292" i="4"/>
  <c r="AA293" i="4"/>
  <c r="AA295" i="4"/>
  <c r="AA296" i="4"/>
  <c r="AA299" i="4"/>
  <c r="AA301" i="4"/>
  <c r="AA302" i="4"/>
  <c r="AA304" i="4"/>
  <c r="AA305" i="4"/>
  <c r="AA307" i="4"/>
  <c r="AA308" i="4"/>
  <c r="AA309" i="4"/>
  <c r="AA328" i="4"/>
  <c r="AA333" i="4"/>
  <c r="AA334" i="4"/>
  <c r="AA337" i="4"/>
  <c r="AA338" i="4"/>
  <c r="K187" i="11" l="1"/>
  <c r="O187" i="11" s="1"/>
  <c r="M187" i="11"/>
  <c r="K128" i="11"/>
  <c r="O128" i="11" s="1"/>
  <c r="M128" i="11"/>
  <c r="M232" i="11"/>
  <c r="G232" i="11"/>
  <c r="O232" i="11" s="1"/>
  <c r="K46" i="11"/>
  <c r="O46" i="11" s="1"/>
  <c r="M46" i="11"/>
  <c r="K186" i="11"/>
  <c r="O186" i="11" s="1"/>
  <c r="M186" i="11"/>
  <c r="K172" i="11"/>
  <c r="O172" i="11" s="1"/>
  <c r="M172" i="11"/>
  <c r="M343" i="11"/>
  <c r="K343" i="11"/>
  <c r="O343" i="11" s="1"/>
  <c r="K306" i="11"/>
  <c r="O306" i="11" s="1"/>
  <c r="M306" i="11"/>
  <c r="K289" i="11"/>
  <c r="O289" i="11" s="1"/>
  <c r="M289" i="11"/>
  <c r="K191" i="11"/>
  <c r="O191" i="11" s="1"/>
  <c r="M191" i="11"/>
  <c r="K51" i="11"/>
  <c r="O51" i="11" s="1"/>
  <c r="M51" i="11"/>
  <c r="K299" i="11"/>
  <c r="O299" i="11" s="1"/>
  <c r="M299" i="11"/>
  <c r="K135" i="11"/>
  <c r="O135" i="11" s="1"/>
  <c r="M135" i="11"/>
  <c r="K234" i="11"/>
  <c r="O234" i="11" s="1"/>
  <c r="M234" i="11"/>
  <c r="K303" i="11"/>
  <c r="O303" i="11" s="1"/>
  <c r="M303" i="11"/>
  <c r="K329" i="11"/>
  <c r="O329" i="11" s="1"/>
  <c r="M329" i="11"/>
  <c r="K174" i="11"/>
  <c r="O174" i="11" s="1"/>
  <c r="M174" i="11"/>
  <c r="K175" i="11"/>
  <c r="O175" i="11" s="1"/>
  <c r="M175" i="11"/>
  <c r="K339" i="11"/>
  <c r="O339" i="11" s="1"/>
  <c r="M339" i="11"/>
  <c r="K130" i="11"/>
  <c r="O130" i="11" s="1"/>
  <c r="M130" i="11"/>
  <c r="K49" i="11"/>
  <c r="O49" i="11" s="1"/>
  <c r="M49" i="11"/>
  <c r="K309" i="11"/>
  <c r="O309" i="11" s="1"/>
  <c r="M309" i="11"/>
  <c r="Q232" i="11"/>
  <c r="Y232" i="11" s="1"/>
  <c r="Z232" i="11"/>
  <c r="U46" i="11"/>
  <c r="Y46" i="11" s="1"/>
  <c r="AA46" i="11"/>
  <c r="K310" i="11"/>
  <c r="O310" i="11" s="1"/>
  <c r="M310" i="11"/>
  <c r="U229" i="11"/>
  <c r="Y229" i="11" s="1"/>
  <c r="AA229" i="11"/>
  <c r="K311" i="11"/>
  <c r="O311" i="11" s="1"/>
  <c r="M311" i="11"/>
  <c r="K228" i="11"/>
  <c r="O228" i="11" s="1"/>
  <c r="M228" i="11"/>
  <c r="K190" i="11"/>
  <c r="O190" i="11" s="1"/>
  <c r="M190" i="11"/>
  <c r="K179" i="11"/>
  <c r="O179" i="11" s="1"/>
  <c r="M179" i="11"/>
  <c r="K304" i="11"/>
  <c r="O304" i="11" s="1"/>
  <c r="M304" i="11"/>
  <c r="K126" i="11"/>
  <c r="O126" i="11" s="1"/>
  <c r="M126" i="11"/>
  <c r="K328" i="11"/>
  <c r="O328" i="11" s="1"/>
  <c r="M328" i="11"/>
  <c r="K85" i="11"/>
  <c r="O85" i="11" s="1"/>
  <c r="M85" i="11"/>
  <c r="K137" i="11"/>
  <c r="O137" i="11" s="1"/>
  <c r="M137" i="11"/>
  <c r="K296" i="11"/>
  <c r="O296" i="11" s="1"/>
  <c r="M296" i="11"/>
  <c r="K87" i="11"/>
  <c r="O87" i="11" s="1"/>
  <c r="M87" i="11"/>
  <c r="K180" i="11"/>
  <c r="O180" i="11" s="1"/>
  <c r="M180" i="11"/>
  <c r="K129" i="11"/>
  <c r="O129" i="11" s="1"/>
  <c r="M129" i="11"/>
  <c r="K176" i="11"/>
  <c r="O176" i="11" s="1"/>
  <c r="M176" i="11"/>
  <c r="K290" i="11"/>
  <c r="O290" i="11" s="1"/>
  <c r="M290" i="11"/>
  <c r="K298" i="11"/>
  <c r="O298" i="11" s="1"/>
  <c r="M298" i="11"/>
  <c r="K182" i="11"/>
  <c r="O182" i="11" s="1"/>
  <c r="M182" i="11"/>
  <c r="Q230" i="11"/>
  <c r="Y230" i="11" s="1"/>
  <c r="Z230" i="11"/>
  <c r="K233" i="11"/>
  <c r="O233" i="11" s="1"/>
  <c r="M233" i="11"/>
  <c r="K133" i="11"/>
  <c r="O133" i="11" s="1"/>
  <c r="M133" i="11"/>
  <c r="K316" i="11"/>
  <c r="O316" i="11" s="1"/>
  <c r="M316" i="11"/>
  <c r="K195" i="11"/>
  <c r="O195" i="11" s="1"/>
  <c r="M195" i="11"/>
  <c r="K181" i="11"/>
  <c r="O181" i="11" s="1"/>
  <c r="M181" i="11"/>
  <c r="K294" i="11"/>
  <c r="O294" i="11" s="1"/>
  <c r="M294" i="11"/>
  <c r="K295" i="11"/>
  <c r="O295" i="11" s="1"/>
  <c r="M295" i="11"/>
  <c r="K188" i="11"/>
  <c r="O188" i="11" s="1"/>
  <c r="M188" i="11"/>
  <c r="K305" i="11"/>
  <c r="O305" i="11" s="1"/>
  <c r="M305" i="11"/>
  <c r="K198" i="11"/>
  <c r="O198" i="11" s="1"/>
  <c r="M198" i="11"/>
  <c r="K47" i="11"/>
  <c r="O47" i="11" s="1"/>
  <c r="M47" i="11"/>
  <c r="K351" i="11"/>
  <c r="O351" i="11" s="1"/>
  <c r="M351" i="11"/>
  <c r="K189" i="11"/>
  <c r="O189" i="11" s="1"/>
  <c r="M189" i="11"/>
  <c r="K197" i="11"/>
  <c r="O197" i="11" s="1"/>
  <c r="M197" i="11"/>
  <c r="U231" i="11"/>
  <c r="Y231" i="11" s="1"/>
  <c r="AA231" i="11"/>
  <c r="K50" i="11"/>
  <c r="O50" i="11" s="1"/>
  <c r="M50" i="11"/>
  <c r="U233" i="11"/>
  <c r="Y233" i="11" s="1"/>
  <c r="AA233" i="11"/>
  <c r="E89" i="7"/>
  <c r="E230" i="11"/>
  <c r="K231" i="11"/>
  <c r="O231" i="11" s="1"/>
  <c r="M231" i="11"/>
  <c r="K308" i="11"/>
  <c r="O308" i="11" s="1"/>
  <c r="M308" i="11"/>
  <c r="K307" i="11"/>
  <c r="O307" i="11" s="1"/>
  <c r="M307" i="11"/>
  <c r="K196" i="11"/>
  <c r="O196" i="11" s="1"/>
  <c r="M196" i="11"/>
  <c r="K131" i="11"/>
  <c r="O131" i="11" s="1"/>
  <c r="M131" i="11"/>
  <c r="K302" i="11"/>
  <c r="O302" i="11" s="1"/>
  <c r="M302" i="11"/>
  <c r="K236" i="11"/>
  <c r="O236" i="11" s="1"/>
  <c r="M236" i="11"/>
  <c r="K134" i="11"/>
  <c r="O134" i="11" s="1"/>
  <c r="M134" i="11"/>
  <c r="K300" i="11"/>
  <c r="O300" i="11" s="1"/>
  <c r="M300" i="11"/>
  <c r="K48" i="11"/>
  <c r="O48" i="11" s="1"/>
  <c r="M48" i="11"/>
  <c r="K52" i="11"/>
  <c r="O52" i="11" s="1"/>
  <c r="M52" i="11"/>
  <c r="K184" i="11"/>
  <c r="O184" i="11" s="1"/>
  <c r="M184" i="11"/>
  <c r="K350" i="11"/>
  <c r="O350" i="11" s="1"/>
  <c r="M350" i="11"/>
  <c r="K338" i="11"/>
  <c r="O338" i="11" s="1"/>
  <c r="M338" i="11"/>
  <c r="K124" i="11"/>
  <c r="O124" i="11" s="1"/>
  <c r="M124" i="11"/>
  <c r="K167" i="11"/>
  <c r="O167" i="11" s="1"/>
  <c r="M167" i="11"/>
  <c r="K235" i="11"/>
  <c r="O235" i="11" s="1"/>
  <c r="M235" i="11"/>
  <c r="K229" i="11"/>
  <c r="O229" i="11" s="1"/>
  <c r="M229" i="11"/>
  <c r="U228" i="11"/>
  <c r="Y228" i="11" s="1"/>
  <c r="AA228" i="11"/>
  <c r="K178" i="11"/>
  <c r="O178" i="11" s="1"/>
  <c r="M178" i="11"/>
  <c r="K312" i="11"/>
  <c r="O312" i="11" s="1"/>
  <c r="M312" i="11"/>
  <c r="K125" i="11"/>
  <c r="O125" i="11" s="1"/>
  <c r="M125" i="11"/>
  <c r="K315" i="11"/>
  <c r="O315" i="11" s="1"/>
  <c r="M315" i="11"/>
  <c r="K53" i="11"/>
  <c r="O53" i="11" s="1"/>
  <c r="M53" i="11"/>
  <c r="K136" i="11"/>
  <c r="O136" i="11" s="1"/>
  <c r="M136" i="11"/>
  <c r="K132" i="11"/>
  <c r="O132" i="11" s="1"/>
  <c r="M132" i="11"/>
  <c r="K293" i="11"/>
  <c r="O293" i="11" s="1"/>
  <c r="M293" i="11"/>
  <c r="F87" i="3"/>
  <c r="E87" i="3"/>
  <c r="G87" i="3"/>
  <c r="H87" i="3"/>
  <c r="I87" i="3"/>
  <c r="C87" i="3"/>
  <c r="J87" i="3"/>
  <c r="K87" i="3"/>
  <c r="D87" i="3"/>
  <c r="D85" i="3"/>
  <c r="E85" i="3"/>
  <c r="F85" i="3"/>
  <c r="G85" i="3"/>
  <c r="H85" i="3"/>
  <c r="I85" i="3"/>
  <c r="C85" i="3"/>
  <c r="J85" i="3"/>
  <c r="K85" i="3"/>
  <c r="E91" i="7"/>
  <c r="K288" i="11"/>
  <c r="O288" i="11" s="1"/>
  <c r="M288" i="11"/>
  <c r="K228" i="4"/>
  <c r="L87" i="3" s="1"/>
  <c r="K227" i="2"/>
  <c r="L85" i="1" s="1"/>
  <c r="K226" i="4"/>
  <c r="L85" i="3" s="1"/>
  <c r="K224" i="2"/>
  <c r="L82" i="1" s="1"/>
  <c r="I247" i="11"/>
  <c r="K243" i="2"/>
  <c r="AA247" i="11"/>
  <c r="U247" i="11"/>
  <c r="Y247" i="11" s="1"/>
  <c r="K45" i="2"/>
  <c r="L25" i="1" s="1"/>
  <c r="K229" i="2"/>
  <c r="L87" i="1" s="1"/>
  <c r="K225" i="2"/>
  <c r="L83" i="1" s="1"/>
  <c r="AA310" i="4"/>
  <c r="AA303" i="4"/>
  <c r="AA298" i="4"/>
  <c r="AA294" i="4"/>
  <c r="AA291" i="4"/>
  <c r="AA287" i="4"/>
  <c r="AA324" i="4"/>
  <c r="AA297" i="4"/>
  <c r="AA290" i="4"/>
  <c r="AA346" i="4"/>
  <c r="AA323" i="4"/>
  <c r="AA311" i="4"/>
  <c r="AA306" i="4"/>
  <c r="AA300" i="4"/>
  <c r="AA289" i="4"/>
  <c r="AA283" i="4"/>
  <c r="AA345" i="4"/>
  <c r="I10" i="4"/>
  <c r="I11" i="4"/>
  <c r="I12" i="4"/>
  <c r="I14" i="4"/>
  <c r="I15" i="4"/>
  <c r="I16" i="4"/>
  <c r="I17" i="4"/>
  <c r="I18" i="4"/>
  <c r="AA45" i="4"/>
  <c r="AA49" i="4"/>
  <c r="AA50" i="4"/>
  <c r="AA52" i="4"/>
  <c r="F91" i="7" l="1"/>
  <c r="K91" i="7"/>
  <c r="F89" i="7"/>
  <c r="K89" i="7"/>
  <c r="E17" i="11"/>
  <c r="E13" i="7"/>
  <c r="E16" i="11"/>
  <c r="E12" i="7"/>
  <c r="G230" i="11"/>
  <c r="O230" i="11" s="1"/>
  <c r="M230" i="11"/>
  <c r="E18" i="11"/>
  <c r="E14" i="7"/>
  <c r="E12" i="11"/>
  <c r="E8" i="7"/>
  <c r="E11" i="11"/>
  <c r="E7" i="7"/>
  <c r="E10" i="11"/>
  <c r="E6" i="7"/>
  <c r="E15" i="11"/>
  <c r="E11" i="7"/>
  <c r="E14" i="11"/>
  <c r="E10" i="7"/>
  <c r="K12" i="4"/>
  <c r="L11" i="3" s="1"/>
  <c r="K247" i="11"/>
  <c r="O247" i="11" s="1"/>
  <c r="M247" i="11"/>
  <c r="K18" i="4"/>
  <c r="L17" i="3" s="1"/>
  <c r="K11" i="4"/>
  <c r="L10" i="3" s="1"/>
  <c r="K16" i="4"/>
  <c r="L15" i="3" s="1"/>
  <c r="K17" i="4"/>
  <c r="L16" i="3" s="1"/>
  <c r="K10" i="4"/>
  <c r="L9" i="3" s="1"/>
  <c r="K15" i="4"/>
  <c r="L14" i="3" s="1"/>
  <c r="K14" i="4"/>
  <c r="L13" i="3" s="1"/>
  <c r="AA243" i="4"/>
  <c r="G241" i="4"/>
  <c r="L241" i="4"/>
  <c r="I158" i="4"/>
  <c r="F10" i="7" l="1"/>
  <c r="K10" i="7"/>
  <c r="F14" i="7"/>
  <c r="K14" i="7"/>
  <c r="F11" i="7"/>
  <c r="K11" i="7"/>
  <c r="F7" i="7"/>
  <c r="K7" i="7"/>
  <c r="F12" i="7"/>
  <c r="K12" i="7"/>
  <c r="F6" i="7"/>
  <c r="K6" i="7"/>
  <c r="F13" i="7"/>
  <c r="K13" i="7"/>
  <c r="F8" i="7"/>
  <c r="K8" i="7"/>
  <c r="M15" i="11"/>
  <c r="G15" i="11"/>
  <c r="O15" i="11" s="1"/>
  <c r="G16" i="11"/>
  <c r="O16" i="11" s="1"/>
  <c r="M16" i="11"/>
  <c r="M10" i="11"/>
  <c r="G10" i="11"/>
  <c r="O10" i="11" s="1"/>
  <c r="G17" i="11"/>
  <c r="O17" i="11" s="1"/>
  <c r="M17" i="11"/>
  <c r="M14" i="11"/>
  <c r="G14" i="11"/>
  <c r="O14" i="11" s="1"/>
  <c r="M18" i="11"/>
  <c r="G18" i="11"/>
  <c r="O18" i="11" s="1"/>
  <c r="M11" i="11"/>
  <c r="G11" i="11"/>
  <c r="O11" i="11" s="1"/>
  <c r="M12" i="11"/>
  <c r="G12" i="11"/>
  <c r="O12" i="11" s="1"/>
  <c r="G158" i="4"/>
  <c r="AA241" i="4"/>
  <c r="L248" i="4"/>
  <c r="AA48" i="4"/>
  <c r="AA46" i="4"/>
  <c r="AA47" i="4"/>
  <c r="AA51" i="4"/>
  <c r="AA127" i="4"/>
  <c r="AA125" i="4"/>
  <c r="AA121" i="4"/>
  <c r="AA126" i="4"/>
  <c r="AA123" i="4"/>
  <c r="AA122" i="4"/>
  <c r="Z164" i="4" l="1"/>
  <c r="Z169" i="4"/>
  <c r="Z171" i="4"/>
  <c r="Z172" i="4"/>
  <c r="Z173" i="4"/>
  <c r="Z175" i="4"/>
  <c r="Z176" i="4"/>
  <c r="Z177" i="4"/>
  <c r="Z178" i="4"/>
  <c r="Z179" i="4"/>
  <c r="Z181" i="4"/>
  <c r="Z183" i="4"/>
  <c r="Z184" i="4"/>
  <c r="Z185" i="4"/>
  <c r="Z186" i="4"/>
  <c r="Z187" i="4"/>
  <c r="Z188" i="4"/>
  <c r="Z192" i="4"/>
  <c r="Z193" i="4"/>
  <c r="Z194" i="4"/>
  <c r="Z195" i="4"/>
  <c r="AA164" i="4"/>
  <c r="AB164" i="4"/>
  <c r="AA169" i="4"/>
  <c r="AB169" i="4"/>
  <c r="AA171" i="4"/>
  <c r="AB171" i="4"/>
  <c r="AB172" i="4"/>
  <c r="AB173" i="4"/>
  <c r="AB175" i="4"/>
  <c r="AA176" i="4"/>
  <c r="AB176" i="4"/>
  <c r="AA177" i="4"/>
  <c r="AB177" i="4"/>
  <c r="AA178" i="4"/>
  <c r="AB178" i="4"/>
  <c r="AA179" i="4"/>
  <c r="AB179" i="4"/>
  <c r="AA181" i="4"/>
  <c r="AB181" i="4"/>
  <c r="AA183" i="4"/>
  <c r="AB183" i="4"/>
  <c r="AA184" i="4"/>
  <c r="AB184" i="4"/>
  <c r="AA185" i="4"/>
  <c r="AB185" i="4"/>
  <c r="AA186" i="4"/>
  <c r="AB186" i="4"/>
  <c r="AA187" i="4"/>
  <c r="AB187" i="4"/>
  <c r="AA188" i="4"/>
  <c r="AB188" i="4"/>
  <c r="AA192" i="4"/>
  <c r="AB192" i="4"/>
  <c r="AA193" i="4"/>
  <c r="AB193" i="4"/>
  <c r="AA194" i="4"/>
  <c r="AB194" i="4"/>
  <c r="AB195" i="4"/>
  <c r="S158" i="4"/>
  <c r="S215" i="4" s="1"/>
  <c r="R158" i="4"/>
  <c r="R215" i="4" s="1"/>
  <c r="Q158" i="4"/>
  <c r="Q215" i="4" s="1"/>
  <c r="M158" i="4"/>
  <c r="L158" i="4"/>
  <c r="K158" i="4"/>
  <c r="A90" i="8"/>
  <c r="B90" i="8"/>
  <c r="D90" i="8"/>
  <c r="E90" i="8"/>
  <c r="F90" i="8" s="1"/>
  <c r="I90" i="8"/>
  <c r="J90" i="8"/>
  <c r="K90" i="8"/>
  <c r="AH86" i="4"/>
  <c r="AF86" i="4"/>
  <c r="AN86" i="4" s="1"/>
  <c r="V86" i="4"/>
  <c r="V86" i="2" s="1"/>
  <c r="P170" i="6" s="1"/>
  <c r="O90" i="8"/>
  <c r="P90" i="8" s="1"/>
  <c r="N90" i="8"/>
  <c r="AA86" i="4"/>
  <c r="AB158" i="4" l="1"/>
  <c r="AA158" i="4"/>
  <c r="R161" i="11"/>
  <c r="R218" i="11" s="1"/>
  <c r="Z158" i="4"/>
  <c r="S161" i="11"/>
  <c r="S218" i="11" s="1"/>
  <c r="H90" i="8"/>
  <c r="M90" i="8"/>
  <c r="AG86" i="4"/>
  <c r="Q161" i="11" l="1"/>
  <c r="Q218" i="11" s="1"/>
  <c r="AJ86" i="4"/>
  <c r="AK86" i="4" s="1"/>
  <c r="AL86" i="4" s="1"/>
  <c r="C90" i="8"/>
  <c r="AM86" i="4"/>
  <c r="AI86" i="4"/>
  <c r="A319" i="8" l="1"/>
  <c r="D319" i="8"/>
  <c r="E319" i="8"/>
  <c r="F319" i="8" s="1"/>
  <c r="I319" i="8"/>
  <c r="J319" i="8"/>
  <c r="K319" i="8"/>
  <c r="A320" i="8"/>
  <c r="D320" i="8"/>
  <c r="E320" i="8"/>
  <c r="F320" i="8" s="1"/>
  <c r="I320" i="8"/>
  <c r="J320" i="8"/>
  <c r="K320" i="8"/>
  <c r="A321" i="8"/>
  <c r="D321" i="8"/>
  <c r="E321" i="8"/>
  <c r="F321" i="8" s="1"/>
  <c r="I321" i="8"/>
  <c r="J321" i="8"/>
  <c r="K321" i="8"/>
  <c r="A322" i="8"/>
  <c r="D322" i="8"/>
  <c r="E322" i="8"/>
  <c r="F322" i="8" s="1"/>
  <c r="I322" i="8"/>
  <c r="J322" i="8"/>
  <c r="K322" i="8"/>
  <c r="A323" i="8"/>
  <c r="D323" i="8"/>
  <c r="E323" i="8"/>
  <c r="F323" i="8" s="1"/>
  <c r="I323" i="8"/>
  <c r="J323" i="8"/>
  <c r="K323" i="8"/>
  <c r="A324" i="8"/>
  <c r="D324" i="8"/>
  <c r="E324" i="8"/>
  <c r="F324" i="8" s="1"/>
  <c r="I324" i="8"/>
  <c r="J324" i="8"/>
  <c r="K324" i="8"/>
  <c r="A325" i="8"/>
  <c r="D325" i="8"/>
  <c r="E325" i="8"/>
  <c r="F325" i="8" s="1"/>
  <c r="I325" i="8"/>
  <c r="J325" i="8"/>
  <c r="K325" i="8"/>
  <c r="A326" i="8"/>
  <c r="D326" i="8"/>
  <c r="E326" i="8"/>
  <c r="F326" i="8" s="1"/>
  <c r="I326" i="8"/>
  <c r="J326" i="8"/>
  <c r="K326" i="8"/>
  <c r="A327" i="8"/>
  <c r="D327" i="8"/>
  <c r="E327" i="8"/>
  <c r="F327" i="8" s="1"/>
  <c r="I327" i="8"/>
  <c r="J327" i="8"/>
  <c r="K327" i="8"/>
  <c r="A328" i="8"/>
  <c r="D328" i="8"/>
  <c r="E328" i="8"/>
  <c r="F328" i="8" s="1"/>
  <c r="I328" i="8"/>
  <c r="J328" i="8"/>
  <c r="K328" i="8"/>
  <c r="A329" i="8"/>
  <c r="D329" i="8"/>
  <c r="E329" i="8"/>
  <c r="F329" i="8" s="1"/>
  <c r="I329" i="8"/>
  <c r="J329" i="8"/>
  <c r="K329" i="8"/>
  <c r="A330" i="8"/>
  <c r="D330" i="8"/>
  <c r="E330" i="8"/>
  <c r="F330" i="8" s="1"/>
  <c r="I330" i="8"/>
  <c r="J330" i="8"/>
  <c r="K330" i="8"/>
  <c r="A331" i="8"/>
  <c r="D331" i="8"/>
  <c r="E331" i="8"/>
  <c r="F331" i="8" s="1"/>
  <c r="I331" i="8"/>
  <c r="J331" i="8"/>
  <c r="K331" i="8"/>
  <c r="A332" i="8"/>
  <c r="D332" i="8"/>
  <c r="E332" i="8"/>
  <c r="F332" i="8" s="1"/>
  <c r="I332" i="8"/>
  <c r="J332" i="8"/>
  <c r="K332" i="8"/>
  <c r="A333" i="8"/>
  <c r="D333" i="8"/>
  <c r="E333" i="8"/>
  <c r="F333" i="8" s="1"/>
  <c r="I333" i="8"/>
  <c r="J333" i="8"/>
  <c r="K333" i="8"/>
  <c r="A334" i="8"/>
  <c r="D334" i="8"/>
  <c r="E334" i="8"/>
  <c r="F334" i="8" s="1"/>
  <c r="I334" i="8"/>
  <c r="J334" i="8"/>
  <c r="K334" i="8"/>
  <c r="A335" i="8"/>
  <c r="D335" i="8"/>
  <c r="E335" i="8"/>
  <c r="F335" i="8" s="1"/>
  <c r="I335" i="8"/>
  <c r="J335" i="8"/>
  <c r="K335" i="8"/>
  <c r="A336" i="8"/>
  <c r="D336" i="8"/>
  <c r="E336" i="8"/>
  <c r="F336" i="8" s="1"/>
  <c r="I336" i="8"/>
  <c r="J336" i="8"/>
  <c r="K336" i="8"/>
  <c r="A337" i="8"/>
  <c r="D337" i="8"/>
  <c r="E337" i="8"/>
  <c r="F337" i="8" s="1"/>
  <c r="I337" i="8"/>
  <c r="J337" i="8"/>
  <c r="K337" i="8"/>
  <c r="A338" i="8"/>
  <c r="D338" i="8"/>
  <c r="E338" i="8"/>
  <c r="F338" i="8" s="1"/>
  <c r="I338" i="8"/>
  <c r="J338" i="8"/>
  <c r="K338" i="8"/>
  <c r="A339" i="8"/>
  <c r="D339" i="8"/>
  <c r="E339" i="8"/>
  <c r="F339" i="8" s="1"/>
  <c r="I339" i="8"/>
  <c r="J339" i="8"/>
  <c r="K339" i="8"/>
  <c r="A340" i="8"/>
  <c r="D340" i="8"/>
  <c r="E340" i="8"/>
  <c r="F340" i="8" s="1"/>
  <c r="I340" i="8"/>
  <c r="J340" i="8"/>
  <c r="K340" i="8"/>
  <c r="A341" i="8"/>
  <c r="D341" i="8"/>
  <c r="E341" i="8"/>
  <c r="F341" i="8" s="1"/>
  <c r="I341" i="8"/>
  <c r="J341" i="8"/>
  <c r="K341" i="8"/>
  <c r="A342" i="8"/>
  <c r="D342" i="8"/>
  <c r="E342" i="8"/>
  <c r="F342" i="8" s="1"/>
  <c r="I342" i="8"/>
  <c r="J342" i="8"/>
  <c r="K342" i="8"/>
  <c r="A343" i="8"/>
  <c r="D343" i="8"/>
  <c r="E343" i="8"/>
  <c r="F343" i="8" s="1"/>
  <c r="I343" i="8"/>
  <c r="J343" i="8"/>
  <c r="K343" i="8"/>
  <c r="A344" i="8"/>
  <c r="D344" i="8"/>
  <c r="E344" i="8"/>
  <c r="F344" i="8" s="1"/>
  <c r="I344" i="8"/>
  <c r="J344" i="8"/>
  <c r="K344" i="8"/>
  <c r="A345" i="8"/>
  <c r="D345" i="8"/>
  <c r="E345" i="8"/>
  <c r="F345" i="8" s="1"/>
  <c r="I345" i="8"/>
  <c r="J345" i="8"/>
  <c r="K345" i="8"/>
  <c r="A346" i="8"/>
  <c r="D346" i="8"/>
  <c r="E346" i="8"/>
  <c r="F346" i="8" s="1"/>
  <c r="I346" i="8"/>
  <c r="J346" i="8"/>
  <c r="K346" i="8"/>
  <c r="A347" i="8"/>
  <c r="D347" i="8"/>
  <c r="E347" i="8"/>
  <c r="F347" i="8" s="1"/>
  <c r="I347" i="8"/>
  <c r="J347" i="8"/>
  <c r="K347" i="8"/>
  <c r="A350" i="8"/>
  <c r="C350" i="8"/>
  <c r="D350" i="8"/>
  <c r="E350" i="8"/>
  <c r="F350" i="8" s="1"/>
  <c r="H350" i="8"/>
  <c r="I350" i="8"/>
  <c r="J350" i="8"/>
  <c r="K350" i="8"/>
  <c r="N350" i="8"/>
  <c r="O350" i="8"/>
  <c r="P350" i="8" s="1"/>
  <c r="A359" i="8"/>
  <c r="D359" i="8"/>
  <c r="E359" i="8"/>
  <c r="F359" i="8" s="1"/>
  <c r="I359" i="8"/>
  <c r="J359" i="8"/>
  <c r="K359" i="8"/>
  <c r="A360" i="8"/>
  <c r="C360" i="8"/>
  <c r="D360" i="8"/>
  <c r="E360" i="8"/>
  <c r="F360" i="8" s="1"/>
  <c r="H360" i="8"/>
  <c r="I360" i="8"/>
  <c r="J360" i="8"/>
  <c r="K360" i="8"/>
  <c r="A364" i="8"/>
  <c r="C364" i="8"/>
  <c r="D364" i="8"/>
  <c r="E364" i="8"/>
  <c r="F364" i="8" s="1"/>
  <c r="I364" i="8"/>
  <c r="J364" i="8"/>
  <c r="K364" i="8"/>
  <c r="A369" i="8"/>
  <c r="D369" i="8"/>
  <c r="E369" i="8"/>
  <c r="F369" i="8" s="1"/>
  <c r="I369" i="8"/>
  <c r="J369" i="8"/>
  <c r="K369" i="8"/>
  <c r="A370" i="8"/>
  <c r="C370" i="8"/>
  <c r="D370" i="8"/>
  <c r="E370" i="8"/>
  <c r="F370" i="8" s="1"/>
  <c r="H370" i="8"/>
  <c r="I370" i="8"/>
  <c r="J370" i="8"/>
  <c r="K370" i="8"/>
  <c r="A373" i="8"/>
  <c r="D373" i="8"/>
  <c r="E373" i="8"/>
  <c r="F373" i="8" s="1"/>
  <c r="I373" i="8"/>
  <c r="J373" i="8"/>
  <c r="K373" i="8"/>
  <c r="A374" i="8"/>
  <c r="C374" i="8"/>
  <c r="D374" i="8"/>
  <c r="E374" i="8"/>
  <c r="F374" i="8" s="1"/>
  <c r="H374" i="8"/>
  <c r="I374" i="8"/>
  <c r="J374" i="8"/>
  <c r="K374" i="8"/>
  <c r="A381" i="8"/>
  <c r="C381" i="8"/>
  <c r="D381" i="8"/>
  <c r="E381" i="8"/>
  <c r="F381" i="8" s="1"/>
  <c r="H381" i="8"/>
  <c r="I381" i="8"/>
  <c r="J381" i="8"/>
  <c r="K381" i="8"/>
  <c r="A382" i="8"/>
  <c r="C382" i="8"/>
  <c r="D382" i="8"/>
  <c r="E382" i="8"/>
  <c r="F382" i="8" s="1"/>
  <c r="H382" i="8"/>
  <c r="I382" i="8"/>
  <c r="J382" i="8"/>
  <c r="K382" i="8"/>
  <c r="M350" i="8" l="1"/>
  <c r="AH337" i="4" l="1"/>
  <c r="AJ337" i="4" s="1"/>
  <c r="AK337" i="4" s="1"/>
  <c r="AL337" i="4" s="1"/>
  <c r="AF337" i="4"/>
  <c r="AN337" i="4" s="1"/>
  <c r="V337" i="4"/>
  <c r="V337" i="2" s="1"/>
  <c r="P275" i="6" s="1"/>
  <c r="N373" i="8"/>
  <c r="AG337" i="4"/>
  <c r="AH333" i="4"/>
  <c r="AF333" i="4"/>
  <c r="AN333" i="4" s="1"/>
  <c r="V333" i="4"/>
  <c r="V333" i="2" s="1"/>
  <c r="P271" i="6" s="1"/>
  <c r="N369" i="8"/>
  <c r="C369" i="8"/>
  <c r="K356" i="8"/>
  <c r="J356" i="8"/>
  <c r="I356" i="8"/>
  <c r="E356" i="8"/>
  <c r="D356" i="8"/>
  <c r="A356" i="8"/>
  <c r="P384" i="4"/>
  <c r="O384" i="4"/>
  <c r="N384" i="4"/>
  <c r="J384" i="4"/>
  <c r="H384" i="4"/>
  <c r="F384" i="4"/>
  <c r="E384" i="4"/>
  <c r="C384" i="4"/>
  <c r="AH320" i="4"/>
  <c r="AF320" i="4"/>
  <c r="AN320" i="4" s="1"/>
  <c r="V320" i="4"/>
  <c r="V320" i="2" s="1"/>
  <c r="P260" i="6" s="1"/>
  <c r="S320" i="4"/>
  <c r="R320" i="4"/>
  <c r="Q320" i="4"/>
  <c r="R325" i="11" s="1"/>
  <c r="M320" i="4"/>
  <c r="AB320" i="4" s="1"/>
  <c r="I320" i="4"/>
  <c r="P317" i="4"/>
  <c r="O317" i="4"/>
  <c r="N317" i="4"/>
  <c r="O109" i="4"/>
  <c r="P109" i="4"/>
  <c r="N109" i="4"/>
  <c r="K320" i="4" l="1"/>
  <c r="K384" i="4" s="1"/>
  <c r="E325" i="11"/>
  <c r="E389" i="11" s="1"/>
  <c r="G320" i="4"/>
  <c r="AJ320" i="4" s="1"/>
  <c r="AK320" i="4" s="1"/>
  <c r="D320" i="2"/>
  <c r="D384" i="2" s="1"/>
  <c r="Z320" i="4"/>
  <c r="S325" i="11"/>
  <c r="S389" i="11" s="1"/>
  <c r="R389" i="11"/>
  <c r="Z325" i="11"/>
  <c r="N356" i="8"/>
  <c r="Q384" i="4"/>
  <c r="H373" i="8"/>
  <c r="O373" i="8"/>
  <c r="P373" i="8" s="1"/>
  <c r="H369" i="8"/>
  <c r="O369" i="8"/>
  <c r="P369" i="8" s="1"/>
  <c r="AG333" i="4"/>
  <c r="AM333" i="4" s="1"/>
  <c r="F356" i="8"/>
  <c r="AI337" i="4"/>
  <c r="AM337" i="4"/>
  <c r="C373" i="8"/>
  <c r="AJ333" i="4"/>
  <c r="O356" i="8"/>
  <c r="H356" i="8"/>
  <c r="AG320" i="4"/>
  <c r="L320" i="4"/>
  <c r="AA320" i="4" s="1"/>
  <c r="Q325" i="11" l="1"/>
  <c r="Q389" i="11" s="1"/>
  <c r="G320" i="2"/>
  <c r="J260" i="6" s="1"/>
  <c r="L320" i="2"/>
  <c r="C356" i="8"/>
  <c r="C325" i="11"/>
  <c r="G325" i="11"/>
  <c r="M373" i="8"/>
  <c r="AI333" i="4"/>
  <c r="M369" i="8"/>
  <c r="P356" i="8"/>
  <c r="AK333" i="4"/>
  <c r="AL333" i="4" s="1"/>
  <c r="M356" i="8"/>
  <c r="AL320" i="4"/>
  <c r="AM320" i="4"/>
  <c r="AI320" i="4"/>
  <c r="G389" i="11" l="1"/>
  <c r="H320" i="2"/>
  <c r="K260" i="6" s="1"/>
  <c r="M260" i="6" s="1"/>
  <c r="D325" i="11"/>
  <c r="K208" i="8"/>
  <c r="J208" i="8"/>
  <c r="I208" i="8"/>
  <c r="E208" i="8"/>
  <c r="F208" i="8" s="1"/>
  <c r="D208" i="8"/>
  <c r="B208" i="8"/>
  <c r="A208" i="8"/>
  <c r="AO195" i="4"/>
  <c r="AH195" i="4"/>
  <c r="AF195" i="4"/>
  <c r="AN195" i="4" s="1"/>
  <c r="V195" i="4"/>
  <c r="V195" i="2" s="1"/>
  <c r="P219" i="6" s="1"/>
  <c r="N208" i="8"/>
  <c r="K188" i="8"/>
  <c r="J188" i="8"/>
  <c r="I188" i="8"/>
  <c r="E188" i="8"/>
  <c r="F188" i="8" s="1"/>
  <c r="D188" i="8"/>
  <c r="B188" i="8"/>
  <c r="A188" i="8"/>
  <c r="AH175" i="4"/>
  <c r="AF175" i="4"/>
  <c r="AN175" i="4" s="1"/>
  <c r="V175" i="4"/>
  <c r="V175" i="2" s="1"/>
  <c r="P203" i="6" s="1"/>
  <c r="O188" i="8"/>
  <c r="P188" i="8" s="1"/>
  <c r="N188" i="8"/>
  <c r="A189" i="8"/>
  <c r="K186" i="8"/>
  <c r="J186" i="8"/>
  <c r="I186" i="8"/>
  <c r="E186" i="8"/>
  <c r="F186" i="8" s="1"/>
  <c r="D186" i="8"/>
  <c r="B186" i="8"/>
  <c r="A186" i="8"/>
  <c r="K185" i="8"/>
  <c r="J185" i="8"/>
  <c r="I185" i="8"/>
  <c r="E185" i="8"/>
  <c r="F185" i="8" s="1"/>
  <c r="D185" i="8"/>
  <c r="B185" i="8"/>
  <c r="A185" i="8"/>
  <c r="AH173" i="4"/>
  <c r="AF173" i="4"/>
  <c r="AN173" i="4" s="1"/>
  <c r="V173" i="4"/>
  <c r="V173" i="2" s="1"/>
  <c r="P38" i="6" s="1"/>
  <c r="N186" i="8"/>
  <c r="AH172" i="4"/>
  <c r="AF172" i="4"/>
  <c r="AN172" i="4" s="1"/>
  <c r="V172" i="4"/>
  <c r="V172" i="2" s="1"/>
  <c r="P201" i="6" s="1"/>
  <c r="N185" i="8"/>
  <c r="AH64" i="4"/>
  <c r="AJ64" i="4" s="1"/>
  <c r="AG64" i="4"/>
  <c r="AM64" i="4" s="1"/>
  <c r="AF64" i="4"/>
  <c r="AN64" i="4" s="1"/>
  <c r="Z13" i="4"/>
  <c r="Q13" i="4"/>
  <c r="R13" i="11" s="1"/>
  <c r="D13" i="2"/>
  <c r="Z13" i="11" l="1"/>
  <c r="Q13" i="11"/>
  <c r="L13" i="2"/>
  <c r="G13" i="2"/>
  <c r="S320" i="2"/>
  <c r="W325" i="11" s="1"/>
  <c r="I320" i="2"/>
  <c r="L13" i="4"/>
  <c r="AA13" i="4" s="1"/>
  <c r="G13" i="4"/>
  <c r="I13" i="4"/>
  <c r="AA195" i="4"/>
  <c r="AG172" i="4"/>
  <c r="AI172" i="4" s="1"/>
  <c r="AA172" i="4"/>
  <c r="AA173" i="4"/>
  <c r="AG175" i="4"/>
  <c r="AM175" i="4" s="1"/>
  <c r="AA175" i="4"/>
  <c r="H208" i="8"/>
  <c r="O208" i="8"/>
  <c r="P208" i="8" s="1"/>
  <c r="AG195" i="4"/>
  <c r="M188" i="8"/>
  <c r="H188" i="8"/>
  <c r="C188" i="8"/>
  <c r="O185" i="8"/>
  <c r="P185" i="8" s="1"/>
  <c r="O186" i="8"/>
  <c r="P186" i="8" s="1"/>
  <c r="H186" i="8"/>
  <c r="H185" i="8"/>
  <c r="AG173" i="4"/>
  <c r="C185" i="8"/>
  <c r="AI64" i="4"/>
  <c r="AK64" i="4"/>
  <c r="AL64" i="4" s="1"/>
  <c r="C13" i="11" l="1"/>
  <c r="K12" i="3"/>
  <c r="F12" i="3"/>
  <c r="J12" i="3"/>
  <c r="G12" i="3"/>
  <c r="C12" i="3"/>
  <c r="E12" i="3"/>
  <c r="D12" i="3"/>
  <c r="H12" i="3"/>
  <c r="I12" i="3"/>
  <c r="H13" i="2"/>
  <c r="J53" i="6"/>
  <c r="D13" i="11"/>
  <c r="J11" i="1"/>
  <c r="B11" i="1"/>
  <c r="C11" i="1"/>
  <c r="D11" i="1"/>
  <c r="E11" i="1"/>
  <c r="F11" i="1"/>
  <c r="G11" i="1"/>
  <c r="H11" i="1"/>
  <c r="I11" i="1"/>
  <c r="E13" i="11"/>
  <c r="E9" i="7"/>
  <c r="K13" i="4"/>
  <c r="L12" i="3" s="1"/>
  <c r="I325" i="11"/>
  <c r="K320" i="2"/>
  <c r="AA325" i="11"/>
  <c r="U325" i="11"/>
  <c r="AI175" i="4"/>
  <c r="AM172" i="4"/>
  <c r="AJ175" i="4"/>
  <c r="AK175" i="4" s="1"/>
  <c r="AL175" i="4" s="1"/>
  <c r="AJ195" i="4"/>
  <c r="AP195" i="4" s="1"/>
  <c r="C208" i="8"/>
  <c r="M208" i="8"/>
  <c r="M186" i="8"/>
  <c r="AI195" i="4"/>
  <c r="AM195" i="4"/>
  <c r="M185" i="8"/>
  <c r="AJ173" i="4"/>
  <c r="AK173" i="4" s="1"/>
  <c r="AL173" i="4" s="1"/>
  <c r="C186" i="8"/>
  <c r="AJ172" i="4"/>
  <c r="AK172" i="4" s="1"/>
  <c r="AL172" i="4" s="1"/>
  <c r="AI173" i="4"/>
  <c r="AM173" i="4"/>
  <c r="W400" i="11"/>
  <c r="V418" i="11"/>
  <c r="U418" i="11"/>
  <c r="R418" i="11"/>
  <c r="Q418" i="11"/>
  <c r="E418" i="11"/>
  <c r="F418" i="11"/>
  <c r="F9" i="7" l="1"/>
  <c r="K9" i="7"/>
  <c r="S13" i="2"/>
  <c r="W13" i="11" s="1"/>
  <c r="K53" i="6"/>
  <c r="M53" i="6" s="1"/>
  <c r="I13" i="2"/>
  <c r="K11" i="1"/>
  <c r="G13" i="11"/>
  <c r="Y325" i="11"/>
  <c r="K325" i="11"/>
  <c r="M325" i="11"/>
  <c r="AK195" i="4"/>
  <c r="AL195" i="4" s="1"/>
  <c r="T23" i="1"/>
  <c r="T44" i="1"/>
  <c r="T80" i="1"/>
  <c r="T94" i="1"/>
  <c r="T99" i="1"/>
  <c r="T101" i="1"/>
  <c r="T135" i="1"/>
  <c r="K13" i="2" l="1"/>
  <c r="L11" i="1" s="1"/>
  <c r="I13" i="11"/>
  <c r="U13" i="11"/>
  <c r="Y13" i="11" s="1"/>
  <c r="AA13" i="11"/>
  <c r="O325" i="11"/>
  <c r="S23" i="1"/>
  <c r="S44" i="1"/>
  <c r="S80" i="1"/>
  <c r="S94" i="1"/>
  <c r="S99" i="1"/>
  <c r="S101" i="1"/>
  <c r="S135" i="1"/>
  <c r="K13" i="11" l="1"/>
  <c r="O13" i="11" s="1"/>
  <c r="M13" i="11"/>
  <c r="M414" i="11"/>
  <c r="K411" i="11" l="1"/>
  <c r="Z415" i="11"/>
  <c r="Y415" i="11"/>
  <c r="Z414" i="11"/>
  <c r="Y414" i="11"/>
  <c r="Z413" i="11"/>
  <c r="Y413" i="11"/>
  <c r="Z412" i="11"/>
  <c r="Y412" i="11"/>
  <c r="Z411" i="11"/>
  <c r="Y411" i="11"/>
  <c r="S413" i="11"/>
  <c r="G415" i="11"/>
  <c r="W412" i="11"/>
  <c r="S414" i="11"/>
  <c r="S415" i="11"/>
  <c r="S412" i="11"/>
  <c r="G412" i="11"/>
  <c r="W413" i="11"/>
  <c r="W414" i="11"/>
  <c r="W415" i="11"/>
  <c r="W411" i="11"/>
  <c r="S411" i="11"/>
  <c r="G411" i="11"/>
  <c r="I160" i="7"/>
  <c r="F160" i="7"/>
  <c r="I159" i="7"/>
  <c r="F159" i="7"/>
  <c r="I158" i="7"/>
  <c r="F158" i="7"/>
  <c r="F157" i="7"/>
  <c r="F156" i="7"/>
  <c r="I155" i="7"/>
  <c r="F155" i="7"/>
  <c r="K412" i="11"/>
  <c r="Z418" i="11" l="1"/>
  <c r="I163" i="7"/>
  <c r="F163" i="7"/>
  <c r="AA412" i="11"/>
  <c r="G418" i="11"/>
  <c r="Y418" i="11"/>
  <c r="AA413" i="11"/>
  <c r="AA415" i="11"/>
  <c r="AA414" i="11"/>
  <c r="AA411" i="11"/>
  <c r="AA418" i="11" l="1"/>
  <c r="AA420" i="11" s="1"/>
  <c r="AA430" i="11" s="1"/>
  <c r="AA431" i="11" s="1"/>
  <c r="F245" i="11"/>
  <c r="F252" i="11" s="1"/>
  <c r="E245" i="11"/>
  <c r="E252" i="11" s="1"/>
  <c r="C245" i="11"/>
  <c r="B245" i="11"/>
  <c r="A245" i="11"/>
  <c r="E118" i="11"/>
  <c r="F161" i="11"/>
  <c r="F218" i="11" s="1"/>
  <c r="E161" i="11"/>
  <c r="E218" i="11" s="1"/>
  <c r="C161" i="11"/>
  <c r="B161" i="11"/>
  <c r="A161" i="11"/>
  <c r="Z243" i="4"/>
  <c r="S241" i="4"/>
  <c r="R241" i="4"/>
  <c r="R248" i="4" s="1"/>
  <c r="Q241" i="4"/>
  <c r="N360" i="8"/>
  <c r="O360" i="8"/>
  <c r="P360" i="8" s="1"/>
  <c r="N364" i="8"/>
  <c r="O364" i="8"/>
  <c r="P364" i="8" s="1"/>
  <c r="N370" i="8"/>
  <c r="O370" i="8"/>
  <c r="P370" i="8" s="1"/>
  <c r="N374" i="8"/>
  <c r="O374" i="8"/>
  <c r="P374" i="8" s="1"/>
  <c r="N381" i="8"/>
  <c r="O381" i="8"/>
  <c r="P381" i="8" s="1"/>
  <c r="N382" i="8"/>
  <c r="O382" i="8"/>
  <c r="P382" i="8" s="1"/>
  <c r="AF328" i="4"/>
  <c r="AN328" i="4" s="1"/>
  <c r="AH328" i="4"/>
  <c r="AJ328" i="4" s="1"/>
  <c r="AK328" i="4" s="1"/>
  <c r="AL328" i="4" s="1"/>
  <c r="AF334" i="4"/>
  <c r="AN334" i="4" s="1"/>
  <c r="AG334" i="4"/>
  <c r="AI334" i="4" s="1"/>
  <c r="AH334" i="4"/>
  <c r="AJ334" i="4" s="1"/>
  <c r="AK334" i="4" s="1"/>
  <c r="AL334" i="4" s="1"/>
  <c r="AF338" i="4"/>
  <c r="AN338" i="4" s="1"/>
  <c r="AG338" i="4"/>
  <c r="AI338" i="4" s="1"/>
  <c r="AH338" i="4"/>
  <c r="AJ338" i="4" s="1"/>
  <c r="AK338" i="4" s="1"/>
  <c r="AL338" i="4" s="1"/>
  <c r="AF345" i="4"/>
  <c r="AN345" i="4" s="1"/>
  <c r="AG345" i="4"/>
  <c r="AI345" i="4" s="1"/>
  <c r="AH345" i="4"/>
  <c r="AJ345" i="4" s="1"/>
  <c r="AF346" i="4"/>
  <c r="AN346" i="4" s="1"/>
  <c r="AG346" i="4"/>
  <c r="AM346" i="4" s="1"/>
  <c r="AH346" i="4"/>
  <c r="AJ346" i="4" s="1"/>
  <c r="AO346" i="4"/>
  <c r="AG328" i="4"/>
  <c r="S245" i="11" l="1"/>
  <c r="S252" i="11" s="1"/>
  <c r="S248" i="4"/>
  <c r="Z248" i="4" s="1"/>
  <c r="Q248" i="4"/>
  <c r="R245" i="11"/>
  <c r="R252" i="11" s="1"/>
  <c r="Z241" i="4"/>
  <c r="M370" i="8"/>
  <c r="M382" i="8"/>
  <c r="M364" i="8"/>
  <c r="M381" i="8"/>
  <c r="M360" i="8"/>
  <c r="H364" i="8"/>
  <c r="M374" i="8"/>
  <c r="AI346" i="4"/>
  <c r="G245" i="11"/>
  <c r="G252" i="11" s="1"/>
  <c r="G161" i="11"/>
  <c r="G218" i="11" s="1"/>
  <c r="AI328" i="4"/>
  <c r="AM328" i="4"/>
  <c r="AM334" i="4"/>
  <c r="AK346" i="4"/>
  <c r="AL346" i="4" s="1"/>
  <c r="AP346" i="4"/>
  <c r="AK345" i="4"/>
  <c r="AL345" i="4" s="1"/>
  <c r="AM338" i="4"/>
  <c r="AM345" i="4"/>
  <c r="AF243" i="4"/>
  <c r="AN243" i="4" s="1"/>
  <c r="AG243" i="4"/>
  <c r="AI243" i="4" s="1"/>
  <c r="AH243" i="4"/>
  <c r="AH241" i="4"/>
  <c r="AG241" i="4"/>
  <c r="AF241" i="4"/>
  <c r="AF230" i="4"/>
  <c r="AN230" i="4" s="1"/>
  <c r="AH230" i="4"/>
  <c r="AF231" i="4"/>
  <c r="AN231" i="4" s="1"/>
  <c r="AH231" i="4"/>
  <c r="AF232" i="4"/>
  <c r="AN232" i="4" s="1"/>
  <c r="AH232" i="4"/>
  <c r="AF164" i="4"/>
  <c r="AN164" i="4" s="1"/>
  <c r="AG164" i="4"/>
  <c r="AI164" i="4" s="1"/>
  <c r="AH164" i="4"/>
  <c r="AJ164" i="4" s="1"/>
  <c r="AF169" i="4"/>
  <c r="AN169" i="4" s="1"/>
  <c r="AG169" i="4"/>
  <c r="AI169" i="4" s="1"/>
  <c r="AH169" i="4"/>
  <c r="AJ169" i="4" s="1"/>
  <c r="AF171" i="4"/>
  <c r="AN171" i="4" s="1"/>
  <c r="AG171" i="4"/>
  <c r="AM171" i="4" s="1"/>
  <c r="AH171" i="4"/>
  <c r="AJ171" i="4" s="1"/>
  <c r="AF176" i="4"/>
  <c r="AN176" i="4" s="1"/>
  <c r="AG176" i="4"/>
  <c r="AM176" i="4" s="1"/>
  <c r="AH176" i="4"/>
  <c r="AJ176" i="4" s="1"/>
  <c r="AK176" i="4" s="1"/>
  <c r="AL176" i="4" s="1"/>
  <c r="AF177" i="4"/>
  <c r="AN177" i="4" s="1"/>
  <c r="AG177" i="4"/>
  <c r="AI177" i="4" s="1"/>
  <c r="AH177" i="4"/>
  <c r="AJ177" i="4" s="1"/>
  <c r="AK177" i="4" s="1"/>
  <c r="AL177" i="4" s="1"/>
  <c r="AF178" i="4"/>
  <c r="AN178" i="4" s="1"/>
  <c r="AG178" i="4"/>
  <c r="AH178" i="4"/>
  <c r="AJ178" i="4" s="1"/>
  <c r="AF179" i="4"/>
  <c r="AN179" i="4" s="1"/>
  <c r="AG179" i="4"/>
  <c r="AH179" i="4"/>
  <c r="AJ179" i="4" s="1"/>
  <c r="AF181" i="4"/>
  <c r="AN181" i="4" s="1"/>
  <c r="AG181" i="4"/>
  <c r="AI181" i="4" s="1"/>
  <c r="AH181" i="4"/>
  <c r="AJ181" i="4" s="1"/>
  <c r="AF183" i="4"/>
  <c r="AN183" i="4" s="1"/>
  <c r="AG183" i="4"/>
  <c r="AI183" i="4" s="1"/>
  <c r="AH183" i="4"/>
  <c r="AJ183" i="4" s="1"/>
  <c r="AF184" i="4"/>
  <c r="AN184" i="4" s="1"/>
  <c r="AG184" i="4"/>
  <c r="AH184" i="4"/>
  <c r="AJ184" i="4" s="1"/>
  <c r="AF185" i="4"/>
  <c r="AN185" i="4" s="1"/>
  <c r="AG185" i="4"/>
  <c r="AM185" i="4" s="1"/>
  <c r="AH185" i="4"/>
  <c r="AJ185" i="4" s="1"/>
  <c r="AK185" i="4" s="1"/>
  <c r="AL185" i="4" s="1"/>
  <c r="AF186" i="4"/>
  <c r="AN186" i="4" s="1"/>
  <c r="AG186" i="4"/>
  <c r="AI186" i="4" s="1"/>
  <c r="AH186" i="4"/>
  <c r="AJ186" i="4" s="1"/>
  <c r="AK186" i="4" s="1"/>
  <c r="AL186" i="4" s="1"/>
  <c r="AF187" i="4"/>
  <c r="AN187" i="4" s="1"/>
  <c r="AG187" i="4"/>
  <c r="AI187" i="4" s="1"/>
  <c r="AH187" i="4"/>
  <c r="AJ187" i="4" s="1"/>
  <c r="AF188" i="4"/>
  <c r="AN188" i="4" s="1"/>
  <c r="AG188" i="4"/>
  <c r="AI188" i="4" s="1"/>
  <c r="AH188" i="4"/>
  <c r="AJ188" i="4" s="1"/>
  <c r="AF192" i="4"/>
  <c r="AN192" i="4" s="1"/>
  <c r="AG192" i="4"/>
  <c r="AH192" i="4"/>
  <c r="AJ192" i="4" s="1"/>
  <c r="AF193" i="4"/>
  <c r="AN193" i="4" s="1"/>
  <c r="AG193" i="4"/>
  <c r="AM193" i="4" s="1"/>
  <c r="AH193" i="4"/>
  <c r="AJ193" i="4" s="1"/>
  <c r="AK193" i="4" s="1"/>
  <c r="AL193" i="4" s="1"/>
  <c r="AF194" i="4"/>
  <c r="AN194" i="4" s="1"/>
  <c r="AG194" i="4"/>
  <c r="AH194" i="4"/>
  <c r="AJ194" i="4" s="1"/>
  <c r="AK194" i="4" s="1"/>
  <c r="AL194" i="4" s="1"/>
  <c r="AH158" i="4"/>
  <c r="AG158" i="4"/>
  <c r="AF158" i="4"/>
  <c r="AN158" i="4" s="1"/>
  <c r="AF121" i="4"/>
  <c r="AN121" i="4" s="1"/>
  <c r="AH121" i="4"/>
  <c r="AF122" i="4"/>
  <c r="AN122" i="4" s="1"/>
  <c r="AH122" i="4"/>
  <c r="AF123" i="4"/>
  <c r="AN123" i="4" s="1"/>
  <c r="AH123" i="4"/>
  <c r="AF125" i="4"/>
  <c r="AN125" i="4" s="1"/>
  <c r="AH125" i="4"/>
  <c r="AF126" i="4"/>
  <c r="AN126" i="4" s="1"/>
  <c r="AH126" i="4"/>
  <c r="AF127" i="4"/>
  <c r="AN127" i="4" s="1"/>
  <c r="AH127" i="4"/>
  <c r="AF128" i="4"/>
  <c r="AN128" i="4" s="1"/>
  <c r="AH128" i="4"/>
  <c r="AF129" i="4"/>
  <c r="AN129" i="4" s="1"/>
  <c r="AH129" i="4"/>
  <c r="AF130" i="4"/>
  <c r="AN130" i="4" s="1"/>
  <c r="AH130" i="4"/>
  <c r="AF131" i="4"/>
  <c r="AN131" i="4" s="1"/>
  <c r="AH131" i="4"/>
  <c r="AF132" i="4"/>
  <c r="AN132" i="4" s="1"/>
  <c r="AH132" i="4"/>
  <c r="AF133" i="4"/>
  <c r="AN133" i="4" s="1"/>
  <c r="AH133" i="4"/>
  <c r="AF134" i="4"/>
  <c r="AN134" i="4" s="1"/>
  <c r="AH134" i="4"/>
  <c r="AF77" i="4"/>
  <c r="AN77" i="4" s="1"/>
  <c r="AF46" i="4"/>
  <c r="AN46" i="4" s="1"/>
  <c r="AH46" i="4"/>
  <c r="AF47" i="4"/>
  <c r="AN47" i="4" s="1"/>
  <c r="AH47" i="4"/>
  <c r="AF48" i="4"/>
  <c r="AN48" i="4" s="1"/>
  <c r="AH48" i="4"/>
  <c r="AF49" i="4"/>
  <c r="AN49" i="4" s="1"/>
  <c r="AH49" i="4"/>
  <c r="AF50" i="4"/>
  <c r="AN50" i="4" s="1"/>
  <c r="AH50" i="4"/>
  <c r="AF51" i="4"/>
  <c r="AN51" i="4" s="1"/>
  <c r="AH51" i="4"/>
  <c r="AF52" i="4"/>
  <c r="AN52" i="4" s="1"/>
  <c r="AH52" i="4"/>
  <c r="AF53" i="4"/>
  <c r="AN53" i="4" s="1"/>
  <c r="AH53" i="4"/>
  <c r="AF11" i="4"/>
  <c r="AN11" i="4" s="1"/>
  <c r="AH11" i="4"/>
  <c r="AF12" i="4"/>
  <c r="AN12" i="4" s="1"/>
  <c r="AH12" i="4"/>
  <c r="AF13" i="4"/>
  <c r="AN13" i="4" s="1"/>
  <c r="AF14" i="4"/>
  <c r="AN14" i="4" s="1"/>
  <c r="AH14" i="4"/>
  <c r="AF15" i="4"/>
  <c r="AN15" i="4" s="1"/>
  <c r="AH15" i="4"/>
  <c r="AF16" i="4"/>
  <c r="AN16" i="4" s="1"/>
  <c r="AH16" i="4"/>
  <c r="AF17" i="4"/>
  <c r="AN17" i="4" s="1"/>
  <c r="AH17" i="4"/>
  <c r="AF18" i="4"/>
  <c r="AN18" i="4" s="1"/>
  <c r="AH18" i="4"/>
  <c r="AJ18" i="4" s="1"/>
  <c r="V241" i="2"/>
  <c r="P42" i="6" s="1"/>
  <c r="U241" i="2"/>
  <c r="O42" i="6" s="1"/>
  <c r="T241" i="2"/>
  <c r="N42" i="6" s="1"/>
  <c r="P241" i="2"/>
  <c r="O241" i="2"/>
  <c r="O248" i="2" s="1"/>
  <c r="N241" i="2"/>
  <c r="N248" i="2" s="1"/>
  <c r="J241" i="2"/>
  <c r="F241" i="2"/>
  <c r="E241" i="2"/>
  <c r="D241" i="2"/>
  <c r="D248" i="2" s="1"/>
  <c r="C241" i="2"/>
  <c r="E42" i="6" s="1"/>
  <c r="B241" i="2"/>
  <c r="B42" i="6" s="1"/>
  <c r="A241" i="2"/>
  <c r="A42" i="6" s="1"/>
  <c r="V158" i="2"/>
  <c r="P31" i="6" s="1"/>
  <c r="U158" i="2"/>
  <c r="O31" i="6" s="1"/>
  <c r="T158" i="2"/>
  <c r="N31" i="6" s="1"/>
  <c r="P158" i="2"/>
  <c r="O158" i="2"/>
  <c r="O215" i="2" s="1"/>
  <c r="N158" i="2"/>
  <c r="N215" i="2" s="1"/>
  <c r="J158" i="2"/>
  <c r="F158" i="2"/>
  <c r="E158" i="2"/>
  <c r="D158" i="2"/>
  <c r="D215" i="2" s="1"/>
  <c r="C158" i="2"/>
  <c r="B158" i="2"/>
  <c r="B31" i="6" s="1"/>
  <c r="A158" i="2"/>
  <c r="A31" i="6" s="1"/>
  <c r="A261" i="8"/>
  <c r="B261" i="8"/>
  <c r="C261" i="8"/>
  <c r="D261" i="8"/>
  <c r="E261" i="8"/>
  <c r="F261" i="8" s="1"/>
  <c r="H261" i="8"/>
  <c r="I261" i="8"/>
  <c r="J261" i="8"/>
  <c r="K261" i="8"/>
  <c r="N261" i="8"/>
  <c r="O261" i="8"/>
  <c r="P261" i="8" s="1"/>
  <c r="O259" i="8"/>
  <c r="N259" i="8"/>
  <c r="K259" i="8"/>
  <c r="J259" i="8"/>
  <c r="I259" i="8"/>
  <c r="H259" i="8"/>
  <c r="E259" i="8"/>
  <c r="D259" i="8"/>
  <c r="C259" i="8"/>
  <c r="B259" i="8"/>
  <c r="A259" i="8"/>
  <c r="A177" i="8"/>
  <c r="B177" i="8"/>
  <c r="C177" i="8"/>
  <c r="D177" i="8"/>
  <c r="E177" i="8"/>
  <c r="F177" i="8" s="1"/>
  <c r="H177" i="8"/>
  <c r="I177" i="8"/>
  <c r="J177" i="8"/>
  <c r="K177" i="8"/>
  <c r="N177" i="8"/>
  <c r="O177" i="8"/>
  <c r="P177" i="8" s="1"/>
  <c r="A182" i="8"/>
  <c r="B182" i="8"/>
  <c r="C182" i="8"/>
  <c r="D182" i="8"/>
  <c r="E182" i="8"/>
  <c r="F182" i="8" s="1"/>
  <c r="H182" i="8"/>
  <c r="I182" i="8"/>
  <c r="J182" i="8"/>
  <c r="K182" i="8"/>
  <c r="N182" i="8"/>
  <c r="O182" i="8"/>
  <c r="P182" i="8" s="1"/>
  <c r="A184" i="8"/>
  <c r="B184" i="8"/>
  <c r="C184" i="8"/>
  <c r="D184" i="8"/>
  <c r="E184" i="8"/>
  <c r="F184" i="8" s="1"/>
  <c r="H184" i="8"/>
  <c r="I184" i="8"/>
  <c r="J184" i="8"/>
  <c r="K184" i="8"/>
  <c r="N184" i="8"/>
  <c r="O184" i="8"/>
  <c r="P184" i="8" s="1"/>
  <c r="B189" i="8"/>
  <c r="C189" i="8"/>
  <c r="D189" i="8"/>
  <c r="E189" i="8"/>
  <c r="F189" i="8" s="1"/>
  <c r="H189" i="8"/>
  <c r="I189" i="8"/>
  <c r="J189" i="8"/>
  <c r="K189" i="8"/>
  <c r="N189" i="8"/>
  <c r="O189" i="8"/>
  <c r="P189" i="8" s="1"/>
  <c r="A190" i="8"/>
  <c r="B190" i="8"/>
  <c r="C190" i="8"/>
  <c r="D190" i="8"/>
  <c r="E190" i="8"/>
  <c r="F190" i="8" s="1"/>
  <c r="H190" i="8"/>
  <c r="I190" i="8"/>
  <c r="J190" i="8"/>
  <c r="K190" i="8"/>
  <c r="N190" i="8"/>
  <c r="O190" i="8"/>
  <c r="P190" i="8" s="1"/>
  <c r="A191" i="8"/>
  <c r="B191" i="8"/>
  <c r="C191" i="8"/>
  <c r="D191" i="8"/>
  <c r="E191" i="8"/>
  <c r="F191" i="8" s="1"/>
  <c r="H191" i="8"/>
  <c r="I191" i="8"/>
  <c r="J191" i="8"/>
  <c r="K191" i="8"/>
  <c r="N191" i="8"/>
  <c r="O191" i="8"/>
  <c r="P191" i="8" s="1"/>
  <c r="A192" i="8"/>
  <c r="B192" i="8"/>
  <c r="C192" i="8"/>
  <c r="D192" i="8"/>
  <c r="E192" i="8"/>
  <c r="F192" i="8" s="1"/>
  <c r="H192" i="8"/>
  <c r="I192" i="8"/>
  <c r="J192" i="8"/>
  <c r="K192" i="8"/>
  <c r="N192" i="8"/>
  <c r="O192" i="8"/>
  <c r="P192" i="8" s="1"/>
  <c r="A194" i="8"/>
  <c r="B194" i="8"/>
  <c r="C194" i="8"/>
  <c r="D194" i="8"/>
  <c r="E194" i="8"/>
  <c r="F194" i="8" s="1"/>
  <c r="H194" i="8"/>
  <c r="I194" i="8"/>
  <c r="J194" i="8"/>
  <c r="K194" i="8"/>
  <c r="N194" i="8"/>
  <c r="O194" i="8"/>
  <c r="P194" i="8" s="1"/>
  <c r="A196" i="8"/>
  <c r="B196" i="8"/>
  <c r="C196" i="8"/>
  <c r="D196" i="8"/>
  <c r="E196" i="8"/>
  <c r="F196" i="8" s="1"/>
  <c r="H196" i="8"/>
  <c r="I196" i="8"/>
  <c r="J196" i="8"/>
  <c r="K196" i="8"/>
  <c r="N196" i="8"/>
  <c r="O196" i="8"/>
  <c r="P196" i="8" s="1"/>
  <c r="A197" i="8"/>
  <c r="B197" i="8"/>
  <c r="C197" i="8"/>
  <c r="D197" i="8"/>
  <c r="E197" i="8"/>
  <c r="F197" i="8" s="1"/>
  <c r="H197" i="8"/>
  <c r="I197" i="8"/>
  <c r="J197" i="8"/>
  <c r="K197" i="8"/>
  <c r="N197" i="8"/>
  <c r="O197" i="8"/>
  <c r="P197" i="8" s="1"/>
  <c r="A198" i="8"/>
  <c r="B198" i="8"/>
  <c r="C198" i="8"/>
  <c r="D198" i="8"/>
  <c r="E198" i="8"/>
  <c r="F198" i="8" s="1"/>
  <c r="H198" i="8"/>
  <c r="I198" i="8"/>
  <c r="J198" i="8"/>
  <c r="K198" i="8"/>
  <c r="N198" i="8"/>
  <c r="O198" i="8"/>
  <c r="P198" i="8" s="1"/>
  <c r="A199" i="8"/>
  <c r="B199" i="8"/>
  <c r="C199" i="8"/>
  <c r="D199" i="8"/>
  <c r="E199" i="8"/>
  <c r="F199" i="8" s="1"/>
  <c r="H199" i="8"/>
  <c r="I199" i="8"/>
  <c r="J199" i="8"/>
  <c r="K199" i="8"/>
  <c r="N199" i="8"/>
  <c r="O199" i="8"/>
  <c r="P199" i="8" s="1"/>
  <c r="A200" i="8"/>
  <c r="B200" i="8"/>
  <c r="C200" i="8"/>
  <c r="D200" i="8"/>
  <c r="E200" i="8"/>
  <c r="F200" i="8" s="1"/>
  <c r="H200" i="8"/>
  <c r="I200" i="8"/>
  <c r="J200" i="8"/>
  <c r="K200" i="8"/>
  <c r="N200" i="8"/>
  <c r="O200" i="8"/>
  <c r="P200" i="8" s="1"/>
  <c r="A201" i="8"/>
  <c r="B201" i="8"/>
  <c r="C201" i="8"/>
  <c r="D201" i="8"/>
  <c r="E201" i="8"/>
  <c r="F201" i="8" s="1"/>
  <c r="H201" i="8"/>
  <c r="I201" i="8"/>
  <c r="J201" i="8"/>
  <c r="K201" i="8"/>
  <c r="N201" i="8"/>
  <c r="O201" i="8"/>
  <c r="P201" i="8" s="1"/>
  <c r="A205" i="8"/>
  <c r="B205" i="8"/>
  <c r="C205" i="8"/>
  <c r="D205" i="8"/>
  <c r="E205" i="8"/>
  <c r="F205" i="8" s="1"/>
  <c r="H205" i="8"/>
  <c r="I205" i="8"/>
  <c r="J205" i="8"/>
  <c r="K205" i="8"/>
  <c r="N205" i="8"/>
  <c r="O205" i="8"/>
  <c r="P205" i="8" s="1"/>
  <c r="A206" i="8"/>
  <c r="B206" i="8"/>
  <c r="C206" i="8"/>
  <c r="D206" i="8"/>
  <c r="E206" i="8"/>
  <c r="F206" i="8" s="1"/>
  <c r="H206" i="8"/>
  <c r="I206" i="8"/>
  <c r="J206" i="8"/>
  <c r="K206" i="8"/>
  <c r="N206" i="8"/>
  <c r="O206" i="8"/>
  <c r="P206" i="8" s="1"/>
  <c r="A207" i="8"/>
  <c r="B207" i="8"/>
  <c r="C207" i="8"/>
  <c r="D207" i="8"/>
  <c r="E207" i="8"/>
  <c r="F207" i="8" s="1"/>
  <c r="H207" i="8"/>
  <c r="I207" i="8"/>
  <c r="J207" i="8"/>
  <c r="K207" i="8"/>
  <c r="N207" i="8"/>
  <c r="O207" i="8"/>
  <c r="P207" i="8" s="1"/>
  <c r="O171" i="8"/>
  <c r="N171" i="8"/>
  <c r="K171" i="8"/>
  <c r="J171" i="8"/>
  <c r="I171" i="8"/>
  <c r="H171" i="8"/>
  <c r="E171" i="8"/>
  <c r="D171" i="8"/>
  <c r="C171" i="8"/>
  <c r="B171" i="8"/>
  <c r="A171" i="8"/>
  <c r="Z215" i="4"/>
  <c r="A88" i="8"/>
  <c r="B88" i="8"/>
  <c r="D88" i="8"/>
  <c r="E88" i="8"/>
  <c r="I88" i="8"/>
  <c r="J88" i="8"/>
  <c r="K88" i="8"/>
  <c r="K81" i="8"/>
  <c r="J81" i="8"/>
  <c r="I81" i="8"/>
  <c r="E81" i="8"/>
  <c r="D81" i="8"/>
  <c r="B81" i="8"/>
  <c r="A81" i="8"/>
  <c r="AH84" i="4"/>
  <c r="AF84" i="4"/>
  <c r="AN84" i="4" s="1"/>
  <c r="AD84" i="4"/>
  <c r="V84" i="4"/>
  <c r="V84" i="2" s="1"/>
  <c r="P168" i="6" s="1"/>
  <c r="N88" i="8"/>
  <c r="AH77" i="4"/>
  <c r="AD77" i="4"/>
  <c r="V77" i="4"/>
  <c r="V77" i="2" s="1"/>
  <c r="P27" i="6" s="1"/>
  <c r="S77" i="4"/>
  <c r="S78" i="11" s="1"/>
  <c r="R77" i="4"/>
  <c r="R103" i="4" s="1"/>
  <c r="Q77" i="4"/>
  <c r="R78" i="11" s="1"/>
  <c r="M77" i="4"/>
  <c r="M103" i="4" s="1"/>
  <c r="I77" i="4"/>
  <c r="E78" i="11" s="1"/>
  <c r="D77" i="2"/>
  <c r="L31" i="6" l="1"/>
  <c r="P215" i="2"/>
  <c r="P248" i="2"/>
  <c r="L42" i="6"/>
  <c r="E228" i="8"/>
  <c r="I228" i="8"/>
  <c r="E31" i="6"/>
  <c r="C215" i="2"/>
  <c r="G77" i="2"/>
  <c r="L77" i="2"/>
  <c r="J228" i="8"/>
  <c r="H228" i="8"/>
  <c r="G78" i="11"/>
  <c r="K228" i="8"/>
  <c r="I31" i="6"/>
  <c r="E215" i="2"/>
  <c r="D228" i="8"/>
  <c r="N228" i="8"/>
  <c r="F31" i="6"/>
  <c r="F215" i="2"/>
  <c r="E248" i="2"/>
  <c r="I42" i="6"/>
  <c r="H42" i="6" s="1"/>
  <c r="C31" i="6"/>
  <c r="J215" i="2"/>
  <c r="F248" i="2"/>
  <c r="F42" i="6"/>
  <c r="J248" i="2"/>
  <c r="C42" i="6"/>
  <c r="D42" i="6" s="1"/>
  <c r="Z78" i="11"/>
  <c r="Q78" i="11"/>
  <c r="O228" i="8"/>
  <c r="I103" i="4"/>
  <c r="Q103" i="4"/>
  <c r="S103" i="4"/>
  <c r="Z103" i="4" s="1"/>
  <c r="J107" i="8"/>
  <c r="K107" i="8"/>
  <c r="I107" i="8"/>
  <c r="D107" i="8"/>
  <c r="E107" i="8"/>
  <c r="F81" i="8"/>
  <c r="AB77" i="4"/>
  <c r="AB103" i="4"/>
  <c r="D266" i="8"/>
  <c r="K266" i="8"/>
  <c r="I266" i="8"/>
  <c r="Z77" i="4"/>
  <c r="Q245" i="11"/>
  <c r="Q252" i="11" s="1"/>
  <c r="C248" i="2"/>
  <c r="AO64" i="4"/>
  <c r="AP64" i="4" s="1"/>
  <c r="AO240" i="4"/>
  <c r="AP240" i="4" s="1"/>
  <c r="AO183" i="4"/>
  <c r="AP183" i="4" s="1"/>
  <c r="AO175" i="4"/>
  <c r="AP175" i="4" s="1"/>
  <c r="AO173" i="4"/>
  <c r="AP173" i="4" s="1"/>
  <c r="H266" i="8"/>
  <c r="J266" i="8"/>
  <c r="N266" i="8"/>
  <c r="F259" i="8"/>
  <c r="F266" i="8" s="1"/>
  <c r="E266" i="8"/>
  <c r="P259" i="8"/>
  <c r="P266" i="8" s="1"/>
  <c r="O266" i="8"/>
  <c r="AD240" i="4"/>
  <c r="AB248" i="4"/>
  <c r="AA248" i="4"/>
  <c r="AA84" i="4"/>
  <c r="P171" i="8"/>
  <c r="P228" i="8" s="1"/>
  <c r="F171" i="8"/>
  <c r="F228" i="8" s="1"/>
  <c r="L77" i="4"/>
  <c r="L103" i="4" s="1"/>
  <c r="N81" i="8"/>
  <c r="N107" i="8" s="1"/>
  <c r="AD175" i="4"/>
  <c r="AD173" i="4"/>
  <c r="AO172" i="4"/>
  <c r="AP172" i="4" s="1"/>
  <c r="AI193" i="4"/>
  <c r="AI171" i="4"/>
  <c r="J245" i="11"/>
  <c r="J252" i="11" s="1"/>
  <c r="C88" i="8"/>
  <c r="K77" i="4"/>
  <c r="K103" i="4" s="1"/>
  <c r="AM177" i="4"/>
  <c r="J161" i="11"/>
  <c r="J218" i="11" s="1"/>
  <c r="AG248" i="4"/>
  <c r="AM186" i="4"/>
  <c r="AM169" i="4"/>
  <c r="AM183" i="4"/>
  <c r="AI176" i="4"/>
  <c r="AH103" i="4"/>
  <c r="G241" i="2"/>
  <c r="Q158" i="2"/>
  <c r="AO127" i="4"/>
  <c r="Q241" i="2"/>
  <c r="M259" i="8"/>
  <c r="AO51" i="4"/>
  <c r="AO184" i="4"/>
  <c r="AP184" i="4" s="1"/>
  <c r="AO50" i="4"/>
  <c r="AO46" i="4"/>
  <c r="AO84" i="4"/>
  <c r="AO48" i="4"/>
  <c r="AO47" i="4"/>
  <c r="AO133" i="4"/>
  <c r="AO132" i="4"/>
  <c r="AO77" i="4"/>
  <c r="AO53" i="4"/>
  <c r="AN103" i="4"/>
  <c r="AO52" i="4"/>
  <c r="AO130" i="4"/>
  <c r="AO49" i="4"/>
  <c r="AO128" i="4"/>
  <c r="AO126" i="4"/>
  <c r="AM178" i="4"/>
  <c r="AI178" i="4"/>
  <c r="AO134" i="4"/>
  <c r="AO121" i="4"/>
  <c r="AO131" i="4"/>
  <c r="AO122" i="4"/>
  <c r="AO125" i="4"/>
  <c r="AO181" i="4"/>
  <c r="AP181" i="4" s="1"/>
  <c r="M241" i="2"/>
  <c r="M248" i="2" s="1"/>
  <c r="AK164" i="4"/>
  <c r="AL164" i="4" s="1"/>
  <c r="G158" i="2"/>
  <c r="AO179" i="4"/>
  <c r="AP179" i="4" s="1"/>
  <c r="L241" i="2"/>
  <c r="L248" i="2" s="1"/>
  <c r="AK187" i="4"/>
  <c r="AL187" i="4" s="1"/>
  <c r="AO178" i="4"/>
  <c r="AP178" i="4" s="1"/>
  <c r="AO129" i="4"/>
  <c r="AO232" i="4"/>
  <c r="AI158" i="4"/>
  <c r="AM158" i="4"/>
  <c r="AG215" i="4"/>
  <c r="AO231" i="4"/>
  <c r="AO241" i="4"/>
  <c r="AH215" i="4"/>
  <c r="AJ158" i="4"/>
  <c r="AO243" i="4"/>
  <c r="AO192" i="4"/>
  <c r="AP192" i="4" s="1"/>
  <c r="AO177" i="4"/>
  <c r="AP177" i="4" s="1"/>
  <c r="AO194" i="4"/>
  <c r="AP194" i="4" s="1"/>
  <c r="AO123" i="4"/>
  <c r="AO188" i="4"/>
  <c r="AP188" i="4" s="1"/>
  <c r="AF103" i="4"/>
  <c r="AO158" i="4"/>
  <c r="AO187" i="4"/>
  <c r="AP187" i="4" s="1"/>
  <c r="AO171" i="4"/>
  <c r="AP171" i="4" s="1"/>
  <c r="AO186" i="4"/>
  <c r="AP186" i="4" s="1"/>
  <c r="AO169" i="4"/>
  <c r="AP169" i="4" s="1"/>
  <c r="AK178" i="4"/>
  <c r="AL178" i="4" s="1"/>
  <c r="AO176" i="4"/>
  <c r="AP176" i="4" s="1"/>
  <c r="AO185" i="4"/>
  <c r="AP185" i="4" s="1"/>
  <c r="AO193" i="4"/>
  <c r="AP193" i="4" s="1"/>
  <c r="AM188" i="4"/>
  <c r="AI185" i="4"/>
  <c r="AN215" i="4"/>
  <c r="AF215" i="4"/>
  <c r="AM192" i="4"/>
  <c r="AI192" i="4"/>
  <c r="AM184" i="4"/>
  <c r="AI184" i="4"/>
  <c r="AK179" i="4"/>
  <c r="AL179" i="4" s="1"/>
  <c r="AI194" i="4"/>
  <c r="AM194" i="4"/>
  <c r="AI179" i="4"/>
  <c r="AM179" i="4"/>
  <c r="AO230" i="4"/>
  <c r="AJ243" i="4"/>
  <c r="AK243" i="4" s="1"/>
  <c r="AL243" i="4" s="1"/>
  <c r="AO164" i="4"/>
  <c r="AP164" i="4" s="1"/>
  <c r="AN241" i="4"/>
  <c r="AN248" i="4" s="1"/>
  <c r="AF248" i="4"/>
  <c r="AI241" i="4"/>
  <c r="AJ241" i="4" s="1"/>
  <c r="AM241" i="4"/>
  <c r="AH248" i="4"/>
  <c r="AK184" i="4"/>
  <c r="AL184" i="4" s="1"/>
  <c r="AM243" i="4"/>
  <c r="AK188" i="4"/>
  <c r="AL188" i="4" s="1"/>
  <c r="AK171" i="4"/>
  <c r="AL171" i="4" s="1"/>
  <c r="AK183" i="4"/>
  <c r="AL183" i="4" s="1"/>
  <c r="AK192" i="4"/>
  <c r="AL192" i="4" s="1"/>
  <c r="AK169" i="4"/>
  <c r="AL169" i="4" s="1"/>
  <c r="AK181" i="4"/>
  <c r="AL181" i="4" s="1"/>
  <c r="AM181" i="4"/>
  <c r="AM187" i="4"/>
  <c r="AM164" i="4"/>
  <c r="AK18" i="4"/>
  <c r="AL18" i="4" s="1"/>
  <c r="R241" i="2"/>
  <c r="R248" i="2" s="1"/>
  <c r="M158" i="2"/>
  <c r="M215" i="2" s="1"/>
  <c r="R158" i="2"/>
  <c r="R215" i="2" s="1"/>
  <c r="L158" i="2"/>
  <c r="L215" i="2" s="1"/>
  <c r="M261" i="8"/>
  <c r="M194" i="8"/>
  <c r="M182" i="8"/>
  <c r="M190" i="8"/>
  <c r="M189" i="8"/>
  <c r="M192" i="8"/>
  <c r="M199" i="8"/>
  <c r="M201" i="8"/>
  <c r="M206" i="8"/>
  <c r="M205" i="8"/>
  <c r="M177" i="8"/>
  <c r="M207" i="8"/>
  <c r="M200" i="8"/>
  <c r="M184" i="8"/>
  <c r="M198" i="8"/>
  <c r="M197" i="8"/>
  <c r="M196" i="8"/>
  <c r="M171" i="8"/>
  <c r="M191" i="8"/>
  <c r="H88" i="8"/>
  <c r="O88" i="8"/>
  <c r="P88" i="8" s="1"/>
  <c r="F88" i="8"/>
  <c r="O81" i="8"/>
  <c r="H81" i="8"/>
  <c r="AJ84" i="4"/>
  <c r="AG84" i="4"/>
  <c r="AG77" i="4"/>
  <c r="G77" i="4"/>
  <c r="C78" i="11" s="1"/>
  <c r="AF283" i="4"/>
  <c r="AN283" i="4" s="1"/>
  <c r="AH283" i="4"/>
  <c r="AF284" i="4"/>
  <c r="AN284" i="4" s="1"/>
  <c r="AH284" i="4"/>
  <c r="AF285" i="4"/>
  <c r="AN285" i="4" s="1"/>
  <c r="AH285" i="4"/>
  <c r="AF286" i="4"/>
  <c r="AN286" i="4" s="1"/>
  <c r="AH286" i="4"/>
  <c r="AF287" i="4"/>
  <c r="AN287" i="4" s="1"/>
  <c r="AH287" i="4"/>
  <c r="AF288" i="4"/>
  <c r="AN288" i="4" s="1"/>
  <c r="AH288" i="4"/>
  <c r="AF289" i="4"/>
  <c r="AN289" i="4" s="1"/>
  <c r="AH289" i="4"/>
  <c r="AF290" i="4"/>
  <c r="AN290" i="4" s="1"/>
  <c r="AH290" i="4"/>
  <c r="AF291" i="4"/>
  <c r="AN291" i="4" s="1"/>
  <c r="AH291" i="4"/>
  <c r="AF292" i="4"/>
  <c r="AN292" i="4" s="1"/>
  <c r="AH292" i="4"/>
  <c r="AF293" i="4"/>
  <c r="AN293" i="4" s="1"/>
  <c r="AH293" i="4"/>
  <c r="AF294" i="4"/>
  <c r="AN294" i="4" s="1"/>
  <c r="AH294" i="4"/>
  <c r="AF295" i="4"/>
  <c r="AN295" i="4" s="1"/>
  <c r="AH295" i="4"/>
  <c r="AF296" i="4"/>
  <c r="AN296" i="4" s="1"/>
  <c r="AH296" i="4"/>
  <c r="AF297" i="4"/>
  <c r="AN297" i="4" s="1"/>
  <c r="AH297" i="4"/>
  <c r="AF298" i="4"/>
  <c r="AN298" i="4" s="1"/>
  <c r="AH298" i="4"/>
  <c r="AF299" i="4"/>
  <c r="AN299" i="4" s="1"/>
  <c r="AH299" i="4"/>
  <c r="AF300" i="4"/>
  <c r="AN300" i="4" s="1"/>
  <c r="AH300" i="4"/>
  <c r="AF301" i="4"/>
  <c r="AN301" i="4" s="1"/>
  <c r="AH301" i="4"/>
  <c r="AF302" i="4"/>
  <c r="AN302" i="4" s="1"/>
  <c r="AH302" i="4"/>
  <c r="AF303" i="4"/>
  <c r="AN303" i="4" s="1"/>
  <c r="AH303" i="4"/>
  <c r="AF304" i="4"/>
  <c r="AN304" i="4" s="1"/>
  <c r="AH304" i="4"/>
  <c r="AF305" i="4"/>
  <c r="AN305" i="4" s="1"/>
  <c r="AH305" i="4"/>
  <c r="AF306" i="4"/>
  <c r="AN306" i="4" s="1"/>
  <c r="AH306" i="4"/>
  <c r="AF307" i="4"/>
  <c r="AN307" i="4" s="1"/>
  <c r="AH307" i="4"/>
  <c r="AF308" i="4"/>
  <c r="AN308" i="4" s="1"/>
  <c r="AH308" i="4"/>
  <c r="AF309" i="4"/>
  <c r="AN309" i="4" s="1"/>
  <c r="AH309" i="4"/>
  <c r="AF310" i="4"/>
  <c r="AN310" i="4" s="1"/>
  <c r="AH310" i="4"/>
  <c r="AF311" i="4"/>
  <c r="AN311" i="4" s="1"/>
  <c r="AH311" i="4"/>
  <c r="AF324" i="4"/>
  <c r="AN324" i="4" s="1"/>
  <c r="AG324" i="4"/>
  <c r="AM324" i="4" s="1"/>
  <c r="AH324" i="4"/>
  <c r="AJ324" i="4" s="1"/>
  <c r="AK324" i="4" s="1"/>
  <c r="AL324" i="4" s="1"/>
  <c r="G42" i="6" l="1"/>
  <c r="H77" i="2"/>
  <c r="J27" i="6"/>
  <c r="D78" i="11"/>
  <c r="V161" i="11"/>
  <c r="V218" i="11" s="1"/>
  <c r="Q215" i="2"/>
  <c r="D31" i="6"/>
  <c r="H31" i="6"/>
  <c r="G31" i="6" s="1"/>
  <c r="H158" i="2"/>
  <c r="S158" i="2" s="1"/>
  <c r="J31" i="6"/>
  <c r="H241" i="2"/>
  <c r="J42" i="6"/>
  <c r="M228" i="8"/>
  <c r="S104" i="11"/>
  <c r="Z104" i="11"/>
  <c r="R104" i="11"/>
  <c r="E104" i="11"/>
  <c r="E223" i="11" s="1"/>
  <c r="L103" i="2"/>
  <c r="D103" i="2"/>
  <c r="H107" i="8"/>
  <c r="O107" i="8"/>
  <c r="F107" i="8"/>
  <c r="M266" i="8"/>
  <c r="P81" i="8"/>
  <c r="P107" i="8" s="1"/>
  <c r="AA77" i="4"/>
  <c r="AA103" i="4"/>
  <c r="Q248" i="2"/>
  <c r="V245" i="11"/>
  <c r="V252" i="11" s="1"/>
  <c r="N161" i="11"/>
  <c r="N218" i="11" s="1"/>
  <c r="AO244" i="4"/>
  <c r="AP244" i="4" s="1"/>
  <c r="AO103" i="4"/>
  <c r="AG103" i="4"/>
  <c r="N245" i="11"/>
  <c r="N252" i="11" s="1"/>
  <c r="D161" i="11"/>
  <c r="D245" i="11"/>
  <c r="AJ248" i="4"/>
  <c r="AP158" i="4"/>
  <c r="AJ215" i="4"/>
  <c r="AP243" i="4"/>
  <c r="AM248" i="4"/>
  <c r="AM215" i="4"/>
  <c r="AK158" i="4"/>
  <c r="AP241" i="4"/>
  <c r="AK241" i="4"/>
  <c r="M88" i="8"/>
  <c r="M81" i="8"/>
  <c r="AJ77" i="4"/>
  <c r="C81" i="8"/>
  <c r="AI84" i="4"/>
  <c r="AM84" i="4"/>
  <c r="AK84" i="4"/>
  <c r="AL84" i="4" s="1"/>
  <c r="AI77" i="4"/>
  <c r="AM77" i="4"/>
  <c r="AI324" i="4"/>
  <c r="O384" i="2"/>
  <c r="N384" i="2"/>
  <c r="A384" i="2"/>
  <c r="D147" i="7"/>
  <c r="G147" i="7"/>
  <c r="J147" i="7" s="1"/>
  <c r="H147" i="7"/>
  <c r="AH323" i="4"/>
  <c r="AH384" i="4" s="1"/>
  <c r="AF323" i="4"/>
  <c r="AF384" i="4" s="1"/>
  <c r="AD323" i="4"/>
  <c r="V323" i="4"/>
  <c r="V323" i="2" s="1"/>
  <c r="P262" i="6" s="1"/>
  <c r="R384" i="4"/>
  <c r="M384" i="4"/>
  <c r="AB384" i="4" s="1"/>
  <c r="S317" i="4"/>
  <c r="O319" i="8"/>
  <c r="P319" i="8" s="1"/>
  <c r="O320" i="8"/>
  <c r="P320" i="8" s="1"/>
  <c r="O321" i="8"/>
  <c r="P321" i="8" s="1"/>
  <c r="O322" i="8"/>
  <c r="P322" i="8" s="1"/>
  <c r="O323" i="8"/>
  <c r="P323" i="8" s="1"/>
  <c r="O324" i="8"/>
  <c r="P324" i="8" s="1"/>
  <c r="O325" i="8"/>
  <c r="P325" i="8" s="1"/>
  <c r="O326" i="8"/>
  <c r="P326" i="8" s="1"/>
  <c r="O327" i="8"/>
  <c r="P327" i="8" s="1"/>
  <c r="O328" i="8"/>
  <c r="P328" i="8" s="1"/>
  <c r="O329" i="8"/>
  <c r="P329" i="8" s="1"/>
  <c r="O330" i="8"/>
  <c r="P330" i="8" s="1"/>
  <c r="O331" i="8"/>
  <c r="P331" i="8" s="1"/>
  <c r="O332" i="8"/>
  <c r="P332" i="8" s="1"/>
  <c r="O333" i="8"/>
  <c r="P333" i="8" s="1"/>
  <c r="O334" i="8"/>
  <c r="P334" i="8" s="1"/>
  <c r="O335" i="8"/>
  <c r="P335" i="8" s="1"/>
  <c r="O336" i="8"/>
  <c r="P336" i="8" s="1"/>
  <c r="O337" i="8"/>
  <c r="P337" i="8" s="1"/>
  <c r="O338" i="8"/>
  <c r="P338" i="8" s="1"/>
  <c r="O339" i="8"/>
  <c r="P339" i="8" s="1"/>
  <c r="O340" i="8"/>
  <c r="P340" i="8" s="1"/>
  <c r="O341" i="8"/>
  <c r="P341" i="8" s="1"/>
  <c r="O342" i="8"/>
  <c r="P342" i="8" s="1"/>
  <c r="O343" i="8"/>
  <c r="P343" i="8" s="1"/>
  <c r="O344" i="8"/>
  <c r="P344" i="8" s="1"/>
  <c r="O345" i="8"/>
  <c r="P345" i="8" s="1"/>
  <c r="O346" i="8"/>
  <c r="P346" i="8" s="1"/>
  <c r="O347" i="8"/>
  <c r="P347" i="8" s="1"/>
  <c r="Z161" i="11" l="1"/>
  <c r="Z218" i="11" s="1"/>
  <c r="I158" i="2"/>
  <c r="K31" i="6"/>
  <c r="M31" i="6" s="1"/>
  <c r="H215" i="2"/>
  <c r="W161" i="11"/>
  <c r="W218" i="11" s="1"/>
  <c r="S215" i="2"/>
  <c r="H248" i="2"/>
  <c r="K42" i="6"/>
  <c r="M42" i="6" s="1"/>
  <c r="S241" i="2"/>
  <c r="S248" i="2" s="1"/>
  <c r="I241" i="2"/>
  <c r="I248" i="2" s="1"/>
  <c r="S77" i="2"/>
  <c r="W78" i="11" s="1"/>
  <c r="K27" i="6"/>
  <c r="M27" i="6" s="1"/>
  <c r="I77" i="2"/>
  <c r="G104" i="11"/>
  <c r="Q104" i="11"/>
  <c r="H103" i="2"/>
  <c r="M107" i="8"/>
  <c r="C384" i="2"/>
  <c r="P384" i="2"/>
  <c r="F384" i="2"/>
  <c r="AA161" i="11"/>
  <c r="AA218" i="11" s="1"/>
  <c r="Z245" i="11"/>
  <c r="Z252" i="11" s="1"/>
  <c r="E384" i="2"/>
  <c r="J384" i="2"/>
  <c r="AO248" i="4"/>
  <c r="AD333" i="4"/>
  <c r="AD320" i="4"/>
  <c r="AO338" i="4"/>
  <c r="AP338" i="4" s="1"/>
  <c r="AO333" i="4"/>
  <c r="AP333" i="4" s="1"/>
  <c r="AO328" i="4"/>
  <c r="AP328" i="4" s="1"/>
  <c r="AO320" i="4"/>
  <c r="AP320" i="4" s="1"/>
  <c r="N359" i="8"/>
  <c r="N420" i="8" s="1"/>
  <c r="S384" i="4"/>
  <c r="Z384" i="4" s="1"/>
  <c r="O359" i="8"/>
  <c r="P359" i="8" s="1"/>
  <c r="I384" i="4"/>
  <c r="H359" i="8"/>
  <c r="H420" i="8" s="1"/>
  <c r="D420" i="8"/>
  <c r="J420" i="8"/>
  <c r="K420" i="8"/>
  <c r="F420" i="8"/>
  <c r="E420" i="8"/>
  <c r="I420" i="8"/>
  <c r="AO345" i="4"/>
  <c r="AP345" i="4" s="1"/>
  <c r="AO337" i="4"/>
  <c r="AP337" i="4" s="1"/>
  <c r="AO334" i="4"/>
  <c r="AP334" i="4" s="1"/>
  <c r="L384" i="4"/>
  <c r="AA384" i="4" s="1"/>
  <c r="AO292" i="4"/>
  <c r="AO285" i="4"/>
  <c r="AO324" i="4"/>
  <c r="AP324" i="4" s="1"/>
  <c r="AO301" i="4"/>
  <c r="AO293" i="4"/>
  <c r="AO286" i="4"/>
  <c r="AO310" i="4"/>
  <c r="AO323" i="4"/>
  <c r="AK77" i="4"/>
  <c r="AJ103" i="4"/>
  <c r="AO307" i="4"/>
  <c r="AO294" i="4"/>
  <c r="AO287" i="4"/>
  <c r="AO308" i="4"/>
  <c r="AO302" i="4"/>
  <c r="AO295" i="4"/>
  <c r="AO288" i="4"/>
  <c r="AO309" i="4"/>
  <c r="AO303" i="4"/>
  <c r="AO296" i="4"/>
  <c r="AM103" i="4"/>
  <c r="AO297" i="4"/>
  <c r="AO304" i="4"/>
  <c r="AO298" i="4"/>
  <c r="AL158" i="4"/>
  <c r="AL215" i="4" s="1"/>
  <c r="AK215" i="4"/>
  <c r="AO299" i="4"/>
  <c r="AO289" i="4"/>
  <c r="AO283" i="4"/>
  <c r="AO300" i="4"/>
  <c r="AO311" i="4"/>
  <c r="AO305" i="4"/>
  <c r="AO290" i="4"/>
  <c r="AO284" i="4"/>
  <c r="AL241" i="4"/>
  <c r="AL248" i="4" s="1"/>
  <c r="AK248" i="4"/>
  <c r="AO306" i="4"/>
  <c r="AO291" i="4"/>
  <c r="AP248" i="4"/>
  <c r="AP77" i="4"/>
  <c r="I147" i="7"/>
  <c r="AN323" i="4"/>
  <c r="AN384" i="4" s="1"/>
  <c r="M384" i="2"/>
  <c r="R384" i="2"/>
  <c r="AG323" i="4"/>
  <c r="AG384" i="4" s="1"/>
  <c r="C317" i="4"/>
  <c r="K241" i="2" l="1"/>
  <c r="K248" i="2" s="1"/>
  <c r="I245" i="11"/>
  <c r="K245" i="11" s="1"/>
  <c r="K252" i="11" s="1"/>
  <c r="U161" i="11"/>
  <c r="U218" i="11" s="1"/>
  <c r="K77" i="2"/>
  <c r="K103" i="2" s="1"/>
  <c r="I78" i="11"/>
  <c r="U78" i="11"/>
  <c r="Y78" i="11" s="1"/>
  <c r="AA78" i="11"/>
  <c r="W245" i="11"/>
  <c r="W252" i="11" s="1"/>
  <c r="I161" i="11"/>
  <c r="I215" i="2"/>
  <c r="K158" i="2"/>
  <c r="K215" i="2" s="1"/>
  <c r="S103" i="2"/>
  <c r="W104" i="11"/>
  <c r="I103" i="2"/>
  <c r="V322" i="11"/>
  <c r="Q384" i="2"/>
  <c r="N389" i="11"/>
  <c r="J389" i="11"/>
  <c r="AD337" i="4"/>
  <c r="M359" i="8"/>
  <c r="M420" i="8" s="1"/>
  <c r="C359" i="8"/>
  <c r="P420" i="8"/>
  <c r="O420" i="8"/>
  <c r="AL77" i="4"/>
  <c r="AL103" i="4" s="1"/>
  <c r="AK103" i="4"/>
  <c r="L384" i="2"/>
  <c r="AJ323" i="4"/>
  <c r="AJ384" i="4" s="1"/>
  <c r="AI323" i="4"/>
  <c r="AM323" i="4"/>
  <c r="AM384" i="4" s="1"/>
  <c r="AD309" i="4"/>
  <c r="AD310" i="4"/>
  <c r="AD316" i="4"/>
  <c r="AD317" i="4"/>
  <c r="AD318" i="4"/>
  <c r="AD319" i="4"/>
  <c r="AD383" i="4"/>
  <c r="AD387" i="4"/>
  <c r="AD395" i="4"/>
  <c r="AD397" i="4"/>
  <c r="V285" i="4"/>
  <c r="V285" i="2" s="1"/>
  <c r="P243" i="6" s="1"/>
  <c r="V286" i="4"/>
  <c r="V286" i="2" s="1"/>
  <c r="P244" i="6" s="1"/>
  <c r="V287" i="4"/>
  <c r="V287" i="2" s="1"/>
  <c r="P245" i="6" s="1"/>
  <c r="V288" i="4"/>
  <c r="V288" i="2" s="1"/>
  <c r="P246" i="6" s="1"/>
  <c r="V289" i="4"/>
  <c r="V289" i="2" s="1"/>
  <c r="P247" i="6" s="1"/>
  <c r="V290" i="4"/>
  <c r="V290" i="2" s="1"/>
  <c r="P94" i="6" s="1"/>
  <c r="V291" i="4"/>
  <c r="V291" i="2" s="1"/>
  <c r="P248" i="6" s="1"/>
  <c r="V292" i="4"/>
  <c r="V292" i="2" s="1"/>
  <c r="P249" i="6" s="1"/>
  <c r="V293" i="4"/>
  <c r="V293" i="2" s="1"/>
  <c r="P95" i="6" s="1"/>
  <c r="V294" i="4"/>
  <c r="V294" i="2" s="1"/>
  <c r="P96" i="6" s="1"/>
  <c r="V295" i="4"/>
  <c r="V295" i="2" s="1"/>
  <c r="P97" i="6" s="1"/>
  <c r="V296" i="4"/>
  <c r="V296" i="2" s="1"/>
  <c r="P250" i="6" s="1"/>
  <c r="V297" i="4"/>
  <c r="V297" i="2" s="1"/>
  <c r="P98" i="6" s="1"/>
  <c r="V298" i="4"/>
  <c r="V298" i="2" s="1"/>
  <c r="P251" i="6" s="1"/>
  <c r="V299" i="4"/>
  <c r="V299" i="2" s="1"/>
  <c r="P99" i="6" s="1"/>
  <c r="V300" i="4"/>
  <c r="V300" i="2" s="1"/>
  <c r="P100" i="6" s="1"/>
  <c r="V301" i="4"/>
  <c r="V301" i="2" s="1"/>
  <c r="P252" i="6" s="1"/>
  <c r="V302" i="4"/>
  <c r="V302" i="2" s="1"/>
  <c r="P101" i="6" s="1"/>
  <c r="V303" i="4"/>
  <c r="V303" i="2" s="1"/>
  <c r="P102" i="6" s="1"/>
  <c r="V304" i="4"/>
  <c r="V304" i="2" s="1"/>
  <c r="P253" i="6" s="1"/>
  <c r="V305" i="4"/>
  <c r="V305" i="2" s="1"/>
  <c r="P103" i="6" s="1"/>
  <c r="V306" i="4"/>
  <c r="V306" i="2" s="1"/>
  <c r="P104" i="6" s="1"/>
  <c r="V307" i="4"/>
  <c r="V307" i="2" s="1"/>
  <c r="P254" i="6" s="1"/>
  <c r="V308" i="4"/>
  <c r="V308" i="2" s="1"/>
  <c r="P140" i="6" s="1"/>
  <c r="V309" i="4"/>
  <c r="V309" i="2" s="1"/>
  <c r="P255" i="6" s="1"/>
  <c r="V310" i="4"/>
  <c r="V310" i="2" s="1"/>
  <c r="P256" i="6" s="1"/>
  <c r="V311" i="4"/>
  <c r="V311" i="2" s="1"/>
  <c r="P141" i="6" s="1"/>
  <c r="N321" i="8"/>
  <c r="M321" i="8" s="1"/>
  <c r="N322" i="8"/>
  <c r="M322" i="8" s="1"/>
  <c r="N323" i="8"/>
  <c r="M323" i="8" s="1"/>
  <c r="N324" i="8"/>
  <c r="M324" i="8" s="1"/>
  <c r="N325" i="8"/>
  <c r="M325" i="8" s="1"/>
  <c r="N326" i="8"/>
  <c r="M326" i="8" s="1"/>
  <c r="N327" i="8"/>
  <c r="M327" i="8" s="1"/>
  <c r="N328" i="8"/>
  <c r="M328" i="8" s="1"/>
  <c r="N329" i="8"/>
  <c r="M329" i="8" s="1"/>
  <c r="N330" i="8"/>
  <c r="M330" i="8" s="1"/>
  <c r="N331" i="8"/>
  <c r="M331" i="8" s="1"/>
  <c r="N332" i="8"/>
  <c r="M332" i="8" s="1"/>
  <c r="N333" i="8"/>
  <c r="M333" i="8" s="1"/>
  <c r="N334" i="8"/>
  <c r="M334" i="8" s="1"/>
  <c r="N335" i="8"/>
  <c r="M335" i="8" s="1"/>
  <c r="N336" i="8"/>
  <c r="M336" i="8" s="1"/>
  <c r="N337" i="8"/>
  <c r="M337" i="8" s="1"/>
  <c r="N338" i="8"/>
  <c r="M338" i="8" s="1"/>
  <c r="N339" i="8"/>
  <c r="M339" i="8" s="1"/>
  <c r="N340" i="8"/>
  <c r="M340" i="8" s="1"/>
  <c r="N341" i="8"/>
  <c r="M341" i="8" s="1"/>
  <c r="N342" i="8"/>
  <c r="M342" i="8" s="1"/>
  <c r="N343" i="8"/>
  <c r="M343" i="8" s="1"/>
  <c r="N344" i="8"/>
  <c r="M344" i="8" s="1"/>
  <c r="N345" i="8"/>
  <c r="M345" i="8" s="1"/>
  <c r="N346" i="8"/>
  <c r="M346" i="8" s="1"/>
  <c r="N347" i="8"/>
  <c r="M347" i="8" s="1"/>
  <c r="M245" i="11" l="1"/>
  <c r="M252" i="11" s="1"/>
  <c r="Y161" i="11"/>
  <c r="Y218" i="11" s="1"/>
  <c r="I252" i="11"/>
  <c r="U245" i="11"/>
  <c r="U252" i="11" s="1"/>
  <c r="AA245" i="11"/>
  <c r="AA252" i="11" s="1"/>
  <c r="I218" i="11"/>
  <c r="M161" i="11"/>
  <c r="M218" i="11" s="1"/>
  <c r="K161" i="11"/>
  <c r="K78" i="11"/>
  <c r="O78" i="11" s="1"/>
  <c r="M78" i="11"/>
  <c r="AA104" i="11"/>
  <c r="I104" i="11"/>
  <c r="U104" i="11"/>
  <c r="Y104" i="11"/>
  <c r="O245" i="11"/>
  <c r="O252" i="11" s="1"/>
  <c r="V389" i="11"/>
  <c r="Z389" i="11"/>
  <c r="H345" i="8"/>
  <c r="H339" i="8"/>
  <c r="H330" i="8"/>
  <c r="H323" i="8"/>
  <c r="H340" i="8"/>
  <c r="H344" i="8"/>
  <c r="H338" i="8"/>
  <c r="H329" i="8"/>
  <c r="H327" i="8"/>
  <c r="H332" i="8"/>
  <c r="H342" i="8"/>
  <c r="H325" i="8"/>
  <c r="H321" i="8"/>
  <c r="H337" i="8"/>
  <c r="H326" i="8"/>
  <c r="H347" i="8"/>
  <c r="H341" i="8"/>
  <c r="H343" i="8"/>
  <c r="H322" i="8"/>
  <c r="H328" i="8"/>
  <c r="H336" i="8"/>
  <c r="H335" i="8"/>
  <c r="H334" i="8"/>
  <c r="H346" i="8"/>
  <c r="H333" i="8"/>
  <c r="H331" i="8"/>
  <c r="H324" i="8"/>
  <c r="AG308" i="4"/>
  <c r="AG288" i="4"/>
  <c r="AP323" i="4"/>
  <c r="AG301" i="4"/>
  <c r="AG293" i="4"/>
  <c r="AG286" i="4"/>
  <c r="AG292" i="4"/>
  <c r="AG285" i="4"/>
  <c r="AG306" i="4"/>
  <c r="AG291" i="4"/>
  <c r="AG295" i="4"/>
  <c r="AG307" i="4"/>
  <c r="AG287" i="4"/>
  <c r="AG311" i="4"/>
  <c r="AG305" i="4"/>
  <c r="AG290" i="4"/>
  <c r="AG294" i="4"/>
  <c r="AG310" i="4"/>
  <c r="AG299" i="4"/>
  <c r="AG302" i="4"/>
  <c r="AG300" i="4"/>
  <c r="AG289" i="4"/>
  <c r="AG304" i="4"/>
  <c r="AG298" i="4"/>
  <c r="AG297" i="4"/>
  <c r="AG309" i="4"/>
  <c r="AG303" i="4"/>
  <c r="AG296" i="4"/>
  <c r="AK323" i="4"/>
  <c r="AK384" i="4" s="1"/>
  <c r="Y245" i="11" l="1"/>
  <c r="Y252" i="11" s="1"/>
  <c r="K218" i="11"/>
  <c r="O161" i="11"/>
  <c r="O218" i="11" s="1"/>
  <c r="M104" i="11"/>
  <c r="K104" i="11"/>
  <c r="O104" i="11"/>
  <c r="H384" i="2"/>
  <c r="C343" i="8"/>
  <c r="C341" i="8"/>
  <c r="C327" i="8"/>
  <c r="C333" i="8"/>
  <c r="C330" i="8"/>
  <c r="C334" i="8"/>
  <c r="C321" i="8"/>
  <c r="C332" i="8"/>
  <c r="C339" i="8"/>
  <c r="C346" i="8"/>
  <c r="C337" i="8"/>
  <c r="C329" i="8"/>
  <c r="C322" i="8"/>
  <c r="C326" i="8"/>
  <c r="C331" i="8"/>
  <c r="C342" i="8"/>
  <c r="C338" i="8"/>
  <c r="C325" i="8"/>
  <c r="C328" i="8"/>
  <c r="C347" i="8"/>
  <c r="C324" i="8"/>
  <c r="C344" i="8"/>
  <c r="C340" i="8"/>
  <c r="C335" i="8"/>
  <c r="C323" i="8"/>
  <c r="C336" i="8"/>
  <c r="C345" i="8"/>
  <c r="AJ289" i="4"/>
  <c r="AM287" i="4"/>
  <c r="AI287" i="4"/>
  <c r="AJ295" i="4"/>
  <c r="AM300" i="4"/>
  <c r="AI300" i="4"/>
  <c r="AI294" i="4"/>
  <c r="AM294" i="4"/>
  <c r="AJ292" i="4"/>
  <c r="AM298" i="4"/>
  <c r="AI298" i="4"/>
  <c r="AI307" i="4"/>
  <c r="AM307" i="4"/>
  <c r="AM306" i="4"/>
  <c r="AI306" i="4"/>
  <c r="AJ291" i="4"/>
  <c r="AJ285" i="4"/>
  <c r="AJ310" i="4"/>
  <c r="AJ287" i="4"/>
  <c r="AJ309" i="4"/>
  <c r="AJ286" i="4"/>
  <c r="AJ298" i="4"/>
  <c r="AJ306" i="4"/>
  <c r="AJ290" i="4"/>
  <c r="AL323" i="4"/>
  <c r="AL384" i="4" s="1"/>
  <c r="AM304" i="4"/>
  <c r="AI304" i="4"/>
  <c r="AM299" i="4"/>
  <c r="AI299" i="4"/>
  <c r="AI290" i="4"/>
  <c r="AM290" i="4"/>
  <c r="AJ296" i="4"/>
  <c r="AJ299" i="4"/>
  <c r="AI296" i="4"/>
  <c r="AM296" i="4"/>
  <c r="AM297" i="4"/>
  <c r="AI297" i="4"/>
  <c r="AM295" i="4"/>
  <c r="AI295" i="4"/>
  <c r="AI286" i="4"/>
  <c r="AM286" i="4"/>
  <c r="AJ304" i="4"/>
  <c r="AJ301" i="4"/>
  <c r="AI303" i="4"/>
  <c r="AM303" i="4"/>
  <c r="AM310" i="4"/>
  <c r="AI310" i="4"/>
  <c r="AI305" i="4"/>
  <c r="AM305" i="4"/>
  <c r="AM285" i="4"/>
  <c r="AI285" i="4"/>
  <c r="AI293" i="4"/>
  <c r="AM293" i="4"/>
  <c r="AM288" i="4"/>
  <c r="AI288" i="4"/>
  <c r="AJ302" i="4"/>
  <c r="AJ294" i="4"/>
  <c r="AJ297" i="4"/>
  <c r="AJ307" i="4"/>
  <c r="AJ293" i="4"/>
  <c r="AJ303" i="4"/>
  <c r="AJ288" i="4"/>
  <c r="AJ308" i="4"/>
  <c r="AJ300" i="4"/>
  <c r="AJ305" i="4"/>
  <c r="AJ311" i="4"/>
  <c r="AM309" i="4"/>
  <c r="AI309" i="4"/>
  <c r="AM289" i="4"/>
  <c r="AI289" i="4"/>
  <c r="AM302" i="4"/>
  <c r="AI302" i="4"/>
  <c r="AI311" i="4"/>
  <c r="AM311" i="4"/>
  <c r="AI291" i="4"/>
  <c r="AM291" i="4"/>
  <c r="AM292" i="4"/>
  <c r="AI292" i="4"/>
  <c r="AM301" i="4"/>
  <c r="AI301" i="4"/>
  <c r="AI308" i="4"/>
  <c r="AM308" i="4"/>
  <c r="I384" i="2" l="1"/>
  <c r="S384" i="2"/>
  <c r="K384" i="2"/>
  <c r="AP305" i="4"/>
  <c r="AK305" i="4"/>
  <c r="AL305" i="4" s="1"/>
  <c r="AK296" i="4"/>
  <c r="AL296" i="4" s="1"/>
  <c r="AP296" i="4"/>
  <c r="AP302" i="4"/>
  <c r="AK302" i="4"/>
  <c r="AL302" i="4" s="1"/>
  <c r="AK293" i="4"/>
  <c r="AL293" i="4" s="1"/>
  <c r="AP293" i="4"/>
  <c r="AK299" i="4"/>
  <c r="AL299" i="4" s="1"/>
  <c r="AP299" i="4"/>
  <c r="AP290" i="4"/>
  <c r="AK290" i="4"/>
  <c r="AL290" i="4" s="1"/>
  <c r="AK298" i="4"/>
  <c r="AL298" i="4" s="1"/>
  <c r="AP298" i="4"/>
  <c r="AK285" i="4"/>
  <c r="AL285" i="4" s="1"/>
  <c r="AP285" i="4"/>
  <c r="AK308" i="4"/>
  <c r="AL308" i="4" s="1"/>
  <c r="AP308" i="4"/>
  <c r="AP288" i="4"/>
  <c r="AK288" i="4"/>
  <c r="AL288" i="4" s="1"/>
  <c r="AP311" i="4"/>
  <c r="AK311" i="4"/>
  <c r="AL311" i="4" s="1"/>
  <c r="AP297" i="4"/>
  <c r="AK297" i="4"/>
  <c r="AL297" i="4" s="1"/>
  <c r="AK304" i="4"/>
  <c r="AL304" i="4" s="1"/>
  <c r="AP304" i="4"/>
  <c r="AP309" i="4"/>
  <c r="AK309" i="4"/>
  <c r="AL309" i="4" s="1"/>
  <c r="AK286" i="4"/>
  <c r="AL286" i="4" s="1"/>
  <c r="AP286" i="4"/>
  <c r="AP300" i="4"/>
  <c r="AK300" i="4"/>
  <c r="AL300" i="4" s="1"/>
  <c r="AK292" i="4"/>
  <c r="AL292" i="4" s="1"/>
  <c r="AP292" i="4"/>
  <c r="AP310" i="4"/>
  <c r="AK310" i="4"/>
  <c r="AL310" i="4" s="1"/>
  <c r="AK291" i="4"/>
  <c r="AL291" i="4" s="1"/>
  <c r="AP291" i="4"/>
  <c r="AK295" i="4"/>
  <c r="AL295" i="4" s="1"/>
  <c r="AP295" i="4"/>
  <c r="AP289" i="4"/>
  <c r="AK289" i="4"/>
  <c r="AL289" i="4" s="1"/>
  <c r="AK307" i="4"/>
  <c r="AL307" i="4" s="1"/>
  <c r="AP307" i="4"/>
  <c r="AP294" i="4"/>
  <c r="AK294" i="4"/>
  <c r="AL294" i="4" s="1"/>
  <c r="AK301" i="4"/>
  <c r="AL301" i="4" s="1"/>
  <c r="AP301" i="4"/>
  <c r="AP306" i="4"/>
  <c r="AK306" i="4"/>
  <c r="AL306" i="4" s="1"/>
  <c r="AP287" i="4"/>
  <c r="AK287" i="4"/>
  <c r="AL287" i="4" s="1"/>
  <c r="AP303" i="4"/>
  <c r="AK303" i="4"/>
  <c r="AL303" i="4" s="1"/>
  <c r="AF253" i="4"/>
  <c r="AN253" i="4" s="1"/>
  <c r="AH253" i="4"/>
  <c r="AF229" i="4"/>
  <c r="AN229" i="4" s="1"/>
  <c r="AH229" i="4"/>
  <c r="AF120" i="4"/>
  <c r="AN120" i="4" s="1"/>
  <c r="AH120" i="4"/>
  <c r="A392" i="2"/>
  <c r="A342" i="6" s="1"/>
  <c r="B392" i="2"/>
  <c r="B342" i="6" s="1"/>
  <c r="F392" i="2"/>
  <c r="J392" i="2"/>
  <c r="C342" i="6" s="1"/>
  <c r="N392" i="2"/>
  <c r="O392" i="2"/>
  <c r="P392" i="2"/>
  <c r="AO355" i="4" s="1"/>
  <c r="AP355" i="4" s="1"/>
  <c r="T392" i="2"/>
  <c r="N342" i="6" s="1"/>
  <c r="U392" i="2"/>
  <c r="O342" i="6" s="1"/>
  <c r="A120" i="2"/>
  <c r="A185" i="6" s="1"/>
  <c r="B120" i="2"/>
  <c r="B185" i="6" s="1"/>
  <c r="F120" i="2"/>
  <c r="J120" i="2"/>
  <c r="N120" i="2"/>
  <c r="O120" i="2"/>
  <c r="P120" i="2"/>
  <c r="L185" i="6" s="1"/>
  <c r="L317" i="6" s="1"/>
  <c r="T120" i="2"/>
  <c r="N185" i="6" s="1"/>
  <c r="U120" i="2"/>
  <c r="O185" i="6" s="1"/>
  <c r="F185" i="6" l="1"/>
  <c r="F317" i="6" s="1"/>
  <c r="D120" i="2"/>
  <c r="D154" i="2" s="1"/>
  <c r="C185" i="6"/>
  <c r="C317" i="6" s="1"/>
  <c r="C120" i="2"/>
  <c r="M120" i="2" s="1"/>
  <c r="L342" i="6"/>
  <c r="AO348" i="4"/>
  <c r="AP348" i="4" s="1"/>
  <c r="J397" i="11"/>
  <c r="N397" i="11" s="1"/>
  <c r="F342" i="6"/>
  <c r="AA389" i="11"/>
  <c r="W389" i="11"/>
  <c r="M389" i="11"/>
  <c r="I389" i="11"/>
  <c r="S131" i="1"/>
  <c r="S119" i="1"/>
  <c r="S116" i="1"/>
  <c r="S109" i="1"/>
  <c r="S106" i="1"/>
  <c r="S127" i="1"/>
  <c r="S133" i="1"/>
  <c r="S114" i="1"/>
  <c r="S125" i="1"/>
  <c r="S128" i="1"/>
  <c r="S121" i="1"/>
  <c r="S118" i="1"/>
  <c r="S123" i="1"/>
  <c r="AO120" i="4"/>
  <c r="S110" i="1"/>
  <c r="S111" i="1"/>
  <c r="AO229" i="4"/>
  <c r="S120" i="1"/>
  <c r="S112" i="1"/>
  <c r="S129" i="1"/>
  <c r="S117" i="1"/>
  <c r="S124" i="1"/>
  <c r="S107" i="1"/>
  <c r="S122" i="1"/>
  <c r="S105" i="1"/>
  <c r="S115" i="1"/>
  <c r="S134" i="1"/>
  <c r="S132" i="1"/>
  <c r="S130" i="1"/>
  <c r="S108" i="1"/>
  <c r="S113" i="1"/>
  <c r="S126" i="1"/>
  <c r="Q392" i="2"/>
  <c r="V397" i="11" s="1"/>
  <c r="R392" i="2"/>
  <c r="Q120" i="2"/>
  <c r="V123" i="11" s="1"/>
  <c r="R120" i="2"/>
  <c r="C154" i="2" l="1"/>
  <c r="E120" i="2"/>
  <c r="I185" i="6" s="1"/>
  <c r="I317" i="6" s="1"/>
  <c r="E185" i="6"/>
  <c r="Z397" i="11"/>
  <c r="O389" i="11"/>
  <c r="K389" i="11"/>
  <c r="Y389" i="11"/>
  <c r="U389" i="11"/>
  <c r="T121" i="1"/>
  <c r="T106" i="1"/>
  <c r="T107" i="1"/>
  <c r="T130" i="1"/>
  <c r="T119" i="1"/>
  <c r="T113" i="1"/>
  <c r="T126" i="1"/>
  <c r="T109" i="1"/>
  <c r="T128" i="1"/>
  <c r="T111" i="1"/>
  <c r="T134" i="1"/>
  <c r="T105" i="1"/>
  <c r="T124" i="1"/>
  <c r="T120" i="1"/>
  <c r="T117" i="1"/>
  <c r="T112" i="1"/>
  <c r="T114" i="1"/>
  <c r="T129" i="1"/>
  <c r="T115" i="1"/>
  <c r="T133" i="1"/>
  <c r="T125" i="1"/>
  <c r="T127" i="1"/>
  <c r="T123" i="1"/>
  <c r="T122" i="1"/>
  <c r="T108" i="1"/>
  <c r="T110" i="1"/>
  <c r="T118" i="1"/>
  <c r="T131" i="1"/>
  <c r="T116" i="1"/>
  <c r="T132" i="1"/>
  <c r="D185" i="6" l="1"/>
  <c r="D317" i="6" s="1"/>
  <c r="H185" i="6"/>
  <c r="E317" i="6"/>
  <c r="AO87" i="4"/>
  <c r="AP87" i="4" s="1"/>
  <c r="M354" i="6"/>
  <c r="AO18" i="4"/>
  <c r="AP18" i="4" s="1"/>
  <c r="G185" i="6" l="1"/>
  <c r="G317" i="6" s="1"/>
  <c r="H317" i="6"/>
  <c r="A147" i="8"/>
  <c r="B147" i="8"/>
  <c r="D147" i="8"/>
  <c r="E147" i="8"/>
  <c r="F147" i="8" s="1"/>
  <c r="I147" i="8"/>
  <c r="J147" i="8"/>
  <c r="K147" i="8"/>
  <c r="V134" i="4"/>
  <c r="V134" i="2" s="1"/>
  <c r="P126" i="6" s="1"/>
  <c r="N147" i="8"/>
  <c r="V131" i="4"/>
  <c r="V131" i="2" s="1"/>
  <c r="P77" i="6" s="1"/>
  <c r="A431" i="8"/>
  <c r="B431" i="8"/>
  <c r="I431" i="8"/>
  <c r="K431" i="8"/>
  <c r="A57" i="8"/>
  <c r="B57" i="8"/>
  <c r="D57" i="8"/>
  <c r="E57" i="8"/>
  <c r="F57" i="8" s="1"/>
  <c r="I57" i="8"/>
  <c r="K57" i="8"/>
  <c r="A18" i="8"/>
  <c r="B18" i="8"/>
  <c r="D18" i="8"/>
  <c r="E18" i="8"/>
  <c r="F18" i="8" s="1"/>
  <c r="I18" i="8"/>
  <c r="J18" i="8"/>
  <c r="K18" i="8"/>
  <c r="AA134" i="4" l="1"/>
  <c r="AA131" i="4"/>
  <c r="AG134" i="4"/>
  <c r="AG131" i="4"/>
  <c r="T45" i="1"/>
  <c r="O147" i="8"/>
  <c r="P147" i="8" s="1"/>
  <c r="H147" i="8"/>
  <c r="T74" i="1" l="1"/>
  <c r="T73" i="1"/>
  <c r="AM134" i="4"/>
  <c r="AI134" i="4"/>
  <c r="AJ131" i="4"/>
  <c r="AI131" i="4"/>
  <c r="AM131" i="4"/>
  <c r="AJ134" i="4"/>
  <c r="C147" i="8"/>
  <c r="M147" i="8"/>
  <c r="S45" i="1" l="1"/>
  <c r="S73" i="1"/>
  <c r="S93" i="1"/>
  <c r="S79" i="1"/>
  <c r="S66" i="1"/>
  <c r="AP131" i="4"/>
  <c r="AK131" i="4"/>
  <c r="AL131" i="4" s="1"/>
  <c r="S74" i="1"/>
  <c r="S78" i="1"/>
  <c r="S75" i="1"/>
  <c r="S76" i="1"/>
  <c r="S67" i="1"/>
  <c r="AK134" i="4"/>
  <c r="AL134" i="4" s="1"/>
  <c r="AP134" i="4"/>
  <c r="V18" i="4"/>
  <c r="V18" i="2" s="1"/>
  <c r="P159" i="6" s="1"/>
  <c r="V53" i="4"/>
  <c r="V53" i="2" s="1"/>
  <c r="P119" i="6" s="1"/>
  <c r="S77" i="1" l="1"/>
  <c r="N57" i="8"/>
  <c r="N18" i="8"/>
  <c r="O18" i="8"/>
  <c r="P18" i="8" s="1"/>
  <c r="AG18" i="4"/>
  <c r="N431" i="8"/>
  <c r="AD392" i="4"/>
  <c r="O269" i="4"/>
  <c r="N269" i="4"/>
  <c r="O257" i="4"/>
  <c r="N257" i="4"/>
  <c r="N237" i="4"/>
  <c r="AD28" i="4"/>
  <c r="AD39" i="4"/>
  <c r="AD42" i="4"/>
  <c r="AD43" i="4"/>
  <c r="AD236" i="4"/>
  <c r="AD238" i="4"/>
  <c r="AD239" i="4"/>
  <c r="AD247" i="4"/>
  <c r="AD250" i="4"/>
  <c r="AD251" i="4"/>
  <c r="AD256" i="4"/>
  <c r="AD258" i="4"/>
  <c r="AD259" i="4"/>
  <c r="AD262" i="4"/>
  <c r="AD265" i="4"/>
  <c r="AD266" i="4"/>
  <c r="AD268" i="4"/>
  <c r="AD270" i="4"/>
  <c r="AD271" i="4"/>
  <c r="AD274" i="4"/>
  <c r="AD277" i="4"/>
  <c r="AD281" i="4"/>
  <c r="AD282" i="4"/>
  <c r="AD156" i="4"/>
  <c r="AD214" i="4"/>
  <c r="AD222" i="4"/>
  <c r="AD229" i="4"/>
  <c r="AD119" i="4"/>
  <c r="AD110" i="4"/>
  <c r="AD111" i="4"/>
  <c r="AD115" i="4"/>
  <c r="AD66" i="4"/>
  <c r="AD67" i="4"/>
  <c r="AD106" i="4"/>
  <c r="AD15" i="4"/>
  <c r="AD17" i="4"/>
  <c r="AF9" i="4"/>
  <c r="W400" i="4"/>
  <c r="T78" i="1" l="1"/>
  <c r="T93" i="1"/>
  <c r="T76" i="1"/>
  <c r="T67" i="1"/>
  <c r="T66" i="1"/>
  <c r="T75" i="1"/>
  <c r="T70" i="1"/>
  <c r="T65" i="1"/>
  <c r="T79" i="1"/>
  <c r="T64" i="1"/>
  <c r="T77" i="1"/>
  <c r="AI18" i="4"/>
  <c r="AM18" i="4"/>
  <c r="AG53" i="4"/>
  <c r="AF392" i="4"/>
  <c r="AN392" i="4" s="1"/>
  <c r="C392" i="2"/>
  <c r="E342" i="6" s="1"/>
  <c r="M18" i="8"/>
  <c r="H18" i="8"/>
  <c r="AB392" i="4"/>
  <c r="D431" i="8"/>
  <c r="D342" i="6" l="1"/>
  <c r="T43" i="1"/>
  <c r="T42" i="1"/>
  <c r="AI53" i="4"/>
  <c r="AM53" i="4"/>
  <c r="AJ53" i="4"/>
  <c r="M392" i="2"/>
  <c r="C57" i="8"/>
  <c r="AH392" i="4"/>
  <c r="AJ392" i="4" s="1"/>
  <c r="E392" i="2"/>
  <c r="I342" i="6" s="1"/>
  <c r="H342" i="6" s="1"/>
  <c r="G342" i="6" s="1"/>
  <c r="C18" i="8"/>
  <c r="Z392" i="4"/>
  <c r="J431" i="8"/>
  <c r="E431" i="8" s="1"/>
  <c r="F431" i="8" s="1"/>
  <c r="C431" i="8" l="1"/>
  <c r="S43" i="1"/>
  <c r="H392" i="2"/>
  <c r="K342" i="6" s="1"/>
  <c r="M342" i="6" s="1"/>
  <c r="AP53" i="4"/>
  <c r="AK53" i="4"/>
  <c r="AL53" i="4" s="1"/>
  <c r="S42" i="1"/>
  <c r="AA392" i="4"/>
  <c r="S22" i="1"/>
  <c r="AK392" i="4"/>
  <c r="AL392" i="4" s="1"/>
  <c r="AP392" i="4"/>
  <c r="AG392" i="4"/>
  <c r="D392" i="2"/>
  <c r="H431" i="8"/>
  <c r="O431" i="8"/>
  <c r="V9" i="4"/>
  <c r="V9" i="2" s="1"/>
  <c r="T22" i="1" l="1"/>
  <c r="I392" i="2"/>
  <c r="I397" i="11" s="1"/>
  <c r="S392" i="2"/>
  <c r="W397" i="11" s="1"/>
  <c r="G392" i="2"/>
  <c r="L392" i="2"/>
  <c r="AI392" i="4"/>
  <c r="AM392" i="4"/>
  <c r="P431" i="8"/>
  <c r="M431" i="8"/>
  <c r="D397" i="11" l="1"/>
  <c r="J342" i="6"/>
  <c r="AA397" i="11"/>
  <c r="U397" i="11"/>
  <c r="Y397" i="11" s="1"/>
  <c r="K397" i="11"/>
  <c r="O397" i="11" s="1"/>
  <c r="M397" i="11"/>
  <c r="K392" i="2"/>
  <c r="Q268" i="11" l="1"/>
  <c r="R268" i="11"/>
  <c r="Z268" i="11" l="1"/>
  <c r="Z280" i="11"/>
  <c r="Z118" i="11"/>
  <c r="Y118" i="11"/>
  <c r="Y268" i="11"/>
  <c r="Y280" i="11" l="1"/>
  <c r="V118" i="11"/>
  <c r="U118" i="11"/>
  <c r="W118" i="11"/>
  <c r="S118" i="11"/>
  <c r="V280" i="11"/>
  <c r="U280" i="11"/>
  <c r="R280" i="11"/>
  <c r="Q280" i="11"/>
  <c r="W280" i="11"/>
  <c r="V268" i="11"/>
  <c r="U268" i="11"/>
  <c r="W268" i="11"/>
  <c r="S268" i="11" l="1"/>
  <c r="AA268" i="11"/>
  <c r="AA118" i="11"/>
  <c r="AA280" i="11"/>
  <c r="S280" i="11"/>
  <c r="F280" i="11"/>
  <c r="F268" i="11"/>
  <c r="S223" i="11" l="1"/>
  <c r="A123" i="11" l="1"/>
  <c r="B123" i="11"/>
  <c r="F123" i="11"/>
  <c r="Q118" i="11"/>
  <c r="R118" i="11"/>
  <c r="F111" i="11"/>
  <c r="F118" i="11" l="1"/>
  <c r="AG9" i="4" l="1"/>
  <c r="AH9" i="4" s="1"/>
  <c r="AD283" i="4" l="1"/>
  <c r="AD284" i="4"/>
  <c r="AD285" i="4"/>
  <c r="AD287" i="4"/>
  <c r="AD288" i="4"/>
  <c r="AD289" i="4"/>
  <c r="AD290" i="4"/>
  <c r="AD292" i="4"/>
  <c r="AD293" i="4"/>
  <c r="AD294" i="4"/>
  <c r="AD295" i="4"/>
  <c r="AD296" i="4"/>
  <c r="AD297" i="4"/>
  <c r="AD298" i="4"/>
  <c r="AD299" i="4"/>
  <c r="AD300" i="4"/>
  <c r="AD301" i="4"/>
  <c r="AD302" i="4"/>
  <c r="AD303" i="4"/>
  <c r="AD304" i="4"/>
  <c r="AD305" i="4"/>
  <c r="AD306" i="4"/>
  <c r="AD307" i="4"/>
  <c r="AD11" i="4" l="1"/>
  <c r="AO11" i="4"/>
  <c r="AO16" i="4"/>
  <c r="AO13" i="4"/>
  <c r="AO17" i="4"/>
  <c r="AO14" i="4"/>
  <c r="AO12" i="4"/>
  <c r="AO15" i="4"/>
  <c r="AD133" i="4"/>
  <c r="AD131" i="4"/>
  <c r="AD49" i="4"/>
  <c r="AD232" i="4"/>
  <c r="AD50" i="4"/>
  <c r="AD14" i="4"/>
  <c r="AD122" i="4"/>
  <c r="AD128" i="4"/>
  <c r="AD129" i="4"/>
  <c r="AD48" i="4"/>
  <c r="AD132" i="4"/>
  <c r="AD123" i="4"/>
  <c r="AD126" i="4"/>
  <c r="AD51" i="4"/>
  <c r="AD46" i="4"/>
  <c r="AD130" i="4"/>
  <c r="AD231" i="4"/>
  <c r="AD127" i="4"/>
  <c r="AD125" i="4"/>
  <c r="AD52" i="4"/>
  <c r="AD47" i="4"/>
  <c r="AD291" i="4"/>
  <c r="AD286" i="4"/>
  <c r="AO273" i="4"/>
  <c r="AP273" i="4" s="1"/>
  <c r="AO261" i="4"/>
  <c r="AP261" i="4" s="1"/>
  <c r="AD121" i="4" l="1"/>
  <c r="AD230" i="4"/>
  <c r="J118" i="11"/>
  <c r="N118" i="11"/>
  <c r="J268" i="11"/>
  <c r="N268" i="11"/>
  <c r="J280" i="11"/>
  <c r="N280" i="11"/>
  <c r="I280" i="11" l="1"/>
  <c r="I268" i="11"/>
  <c r="K280" i="11" l="1"/>
  <c r="I118" i="11"/>
  <c r="K268" i="11"/>
  <c r="K118" i="11" l="1"/>
  <c r="AD275" i="4"/>
  <c r="AD263" i="4"/>
  <c r="AJ263" i="4" l="1"/>
  <c r="AH263" i="4"/>
  <c r="AN275" i="4"/>
  <c r="AF275" i="4"/>
  <c r="E268" i="11"/>
  <c r="AH275" i="4"/>
  <c r="AN263" i="4"/>
  <c r="AF263" i="4"/>
  <c r="AB275" i="4"/>
  <c r="Z275" i="4"/>
  <c r="AB263" i="4"/>
  <c r="Z263" i="4"/>
  <c r="AA263" i="4" l="1"/>
  <c r="AL263" i="4"/>
  <c r="AK263" i="4"/>
  <c r="AG263" i="4"/>
  <c r="AJ275" i="4"/>
  <c r="M268" i="11"/>
  <c r="E280" i="11"/>
  <c r="AG275" i="4"/>
  <c r="AA275" i="4"/>
  <c r="AM275" i="4"/>
  <c r="AM263" i="4" l="1"/>
  <c r="M280" i="11"/>
  <c r="G280" i="11"/>
  <c r="O280" i="11"/>
  <c r="O268" i="11"/>
  <c r="AL275" i="4"/>
  <c r="AK275" i="4"/>
  <c r="G268" i="11"/>
  <c r="AD116" i="4" l="1"/>
  <c r="AN116" i="4" l="1"/>
  <c r="AF116" i="4"/>
  <c r="AJ116" i="4"/>
  <c r="AH116" i="4"/>
  <c r="AB116" i="4"/>
  <c r="Z116" i="4"/>
  <c r="AG116" i="4" l="1"/>
  <c r="G118" i="11"/>
  <c r="O118" i="11"/>
  <c r="M118" i="11"/>
  <c r="AA116" i="4"/>
  <c r="AI116" i="4" l="1"/>
  <c r="AL116" i="4"/>
  <c r="AK116" i="4"/>
  <c r="AM116" i="4"/>
  <c r="B48" i="3" l="1"/>
  <c r="B48" i="7"/>
  <c r="D48" i="7"/>
  <c r="D81" i="7" s="1"/>
  <c r="G48" i="7"/>
  <c r="H48" i="7"/>
  <c r="H81" i="7" s="1"/>
  <c r="G81" i="7" l="1"/>
  <c r="J81" i="7" s="1"/>
  <c r="J48" i="7"/>
  <c r="I48" i="7"/>
  <c r="I81" i="7" s="1"/>
  <c r="A146" i="8"/>
  <c r="B146" i="8"/>
  <c r="D146" i="8"/>
  <c r="E146" i="8"/>
  <c r="F146" i="8" s="1"/>
  <c r="I146" i="8"/>
  <c r="J146" i="8"/>
  <c r="K146" i="8"/>
  <c r="A145" i="8"/>
  <c r="B145" i="8"/>
  <c r="D145" i="8"/>
  <c r="E145" i="8"/>
  <c r="F145" i="8" s="1"/>
  <c r="I145" i="8"/>
  <c r="J145" i="8"/>
  <c r="K145" i="8"/>
  <c r="A144" i="8"/>
  <c r="B144" i="8"/>
  <c r="D144" i="8"/>
  <c r="E144" i="8"/>
  <c r="F144" i="8" s="1"/>
  <c r="I144" i="8"/>
  <c r="J144" i="8"/>
  <c r="K144" i="8"/>
  <c r="A56" i="8"/>
  <c r="B56" i="8"/>
  <c r="D56" i="8"/>
  <c r="E56" i="8"/>
  <c r="F56" i="8" s="1"/>
  <c r="I56" i="8"/>
  <c r="K56" i="8"/>
  <c r="V132" i="4" l="1"/>
  <c r="V132" i="2" s="1"/>
  <c r="P78" i="6" s="1"/>
  <c r="V133" i="4"/>
  <c r="V133" i="2" s="1"/>
  <c r="P79" i="6" s="1"/>
  <c r="E237" i="4"/>
  <c r="C237" i="4"/>
  <c r="N144" i="8" l="1"/>
  <c r="N145" i="8"/>
  <c r="N146" i="8"/>
  <c r="V52" i="4"/>
  <c r="V52" i="2" s="1"/>
  <c r="P66" i="6" s="1"/>
  <c r="N56" i="8"/>
  <c r="L9" i="4" l="1"/>
  <c r="G9" i="4"/>
  <c r="AA133" i="4"/>
  <c r="AA132" i="4"/>
  <c r="AG52" i="4"/>
  <c r="AG133" i="4"/>
  <c r="AG132" i="4"/>
  <c r="O146" i="8"/>
  <c r="P146" i="8" s="1"/>
  <c r="O145" i="8"/>
  <c r="P145" i="8" s="1"/>
  <c r="O144" i="8"/>
  <c r="P144" i="8" s="1"/>
  <c r="H144" i="8"/>
  <c r="T68" i="1"/>
  <c r="H145" i="8"/>
  <c r="T69" i="1"/>
  <c r="H146" i="8"/>
  <c r="S70" i="1" l="1"/>
  <c r="S69" i="1"/>
  <c r="S68" i="1"/>
  <c r="AI132" i="4"/>
  <c r="AM132" i="4"/>
  <c r="AI133" i="4"/>
  <c r="AM133" i="4"/>
  <c r="AJ132" i="4"/>
  <c r="AJ52" i="4"/>
  <c r="AI52" i="4"/>
  <c r="AM52" i="4"/>
  <c r="AJ133" i="4"/>
  <c r="M144" i="8"/>
  <c r="M145" i="8"/>
  <c r="M146" i="8"/>
  <c r="C146" i="8"/>
  <c r="C144" i="8"/>
  <c r="C145" i="8"/>
  <c r="C56" i="8"/>
  <c r="AK132" i="4" l="1"/>
  <c r="AL132" i="4" s="1"/>
  <c r="AP132" i="4"/>
  <c r="AK133" i="4"/>
  <c r="AL133" i="4" s="1"/>
  <c r="AP133" i="4"/>
  <c r="AP52" i="4"/>
  <c r="AK52" i="4"/>
  <c r="AL52" i="4" s="1"/>
  <c r="S71" i="1"/>
  <c r="AF224" i="4"/>
  <c r="AN224" i="4" s="1"/>
  <c r="AH224" i="4"/>
  <c r="AF225" i="4"/>
  <c r="AN225" i="4" s="1"/>
  <c r="AH225" i="4"/>
  <c r="AF226" i="4"/>
  <c r="AF227" i="4"/>
  <c r="AN227" i="4" s="1"/>
  <c r="AH227" i="4"/>
  <c r="AF228" i="4"/>
  <c r="AN228" i="4" s="1"/>
  <c r="AF10" i="4"/>
  <c r="AN10" i="4" s="1"/>
  <c r="AH10" i="4"/>
  <c r="S72" i="1" l="1"/>
  <c r="S41" i="1"/>
  <c r="AD120" i="4"/>
  <c r="AD215" i="4"/>
  <c r="J123" i="11"/>
  <c r="N123" i="11" s="1"/>
  <c r="F154" i="2"/>
  <c r="AN226" i="4"/>
  <c r="T41" i="1" l="1"/>
  <c r="T71" i="1"/>
  <c r="T72" i="1"/>
  <c r="V130" i="4" l="1"/>
  <c r="V130" i="2" s="1"/>
  <c r="P76" i="6" s="1"/>
  <c r="AA130" i="4" l="1"/>
  <c r="AG130" i="4"/>
  <c r="AG228" i="4"/>
  <c r="AG226" i="4"/>
  <c r="S64" i="1" l="1"/>
  <c r="AJ130" i="4"/>
  <c r="AI130" i="4"/>
  <c r="AM130" i="4"/>
  <c r="AM228" i="4"/>
  <c r="AH228" i="4"/>
  <c r="AI228" i="4"/>
  <c r="AI226" i="4"/>
  <c r="AH226" i="4"/>
  <c r="AM226" i="4"/>
  <c r="S63" i="1" l="1"/>
  <c r="AK130" i="4"/>
  <c r="AL130" i="4" s="1"/>
  <c r="AP130" i="4"/>
  <c r="AJ226" i="4"/>
  <c r="AK226" i="4" s="1"/>
  <c r="AL226" i="4" s="1"/>
  <c r="AJ228" i="4"/>
  <c r="AK228" i="4" s="1"/>
  <c r="AL228" i="4" s="1"/>
  <c r="A133" i="8"/>
  <c r="B133" i="8"/>
  <c r="D133" i="8"/>
  <c r="E133" i="8"/>
  <c r="F133" i="8" s="1"/>
  <c r="I133" i="8"/>
  <c r="J133" i="8"/>
  <c r="K133" i="8"/>
  <c r="V120" i="4"/>
  <c r="S120" i="4"/>
  <c r="S123" i="11" s="1"/>
  <c r="S157" i="11" s="1"/>
  <c r="S220" i="11" s="1"/>
  <c r="R120" i="4"/>
  <c r="R154" i="4" s="1"/>
  <c r="Q120" i="4"/>
  <c r="R123" i="11" s="1"/>
  <c r="M120" i="4"/>
  <c r="I120" i="4"/>
  <c r="I154" i="4" s="1"/>
  <c r="Q123" i="11" l="1"/>
  <c r="Z123" i="11"/>
  <c r="Z157" i="11" s="1"/>
  <c r="AB120" i="4"/>
  <c r="M154" i="4"/>
  <c r="N133" i="8"/>
  <c r="Q154" i="4"/>
  <c r="Q216" i="4" s="1"/>
  <c r="Z120" i="4"/>
  <c r="S154" i="4"/>
  <c r="AG120" i="4"/>
  <c r="V120" i="2"/>
  <c r="P185" i="6" s="1"/>
  <c r="E48" i="7"/>
  <c r="E123" i="11"/>
  <c r="E157" i="11" s="1"/>
  <c r="L120" i="4"/>
  <c r="K120" i="4"/>
  <c r="H133" i="8"/>
  <c r="O133" i="8"/>
  <c r="P133" i="8" s="1"/>
  <c r="G120" i="4"/>
  <c r="AJ120" i="4" s="1"/>
  <c r="E81" i="7" l="1"/>
  <c r="K81" i="7" s="1"/>
  <c r="K48" i="7"/>
  <c r="AA120" i="4"/>
  <c r="L154" i="4"/>
  <c r="L48" i="3"/>
  <c r="K154" i="4"/>
  <c r="F48" i="7"/>
  <c r="F81" i="7" s="1"/>
  <c r="T62" i="1"/>
  <c r="T63" i="1"/>
  <c r="G123" i="11"/>
  <c r="G120" i="2"/>
  <c r="J185" i="6" s="1"/>
  <c r="L120" i="2"/>
  <c r="AI120" i="4"/>
  <c r="AM120" i="4"/>
  <c r="AP120" i="4"/>
  <c r="AK120" i="4"/>
  <c r="AL120" i="4" s="1"/>
  <c r="C123" i="11"/>
  <c r="D48" i="3"/>
  <c r="E48" i="3"/>
  <c r="F48" i="3"/>
  <c r="G48" i="3"/>
  <c r="H48" i="3"/>
  <c r="I48" i="3"/>
  <c r="J48" i="3"/>
  <c r="K48" i="3"/>
  <c r="C48" i="3"/>
  <c r="C133" i="8"/>
  <c r="M133" i="8"/>
  <c r="H120" i="2" l="1"/>
  <c r="K185" i="6" s="1"/>
  <c r="D123" i="11"/>
  <c r="AH13" i="4"/>
  <c r="M185" i="6" l="1"/>
  <c r="M317" i="6" s="1"/>
  <c r="K317" i="6"/>
  <c r="I120" i="2"/>
  <c r="K120" i="2" s="1"/>
  <c r="S120" i="2"/>
  <c r="W123" i="11" s="1"/>
  <c r="AA123" i="11" l="1"/>
  <c r="U123" i="11"/>
  <c r="Y123" i="11" s="1"/>
  <c r="Y157" i="11" s="1"/>
  <c r="Y220" i="11" s="1"/>
  <c r="W157" i="11"/>
  <c r="W220" i="11" s="1"/>
  <c r="I123" i="11"/>
  <c r="K123" i="11" s="1"/>
  <c r="O123" i="11" s="1"/>
  <c r="M123" i="11" l="1"/>
  <c r="A250" i="8"/>
  <c r="B250" i="8"/>
  <c r="D250" i="8"/>
  <c r="E250" i="8"/>
  <c r="F250" i="8" s="1"/>
  <c r="I250" i="8"/>
  <c r="J250" i="8"/>
  <c r="K250" i="8"/>
  <c r="V232" i="4"/>
  <c r="N250" i="8"/>
  <c r="Z232" i="4"/>
  <c r="AB232" i="4"/>
  <c r="I9" i="4"/>
  <c r="V232" i="2" l="1"/>
  <c r="P89" i="6" s="1"/>
  <c r="AG232" i="4"/>
  <c r="O250" i="8"/>
  <c r="P250" i="8" s="1"/>
  <c r="H250" i="8"/>
  <c r="AA232" i="4"/>
  <c r="AM232" i="4" l="1"/>
  <c r="AI232" i="4"/>
  <c r="AJ232" i="4" s="1"/>
  <c r="C250" i="8"/>
  <c r="M250" i="8"/>
  <c r="AP232" i="4" l="1"/>
  <c r="AK232" i="4"/>
  <c r="AL232" i="4" s="1"/>
  <c r="S25" i="11" l="1"/>
  <c r="AF267" i="4" l="1"/>
  <c r="AN267" i="4" s="1"/>
  <c r="AH267" i="4"/>
  <c r="AF252" i="4"/>
  <c r="AN252" i="4" s="1"/>
  <c r="AH252" i="4"/>
  <c r="AF26" i="4"/>
  <c r="A420" i="8" l="1"/>
  <c r="A107" i="7" l="1"/>
  <c r="B107" i="7"/>
  <c r="D107" i="7"/>
  <c r="D108" i="7" s="1"/>
  <c r="G107" i="7"/>
  <c r="H107" i="7"/>
  <c r="H108" i="7" s="1"/>
  <c r="A101" i="7"/>
  <c r="B101" i="7"/>
  <c r="D101" i="7"/>
  <c r="D105" i="7" s="1"/>
  <c r="G101" i="7"/>
  <c r="H101" i="7"/>
  <c r="D46" i="7"/>
  <c r="G46" i="7"/>
  <c r="J46" i="7" s="1"/>
  <c r="H46" i="7"/>
  <c r="J317" i="4"/>
  <c r="J385" i="4" s="1"/>
  <c r="H317" i="4"/>
  <c r="F317" i="4"/>
  <c r="E317" i="4"/>
  <c r="S267" i="4"/>
  <c r="S252" i="4"/>
  <c r="Z224" i="4"/>
  <c r="Z225" i="4"/>
  <c r="Z226" i="4"/>
  <c r="Z227" i="4"/>
  <c r="Z228" i="4"/>
  <c r="Z230" i="4"/>
  <c r="Z231" i="4"/>
  <c r="G105" i="7" l="1"/>
  <c r="J105" i="7" s="1"/>
  <c r="J101" i="7"/>
  <c r="G108" i="7"/>
  <c r="J108" i="7" s="1"/>
  <c r="J107" i="7"/>
  <c r="Z252" i="4"/>
  <c r="S257" i="11"/>
  <c r="Z267" i="4"/>
  <c r="S272" i="11"/>
  <c r="S111" i="11"/>
  <c r="S120" i="11" s="1"/>
  <c r="I46" i="7"/>
  <c r="I107" i="7"/>
  <c r="I108" i="7" s="1"/>
  <c r="I101" i="7"/>
  <c r="A294" i="8"/>
  <c r="B294" i="8"/>
  <c r="D294" i="8"/>
  <c r="D296" i="8" s="1"/>
  <c r="E294" i="8"/>
  <c r="F294" i="8" s="1"/>
  <c r="F296" i="8" s="1"/>
  <c r="I294" i="8"/>
  <c r="J294" i="8"/>
  <c r="K294" i="8"/>
  <c r="O294" i="8"/>
  <c r="P294" i="8" s="1"/>
  <c r="A275" i="8"/>
  <c r="B275" i="8"/>
  <c r="D275" i="8"/>
  <c r="E275" i="8"/>
  <c r="F275" i="8" s="1"/>
  <c r="I275" i="8"/>
  <c r="J275" i="8"/>
  <c r="K275" i="8"/>
  <c r="O275" i="8"/>
  <c r="P275" i="8" s="1"/>
  <c r="A276" i="8"/>
  <c r="B276" i="8"/>
  <c r="D276" i="8"/>
  <c r="E276" i="8"/>
  <c r="F276" i="8" s="1"/>
  <c r="I276" i="8"/>
  <c r="K276" i="8"/>
  <c r="A242" i="8"/>
  <c r="B242" i="8"/>
  <c r="D242" i="8"/>
  <c r="E242" i="8"/>
  <c r="F242" i="8" s="1"/>
  <c r="I242" i="8"/>
  <c r="J242" i="8"/>
  <c r="K242" i="8"/>
  <c r="O242" i="8"/>
  <c r="P242" i="8" s="1"/>
  <c r="A243" i="8"/>
  <c r="B243" i="8"/>
  <c r="D243" i="8"/>
  <c r="E243" i="8"/>
  <c r="F243" i="8" s="1"/>
  <c r="I243" i="8"/>
  <c r="J243" i="8"/>
  <c r="K243" i="8"/>
  <c r="O243" i="8"/>
  <c r="P243" i="8" s="1"/>
  <c r="A244" i="8"/>
  <c r="B244" i="8"/>
  <c r="D244" i="8"/>
  <c r="E244" i="8"/>
  <c r="F244" i="8" s="1"/>
  <c r="J244" i="8"/>
  <c r="K244" i="8"/>
  <c r="O244" i="8"/>
  <c r="P244" i="8" s="1"/>
  <c r="A245" i="8"/>
  <c r="B245" i="8"/>
  <c r="D245" i="8"/>
  <c r="E245" i="8"/>
  <c r="F245" i="8" s="1"/>
  <c r="I245" i="8"/>
  <c r="J245" i="8"/>
  <c r="K245" i="8"/>
  <c r="O245" i="8"/>
  <c r="P245" i="8" s="1"/>
  <c r="A246" i="8"/>
  <c r="B246" i="8"/>
  <c r="D246" i="8"/>
  <c r="E246" i="8"/>
  <c r="F246" i="8" s="1"/>
  <c r="J246" i="8"/>
  <c r="K246" i="8"/>
  <c r="O246" i="8"/>
  <c r="P246" i="8" s="1"/>
  <c r="A247" i="8"/>
  <c r="B247" i="8"/>
  <c r="D247" i="8"/>
  <c r="E247" i="8"/>
  <c r="F247" i="8" s="1"/>
  <c r="I247" i="8"/>
  <c r="K247" i="8"/>
  <c r="A248" i="8"/>
  <c r="B248" i="8"/>
  <c r="D248" i="8"/>
  <c r="E248" i="8"/>
  <c r="F248" i="8" s="1"/>
  <c r="I248" i="8"/>
  <c r="J248" i="8"/>
  <c r="K248" i="8"/>
  <c r="O248" i="8"/>
  <c r="P248" i="8" s="1"/>
  <c r="A249" i="8"/>
  <c r="B249" i="8"/>
  <c r="D249" i="8"/>
  <c r="E249" i="8"/>
  <c r="F249" i="8" s="1"/>
  <c r="I249" i="8"/>
  <c r="J249" i="8"/>
  <c r="K249" i="8"/>
  <c r="O249" i="8"/>
  <c r="P249" i="8" s="1"/>
  <c r="A134" i="8"/>
  <c r="B134" i="8"/>
  <c r="D134" i="8"/>
  <c r="E134" i="8"/>
  <c r="F134" i="8" s="1"/>
  <c r="I134" i="8"/>
  <c r="J134" i="8"/>
  <c r="K134" i="8"/>
  <c r="O134" i="8"/>
  <c r="P134" i="8" s="1"/>
  <c r="A135" i="8"/>
  <c r="B135" i="8"/>
  <c r="D135" i="8"/>
  <c r="E135" i="8"/>
  <c r="F135" i="8" s="1"/>
  <c r="I135" i="8"/>
  <c r="J135" i="8"/>
  <c r="K135" i="8"/>
  <c r="O135" i="8"/>
  <c r="P135" i="8" s="1"/>
  <c r="A136" i="8"/>
  <c r="B136" i="8"/>
  <c r="D136" i="8"/>
  <c r="E136" i="8"/>
  <c r="F136" i="8" s="1"/>
  <c r="I136" i="8"/>
  <c r="J136" i="8"/>
  <c r="K136" i="8"/>
  <c r="O136" i="8"/>
  <c r="P136" i="8" s="1"/>
  <c r="A138" i="8"/>
  <c r="B138" i="8"/>
  <c r="D138" i="8"/>
  <c r="E138" i="8"/>
  <c r="F138" i="8" s="1"/>
  <c r="I138" i="8"/>
  <c r="J138" i="8"/>
  <c r="K138" i="8"/>
  <c r="O138" i="8"/>
  <c r="P138" i="8" s="1"/>
  <c r="A139" i="8"/>
  <c r="B139" i="8"/>
  <c r="D139" i="8"/>
  <c r="E139" i="8"/>
  <c r="F139" i="8" s="1"/>
  <c r="I139" i="8"/>
  <c r="J139" i="8"/>
  <c r="K139" i="8"/>
  <c r="O139" i="8"/>
  <c r="P139" i="8" s="1"/>
  <c r="A140" i="8"/>
  <c r="B140" i="8"/>
  <c r="D140" i="8"/>
  <c r="E140" i="8"/>
  <c r="F140" i="8" s="1"/>
  <c r="I140" i="8"/>
  <c r="J140" i="8"/>
  <c r="K140" i="8"/>
  <c r="O140" i="8"/>
  <c r="P140" i="8" s="1"/>
  <c r="A141" i="8"/>
  <c r="B141" i="8"/>
  <c r="D141" i="8"/>
  <c r="E141" i="8"/>
  <c r="F141" i="8" s="1"/>
  <c r="I141" i="8"/>
  <c r="J141" i="8"/>
  <c r="K141" i="8"/>
  <c r="O141" i="8"/>
  <c r="P141" i="8" s="1"/>
  <c r="A142" i="8"/>
  <c r="B142" i="8"/>
  <c r="D142" i="8"/>
  <c r="E142" i="8"/>
  <c r="F142" i="8" s="1"/>
  <c r="I142" i="8"/>
  <c r="J142" i="8"/>
  <c r="K142" i="8"/>
  <c r="O142" i="8"/>
  <c r="P142" i="8" s="1"/>
  <c r="A143" i="8"/>
  <c r="B143" i="8"/>
  <c r="D143" i="8"/>
  <c r="E143" i="8"/>
  <c r="F143" i="8" s="1"/>
  <c r="I143" i="8"/>
  <c r="J143" i="8"/>
  <c r="K143" i="8"/>
  <c r="O143" i="8"/>
  <c r="P143" i="8" s="1"/>
  <c r="D118" i="8"/>
  <c r="A49" i="8"/>
  <c r="B49" i="8"/>
  <c r="D49" i="8"/>
  <c r="E49" i="8"/>
  <c r="F49" i="8" s="1"/>
  <c r="I49" i="8"/>
  <c r="K49" i="8"/>
  <c r="A50" i="8"/>
  <c r="B50" i="8"/>
  <c r="D50" i="8"/>
  <c r="E50" i="8"/>
  <c r="F50" i="8" s="1"/>
  <c r="I50" i="8"/>
  <c r="K50" i="8"/>
  <c r="A51" i="8"/>
  <c r="B51" i="8"/>
  <c r="D51" i="8"/>
  <c r="E51" i="8"/>
  <c r="F51" i="8" s="1"/>
  <c r="I51" i="8"/>
  <c r="K51" i="8"/>
  <c r="A52" i="8"/>
  <c r="B52" i="8"/>
  <c r="D52" i="8"/>
  <c r="E52" i="8"/>
  <c r="F52" i="8" s="1"/>
  <c r="I52" i="8"/>
  <c r="K52" i="8"/>
  <c r="A53" i="8"/>
  <c r="B53" i="8"/>
  <c r="D53" i="8"/>
  <c r="E53" i="8"/>
  <c r="F53" i="8" s="1"/>
  <c r="I53" i="8"/>
  <c r="K53" i="8"/>
  <c r="A54" i="8"/>
  <c r="B54" i="8"/>
  <c r="D54" i="8"/>
  <c r="E54" i="8"/>
  <c r="F54" i="8" s="1"/>
  <c r="I54" i="8"/>
  <c r="K54" i="8"/>
  <c r="A55" i="8"/>
  <c r="B55" i="8"/>
  <c r="D55" i="8"/>
  <c r="E55" i="8"/>
  <c r="F55" i="8" s="1"/>
  <c r="I55" i="8"/>
  <c r="K55" i="8"/>
  <c r="A10" i="8"/>
  <c r="B10" i="8"/>
  <c r="D10" i="8"/>
  <c r="E10" i="8"/>
  <c r="F10" i="8" s="1"/>
  <c r="I10" i="8"/>
  <c r="J10" i="8"/>
  <c r="K10" i="8"/>
  <c r="O10" i="8"/>
  <c r="P10" i="8" s="1"/>
  <c r="A11" i="8"/>
  <c r="B11" i="8"/>
  <c r="D11" i="8"/>
  <c r="E11" i="8"/>
  <c r="F11" i="8" s="1"/>
  <c r="I11" i="8"/>
  <c r="J11" i="8"/>
  <c r="K11" i="8"/>
  <c r="O11" i="8"/>
  <c r="P11" i="8" s="1"/>
  <c r="A12" i="8"/>
  <c r="B12" i="8"/>
  <c r="D12" i="8"/>
  <c r="E12" i="8"/>
  <c r="F12" i="8" s="1"/>
  <c r="I12" i="8"/>
  <c r="J12" i="8"/>
  <c r="K12" i="8"/>
  <c r="O12" i="8"/>
  <c r="P12" i="8" s="1"/>
  <c r="A13" i="8"/>
  <c r="B13" i="8"/>
  <c r="D13" i="8"/>
  <c r="J13" i="8"/>
  <c r="K13" i="8"/>
  <c r="O13" i="8"/>
  <c r="P13" i="8" s="1"/>
  <c r="A14" i="8"/>
  <c r="B14" i="8"/>
  <c r="D14" i="8"/>
  <c r="E14" i="8"/>
  <c r="F14" i="8" s="1"/>
  <c r="I14" i="8"/>
  <c r="J14" i="8"/>
  <c r="K14" i="8"/>
  <c r="O14" i="8"/>
  <c r="P14" i="8" s="1"/>
  <c r="A15" i="8"/>
  <c r="B15" i="8"/>
  <c r="D15" i="8"/>
  <c r="E15" i="8"/>
  <c r="F15" i="8" s="1"/>
  <c r="I15" i="8"/>
  <c r="J15" i="8"/>
  <c r="K15" i="8"/>
  <c r="O15" i="8"/>
  <c r="P15" i="8" s="1"/>
  <c r="A16" i="8"/>
  <c r="B16" i="8"/>
  <c r="D16" i="8"/>
  <c r="E16" i="8"/>
  <c r="F16" i="8" s="1"/>
  <c r="I16" i="8"/>
  <c r="J16" i="8"/>
  <c r="K16" i="8"/>
  <c r="O16" i="8"/>
  <c r="P16" i="8" s="1"/>
  <c r="A17" i="8"/>
  <c r="B17" i="8"/>
  <c r="D17" i="8"/>
  <c r="E17" i="8"/>
  <c r="F17" i="8" s="1"/>
  <c r="I17" i="8"/>
  <c r="J17" i="8"/>
  <c r="K17" i="8"/>
  <c r="O17" i="8"/>
  <c r="P17" i="8" s="1"/>
  <c r="D167" i="8" l="1"/>
  <c r="I246" i="8"/>
  <c r="I244" i="8"/>
  <c r="V231" i="4"/>
  <c r="N249" i="8"/>
  <c r="M249" i="8" s="1"/>
  <c r="AB231" i="4"/>
  <c r="V129" i="4"/>
  <c r="V129" i="2" s="1"/>
  <c r="P75" i="6" s="1"/>
  <c r="N142" i="8"/>
  <c r="M142" i="8" s="1"/>
  <c r="N143" i="8"/>
  <c r="M143" i="8" s="1"/>
  <c r="I13" i="8"/>
  <c r="V231" i="2" l="1"/>
  <c r="P88" i="6" s="1"/>
  <c r="AA129" i="4"/>
  <c r="AG231" i="4"/>
  <c r="AG129" i="4"/>
  <c r="H249" i="8"/>
  <c r="H142" i="8"/>
  <c r="H143" i="8"/>
  <c r="AA231" i="4"/>
  <c r="AH45" i="4"/>
  <c r="S62" i="1" l="1"/>
  <c r="AI129" i="4"/>
  <c r="AM129" i="4"/>
  <c r="AI231" i="4"/>
  <c r="AJ231" i="4" s="1"/>
  <c r="AM231" i="4"/>
  <c r="AJ129" i="4"/>
  <c r="C142" i="8"/>
  <c r="C249" i="8"/>
  <c r="C143" i="8"/>
  <c r="AK231" i="4" l="1"/>
  <c r="AL231" i="4" s="1"/>
  <c r="AP231" i="4"/>
  <c r="S90" i="1"/>
  <c r="AK129" i="4"/>
  <c r="AL129" i="4" s="1"/>
  <c r="AP129" i="4"/>
  <c r="A267" i="2"/>
  <c r="A92" i="6" s="1"/>
  <c r="B267" i="2"/>
  <c r="B92" i="6" s="1"/>
  <c r="C267" i="2"/>
  <c r="E92" i="6" s="1"/>
  <c r="E267" i="2"/>
  <c r="I92" i="6" s="1"/>
  <c r="F267" i="2"/>
  <c r="F92" i="6" s="1"/>
  <c r="J267" i="2"/>
  <c r="C92" i="6" s="1"/>
  <c r="N267" i="2"/>
  <c r="O267" i="2"/>
  <c r="P267" i="2"/>
  <c r="L92" i="6" s="1"/>
  <c r="T267" i="2"/>
  <c r="N92" i="6" s="1"/>
  <c r="U267" i="2"/>
  <c r="O92" i="6" s="1"/>
  <c r="A252" i="2"/>
  <c r="A90" i="6" s="1"/>
  <c r="B252" i="2"/>
  <c r="B90" i="6" s="1"/>
  <c r="C252" i="2"/>
  <c r="E90" i="6" s="1"/>
  <c r="E252" i="2"/>
  <c r="I90" i="6" s="1"/>
  <c r="F252" i="2"/>
  <c r="F90" i="6" s="1"/>
  <c r="J252" i="2"/>
  <c r="C90" i="6" s="1"/>
  <c r="N252" i="2"/>
  <c r="O252" i="2"/>
  <c r="P252" i="2"/>
  <c r="L90" i="6" s="1"/>
  <c r="T252" i="2"/>
  <c r="N90" i="6" s="1"/>
  <c r="U252" i="2"/>
  <c r="O90" i="6" s="1"/>
  <c r="A253" i="2"/>
  <c r="B253" i="2"/>
  <c r="B91" i="6" s="1"/>
  <c r="C253" i="2"/>
  <c r="E91" i="6" s="1"/>
  <c r="E253" i="2"/>
  <c r="I91" i="6" s="1"/>
  <c r="F253" i="2"/>
  <c r="J253" i="2"/>
  <c r="C91" i="6" s="1"/>
  <c r="N253" i="2"/>
  <c r="O253" i="2"/>
  <c r="P253" i="2"/>
  <c r="L91" i="6" s="1"/>
  <c r="T253" i="2"/>
  <c r="N91" i="6" s="1"/>
  <c r="U253" i="2"/>
  <c r="O91" i="6" s="1"/>
  <c r="A47" i="1"/>
  <c r="AO89" i="4"/>
  <c r="AP89" i="4" s="1"/>
  <c r="D92" i="6" l="1"/>
  <c r="H92" i="6"/>
  <c r="G92" i="6" s="1"/>
  <c r="H91" i="6"/>
  <c r="D91" i="6"/>
  <c r="D90" i="6"/>
  <c r="H90" i="6"/>
  <c r="G90" i="6" s="1"/>
  <c r="A91" i="6"/>
  <c r="A96" i="1"/>
  <c r="F91" i="6"/>
  <c r="J258" i="11"/>
  <c r="N258" i="11" s="1"/>
  <c r="AO88" i="4"/>
  <c r="AP88" i="4" s="1"/>
  <c r="AO253" i="4"/>
  <c r="AD267" i="4"/>
  <c r="AD252" i="4"/>
  <c r="AD253" i="4"/>
  <c r="AO10" i="4"/>
  <c r="F269" i="2"/>
  <c r="F109" i="2"/>
  <c r="AO267" i="4"/>
  <c r="AO252" i="4"/>
  <c r="M267" i="2"/>
  <c r="Q253" i="2"/>
  <c r="V258" i="11" s="1"/>
  <c r="R267" i="2"/>
  <c r="R252" i="2"/>
  <c r="R253" i="2"/>
  <c r="Q267" i="2"/>
  <c r="V272" i="11" s="1"/>
  <c r="M253" i="2"/>
  <c r="Q252" i="2"/>
  <c r="V257" i="11" s="1"/>
  <c r="M252" i="2"/>
  <c r="G91" i="6" l="1"/>
  <c r="Z258" i="11"/>
  <c r="V111" i="11"/>
  <c r="V120" i="11" s="1"/>
  <c r="T61" i="1"/>
  <c r="T90" i="1"/>
  <c r="N111" i="11"/>
  <c r="J111" i="11"/>
  <c r="F26" i="4" l="1"/>
  <c r="B101" i="3" l="1"/>
  <c r="B96" i="3"/>
  <c r="J26" i="4" l="1"/>
  <c r="AD27" i="4"/>
  <c r="C41" i="4" l="1"/>
  <c r="A23" i="7"/>
  <c r="B23" i="7"/>
  <c r="D23" i="7"/>
  <c r="D43" i="7" s="1"/>
  <c r="G23" i="7"/>
  <c r="H23" i="7"/>
  <c r="G43" i="7" l="1"/>
  <c r="J43" i="7" s="1"/>
  <c r="J23" i="7"/>
  <c r="I23" i="7"/>
  <c r="V51" i="4" l="1"/>
  <c r="V51" i="2" s="1"/>
  <c r="P65" i="6" s="1"/>
  <c r="N55" i="8"/>
  <c r="E111" i="11" l="1"/>
  <c r="E120" i="11" s="1"/>
  <c r="AG51" i="4"/>
  <c r="G111" i="11"/>
  <c r="E46" i="7"/>
  <c r="K46" i="7" s="1"/>
  <c r="V15" i="4"/>
  <c r="V15" i="2" s="1"/>
  <c r="P55" i="6" s="1"/>
  <c r="V16" i="4"/>
  <c r="V16" i="2" s="1"/>
  <c r="P56" i="6" s="1"/>
  <c r="V17" i="4"/>
  <c r="V17" i="2" s="1"/>
  <c r="P57" i="6" s="1"/>
  <c r="N15" i="8"/>
  <c r="M15" i="8" s="1"/>
  <c r="N16" i="8"/>
  <c r="M16" i="8" s="1"/>
  <c r="N17" i="8"/>
  <c r="M17" i="8" s="1"/>
  <c r="AG15" i="4"/>
  <c r="AG16" i="4"/>
  <c r="AG17" i="4"/>
  <c r="Q111" i="11" l="1"/>
  <c r="R111" i="11"/>
  <c r="Z111" i="11"/>
  <c r="Z120" i="11" s="1"/>
  <c r="F46" i="7"/>
  <c r="AJ51" i="4"/>
  <c r="AI51" i="4"/>
  <c r="AM51" i="4"/>
  <c r="AI17" i="4"/>
  <c r="AM17" i="4"/>
  <c r="AM16" i="4"/>
  <c r="AI16" i="4"/>
  <c r="AI15" i="4"/>
  <c r="AM15" i="4"/>
  <c r="E13" i="8"/>
  <c r="F13" i="8" s="1"/>
  <c r="C55" i="8"/>
  <c r="H17" i="8"/>
  <c r="H16" i="8"/>
  <c r="H15" i="8"/>
  <c r="H26" i="4"/>
  <c r="AJ15" i="4" l="1"/>
  <c r="AP15" i="4" s="1"/>
  <c r="AJ16" i="4"/>
  <c r="AP16" i="4" s="1"/>
  <c r="AJ17" i="4"/>
  <c r="AK17" i="4" s="1"/>
  <c r="AL17" i="4" s="1"/>
  <c r="AK51" i="4"/>
  <c r="AL51" i="4" s="1"/>
  <c r="AP51" i="4"/>
  <c r="C16" i="8"/>
  <c r="C15" i="8"/>
  <c r="C17" i="8"/>
  <c r="AK15" i="4" l="1"/>
  <c r="AL15" i="4" s="1"/>
  <c r="AK16" i="4"/>
  <c r="AL16" i="4" s="1"/>
  <c r="AP17" i="4"/>
  <c r="I111" i="11"/>
  <c r="AA111" i="11" l="1"/>
  <c r="AA120" i="11" s="1"/>
  <c r="W111" i="11"/>
  <c r="W120" i="11" s="1"/>
  <c r="S21" i="1"/>
  <c r="S20" i="1"/>
  <c r="S19" i="1"/>
  <c r="M111" i="11"/>
  <c r="AA435" i="11"/>
  <c r="AC435" i="11" s="1"/>
  <c r="Y111" i="11" l="1"/>
  <c r="Y120" i="11" s="1"/>
  <c r="U111" i="11"/>
  <c r="U120" i="11" s="1"/>
  <c r="O111" i="11"/>
  <c r="K111" i="11"/>
  <c r="T19" i="1"/>
  <c r="T20" i="1"/>
  <c r="T21" i="1"/>
  <c r="Z223" i="11"/>
  <c r="Y223" i="11" l="1"/>
  <c r="M411" i="11"/>
  <c r="N411" i="11"/>
  <c r="O411" i="11"/>
  <c r="M412" i="11"/>
  <c r="N412" i="11"/>
  <c r="O412" i="11"/>
  <c r="N414" i="11"/>
  <c r="O414" i="11"/>
  <c r="AC414" i="11" s="1"/>
  <c r="N415" i="11"/>
  <c r="V14" i="4" l="1"/>
  <c r="V14" i="2" s="1"/>
  <c r="P54" i="6" s="1"/>
  <c r="N14" i="8"/>
  <c r="M14" i="8" s="1"/>
  <c r="AG14" i="4"/>
  <c r="AM14" i="4" l="1"/>
  <c r="AI14" i="4"/>
  <c r="AG50" i="4"/>
  <c r="H14" i="8"/>
  <c r="AJ14" i="4" l="1"/>
  <c r="AP14" i="4" s="1"/>
  <c r="AI50" i="4"/>
  <c r="AM50" i="4"/>
  <c r="C14" i="8"/>
  <c r="AK14" i="4" l="1"/>
  <c r="AL14" i="4" s="1"/>
  <c r="S18" i="1" l="1"/>
  <c r="T18" i="1" l="1"/>
  <c r="V157" i="11" l="1"/>
  <c r="V220" i="11" s="1"/>
  <c r="U157" i="11"/>
  <c r="U220" i="11" s="1"/>
  <c r="R157" i="11"/>
  <c r="F393" i="11" l="1"/>
  <c r="B393" i="11"/>
  <c r="A393" i="11"/>
  <c r="T404" i="11"/>
  <c r="H404" i="11"/>
  <c r="F322" i="11"/>
  <c r="F272" i="11"/>
  <c r="A272" i="11"/>
  <c r="B272" i="11"/>
  <c r="F257" i="11"/>
  <c r="A257" i="11"/>
  <c r="B257" i="11"/>
  <c r="F227" i="11"/>
  <c r="F241" i="11" s="1"/>
  <c r="B227" i="11"/>
  <c r="A227" i="11"/>
  <c r="B45" i="11"/>
  <c r="A45" i="11"/>
  <c r="B9" i="11"/>
  <c r="A9" i="11"/>
  <c r="F45" i="11" l="1"/>
  <c r="F9" i="11"/>
  <c r="F26" i="11" l="1"/>
  <c r="V230" i="4"/>
  <c r="N248" i="8"/>
  <c r="M248" i="8" s="1"/>
  <c r="AB230" i="4"/>
  <c r="V230" i="2" l="1"/>
  <c r="P87" i="6" s="1"/>
  <c r="AG230" i="4"/>
  <c r="H248" i="8"/>
  <c r="AA230" i="4"/>
  <c r="V126" i="4"/>
  <c r="V126" i="2" s="1"/>
  <c r="P72" i="6" s="1"/>
  <c r="N139" i="8"/>
  <c r="M139" i="8" s="1"/>
  <c r="AG126" i="4" l="1"/>
  <c r="AI230" i="4"/>
  <c r="AJ230" i="4" s="1"/>
  <c r="AM230" i="4"/>
  <c r="C248" i="8"/>
  <c r="H139" i="8"/>
  <c r="V128" i="4"/>
  <c r="V128" i="2" s="1"/>
  <c r="P74" i="6" s="1"/>
  <c r="N141" i="8"/>
  <c r="M141" i="8" s="1"/>
  <c r="AA128" i="4" l="1"/>
  <c r="AI126" i="4"/>
  <c r="AM126" i="4"/>
  <c r="AJ126" i="4"/>
  <c r="AG128" i="4"/>
  <c r="AK230" i="4"/>
  <c r="AL230" i="4" s="1"/>
  <c r="AP230" i="4"/>
  <c r="C139" i="8"/>
  <c r="H141" i="8"/>
  <c r="S61" i="1" l="1"/>
  <c r="AP126" i="4"/>
  <c r="AK126" i="4"/>
  <c r="AL126" i="4" s="1"/>
  <c r="AJ128" i="4"/>
  <c r="AI128" i="4"/>
  <c r="AM128" i="4"/>
  <c r="C141" i="8"/>
  <c r="S58" i="1" l="1"/>
  <c r="AK128" i="4"/>
  <c r="AL128" i="4" s="1"/>
  <c r="AP128" i="4"/>
  <c r="T58" i="1" l="1"/>
  <c r="F385" i="4" l="1"/>
  <c r="AD384" i="4"/>
  <c r="P26" i="4"/>
  <c r="O26" i="4"/>
  <c r="N26" i="4"/>
  <c r="O237" i="4"/>
  <c r="P237" i="4"/>
  <c r="AF40" i="4"/>
  <c r="V253" i="4"/>
  <c r="N276" i="8"/>
  <c r="AB253" i="4"/>
  <c r="I252" i="4"/>
  <c r="AG253" i="4"/>
  <c r="V127" i="4"/>
  <c r="V127" i="2" s="1"/>
  <c r="P73" i="6" s="1"/>
  <c r="N140" i="8"/>
  <c r="M140" i="8" s="1"/>
  <c r="E26" i="4"/>
  <c r="AD40" i="4" l="1"/>
  <c r="AG127" i="4"/>
  <c r="AI253" i="4"/>
  <c r="AM253" i="4"/>
  <c r="C385" i="4"/>
  <c r="C216" i="4"/>
  <c r="H275" i="8"/>
  <c r="E101" i="7"/>
  <c r="K101" i="7" s="1"/>
  <c r="H140" i="8"/>
  <c r="V253" i="2"/>
  <c r="P91" i="6" s="1"/>
  <c r="D253" i="2"/>
  <c r="E257" i="11"/>
  <c r="E385" i="4"/>
  <c r="H385" i="4"/>
  <c r="AA253" i="4"/>
  <c r="G257" i="11" l="1"/>
  <c r="AD385" i="4"/>
  <c r="AD386" i="4"/>
  <c r="F101" i="7"/>
  <c r="AJ127" i="4"/>
  <c r="AI127" i="4"/>
  <c r="AM127" i="4"/>
  <c r="AJ253" i="4"/>
  <c r="C276" i="8"/>
  <c r="C140" i="8"/>
  <c r="G253" i="2"/>
  <c r="L253" i="2"/>
  <c r="J91" i="6" l="1"/>
  <c r="D258" i="11"/>
  <c r="G96" i="1"/>
  <c r="B96" i="1"/>
  <c r="D96" i="1"/>
  <c r="C96" i="1"/>
  <c r="E96" i="1"/>
  <c r="F96" i="1"/>
  <c r="H96" i="1"/>
  <c r="I96" i="1"/>
  <c r="J96" i="1"/>
  <c r="S60" i="1"/>
  <c r="AK127" i="4"/>
  <c r="AL127" i="4" s="1"/>
  <c r="AP127" i="4"/>
  <c r="AP253" i="4"/>
  <c r="AK253" i="4"/>
  <c r="AL253" i="4" s="1"/>
  <c r="H253" i="2"/>
  <c r="K91" i="6" s="1"/>
  <c r="M91" i="6" s="1"/>
  <c r="AO396" i="4"/>
  <c r="AF317" i="4"/>
  <c r="AH317" i="4"/>
  <c r="AI264" i="4"/>
  <c r="AG223" i="4"/>
  <c r="AI223" i="4" s="1"/>
  <c r="AF223" i="4"/>
  <c r="AF45" i="4"/>
  <c r="AN45" i="4" s="1"/>
  <c r="AF44" i="4"/>
  <c r="A390" i="2"/>
  <c r="A340" i="6" s="1"/>
  <c r="B390" i="2"/>
  <c r="B340" i="6" s="1"/>
  <c r="F390" i="2"/>
  <c r="J390" i="2"/>
  <c r="C340" i="6" s="1"/>
  <c r="N390" i="2"/>
  <c r="O390" i="2"/>
  <c r="P390" i="2"/>
  <c r="T390" i="2"/>
  <c r="N340" i="6" s="1"/>
  <c r="U390" i="2"/>
  <c r="O340" i="6" s="1"/>
  <c r="K96" i="1" l="1"/>
  <c r="L340" i="6"/>
  <c r="AO353" i="4"/>
  <c r="AP353" i="4" s="1"/>
  <c r="J395" i="11"/>
  <c r="N395" i="11" s="1"/>
  <c r="F340" i="6"/>
  <c r="AF65" i="4"/>
  <c r="AD103" i="4"/>
  <c r="AP84" i="4"/>
  <c r="AP103" i="4" s="1"/>
  <c r="I253" i="2"/>
  <c r="I258" i="11" s="1"/>
  <c r="K258" i="11" s="1"/>
  <c r="S253" i="2"/>
  <c r="W258" i="11" s="1"/>
  <c r="U258" i="11" s="1"/>
  <c r="AF257" i="4"/>
  <c r="AF264" i="4" s="1"/>
  <c r="AF154" i="4"/>
  <c r="AF279" i="4"/>
  <c r="AF269" i="4"/>
  <c r="AF276" i="4" s="1"/>
  <c r="AN317" i="4"/>
  <c r="AF385" i="4"/>
  <c r="AN109" i="4"/>
  <c r="AN117" i="4" s="1"/>
  <c r="AF109" i="4"/>
  <c r="AF117" i="4" s="1"/>
  <c r="J257" i="11"/>
  <c r="N257" i="11" s="1"/>
  <c r="A95" i="1"/>
  <c r="AN269" i="4"/>
  <c r="AN276" i="4" s="1"/>
  <c r="AN257" i="4"/>
  <c r="AN264" i="4" s="1"/>
  <c r="AF237" i="4"/>
  <c r="AN9" i="4"/>
  <c r="AN40" i="4"/>
  <c r="AH223" i="4"/>
  <c r="AJ109" i="4"/>
  <c r="AJ117" i="4" s="1"/>
  <c r="AH154" i="4"/>
  <c r="R390" i="2"/>
  <c r="AH385" i="4"/>
  <c r="AH269" i="4"/>
  <c r="AH276" i="4" s="1"/>
  <c r="Q390" i="2"/>
  <c r="V395" i="11" s="1"/>
  <c r="AH109" i="4"/>
  <c r="AH117" i="4" s="1"/>
  <c r="AH257" i="4"/>
  <c r="AH264" i="4" s="1"/>
  <c r="AM223" i="4"/>
  <c r="AN223" i="4"/>
  <c r="AK109" i="4"/>
  <c r="AN44" i="4"/>
  <c r="AN65" i="4" s="1"/>
  <c r="Z395" i="11" l="1"/>
  <c r="K253" i="2"/>
  <c r="L96" i="1" s="1"/>
  <c r="T60" i="1"/>
  <c r="AF104" i="4"/>
  <c r="AF249" i="4"/>
  <c r="AJ223" i="4"/>
  <c r="AK223" i="4" s="1"/>
  <c r="AH216" i="4"/>
  <c r="AF216" i="4"/>
  <c r="AF41" i="4"/>
  <c r="AF219" i="4"/>
  <c r="AN237" i="4"/>
  <c r="AN278" i="4" s="1"/>
  <c r="AF218" i="4"/>
  <c r="AN26" i="4"/>
  <c r="AN41" i="4" s="1"/>
  <c r="AN385" i="4"/>
  <c r="AN104" i="4"/>
  <c r="AN219" i="4"/>
  <c r="AF278" i="4"/>
  <c r="AL109" i="4"/>
  <c r="AL117" i="4" s="1"/>
  <c r="AK117" i="4"/>
  <c r="AF398" i="4" l="1"/>
  <c r="AF220" i="4"/>
  <c r="AF280" i="4"/>
  <c r="AL223" i="4"/>
  <c r="H243" i="8" l="1"/>
  <c r="H242" i="8" l="1"/>
  <c r="AG44" i="4" l="1"/>
  <c r="A429" i="8"/>
  <c r="B429" i="8"/>
  <c r="I429" i="8"/>
  <c r="K429" i="8"/>
  <c r="N429" i="8"/>
  <c r="AD390" i="4"/>
  <c r="AF390" i="4" l="1"/>
  <c r="AN390" i="4" s="1"/>
  <c r="AH237" i="4"/>
  <c r="AH278" i="4" s="1"/>
  <c r="AI9" i="4"/>
  <c r="AM9" i="4"/>
  <c r="AH26" i="4"/>
  <c r="AB390" i="4"/>
  <c r="C390" i="2"/>
  <c r="E340" i="6" s="1"/>
  <c r="AM44" i="4"/>
  <c r="AI44" i="4"/>
  <c r="AH44" i="4"/>
  <c r="AH65" i="4" s="1"/>
  <c r="D429" i="8"/>
  <c r="AH390" i="4"/>
  <c r="Z390" i="4"/>
  <c r="D340" i="6" l="1"/>
  <c r="M390" i="2"/>
  <c r="AJ9" i="4"/>
  <c r="E390" i="2"/>
  <c r="I340" i="6" s="1"/>
  <c r="H340" i="6" s="1"/>
  <c r="G340" i="6" s="1"/>
  <c r="AH104" i="4"/>
  <c r="AJ44" i="4"/>
  <c r="J429" i="8"/>
  <c r="E429" i="8" s="1"/>
  <c r="F429" i="8" s="1"/>
  <c r="AH218" i="4" l="1"/>
  <c r="AH398" i="4" s="1"/>
  <c r="D390" i="2"/>
  <c r="G390" i="2" s="1"/>
  <c r="AG390" i="4"/>
  <c r="AA390" i="4"/>
  <c r="AK9" i="4"/>
  <c r="AK44" i="4"/>
  <c r="H429" i="8"/>
  <c r="O429" i="8"/>
  <c r="N216" i="4"/>
  <c r="D395" i="11" l="1"/>
  <c r="J340" i="6"/>
  <c r="AJ390" i="4"/>
  <c r="H390" i="2"/>
  <c r="K340" i="6" s="1"/>
  <c r="M340" i="6" s="1"/>
  <c r="C429" i="8"/>
  <c r="AL9" i="4"/>
  <c r="L390" i="2"/>
  <c r="AI390" i="4"/>
  <c r="AM390" i="4"/>
  <c r="AL44" i="4"/>
  <c r="P429" i="8"/>
  <c r="M429" i="8"/>
  <c r="C109" i="4"/>
  <c r="C219" i="4"/>
  <c r="C269" i="4"/>
  <c r="AD219" i="4" l="1"/>
  <c r="S390" i="2"/>
  <c r="W395" i="11" s="1"/>
  <c r="I390" i="2"/>
  <c r="I395" i="11" s="1"/>
  <c r="AK390" i="4"/>
  <c r="AL390" i="4" s="1"/>
  <c r="AP390" i="4"/>
  <c r="C218" i="4"/>
  <c r="C276" i="4"/>
  <c r="C117" i="4"/>
  <c r="AD118" i="4" s="1"/>
  <c r="C104" i="4"/>
  <c r="AD105" i="4" s="1"/>
  <c r="C249" i="4"/>
  <c r="V252" i="4"/>
  <c r="Q252" i="4"/>
  <c r="R257" i="11" s="1"/>
  <c r="R252" i="4"/>
  <c r="M252" i="4"/>
  <c r="AB252" i="4" s="1"/>
  <c r="AG252" i="4"/>
  <c r="AD218" i="4" l="1"/>
  <c r="K395" i="11"/>
  <c r="O395" i="11" s="1"/>
  <c r="M395" i="11"/>
  <c r="Q257" i="11"/>
  <c r="Z257" i="11"/>
  <c r="Z262" i="11" s="1"/>
  <c r="Z269" i="11" s="1"/>
  <c r="AA395" i="11"/>
  <c r="U395" i="11"/>
  <c r="Y395" i="11" s="1"/>
  <c r="N275" i="8"/>
  <c r="M275" i="8" s="1"/>
  <c r="Q257" i="4"/>
  <c r="K390" i="2"/>
  <c r="C220" i="4"/>
  <c r="AI252" i="4"/>
  <c r="AM252" i="4"/>
  <c r="V252" i="2"/>
  <c r="P90" i="6" s="1"/>
  <c r="D252" i="2"/>
  <c r="G252" i="4"/>
  <c r="C257" i="11" s="1"/>
  <c r="K252" i="4"/>
  <c r="L96" i="3" s="1"/>
  <c r="L252" i="4"/>
  <c r="AA252" i="4" s="1"/>
  <c r="W418" i="11"/>
  <c r="S418" i="11"/>
  <c r="S274" i="11"/>
  <c r="S281" i="11" s="1"/>
  <c r="V274" i="11"/>
  <c r="R262" i="11"/>
  <c r="V262" i="11"/>
  <c r="Q157" i="11"/>
  <c r="AA156" i="11"/>
  <c r="AA157" i="11" s="1"/>
  <c r="AA220" i="11" s="1"/>
  <c r="Q223" i="11"/>
  <c r="AD220" i="4" l="1"/>
  <c r="L257" i="4"/>
  <c r="AA257" i="4" s="1"/>
  <c r="C275" i="8"/>
  <c r="AJ252" i="4"/>
  <c r="AJ257" i="4" s="1"/>
  <c r="AJ264" i="4" s="1"/>
  <c r="L252" i="2"/>
  <c r="G252" i="2"/>
  <c r="J90" i="6" s="1"/>
  <c r="F96" i="3"/>
  <c r="G96" i="3"/>
  <c r="H96" i="3"/>
  <c r="I96" i="3"/>
  <c r="J96" i="3"/>
  <c r="K96" i="3"/>
  <c r="C96" i="3"/>
  <c r="D96" i="3"/>
  <c r="E96" i="3"/>
  <c r="Q220" i="11"/>
  <c r="F274" i="11"/>
  <c r="F262" i="11"/>
  <c r="F269" i="11" s="1"/>
  <c r="U223" i="11"/>
  <c r="R223" i="11"/>
  <c r="F157" i="11"/>
  <c r="F66" i="11"/>
  <c r="S59" i="1" l="1"/>
  <c r="AK252" i="4"/>
  <c r="AL252" i="4" s="1"/>
  <c r="AL257" i="4" s="1"/>
  <c r="AL264" i="4" s="1"/>
  <c r="AP252" i="4"/>
  <c r="H252" i="2"/>
  <c r="K90" i="6" s="1"/>
  <c r="M90" i="6" s="1"/>
  <c r="D257" i="11"/>
  <c r="B95" i="1"/>
  <c r="C95" i="1"/>
  <c r="E95" i="1"/>
  <c r="F95" i="1"/>
  <c r="I95" i="1"/>
  <c r="D95" i="1"/>
  <c r="J95" i="1"/>
  <c r="G95" i="1"/>
  <c r="H95" i="1"/>
  <c r="Q284" i="11"/>
  <c r="V223" i="11"/>
  <c r="V281" i="11"/>
  <c r="V269" i="11"/>
  <c r="F281" i="11"/>
  <c r="R269" i="11"/>
  <c r="AA223" i="11"/>
  <c r="F106" i="11"/>
  <c r="S252" i="2" l="1"/>
  <c r="W257" i="11" s="1"/>
  <c r="I252" i="2"/>
  <c r="K252" i="2" s="1"/>
  <c r="AK257" i="4"/>
  <c r="AK264" i="4" s="1"/>
  <c r="K95" i="1"/>
  <c r="S95" i="1" s="1"/>
  <c r="U257" i="11" l="1"/>
  <c r="AA257" i="11"/>
  <c r="W262" i="11"/>
  <c r="W269" i="11" s="1"/>
  <c r="T59" i="1"/>
  <c r="I257" i="11"/>
  <c r="M257" i="11" s="1"/>
  <c r="L95" i="1"/>
  <c r="T95" i="1" s="1"/>
  <c r="Y257" i="11" l="1"/>
  <c r="U262" i="11"/>
  <c r="U269" i="11" s="1"/>
  <c r="K257" i="11"/>
  <c r="O257" i="11" s="1"/>
  <c r="E269" i="2" l="1"/>
  <c r="A119" i="2" l="1"/>
  <c r="A104" i="2"/>
  <c r="A103" i="2"/>
  <c r="A67" i="2"/>
  <c r="A65" i="2"/>
  <c r="A43" i="2"/>
  <c r="O216" i="4" l="1"/>
  <c r="P216" i="4"/>
  <c r="F216" i="4"/>
  <c r="E216" i="4" l="1"/>
  <c r="H216" i="4"/>
  <c r="J104" i="4"/>
  <c r="N104" i="4"/>
  <c r="O104" i="4"/>
  <c r="P104" i="4"/>
  <c r="E104" i="4"/>
  <c r="AG10" i="4"/>
  <c r="AI10" i="4" l="1"/>
  <c r="AM10" i="4"/>
  <c r="C257" i="2"/>
  <c r="C108" i="2"/>
  <c r="C109" i="2" s="1"/>
  <c r="AD108" i="4" l="1"/>
  <c r="C264" i="2"/>
  <c r="C269" i="2"/>
  <c r="C276" i="2" l="1"/>
  <c r="AD269" i="4"/>
  <c r="C117" i="2"/>
  <c r="AD109" i="4"/>
  <c r="N279" i="4"/>
  <c r="AD276" i="4" l="1"/>
  <c r="AD117" i="4"/>
  <c r="AD248" i="4"/>
  <c r="E284" i="11" l="1"/>
  <c r="B8" i="3" l="1"/>
  <c r="A5" i="7"/>
  <c r="B5" i="7"/>
  <c r="D5" i="7"/>
  <c r="G5" i="7"/>
  <c r="J5" i="7" l="1"/>
  <c r="G21" i="7"/>
  <c r="D21" i="7"/>
  <c r="D83" i="7" s="1"/>
  <c r="A3" i="11"/>
  <c r="G83" i="7" l="1"/>
  <c r="J83" i="7" s="1"/>
  <c r="N317" i="2"/>
  <c r="O317" i="2"/>
  <c r="A271" i="2"/>
  <c r="A275" i="2"/>
  <c r="A276" i="2"/>
  <c r="A109" i="2"/>
  <c r="A111" i="2"/>
  <c r="A116" i="2"/>
  <c r="A117" i="2"/>
  <c r="A251" i="2"/>
  <c r="A257" i="2"/>
  <c r="A259" i="2"/>
  <c r="A263" i="2"/>
  <c r="A264" i="2"/>
  <c r="A266" i="2"/>
  <c r="A269" i="2"/>
  <c r="A106" i="2"/>
  <c r="D280" i="8"/>
  <c r="D288" i="8" s="1"/>
  <c r="I280" i="8"/>
  <c r="K280" i="8"/>
  <c r="AO317" i="4" l="1"/>
  <c r="AP275" i="4"/>
  <c r="AO275" i="4"/>
  <c r="F317" i="2"/>
  <c r="AP263" i="4"/>
  <c r="AO263" i="4"/>
  <c r="F280" i="8"/>
  <c r="F288" i="8" s="1"/>
  <c r="E280" i="8"/>
  <c r="E288" i="8" s="1"/>
  <c r="C317" i="2"/>
  <c r="J272" i="11"/>
  <c r="N272" i="11" s="1"/>
  <c r="P317" i="2"/>
  <c r="AO350" i="4" s="1"/>
  <c r="AP350" i="4" s="1"/>
  <c r="J322" i="11"/>
  <c r="J257" i="2"/>
  <c r="J264" i="2" s="1"/>
  <c r="F257" i="2"/>
  <c r="F264" i="2" s="1"/>
  <c r="J317" i="2"/>
  <c r="J109" i="2"/>
  <c r="J117" i="2" s="1"/>
  <c r="E317" i="2"/>
  <c r="D309" i="8"/>
  <c r="A100" i="1"/>
  <c r="K296" i="8"/>
  <c r="K304" i="8" s="1"/>
  <c r="J296" i="8"/>
  <c r="J304" i="8" s="1"/>
  <c r="I296" i="8"/>
  <c r="I304" i="8" s="1"/>
  <c r="F304" i="8"/>
  <c r="D304" i="8"/>
  <c r="R317" i="2"/>
  <c r="M317" i="2"/>
  <c r="Q317" i="2"/>
  <c r="O257" i="2"/>
  <c r="O264" i="2" s="1"/>
  <c r="P109" i="2"/>
  <c r="O109" i="2"/>
  <c r="O117" i="2" s="1"/>
  <c r="N109" i="2"/>
  <c r="N117" i="2" s="1"/>
  <c r="P257" i="2"/>
  <c r="P264" i="2" s="1"/>
  <c r="F276" i="2"/>
  <c r="P269" i="2"/>
  <c r="P276" i="2" s="1"/>
  <c r="O269" i="2"/>
  <c r="O276" i="2" s="1"/>
  <c r="N257" i="2"/>
  <c r="N264" i="2" s="1"/>
  <c r="N269" i="2"/>
  <c r="N276" i="2" s="1"/>
  <c r="F117" i="2"/>
  <c r="J269" i="2"/>
  <c r="J276" i="2" s="1"/>
  <c r="E296" i="8"/>
  <c r="E304" i="8" s="1"/>
  <c r="I288" i="8"/>
  <c r="K288" i="8"/>
  <c r="D127" i="8"/>
  <c r="I118" i="8"/>
  <c r="I127" i="8" s="1"/>
  <c r="F118" i="8"/>
  <c r="F127" i="8" s="1"/>
  <c r="E118" i="8"/>
  <c r="K118" i="8"/>
  <c r="K127" i="8" s="1"/>
  <c r="J118" i="8"/>
  <c r="J127" i="8" s="1"/>
  <c r="P117" i="2" l="1"/>
  <c r="AD308" i="4"/>
  <c r="AP116" i="4"/>
  <c r="AO116" i="4"/>
  <c r="N322" i="11"/>
  <c r="C385" i="2"/>
  <c r="J274" i="11"/>
  <c r="J281" i="11" s="1"/>
  <c r="N274" i="11"/>
  <c r="N281" i="11" s="1"/>
  <c r="N262" i="11"/>
  <c r="N269" i="11" s="1"/>
  <c r="J262" i="11"/>
  <c r="J269" i="11" s="1"/>
  <c r="R257" i="2"/>
  <c r="R264" i="2" s="1"/>
  <c r="AO269" i="4"/>
  <c r="AO276" i="4" s="1"/>
  <c r="AO109" i="4"/>
  <c r="AP109" i="4"/>
  <c r="AO257" i="4"/>
  <c r="AO264" i="4" s="1"/>
  <c r="AP257" i="4"/>
  <c r="AP264" i="4" s="1"/>
  <c r="Q257" i="2"/>
  <c r="Q264" i="2" s="1"/>
  <c r="R269" i="2"/>
  <c r="R276" i="2" s="1"/>
  <c r="Q109" i="2"/>
  <c r="Q117" i="2" s="1"/>
  <c r="M257" i="2"/>
  <c r="M264" i="2" s="1"/>
  <c r="R109" i="2"/>
  <c r="R117" i="2" s="1"/>
  <c r="Q269" i="2"/>
  <c r="Q276" i="2" s="1"/>
  <c r="M269" i="2"/>
  <c r="M276" i="2" s="1"/>
  <c r="E127" i="8"/>
  <c r="AO117" i="4" l="1"/>
  <c r="AP117" i="4"/>
  <c r="M109" i="2"/>
  <c r="M117" i="2" s="1"/>
  <c r="J269" i="4" l="1"/>
  <c r="P269" i="4"/>
  <c r="H269" i="4"/>
  <c r="E269" i="4"/>
  <c r="F269" i="4"/>
  <c r="J257" i="4" l="1"/>
  <c r="P257" i="4"/>
  <c r="E257" i="4"/>
  <c r="F257" i="4"/>
  <c r="C257" i="4"/>
  <c r="AD257" i="4" s="1"/>
  <c r="C278" i="4" l="1"/>
  <c r="C264" i="4"/>
  <c r="AD264" i="4" s="1"/>
  <c r="V283" i="4"/>
  <c r="V283" i="2" s="1"/>
  <c r="P93" i="6" s="1"/>
  <c r="V284" i="4"/>
  <c r="V284" i="2" s="1"/>
  <c r="P242" i="6" s="1"/>
  <c r="Z317" i="4"/>
  <c r="N319" i="8"/>
  <c r="M319" i="8" s="1"/>
  <c r="N320" i="8"/>
  <c r="M320" i="8" s="1"/>
  <c r="AD278" i="4" l="1"/>
  <c r="C398" i="4"/>
  <c r="Q317" i="4"/>
  <c r="H319" i="8"/>
  <c r="H320" i="8"/>
  <c r="E147" i="7"/>
  <c r="K147" i="7" s="1"/>
  <c r="E322" i="11"/>
  <c r="AG284" i="4"/>
  <c r="AG283" i="4"/>
  <c r="R317" i="4"/>
  <c r="M317" i="4"/>
  <c r="AB317" i="4" s="1"/>
  <c r="I317" i="4"/>
  <c r="Q322" i="11" l="1"/>
  <c r="Z322" i="11"/>
  <c r="R322" i="11"/>
  <c r="C319" i="8"/>
  <c r="C320" i="8"/>
  <c r="F147" i="7"/>
  <c r="E390" i="11"/>
  <c r="AJ284" i="4"/>
  <c r="AM283" i="4"/>
  <c r="AI283" i="4"/>
  <c r="AJ283" i="4"/>
  <c r="AI284" i="4"/>
  <c r="AM284" i="4"/>
  <c r="AG317" i="4"/>
  <c r="K317" i="4"/>
  <c r="L317" i="4"/>
  <c r="AA317" i="4" s="1"/>
  <c r="AK283" i="4" l="1"/>
  <c r="AL283" i="4" s="1"/>
  <c r="AP283" i="4"/>
  <c r="AP284" i="4"/>
  <c r="AK284" i="4"/>
  <c r="AL284" i="4" s="1"/>
  <c r="AM317" i="4"/>
  <c r="AJ317" i="4"/>
  <c r="L317" i="2"/>
  <c r="S102" i="1" l="1"/>
  <c r="S103" i="1"/>
  <c r="S104" i="1"/>
  <c r="AL317" i="4"/>
  <c r="AK317" i="4"/>
  <c r="H317" i="2"/>
  <c r="T102" i="1" l="1"/>
  <c r="T104" i="1"/>
  <c r="T103" i="1"/>
  <c r="S317" i="2"/>
  <c r="S385" i="2" s="1"/>
  <c r="I317" i="2"/>
  <c r="J109" i="4"/>
  <c r="N218" i="4"/>
  <c r="H109" i="4"/>
  <c r="E109" i="4"/>
  <c r="F109" i="4"/>
  <c r="Y322" i="11" l="1"/>
  <c r="U322" i="11"/>
  <c r="I322" i="11"/>
  <c r="K317" i="2"/>
  <c r="M322" i="11" l="1"/>
  <c r="P117" i="4"/>
  <c r="O117" i="4"/>
  <c r="N117" i="4"/>
  <c r="E117" i="4" l="1"/>
  <c r="N118" i="8"/>
  <c r="N127" i="8" s="1"/>
  <c r="Q109" i="4"/>
  <c r="R109" i="4"/>
  <c r="S109" i="4"/>
  <c r="Z109" i="4" s="1"/>
  <c r="I109" i="4"/>
  <c r="M109" i="4"/>
  <c r="AB109" i="4" s="1"/>
  <c r="H117" i="4"/>
  <c r="F117" i="4"/>
  <c r="J117" i="4"/>
  <c r="C129" i="8" s="1"/>
  <c r="L109" i="2" l="1"/>
  <c r="L117" i="2" s="1"/>
  <c r="D109" i="2"/>
  <c r="AG109" i="4"/>
  <c r="AG117" i="4" s="1"/>
  <c r="O118" i="8"/>
  <c r="O127" i="8" s="1"/>
  <c r="M118" i="8"/>
  <c r="M127" i="8" s="1"/>
  <c r="P118" i="8"/>
  <c r="P127" i="8" s="1"/>
  <c r="E109" i="2"/>
  <c r="E117" i="2" s="1"/>
  <c r="K109" i="4"/>
  <c r="H118" i="8"/>
  <c r="H127" i="8" s="1"/>
  <c r="N129" i="8" s="1"/>
  <c r="L109" i="4"/>
  <c r="AA109" i="4" s="1"/>
  <c r="D117" i="2" l="1"/>
  <c r="AM109" i="4"/>
  <c r="AM117" i="4" s="1"/>
  <c r="I129" i="8"/>
  <c r="S57" i="1" l="1"/>
  <c r="H109" i="2"/>
  <c r="H117" i="2" s="1"/>
  <c r="S109" i="2"/>
  <c r="S117" i="2" s="1"/>
  <c r="K109" i="2"/>
  <c r="I109" i="2" l="1"/>
  <c r="I117" i="2" s="1"/>
  <c r="F44" i="2"/>
  <c r="F58" i="6" s="1"/>
  <c r="F218" i="4"/>
  <c r="T57" i="1" l="1"/>
  <c r="D44" i="2"/>
  <c r="K117" i="2"/>
  <c r="J45" i="11"/>
  <c r="N45" i="11" s="1"/>
  <c r="F104" i="4"/>
  <c r="D415" i="4" l="1"/>
  <c r="D65" i="2"/>
  <c r="H5" i="7"/>
  <c r="I5" i="7" s="1"/>
  <c r="H21" i="7" l="1"/>
  <c r="I21" i="7" l="1"/>
  <c r="AH40" i="4"/>
  <c r="F42" i="11"/>
  <c r="AJ40" i="4"/>
  <c r="F223" i="11" l="1"/>
  <c r="J223" i="11"/>
  <c r="AH41" i="4"/>
  <c r="AH219" i="4"/>
  <c r="AK40" i="4"/>
  <c r="AH220" i="4" l="1"/>
  <c r="AL40" i="4"/>
  <c r="V267" i="4"/>
  <c r="R267" i="4"/>
  <c r="Q267" i="4"/>
  <c r="R272" i="11" s="1"/>
  <c r="M267" i="4"/>
  <c r="AB267" i="4" s="1"/>
  <c r="I267" i="4"/>
  <c r="AG267" i="4"/>
  <c r="P276" i="4"/>
  <c r="O276" i="4"/>
  <c r="N276" i="4"/>
  <c r="C279" i="4"/>
  <c r="P264" i="4"/>
  <c r="O264" i="4"/>
  <c r="N264" i="4"/>
  <c r="Q272" i="11" l="1"/>
  <c r="Q274" i="11" s="1"/>
  <c r="Q281" i="11" s="1"/>
  <c r="Z272" i="11"/>
  <c r="Z274" i="11" s="1"/>
  <c r="Z281" i="11" s="1"/>
  <c r="R274" i="11"/>
  <c r="R281" i="11" s="1"/>
  <c r="N294" i="8"/>
  <c r="M294" i="8" s="1"/>
  <c r="Q269" i="4"/>
  <c r="S17" i="1"/>
  <c r="C280" i="4"/>
  <c r="AD280" i="4" s="1"/>
  <c r="AD279" i="4"/>
  <c r="AM267" i="4"/>
  <c r="AI267" i="4"/>
  <c r="H294" i="8"/>
  <c r="E107" i="7"/>
  <c r="K107" i="7" s="1"/>
  <c r="V267" i="2"/>
  <c r="P92" i="6" s="1"/>
  <c r="D267" i="2"/>
  <c r="E272" i="11"/>
  <c r="E274" i="11" s="1"/>
  <c r="E281" i="11" s="1"/>
  <c r="I279" i="4"/>
  <c r="R269" i="4"/>
  <c r="L267" i="4"/>
  <c r="AA267" i="4" s="1"/>
  <c r="K267" i="4"/>
  <c r="L101" i="3" s="1"/>
  <c r="M257" i="4"/>
  <c r="AB257" i="4" s="1"/>
  <c r="N280" i="8"/>
  <c r="R257" i="4"/>
  <c r="M269" i="4"/>
  <c r="AB269" i="4" s="1"/>
  <c r="S269" i="4"/>
  <c r="Z269" i="4" s="1"/>
  <c r="I269" i="4"/>
  <c r="E276" i="4"/>
  <c r="F264" i="4"/>
  <c r="G267" i="4"/>
  <c r="AJ267" i="4" s="1"/>
  <c r="F276" i="4"/>
  <c r="H276" i="4"/>
  <c r="J276" i="4"/>
  <c r="C306" i="8" s="1"/>
  <c r="E264" i="4"/>
  <c r="J264" i="4"/>
  <c r="C290" i="8" s="1"/>
  <c r="N296" i="8" l="1"/>
  <c r="N304" i="8" s="1"/>
  <c r="F107" i="7"/>
  <c r="F108" i="7" s="1"/>
  <c r="E108" i="7"/>
  <c r="K108" i="7" s="1"/>
  <c r="T17" i="1"/>
  <c r="G272" i="11"/>
  <c r="G274" i="11" s="1"/>
  <c r="G281" i="11" s="1"/>
  <c r="AK267" i="4"/>
  <c r="AL267" i="4" s="1"/>
  <c r="AP267" i="4"/>
  <c r="D101" i="3"/>
  <c r="C294" i="8"/>
  <c r="G267" i="2"/>
  <c r="J92" i="6" s="1"/>
  <c r="L267" i="2"/>
  <c r="L257" i="2"/>
  <c r="L264" i="2" s="1"/>
  <c r="C272" i="11"/>
  <c r="AJ269" i="4"/>
  <c r="AJ276" i="4" s="1"/>
  <c r="C101" i="3"/>
  <c r="E101" i="3"/>
  <c r="F101" i="3"/>
  <c r="G101" i="3"/>
  <c r="H101" i="3"/>
  <c r="I101" i="3"/>
  <c r="J101" i="3"/>
  <c r="K101" i="3"/>
  <c r="D257" i="2"/>
  <c r="AG257" i="4"/>
  <c r="AG264" i="4" s="1"/>
  <c r="AG269" i="4"/>
  <c r="AG276" i="4" s="1"/>
  <c r="D269" i="2"/>
  <c r="D276" i="2" s="1"/>
  <c r="E257" i="2"/>
  <c r="E264" i="2" s="1"/>
  <c r="O296" i="8"/>
  <c r="O304" i="8" s="1"/>
  <c r="H296" i="8"/>
  <c r="H304" i="8" s="1"/>
  <c r="N306" i="8" s="1"/>
  <c r="P296" i="8"/>
  <c r="P304" i="8" s="1"/>
  <c r="K269" i="4"/>
  <c r="N288" i="8"/>
  <c r="L269" i="4"/>
  <c r="AA269" i="4" s="1"/>
  <c r="A389" i="2"/>
  <c r="A339" i="6" s="1"/>
  <c r="B389" i="2"/>
  <c r="B339" i="6" s="1"/>
  <c r="F389" i="2"/>
  <c r="J389" i="2"/>
  <c r="C339" i="6" s="1"/>
  <c r="N389" i="2"/>
  <c r="O389" i="2"/>
  <c r="P389" i="2"/>
  <c r="T389" i="2"/>
  <c r="N339" i="6" s="1"/>
  <c r="U389" i="2"/>
  <c r="O339" i="6" s="1"/>
  <c r="A428" i="8"/>
  <c r="B428" i="8"/>
  <c r="I428" i="8"/>
  <c r="K428" i="8"/>
  <c r="N428" i="8"/>
  <c r="AD389" i="4"/>
  <c r="D264" i="2" l="1"/>
  <c r="L339" i="6"/>
  <c r="AO352" i="4"/>
  <c r="AP352" i="4" s="1"/>
  <c r="J394" i="11"/>
  <c r="N394" i="11" s="1"/>
  <c r="F339" i="6"/>
  <c r="AF389" i="4"/>
  <c r="AN389" i="4" s="1"/>
  <c r="H267" i="2"/>
  <c r="K92" i="6" s="1"/>
  <c r="M92" i="6" s="1"/>
  <c r="AM257" i="4"/>
  <c r="AM264" i="4" s="1"/>
  <c r="D272" i="11"/>
  <c r="AL269" i="4"/>
  <c r="AL276" i="4" s="1"/>
  <c r="AP269" i="4"/>
  <c r="AP276" i="4" s="1"/>
  <c r="AM269" i="4"/>
  <c r="AM276" i="4" s="1"/>
  <c r="L269" i="2"/>
  <c r="L276" i="2" s="1"/>
  <c r="I306" i="8"/>
  <c r="M296" i="8"/>
  <c r="M304" i="8" s="1"/>
  <c r="J100" i="1"/>
  <c r="B100" i="1"/>
  <c r="C100" i="1"/>
  <c r="G100" i="1"/>
  <c r="I100" i="1"/>
  <c r="D100" i="1"/>
  <c r="F100" i="1"/>
  <c r="E100" i="1"/>
  <c r="H100" i="1"/>
  <c r="E276" i="2"/>
  <c r="AB389" i="4"/>
  <c r="C389" i="2"/>
  <c r="R389" i="2"/>
  <c r="D428" i="8"/>
  <c r="Q389" i="2"/>
  <c r="V394" i="11" s="1"/>
  <c r="AH389" i="4"/>
  <c r="AJ389" i="4" s="1"/>
  <c r="AD343" i="4" l="1"/>
  <c r="E339" i="6"/>
  <c r="Z394" i="11"/>
  <c r="I267" i="2"/>
  <c r="K267" i="2" s="1"/>
  <c r="S267" i="2"/>
  <c r="J428" i="8"/>
  <c r="E428" i="8" s="1"/>
  <c r="F428" i="8" s="1"/>
  <c r="Z389" i="4"/>
  <c r="AK269" i="4"/>
  <c r="AK276" i="4" s="1"/>
  <c r="M389" i="2"/>
  <c r="H257" i="2"/>
  <c r="H264" i="2" s="1"/>
  <c r="K100" i="1"/>
  <c r="S100" i="1" s="1"/>
  <c r="AK389" i="4"/>
  <c r="AL389" i="4" s="1"/>
  <c r="AP389" i="4"/>
  <c r="H269" i="2"/>
  <c r="H276" i="2" s="1"/>
  <c r="S257" i="2"/>
  <c r="S264" i="2" s="1"/>
  <c r="E389" i="2"/>
  <c r="I339" i="6" s="1"/>
  <c r="D339" i="6" l="1"/>
  <c r="H339" i="6"/>
  <c r="G339" i="6" s="1"/>
  <c r="S269" i="2"/>
  <c r="S276" i="2" s="1"/>
  <c r="W272" i="11"/>
  <c r="L100" i="1"/>
  <c r="T100" i="1" s="1"/>
  <c r="I272" i="11"/>
  <c r="M272" i="11" s="1"/>
  <c r="H389" i="2"/>
  <c r="K339" i="6" s="1"/>
  <c r="M339" i="6" s="1"/>
  <c r="I269" i="2"/>
  <c r="I276" i="2" s="1"/>
  <c r="D389" i="2"/>
  <c r="L389" i="2" s="1"/>
  <c r="AG389" i="4"/>
  <c r="I257" i="2"/>
  <c r="I264" i="2" s="1"/>
  <c r="AA389" i="4"/>
  <c r="H428" i="8"/>
  <c r="O428" i="8"/>
  <c r="AA272" i="11" l="1"/>
  <c r="AA274" i="11" s="1"/>
  <c r="AA281" i="11" s="1"/>
  <c r="W274" i="11"/>
  <c r="W281" i="11" s="1"/>
  <c r="U272" i="11"/>
  <c r="K257" i="2"/>
  <c r="K264" i="2" s="1"/>
  <c r="C428" i="8"/>
  <c r="K269" i="2"/>
  <c r="K276" i="2" s="1"/>
  <c r="K272" i="11"/>
  <c r="O272" i="11" s="1"/>
  <c r="I389" i="2"/>
  <c r="I394" i="11" s="1"/>
  <c r="S389" i="2"/>
  <c r="W394" i="11" s="1"/>
  <c r="I262" i="11"/>
  <c r="I269" i="11" s="1"/>
  <c r="I274" i="11"/>
  <c r="I281" i="11" s="1"/>
  <c r="G389" i="2"/>
  <c r="AI389" i="4"/>
  <c r="AM389" i="4"/>
  <c r="P428" i="8"/>
  <c r="M428" i="8"/>
  <c r="D394" i="11" l="1"/>
  <c r="J339" i="6"/>
  <c r="AA394" i="11"/>
  <c r="U394" i="11"/>
  <c r="Y394" i="11" s="1"/>
  <c r="K394" i="11"/>
  <c r="O394" i="11" s="1"/>
  <c r="M394" i="11"/>
  <c r="Y272" i="11"/>
  <c r="Y274" i="11" s="1"/>
  <c r="Y281" i="11" s="1"/>
  <c r="U274" i="11"/>
  <c r="U281" i="11" s="1"/>
  <c r="M274" i="11"/>
  <c r="M281" i="11" s="1"/>
  <c r="O274" i="11"/>
  <c r="O281" i="11" s="1"/>
  <c r="K274" i="11"/>
  <c r="K281" i="11" s="1"/>
  <c r="K262" i="11"/>
  <c r="K269" i="11" s="1"/>
  <c r="K389" i="2"/>
  <c r="W322" i="11"/>
  <c r="K322" i="11"/>
  <c r="U284" i="11"/>
  <c r="J284" i="11"/>
  <c r="I284" i="11"/>
  <c r="S322" i="11"/>
  <c r="G322" i="11"/>
  <c r="F401" i="11"/>
  <c r="V229" i="4"/>
  <c r="V229" i="2" s="1"/>
  <c r="P86" i="6" s="1"/>
  <c r="V228" i="4"/>
  <c r="V227" i="4"/>
  <c r="V226" i="4"/>
  <c r="V225" i="4"/>
  <c r="V225" i="2" s="1"/>
  <c r="P82" i="6" s="1"/>
  <c r="V224" i="4"/>
  <c r="V223" i="4"/>
  <c r="V223" i="2" s="1"/>
  <c r="P80" i="6" s="1"/>
  <c r="V13" i="4"/>
  <c r="V13" i="2" s="1"/>
  <c r="P53" i="6" s="1"/>
  <c r="V12" i="4"/>
  <c r="V12" i="2" s="1"/>
  <c r="P52" i="6" s="1"/>
  <c r="V11" i="4"/>
  <c r="V11" i="2" s="1"/>
  <c r="P51" i="6" s="1"/>
  <c r="V10" i="4"/>
  <c r="P49" i="6"/>
  <c r="V45" i="4"/>
  <c r="V46" i="4"/>
  <c r="V46" i="2" s="1"/>
  <c r="P60" i="6" s="1"/>
  <c r="V47" i="4"/>
  <c r="V47" i="2" s="1"/>
  <c r="P61" i="6" s="1"/>
  <c r="V48" i="4"/>
  <c r="V48" i="2" s="1"/>
  <c r="P62" i="6" s="1"/>
  <c r="V49" i="4"/>
  <c r="V49" i="2" s="1"/>
  <c r="P63" i="6" s="1"/>
  <c r="V50" i="4"/>
  <c r="V50" i="2" s="1"/>
  <c r="P64" i="6" s="1"/>
  <c r="V121" i="4"/>
  <c r="V121" i="2" s="1"/>
  <c r="P67" i="6" s="1"/>
  <c r="V122" i="4"/>
  <c r="V122" i="2" s="1"/>
  <c r="P68" i="6" s="1"/>
  <c r="V123" i="4"/>
  <c r="V123" i="2" s="1"/>
  <c r="P69" i="6" s="1"/>
  <c r="V125" i="4"/>
  <c r="V125" i="2" s="1"/>
  <c r="P71" i="6" s="1"/>
  <c r="V44" i="4"/>
  <c r="V44" i="2" s="1"/>
  <c r="P58" i="6" s="1"/>
  <c r="V10" i="2" l="1"/>
  <c r="P50" i="6" s="1"/>
  <c r="V224" i="2"/>
  <c r="P81" i="6" s="1"/>
  <c r="V226" i="2"/>
  <c r="P83" i="6" s="1"/>
  <c r="V227" i="2"/>
  <c r="P84" i="6" s="1"/>
  <c r="V228" i="2"/>
  <c r="P85" i="6" s="1"/>
  <c r="V45" i="2"/>
  <c r="P59" i="6" s="1"/>
  <c r="S284" i="11"/>
  <c r="AA322" i="11"/>
  <c r="V284" i="11"/>
  <c r="Z284" i="11"/>
  <c r="Y284" i="11"/>
  <c r="G390" i="11"/>
  <c r="M390" i="11"/>
  <c r="M284" i="11"/>
  <c r="W223" i="11"/>
  <c r="N223" i="11"/>
  <c r="Z390" i="11"/>
  <c r="O322" i="11"/>
  <c r="I390" i="11"/>
  <c r="J390" i="11"/>
  <c r="N390" i="11"/>
  <c r="W390" i="11"/>
  <c r="Y390" i="11"/>
  <c r="N284" i="11"/>
  <c r="K390" i="11"/>
  <c r="V390" i="11"/>
  <c r="U390" i="11"/>
  <c r="K284" i="11"/>
  <c r="W284" i="11"/>
  <c r="R390" i="11"/>
  <c r="F390" i="11"/>
  <c r="F283" i="11"/>
  <c r="F284" i="11"/>
  <c r="F404" i="11" s="1"/>
  <c r="G284" i="11"/>
  <c r="R284" i="11"/>
  <c r="AA284" i="11" l="1"/>
  <c r="O390" i="11"/>
  <c r="Q390" i="11"/>
  <c r="F285" i="11"/>
  <c r="AA390" i="11"/>
  <c r="O284" i="11"/>
  <c r="F254" i="11"/>
  <c r="S390" i="11"/>
  <c r="F220" i="11"/>
  <c r="R220" i="11"/>
  <c r="AD25" i="4"/>
  <c r="Z220" i="11" l="1"/>
  <c r="C388" i="4"/>
  <c r="AD388" i="4" l="1"/>
  <c r="C396" i="4"/>
  <c r="C399" i="4" s="1"/>
  <c r="C400" i="4" s="1"/>
  <c r="AF388" i="4"/>
  <c r="AN388" i="4" s="1"/>
  <c r="C388" i="2"/>
  <c r="AD342" i="4" l="1"/>
  <c r="E338" i="6"/>
  <c r="AD311" i="4"/>
  <c r="A385" i="2"/>
  <c r="A319" i="2"/>
  <c r="A355" i="8" l="1"/>
  <c r="N154" i="2" l="1"/>
  <c r="P154" i="2"/>
  <c r="O154" i="2"/>
  <c r="AD12" i="4"/>
  <c r="AD13" i="4"/>
  <c r="AD10" i="4"/>
  <c r="AD154" i="4" l="1"/>
  <c r="AO34" i="4"/>
  <c r="AP34" i="4" s="1"/>
  <c r="C216" i="2"/>
  <c r="N157" i="11"/>
  <c r="N220" i="11" s="1"/>
  <c r="J157" i="11"/>
  <c r="J220" i="11" s="1"/>
  <c r="Q154" i="2"/>
  <c r="AD216" i="4" l="1"/>
  <c r="AO154" i="4"/>
  <c r="E353" i="8" l="1"/>
  <c r="AG121" i="4" l="1"/>
  <c r="AI121" i="4" l="1"/>
  <c r="AM121" i="4"/>
  <c r="D353" i="8"/>
  <c r="I353" i="8"/>
  <c r="J353" i="8"/>
  <c r="K353" i="8"/>
  <c r="S385" i="4"/>
  <c r="Z385" i="4" s="1"/>
  <c r="R385" i="4"/>
  <c r="Q385" i="4"/>
  <c r="M385" i="4"/>
  <c r="AB385" i="4" s="1"/>
  <c r="I385" i="4"/>
  <c r="D421" i="8" l="1"/>
  <c r="C423" i="8" s="1"/>
  <c r="F353" i="8"/>
  <c r="I117" i="4"/>
  <c r="R117" i="4"/>
  <c r="Q117" i="4"/>
  <c r="O353" i="8"/>
  <c r="I276" i="4"/>
  <c r="Q276" i="4"/>
  <c r="R264" i="4"/>
  <c r="R276" i="4"/>
  <c r="Q264" i="4"/>
  <c r="N353" i="8"/>
  <c r="L385" i="4"/>
  <c r="AA385" i="4" s="1"/>
  <c r="H353" i="8"/>
  <c r="H421" i="8" l="1"/>
  <c r="P353" i="8"/>
  <c r="AM385" i="4"/>
  <c r="AG385" i="4"/>
  <c r="K117" i="4"/>
  <c r="K385" i="4"/>
  <c r="AJ385" i="4"/>
  <c r="S117" i="4"/>
  <c r="Z117" i="4" s="1"/>
  <c r="M117" i="4"/>
  <c r="AB117" i="4" s="1"/>
  <c r="M353" i="8"/>
  <c r="K276" i="4"/>
  <c r="M276" i="4"/>
  <c r="AB276" i="4" s="1"/>
  <c r="S276" i="4"/>
  <c r="Z276" i="4" s="1"/>
  <c r="M264" i="4"/>
  <c r="AB264" i="4" s="1"/>
  <c r="N423" i="8" l="1"/>
  <c r="I423" i="8"/>
  <c r="AL385" i="4"/>
  <c r="AK385" i="4"/>
  <c r="L117" i="4"/>
  <c r="AA117" i="4" s="1"/>
  <c r="L276" i="4"/>
  <c r="AA276" i="4" s="1"/>
  <c r="L264" i="4"/>
  <c r="AA264" i="4" s="1"/>
  <c r="N50" i="8"/>
  <c r="AJ219" i="4" l="1"/>
  <c r="N13" i="8" l="1"/>
  <c r="M13" i="8" s="1"/>
  <c r="AG13" i="4"/>
  <c r="AI13" i="4" l="1"/>
  <c r="AM13" i="4"/>
  <c r="H13" i="8"/>
  <c r="AK219" i="4"/>
  <c r="AL219" i="4"/>
  <c r="AJ13" i="4" l="1"/>
  <c r="AK13" i="4" s="1"/>
  <c r="AL13" i="4" s="1"/>
  <c r="S89" i="1"/>
  <c r="I223" i="11"/>
  <c r="C13" i="8"/>
  <c r="AP13" i="4" l="1"/>
  <c r="K223" i="11"/>
  <c r="T89" i="1" l="1"/>
  <c r="N138" i="8"/>
  <c r="M138" i="8" s="1"/>
  <c r="AG125" i="4" l="1"/>
  <c r="H138" i="8"/>
  <c r="AJ125" i="4" l="1"/>
  <c r="AI125" i="4"/>
  <c r="AM125" i="4"/>
  <c r="C138" i="8"/>
  <c r="S56" i="1" l="1"/>
  <c r="AK125" i="4"/>
  <c r="AL125" i="4" s="1"/>
  <c r="AP125" i="4"/>
  <c r="N12" i="8"/>
  <c r="M12" i="8" s="1"/>
  <c r="AG12" i="4"/>
  <c r="AD398" i="4"/>
  <c r="AM12" i="4" l="1"/>
  <c r="AI12" i="4"/>
  <c r="H12" i="8"/>
  <c r="AJ12" i="4" l="1"/>
  <c r="AP12" i="4" s="1"/>
  <c r="C12" i="8"/>
  <c r="AK12" i="4" l="1"/>
  <c r="AL12" i="4" s="1"/>
  <c r="AB40" i="4"/>
  <c r="Z40" i="4"/>
  <c r="S16" i="1" l="1"/>
  <c r="AD224" i="4"/>
  <c r="AD225" i="4"/>
  <c r="AO224" i="4"/>
  <c r="AO225" i="4"/>
  <c r="D235" i="8"/>
  <c r="AG40" i="4" l="1"/>
  <c r="AG219" i="4" s="1"/>
  <c r="T16" i="1"/>
  <c r="M223" i="11"/>
  <c r="AA40" i="4"/>
  <c r="AM40" i="4" l="1"/>
  <c r="AM219" i="4" s="1"/>
  <c r="G223" i="11"/>
  <c r="O223" i="11"/>
  <c r="S44" i="4" l="1"/>
  <c r="S45" i="11" l="1"/>
  <c r="S66" i="11" s="1"/>
  <c r="S106" i="11" s="1"/>
  <c r="S65" i="4"/>
  <c r="Z65" i="4" s="1"/>
  <c r="Z44" i="4"/>
  <c r="N52" i="8"/>
  <c r="N53" i="8"/>
  <c r="N54" i="8"/>
  <c r="AG49" i="4" l="1"/>
  <c r="AG48" i="4"/>
  <c r="AJ50" i="4" l="1"/>
  <c r="AM48" i="4"/>
  <c r="AI48" i="4"/>
  <c r="AJ49" i="4"/>
  <c r="AJ48" i="4"/>
  <c r="AM49" i="4"/>
  <c r="AI49" i="4"/>
  <c r="C54" i="8"/>
  <c r="C53" i="8"/>
  <c r="C52" i="8"/>
  <c r="AP48" i="4" l="1"/>
  <c r="AK48" i="4"/>
  <c r="AL48" i="4" s="1"/>
  <c r="AK49" i="4"/>
  <c r="AL49" i="4" s="1"/>
  <c r="AP49" i="4"/>
  <c r="AK50" i="4"/>
  <c r="AL50" i="4" s="1"/>
  <c r="AP50" i="4"/>
  <c r="S223" i="4" l="1"/>
  <c r="S227" i="11" s="1"/>
  <c r="S241" i="11" s="1"/>
  <c r="S254" i="11" l="1"/>
  <c r="O241" i="8"/>
  <c r="Z223" i="4"/>
  <c r="S15" i="1" l="1"/>
  <c r="N51" i="8"/>
  <c r="AG47" i="4" l="1"/>
  <c r="T15" i="1"/>
  <c r="AJ47" i="4" l="1"/>
  <c r="AI47" i="4"/>
  <c r="AM47" i="4"/>
  <c r="C51" i="8"/>
  <c r="S55" i="1" l="1"/>
  <c r="AK47" i="4"/>
  <c r="AL47" i="4" s="1"/>
  <c r="AP47" i="4"/>
  <c r="N10" i="8"/>
  <c r="M10" i="8" s="1"/>
  <c r="B25" i="3" l="1"/>
  <c r="E218" i="4" l="1"/>
  <c r="E41" i="4" l="1"/>
  <c r="F278" i="4" l="1"/>
  <c r="A282" i="2" l="1"/>
  <c r="N385" i="2"/>
  <c r="O385" i="2"/>
  <c r="A317" i="2"/>
  <c r="A387" i="2"/>
  <c r="A44" i="2"/>
  <c r="A58" i="6" s="1"/>
  <c r="B44" i="2"/>
  <c r="B58" i="6" s="1"/>
  <c r="J44" i="2"/>
  <c r="C58" i="6" s="1"/>
  <c r="N44" i="2"/>
  <c r="O44" i="2"/>
  <c r="P44" i="2"/>
  <c r="T44" i="2"/>
  <c r="N58" i="6" s="1"/>
  <c r="U44" i="2"/>
  <c r="O58" i="6" s="1"/>
  <c r="L58" i="6" l="1"/>
  <c r="AO37" i="4"/>
  <c r="AP37" i="4" s="1"/>
  <c r="S14" i="1"/>
  <c r="AD45" i="4"/>
  <c r="AO45" i="4"/>
  <c r="F65" i="2"/>
  <c r="AO44" i="4"/>
  <c r="AP44" i="4" s="1"/>
  <c r="A24" i="1"/>
  <c r="O65" i="2"/>
  <c r="P65" i="2"/>
  <c r="C44" i="2"/>
  <c r="J65" i="2"/>
  <c r="N65" i="2"/>
  <c r="P385" i="2"/>
  <c r="AO342" i="4" s="1"/>
  <c r="J385" i="2"/>
  <c r="F385" i="2"/>
  <c r="E385" i="2"/>
  <c r="R385" i="2"/>
  <c r="M385" i="2"/>
  <c r="Q385" i="2"/>
  <c r="R44" i="2"/>
  <c r="E58" i="6" l="1"/>
  <c r="D58" i="6"/>
  <c r="C65" i="2"/>
  <c r="AP342" i="4"/>
  <c r="AP384" i="4" s="1"/>
  <c r="AO384" i="4"/>
  <c r="AO385" i="4" s="1"/>
  <c r="AD44" i="4"/>
  <c r="T14" i="1"/>
  <c r="J66" i="11"/>
  <c r="J106" i="11" s="1"/>
  <c r="N66" i="11"/>
  <c r="N106" i="11" s="1"/>
  <c r="C415" i="4"/>
  <c r="P104" i="2"/>
  <c r="F104" i="2"/>
  <c r="O104" i="2"/>
  <c r="N104" i="2"/>
  <c r="J104" i="2"/>
  <c r="M44" i="2"/>
  <c r="M65" i="2" s="1"/>
  <c r="R65" i="2"/>
  <c r="H385" i="2"/>
  <c r="AO65" i="4" l="1"/>
  <c r="AO86" i="4"/>
  <c r="AP86" i="4" s="1"/>
  <c r="AD65" i="4"/>
  <c r="C104" i="2"/>
  <c r="M104" i="2"/>
  <c r="R104" i="2"/>
  <c r="I385" i="2"/>
  <c r="K385" i="2"/>
  <c r="AD104" i="4" l="1"/>
  <c r="AO104" i="4"/>
  <c r="N242" i="8"/>
  <c r="M242" i="8" s="1"/>
  <c r="I58" i="6" l="1"/>
  <c r="H58" i="6" s="1"/>
  <c r="G58" i="6" s="1"/>
  <c r="L44" i="2"/>
  <c r="Q44" i="2"/>
  <c r="A353" i="8"/>
  <c r="A314" i="8"/>
  <c r="Q65" i="2" l="1"/>
  <c r="Q104" i="2" s="1"/>
  <c r="V45" i="11"/>
  <c r="E65" i="2"/>
  <c r="E104" i="2" s="1"/>
  <c r="O421" i="8"/>
  <c r="D385" i="2"/>
  <c r="V66" i="11" l="1"/>
  <c r="V106" i="11" s="1"/>
  <c r="I421" i="8"/>
  <c r="N421" i="8"/>
  <c r="E421" i="8"/>
  <c r="K421" i="8"/>
  <c r="F421" i="8"/>
  <c r="J421" i="8"/>
  <c r="L385" i="2"/>
  <c r="M421" i="8" l="1"/>
  <c r="P421" i="8"/>
  <c r="AD227" i="4" l="1"/>
  <c r="A9" i="2" l="1"/>
  <c r="A49" i="6" s="1"/>
  <c r="B9" i="2"/>
  <c r="B49" i="6" s="1"/>
  <c r="J9" i="2"/>
  <c r="C49" i="6" s="1"/>
  <c r="N9" i="2"/>
  <c r="O9" i="2"/>
  <c r="P9" i="2"/>
  <c r="T9" i="2"/>
  <c r="N49" i="6" s="1"/>
  <c r="U9" i="2"/>
  <c r="O49" i="6" s="1"/>
  <c r="N244" i="8"/>
  <c r="M244" i="8" s="1"/>
  <c r="S9" i="4"/>
  <c r="F9" i="2"/>
  <c r="F26" i="2" s="1"/>
  <c r="Z9" i="4" l="1"/>
  <c r="S9" i="11"/>
  <c r="S26" i="11" s="1"/>
  <c r="AO197" i="4"/>
  <c r="AO228" i="4"/>
  <c r="AP228" i="4" s="1"/>
  <c r="AO226" i="4"/>
  <c r="AP226" i="4" s="1"/>
  <c r="AO227" i="4"/>
  <c r="L49" i="6"/>
  <c r="J9" i="11"/>
  <c r="F49" i="6"/>
  <c r="AO9" i="4"/>
  <c r="AO26" i="4" s="1"/>
  <c r="D9" i="2"/>
  <c r="A7" i="1"/>
  <c r="C9" i="2"/>
  <c r="C26" i="2" s="1"/>
  <c r="Q9" i="2"/>
  <c r="V9" i="11" s="1"/>
  <c r="R9" i="2"/>
  <c r="D414" i="4" l="1"/>
  <c r="D26" i="2"/>
  <c r="S42" i="11"/>
  <c r="S222" i="11"/>
  <c r="V26" i="11"/>
  <c r="V42" i="11" s="1"/>
  <c r="AD9" i="4"/>
  <c r="AP197" i="4"/>
  <c r="J26" i="11"/>
  <c r="J42" i="11" s="1"/>
  <c r="N9" i="11"/>
  <c r="N26" i="11" s="1"/>
  <c r="N42" i="11" s="1"/>
  <c r="AD228" i="4"/>
  <c r="AD226" i="4"/>
  <c r="C414" i="4"/>
  <c r="E49" i="6"/>
  <c r="AP9" i="4"/>
  <c r="G9" i="2"/>
  <c r="J49" i="6" s="1"/>
  <c r="L9" i="2"/>
  <c r="M9" i="2"/>
  <c r="E9" i="2"/>
  <c r="N135" i="8"/>
  <c r="M135" i="8" s="1"/>
  <c r="S224" i="11" l="1"/>
  <c r="AG122" i="4"/>
  <c r="C41" i="2"/>
  <c r="AD33" i="4" s="1"/>
  <c r="AD16" i="4"/>
  <c r="I49" i="6"/>
  <c r="D49" i="6"/>
  <c r="H135" i="8"/>
  <c r="D9" i="11"/>
  <c r="AO218" i="4"/>
  <c r="E414" i="4"/>
  <c r="B7" i="1"/>
  <c r="C7" i="1"/>
  <c r="D7" i="1"/>
  <c r="E7" i="1"/>
  <c r="F7" i="1"/>
  <c r="G7" i="1"/>
  <c r="H7" i="1"/>
  <c r="I7" i="1"/>
  <c r="J7" i="1"/>
  <c r="H9" i="2"/>
  <c r="AD41" i="4" l="1"/>
  <c r="AJ122" i="4"/>
  <c r="AI122" i="4"/>
  <c r="AM122" i="4"/>
  <c r="H49" i="6"/>
  <c r="S9" i="2"/>
  <c r="W9" i="11" s="1"/>
  <c r="K49" i="6"/>
  <c r="C135" i="8"/>
  <c r="K7" i="1"/>
  <c r="I9" i="2"/>
  <c r="W26" i="11" l="1"/>
  <c r="W42" i="11" s="1"/>
  <c r="AA9" i="11"/>
  <c r="AA26" i="11" s="1"/>
  <c r="AA42" i="11" s="1"/>
  <c r="U9" i="11"/>
  <c r="AK122" i="4"/>
  <c r="AL122" i="4" s="1"/>
  <c r="AP122" i="4"/>
  <c r="S52" i="1"/>
  <c r="M49" i="6"/>
  <c r="G49" i="6"/>
  <c r="K9" i="2"/>
  <c r="L7" i="1" s="1"/>
  <c r="I9" i="11"/>
  <c r="U26" i="11" l="1"/>
  <c r="U42" i="11" s="1"/>
  <c r="K9" i="11"/>
  <c r="T52" i="1" l="1"/>
  <c r="AG224" i="4" l="1"/>
  <c r="AM224" i="4" l="1"/>
  <c r="AI224" i="4"/>
  <c r="AJ224" i="4" s="1"/>
  <c r="AK224" i="4" l="1"/>
  <c r="AL224" i="4" s="1"/>
  <c r="AP224" i="4"/>
  <c r="C242" i="8"/>
  <c r="S82" i="1" l="1"/>
  <c r="T82" i="1" l="1"/>
  <c r="N11" i="8"/>
  <c r="M11" i="8" s="1"/>
  <c r="AG11" i="4"/>
  <c r="AI11" i="4" l="1"/>
  <c r="AM11" i="4"/>
  <c r="H11" i="8"/>
  <c r="AJ11" i="4" l="1"/>
  <c r="AK11" i="4" s="1"/>
  <c r="AL11" i="4" s="1"/>
  <c r="C11" i="8"/>
  <c r="AP11" i="4" l="1"/>
  <c r="N136" i="8"/>
  <c r="M136" i="8" s="1"/>
  <c r="S12" i="1" l="1"/>
  <c r="S13" i="1"/>
  <c r="S11" i="1"/>
  <c r="AG123" i="4"/>
  <c r="H136" i="8"/>
  <c r="AJ123" i="4" l="1"/>
  <c r="AM123" i="4"/>
  <c r="AI123" i="4"/>
  <c r="T11" i="1"/>
  <c r="T13" i="1"/>
  <c r="T12" i="1"/>
  <c r="C136" i="8"/>
  <c r="AP123" i="4" l="1"/>
  <c r="AK123" i="4"/>
  <c r="AL123" i="4" s="1"/>
  <c r="S54" i="1"/>
  <c r="N49" i="8"/>
  <c r="Q9" i="4" l="1"/>
  <c r="R9" i="11" s="1"/>
  <c r="Q9" i="11" l="1"/>
  <c r="R26" i="11"/>
  <c r="R42" i="11" s="1"/>
  <c r="Z9" i="11"/>
  <c r="Z26" i="11" s="1"/>
  <c r="Z42" i="11" s="1"/>
  <c r="Q26" i="11" l="1"/>
  <c r="Q42" i="11" s="1"/>
  <c r="Y9" i="11"/>
  <c r="Y26" i="11" s="1"/>
  <c r="Y42" i="11" s="1"/>
  <c r="S88" i="1"/>
  <c r="T88" i="1" l="1"/>
  <c r="S53" i="1" l="1"/>
  <c r="S51" i="1"/>
  <c r="AG46" i="4"/>
  <c r="AG45" i="4"/>
  <c r="G44" i="2"/>
  <c r="J58" i="6" s="1"/>
  <c r="AG65" i="4" l="1"/>
  <c r="AI65" i="4" s="1"/>
  <c r="AI46" i="4"/>
  <c r="AM46" i="4"/>
  <c r="D45" i="11"/>
  <c r="D104" i="2"/>
  <c r="AM45" i="4"/>
  <c r="AI45" i="4"/>
  <c r="H24" i="1"/>
  <c r="I24" i="1"/>
  <c r="J24" i="1"/>
  <c r="B24" i="1"/>
  <c r="C24" i="1"/>
  <c r="D24" i="1"/>
  <c r="E24" i="1"/>
  <c r="F24" i="1"/>
  <c r="G24" i="1"/>
  <c r="H44" i="2"/>
  <c r="K58" i="6" s="1"/>
  <c r="M58" i="6" l="1"/>
  <c r="AG104" i="4"/>
  <c r="AM65" i="4"/>
  <c r="AM104" i="4" s="1"/>
  <c r="I44" i="2"/>
  <c r="I45" i="11" s="1"/>
  <c r="L65" i="2"/>
  <c r="L104" i="2" s="1"/>
  <c r="K24" i="1"/>
  <c r="S44" i="2"/>
  <c r="W45" i="11" s="1"/>
  <c r="AA45" i="11" l="1"/>
  <c r="AA66" i="11" s="1"/>
  <c r="AA106" i="11" s="1"/>
  <c r="W66" i="11"/>
  <c r="W106" i="11" s="1"/>
  <c r="U45" i="11"/>
  <c r="K45" i="11"/>
  <c r="K44" i="2"/>
  <c r="L24" i="1" s="1"/>
  <c r="H65" i="2"/>
  <c r="N391" i="2"/>
  <c r="O391" i="2"/>
  <c r="P391" i="2"/>
  <c r="N393" i="2"/>
  <c r="O393" i="2"/>
  <c r="P393" i="2"/>
  <c r="AO356" i="4" s="1"/>
  <c r="AP356" i="4" s="1"/>
  <c r="L341" i="6" l="1"/>
  <c r="AO354" i="4"/>
  <c r="AP354" i="4" s="1"/>
  <c r="L343" i="6"/>
  <c r="AO349" i="4"/>
  <c r="AP349" i="4" s="1"/>
  <c r="U66" i="11"/>
  <c r="U106" i="11" s="1"/>
  <c r="I65" i="2"/>
  <c r="I104" i="2" s="1"/>
  <c r="H104" i="2"/>
  <c r="S65" i="2"/>
  <c r="S104" i="2" l="1"/>
  <c r="K65" i="2"/>
  <c r="K104" i="2" s="1"/>
  <c r="I66" i="11"/>
  <c r="I106" i="11" s="1"/>
  <c r="AD393" i="4"/>
  <c r="AD391" i="4"/>
  <c r="AF393" i="4" l="1"/>
  <c r="AN393" i="4" s="1"/>
  <c r="K66" i="11"/>
  <c r="AD396" i="4"/>
  <c r="AF391" i="4"/>
  <c r="AF396" i="4" l="1"/>
  <c r="AF399" i="4" s="1"/>
  <c r="AF400" i="4" s="1"/>
  <c r="AD399" i="4"/>
  <c r="K106" i="11"/>
  <c r="AN391" i="4"/>
  <c r="AN396" i="4" s="1"/>
  <c r="L214" i="4"/>
  <c r="L215" i="4" s="1"/>
  <c r="M214" i="4"/>
  <c r="M215" i="4" s="1"/>
  <c r="I214" i="4"/>
  <c r="I215" i="4" s="1"/>
  <c r="G214" i="4"/>
  <c r="AB215" i="4" l="1"/>
  <c r="AB214" i="4"/>
  <c r="AA215" i="4"/>
  <c r="AA214" i="4"/>
  <c r="AD400" i="4"/>
  <c r="H134" i="8"/>
  <c r="K214" i="4"/>
  <c r="K215" i="4" s="1"/>
  <c r="S49" i="1" l="1"/>
  <c r="AJ121" i="4"/>
  <c r="C134" i="8"/>
  <c r="Q26" i="4"/>
  <c r="S26" i="4"/>
  <c r="Z26" i="4" s="1"/>
  <c r="AK121" i="4" l="1"/>
  <c r="AL121" i="4" s="1"/>
  <c r="AP121" i="4"/>
  <c r="S48" i="1"/>
  <c r="B47" i="1"/>
  <c r="C47" i="1"/>
  <c r="D47" i="1"/>
  <c r="E47" i="1"/>
  <c r="G47" i="1"/>
  <c r="H47" i="1"/>
  <c r="F47" i="1"/>
  <c r="I47" i="1"/>
  <c r="J47" i="1"/>
  <c r="K47" i="1" l="1"/>
  <c r="S47" i="1" s="1"/>
  <c r="S9" i="1" l="1"/>
  <c r="S10" i="1"/>
  <c r="L47" i="1"/>
  <c r="T47" i="1" s="1"/>
  <c r="T9" i="1" l="1"/>
  <c r="T10" i="1"/>
  <c r="S26" i="2"/>
  <c r="I26" i="11" l="1"/>
  <c r="I42" i="11" s="1"/>
  <c r="S41" i="2"/>
  <c r="K26" i="11" l="1"/>
  <c r="K42" i="11" s="1"/>
  <c r="A48" i="8"/>
  <c r="B48" i="8"/>
  <c r="D48" i="8"/>
  <c r="D69" i="8" s="1"/>
  <c r="E48" i="8"/>
  <c r="I48" i="8"/>
  <c r="J48" i="8"/>
  <c r="K48" i="8"/>
  <c r="K69" i="8" l="1"/>
  <c r="K109" i="8" s="1"/>
  <c r="I69" i="8"/>
  <c r="I109" i="8" s="1"/>
  <c r="E69" i="8"/>
  <c r="E109" i="8" s="1"/>
  <c r="D109" i="8"/>
  <c r="F48" i="8"/>
  <c r="F69" i="8" l="1"/>
  <c r="F109" i="8" s="1"/>
  <c r="C111" i="8"/>
  <c r="E278" i="4" l="1"/>
  <c r="N247" i="8"/>
  <c r="AB229" i="4"/>
  <c r="AG229" i="4" l="1"/>
  <c r="E398" i="4"/>
  <c r="AA229" i="4"/>
  <c r="AI229" i="4" l="1"/>
  <c r="AJ229" i="4" s="1"/>
  <c r="AM229" i="4"/>
  <c r="C247" i="8"/>
  <c r="AK229" i="4" l="1"/>
  <c r="AL229" i="4" s="1"/>
  <c r="AP229" i="4"/>
  <c r="M147" i="6"/>
  <c r="O218" i="4"/>
  <c r="P218" i="4"/>
  <c r="S87" i="1" l="1"/>
  <c r="F398" i="4"/>
  <c r="K167" i="8" l="1"/>
  <c r="I167" i="8"/>
  <c r="J167" i="8"/>
  <c r="E167" i="8"/>
  <c r="F167" i="8"/>
  <c r="Q216" i="2" l="1"/>
  <c r="E220" i="11" l="1"/>
  <c r="S50" i="1" l="1"/>
  <c r="AJ46" i="4" l="1"/>
  <c r="C50" i="8"/>
  <c r="AK46" i="4" l="1"/>
  <c r="AL46" i="4" s="1"/>
  <c r="AP46" i="4"/>
  <c r="A9" i="8"/>
  <c r="B9" i="8"/>
  <c r="D9" i="8"/>
  <c r="E9" i="8"/>
  <c r="I9" i="8"/>
  <c r="J9" i="8"/>
  <c r="K9" i="8"/>
  <c r="K26" i="8" l="1"/>
  <c r="J26" i="8"/>
  <c r="E26" i="8"/>
  <c r="I26" i="8"/>
  <c r="D26" i="8"/>
  <c r="D234" i="8" s="1"/>
  <c r="F9" i="8"/>
  <c r="F26" i="8" s="1"/>
  <c r="I216" i="4" l="1"/>
  <c r="I223" i="4"/>
  <c r="M223" i="4"/>
  <c r="AB223" i="4" s="1"/>
  <c r="Q223" i="4"/>
  <c r="R227" i="11" s="1"/>
  <c r="R241" i="11" s="1"/>
  <c r="R223" i="4"/>
  <c r="Q227" i="11" l="1"/>
  <c r="Q241" i="11" s="1"/>
  <c r="N241" i="8"/>
  <c r="Q237" i="4"/>
  <c r="E227" i="11"/>
  <c r="E241" i="11" s="1"/>
  <c r="H10" i="8"/>
  <c r="K223" i="4"/>
  <c r="L223" i="4"/>
  <c r="AA223" i="4" s="1"/>
  <c r="T8" i="1"/>
  <c r="O41" i="4"/>
  <c r="J41" i="4"/>
  <c r="P41" i="4"/>
  <c r="N41" i="4"/>
  <c r="G223" i="4"/>
  <c r="C227" i="11" s="1"/>
  <c r="R283" i="11" l="1"/>
  <c r="R285" i="11" s="1"/>
  <c r="R254" i="11"/>
  <c r="Q254" i="11"/>
  <c r="G227" i="11"/>
  <c r="G241" i="11" s="1"/>
  <c r="S8" i="1"/>
  <c r="AJ10" i="4"/>
  <c r="AK10" i="4" s="1"/>
  <c r="AL10" i="4" s="1"/>
  <c r="C10" i="8"/>
  <c r="G157" i="11"/>
  <c r="G220" i="11" s="1"/>
  <c r="AP10" i="4" l="1"/>
  <c r="H41" i="4" l="1"/>
  <c r="F41" i="4"/>
  <c r="E420" i="4" l="1"/>
  <c r="E421" i="4"/>
  <c r="E415" i="4" l="1"/>
  <c r="S26" i="1" l="1"/>
  <c r="T26" i="1"/>
  <c r="AG26" i="4" l="1"/>
  <c r="AM26" i="4" l="1"/>
  <c r="AG41" i="4" l="1"/>
  <c r="AM41" i="4"/>
  <c r="L26" i="4" l="1"/>
  <c r="AA26" i="4" s="1"/>
  <c r="AP26" i="4" l="1"/>
  <c r="AJ26" i="4"/>
  <c r="AJ41" i="4" s="1"/>
  <c r="AL26" i="4" l="1"/>
  <c r="AL41" i="4" s="1"/>
  <c r="AK26" i="4"/>
  <c r="AK41" i="4" s="1"/>
  <c r="C49" i="8" l="1"/>
  <c r="AJ45" i="4"/>
  <c r="AJ65" i="4" s="1"/>
  <c r="AK45" i="4" l="1"/>
  <c r="AK65" i="4" s="1"/>
  <c r="AP45" i="4"/>
  <c r="AP65" i="4" s="1"/>
  <c r="I3" i="6"/>
  <c r="AJ104" i="4" l="1"/>
  <c r="AP104" i="4"/>
  <c r="AL45" i="4"/>
  <c r="B415" i="4"/>
  <c r="AL65" i="4" l="1"/>
  <c r="AL104" i="4" s="1"/>
  <c r="AK104" i="4"/>
  <c r="A393" i="2"/>
  <c r="A343" i="6" s="1"/>
  <c r="B393" i="2"/>
  <c r="B343" i="6" s="1"/>
  <c r="F393" i="2"/>
  <c r="J393" i="2"/>
  <c r="C343" i="6" s="1"/>
  <c r="T393" i="2"/>
  <c r="N343" i="6" s="1"/>
  <c r="U393" i="2"/>
  <c r="O343" i="6" s="1"/>
  <c r="J26" i="2"/>
  <c r="N26" i="2"/>
  <c r="O26" i="2"/>
  <c r="J398" i="11" l="1"/>
  <c r="N398" i="11" s="1"/>
  <c r="F343" i="6"/>
  <c r="P26" i="2"/>
  <c r="E26" i="2"/>
  <c r="R393" i="2"/>
  <c r="Q393" i="2"/>
  <c r="V398" i="11" s="1"/>
  <c r="M26" i="2"/>
  <c r="Q26" i="2"/>
  <c r="R26" i="2"/>
  <c r="Z398" i="11" l="1"/>
  <c r="Q41" i="2"/>
  <c r="M41" i="2"/>
  <c r="AD26" i="4"/>
  <c r="A432" i="8"/>
  <c r="B432" i="8"/>
  <c r="I432" i="8"/>
  <c r="K432" i="8"/>
  <c r="N432" i="8" l="1"/>
  <c r="AB393" i="4" l="1"/>
  <c r="C393" i="2"/>
  <c r="E343" i="6" s="1"/>
  <c r="D432" i="8"/>
  <c r="AH393" i="4"/>
  <c r="Z393" i="4"/>
  <c r="D343" i="6" l="1"/>
  <c r="J432" i="8"/>
  <c r="E432" i="8" s="1"/>
  <c r="F432" i="8" s="1"/>
  <c r="AG393" i="4"/>
  <c r="E393" i="2"/>
  <c r="I343" i="6" s="1"/>
  <c r="H343" i="6" s="1"/>
  <c r="G343" i="6" s="1"/>
  <c r="M393" i="2"/>
  <c r="AI393" i="4" l="1"/>
  <c r="AM393" i="4"/>
  <c r="AA393" i="4"/>
  <c r="D393" i="2"/>
  <c r="H432" i="8"/>
  <c r="O432" i="8"/>
  <c r="C432" i="8" l="1"/>
  <c r="AJ393" i="4"/>
  <c r="P432" i="8"/>
  <c r="M432" i="8"/>
  <c r="G393" i="2"/>
  <c r="L393" i="2"/>
  <c r="D398" i="11" l="1"/>
  <c r="J343" i="6"/>
  <c r="AP393" i="4"/>
  <c r="AK393" i="4"/>
  <c r="AL393" i="4" s="1"/>
  <c r="H393" i="2"/>
  <c r="K343" i="6" s="1"/>
  <c r="M343" i="6" s="1"/>
  <c r="S393" i="2" l="1"/>
  <c r="W398" i="11" s="1"/>
  <c r="I393" i="2"/>
  <c r="I398" i="11" s="1"/>
  <c r="K398" i="11" l="1"/>
  <c r="O398" i="11" s="1"/>
  <c r="M398" i="11"/>
  <c r="AA398" i="11"/>
  <c r="U398" i="11"/>
  <c r="Y398" i="11" s="1"/>
  <c r="K393" i="2"/>
  <c r="R44" i="4"/>
  <c r="R65" i="4" s="1"/>
  <c r="Q44" i="4"/>
  <c r="Q65" i="4" s="1"/>
  <c r="M44" i="4"/>
  <c r="M65" i="4" s="1"/>
  <c r="I44" i="4"/>
  <c r="I65" i="4" s="1"/>
  <c r="R45" i="11" l="1"/>
  <c r="AB44" i="4"/>
  <c r="AB65" i="4"/>
  <c r="E23" i="7"/>
  <c r="R104" i="4"/>
  <c r="E45" i="11"/>
  <c r="E66" i="11" s="1"/>
  <c r="N48" i="8"/>
  <c r="N69" i="8" s="1"/>
  <c r="O48" i="8"/>
  <c r="H48" i="8"/>
  <c r="G44" i="4"/>
  <c r="C45" i="11" s="1"/>
  <c r="K44" i="4"/>
  <c r="K65" i="4" s="1"/>
  <c r="L44" i="4"/>
  <c r="L65" i="4" s="1"/>
  <c r="Q45" i="11" l="1"/>
  <c r="R66" i="11"/>
  <c r="R106" i="11" s="1"/>
  <c r="Z45" i="11"/>
  <c r="Z66" i="11" s="1"/>
  <c r="Z106" i="11" s="1"/>
  <c r="AA44" i="4"/>
  <c r="AA65" i="4"/>
  <c r="M104" i="4"/>
  <c r="AB104" i="4" s="1"/>
  <c r="F23" i="7"/>
  <c r="M45" i="11"/>
  <c r="G45" i="11"/>
  <c r="Q104" i="4"/>
  <c r="P48" i="8"/>
  <c r="N109" i="8"/>
  <c r="L25" i="3"/>
  <c r="T24" i="1" s="1"/>
  <c r="C25" i="3"/>
  <c r="D25" i="3"/>
  <c r="E25" i="3"/>
  <c r="F25" i="3"/>
  <c r="G25" i="3"/>
  <c r="H25" i="3"/>
  <c r="J25" i="3"/>
  <c r="K25" i="3"/>
  <c r="S24" i="1" s="1"/>
  <c r="I25" i="3"/>
  <c r="M48" i="8"/>
  <c r="C48" i="8"/>
  <c r="Q66" i="11" l="1"/>
  <c r="Q106" i="11" s="1"/>
  <c r="Y45" i="11"/>
  <c r="Y66" i="11" s="1"/>
  <c r="Y106" i="11" s="1"/>
  <c r="L104" i="4"/>
  <c r="AA104" i="4" s="1"/>
  <c r="O45" i="11"/>
  <c r="E234" i="8"/>
  <c r="I234" i="8"/>
  <c r="K234" i="8"/>
  <c r="D236" i="8" l="1"/>
  <c r="F234" i="8"/>
  <c r="AA154" i="4" l="1"/>
  <c r="AM154" i="4" l="1"/>
  <c r="AM216" i="4" s="1"/>
  <c r="AG154" i="4"/>
  <c r="AG216" i="4" s="1"/>
  <c r="E154" i="2"/>
  <c r="L216" i="4"/>
  <c r="AA216" i="4" s="1"/>
  <c r="AP154" i="4" l="1"/>
  <c r="AP218" i="4" s="1"/>
  <c r="AJ154" i="4"/>
  <c r="AM218" i="4"/>
  <c r="AG218" i="4"/>
  <c r="S154" i="2" l="1"/>
  <c r="AJ218" i="4"/>
  <c r="AJ220" i="4" s="1"/>
  <c r="AJ216" i="4"/>
  <c r="AK154" i="4"/>
  <c r="AK216" i="4" s="1"/>
  <c r="AM220" i="4"/>
  <c r="AG220" i="4"/>
  <c r="I26" i="4"/>
  <c r="S216" i="2" l="1"/>
  <c r="AK218" i="4"/>
  <c r="AK220" i="4" s="1"/>
  <c r="E9" i="11"/>
  <c r="E5" i="7"/>
  <c r="K5" i="7" s="1"/>
  <c r="O9" i="8"/>
  <c r="H9" i="8"/>
  <c r="H26" i="8" s="1"/>
  <c r="H42" i="8" s="1"/>
  <c r="N44" i="8" s="1"/>
  <c r="A86" i="7"/>
  <c r="B86" i="7"/>
  <c r="D86" i="7"/>
  <c r="G86" i="7"/>
  <c r="J86" i="7" s="1"/>
  <c r="H86" i="7"/>
  <c r="O26" i="8" l="1"/>
  <c r="P9" i="8"/>
  <c r="M9" i="11"/>
  <c r="M26" i="11" s="1"/>
  <c r="E26" i="11"/>
  <c r="E42" i="11" s="1"/>
  <c r="G99" i="7"/>
  <c r="D99" i="7"/>
  <c r="D110" i="7" s="1"/>
  <c r="D112" i="7" s="1"/>
  <c r="D149" i="7" s="1"/>
  <c r="H99" i="7"/>
  <c r="F5" i="7"/>
  <c r="E21" i="7"/>
  <c r="O157" i="11"/>
  <c r="O220" i="11" s="1"/>
  <c r="M157" i="11"/>
  <c r="M220" i="11" s="1"/>
  <c r="I157" i="11"/>
  <c r="I220" i="11" s="1"/>
  <c r="G9" i="11"/>
  <c r="G26" i="11" s="1"/>
  <c r="P26" i="8"/>
  <c r="I86" i="7"/>
  <c r="G110" i="7" l="1"/>
  <c r="J99" i="7"/>
  <c r="I99" i="7"/>
  <c r="F21" i="7"/>
  <c r="K157" i="11"/>
  <c r="K220" i="11" s="1"/>
  <c r="M42" i="11"/>
  <c r="O9" i="11"/>
  <c r="O26" i="11" s="1"/>
  <c r="G112" i="7" l="1"/>
  <c r="J110" i="7"/>
  <c r="O42" i="11"/>
  <c r="G42" i="11"/>
  <c r="E388" i="4"/>
  <c r="D388" i="4" s="1"/>
  <c r="D396" i="4" s="1"/>
  <c r="D399" i="4" s="1"/>
  <c r="D400" i="4" s="1"/>
  <c r="G149" i="7" l="1"/>
  <c r="J149" i="7" s="1"/>
  <c r="J112" i="7"/>
  <c r="AG388" i="4"/>
  <c r="AH388" i="4"/>
  <c r="H388" i="4"/>
  <c r="S388" i="4" s="1"/>
  <c r="Z388" i="4" l="1"/>
  <c r="S393" i="11"/>
  <c r="O427" i="8"/>
  <c r="AJ388" i="4"/>
  <c r="AP388" i="4" s="1"/>
  <c r="AM388" i="4"/>
  <c r="AI388" i="4"/>
  <c r="S401" i="11" l="1"/>
  <c r="S404" i="11" s="1"/>
  <c r="N134" i="8"/>
  <c r="M134" i="8" s="1"/>
  <c r="AK388" i="4"/>
  <c r="O167" i="8"/>
  <c r="H167" i="8"/>
  <c r="H230" i="8" s="1"/>
  <c r="S216" i="4" l="1"/>
  <c r="Z216" i="4" s="1"/>
  <c r="Z154" i="4"/>
  <c r="N167" i="8"/>
  <c r="AL388" i="4"/>
  <c r="P167" i="8"/>
  <c r="P230" i="8" s="1"/>
  <c r="M167" i="8"/>
  <c r="AB228" i="4" l="1"/>
  <c r="AA228" i="4"/>
  <c r="N246" i="8" l="1"/>
  <c r="M246" i="8" s="1"/>
  <c r="S86" i="1" l="1"/>
  <c r="C246" i="8"/>
  <c r="H246" i="8"/>
  <c r="T86" i="1"/>
  <c r="AB226" i="4" l="1"/>
  <c r="AB227" i="4"/>
  <c r="N245" i="8"/>
  <c r="M245" i="8" s="1"/>
  <c r="AG227" i="4"/>
  <c r="AI227" i="4" l="1"/>
  <c r="AJ227" i="4" s="1"/>
  <c r="AM227" i="4"/>
  <c r="H245" i="8"/>
  <c r="H244" i="8"/>
  <c r="AA227" i="4"/>
  <c r="T84" i="1"/>
  <c r="AK227" i="4" l="1"/>
  <c r="AL227" i="4" s="1"/>
  <c r="AP227" i="4"/>
  <c r="C245" i="8"/>
  <c r="AA226" i="4"/>
  <c r="S84" i="1" l="1"/>
  <c r="S85" i="1"/>
  <c r="C244" i="8"/>
  <c r="T85" i="1" l="1"/>
  <c r="P223" i="2"/>
  <c r="L80" i="6" s="1"/>
  <c r="L144" i="6" s="1"/>
  <c r="AO198" i="4" l="1"/>
  <c r="AP198" i="4" s="1"/>
  <c r="AP215" i="4" s="1"/>
  <c r="AO223" i="4"/>
  <c r="P237" i="2"/>
  <c r="P398" i="2" s="1"/>
  <c r="AO361" i="4" s="1"/>
  <c r="AP361" i="4" s="1"/>
  <c r="R41" i="2"/>
  <c r="J41" i="2"/>
  <c r="AO215" i="4" l="1"/>
  <c r="AO237" i="4"/>
  <c r="AP223" i="4"/>
  <c r="P249" i="2"/>
  <c r="F41" i="2"/>
  <c r="AO278" i="4" l="1"/>
  <c r="E41" i="2"/>
  <c r="AB225" i="4" l="1"/>
  <c r="AB224" i="4" l="1"/>
  <c r="M237" i="4"/>
  <c r="AB237" i="4" s="1"/>
  <c r="AG225" i="4"/>
  <c r="AM225" i="4" s="1"/>
  <c r="N243" i="8"/>
  <c r="M243" i="8" s="1"/>
  <c r="R237" i="4"/>
  <c r="AA225" i="4"/>
  <c r="AA224" i="4" l="1"/>
  <c r="AI225" i="4"/>
  <c r="AJ225" i="4" s="1"/>
  <c r="AP225" i="4" s="1"/>
  <c r="C243" i="8"/>
  <c r="L237" i="4"/>
  <c r="AA237" i="4" s="1"/>
  <c r="AM237" i="4"/>
  <c r="AG237" i="4"/>
  <c r="S83" i="1" l="1"/>
  <c r="AK225" i="4"/>
  <c r="AL225" i="4" s="1"/>
  <c r="AL237" i="4" s="1"/>
  <c r="AJ237" i="4"/>
  <c r="AJ278" i="4" s="1"/>
  <c r="AP237" i="4"/>
  <c r="AP278" i="4" s="1"/>
  <c r="AG278" i="4"/>
  <c r="AM278" i="4"/>
  <c r="AK237" i="4" l="1"/>
  <c r="AK249" i="4" s="1"/>
  <c r="T83" i="1"/>
  <c r="AM398" i="4"/>
  <c r="AG398" i="4"/>
  <c r="AL278" i="4"/>
  <c r="AJ398" i="4"/>
  <c r="AK278" i="4" l="1"/>
  <c r="AK398" i="4" s="1"/>
  <c r="B419" i="4" l="1"/>
  <c r="D42" i="8" l="1"/>
  <c r="C44" i="8" s="1"/>
  <c r="N9" i="8" l="1"/>
  <c r="R9" i="4"/>
  <c r="R26" i="4" s="1"/>
  <c r="M9" i="4"/>
  <c r="M26" i="4" s="1"/>
  <c r="AB26" i="4" s="1"/>
  <c r="AB9" i="4" l="1"/>
  <c r="M9" i="8"/>
  <c r="M26" i="8" s="1"/>
  <c r="K9" i="4"/>
  <c r="K26" i="4" s="1"/>
  <c r="C9" i="11"/>
  <c r="AA9" i="4"/>
  <c r="L8" i="3" l="1"/>
  <c r="J8" i="3"/>
  <c r="K8" i="3"/>
  <c r="C8" i="3"/>
  <c r="D8" i="3"/>
  <c r="E8" i="3"/>
  <c r="F8" i="3"/>
  <c r="G8" i="3"/>
  <c r="H8" i="3"/>
  <c r="I8" i="3"/>
  <c r="C9" i="8"/>
  <c r="T7" i="1" l="1"/>
  <c r="S7" i="1"/>
  <c r="Q218" i="4"/>
  <c r="Q41" i="4"/>
  <c r="S41" i="4"/>
  <c r="Z41" i="4" s="1"/>
  <c r="N234" i="8"/>
  <c r="P41" i="2"/>
  <c r="AP40" i="4" l="1"/>
  <c r="AP41" i="4" s="1"/>
  <c r="AO40" i="4"/>
  <c r="AO41" i="4" s="1"/>
  <c r="R41" i="4"/>
  <c r="I427" i="8" l="1"/>
  <c r="F42" i="8" l="1"/>
  <c r="D41" i="2"/>
  <c r="L26" i="2" l="1"/>
  <c r="L41" i="2" l="1"/>
  <c r="H26" i="2"/>
  <c r="A4" i="4"/>
  <c r="I26" i="2" l="1"/>
  <c r="K26" i="2" l="1"/>
  <c r="I41" i="4" l="1"/>
  <c r="O42" i="8"/>
  <c r="K41" i="4" l="1"/>
  <c r="M41" i="4" l="1"/>
  <c r="AB41" i="4" s="1"/>
  <c r="L218" i="4" l="1"/>
  <c r="AA218" i="4" s="1"/>
  <c r="L41" i="4" l="1"/>
  <c r="AA41" i="4" s="1"/>
  <c r="H41" i="2" l="1"/>
  <c r="I41" i="2" l="1"/>
  <c r="K41" i="2" l="1"/>
  <c r="J396" i="4" l="1"/>
  <c r="F216" i="2" l="1"/>
  <c r="K430" i="8" l="1"/>
  <c r="I430" i="8"/>
  <c r="D430" i="8"/>
  <c r="B430" i="8"/>
  <c r="A430" i="8"/>
  <c r="K427" i="8"/>
  <c r="D427" i="8"/>
  <c r="B427" i="8"/>
  <c r="A427" i="8"/>
  <c r="K241" i="8"/>
  <c r="K255" i="8" s="1"/>
  <c r="J241" i="8"/>
  <c r="I241" i="8"/>
  <c r="I255" i="8" s="1"/>
  <c r="E241" i="8"/>
  <c r="E255" i="8" s="1"/>
  <c r="D241" i="8"/>
  <c r="D255" i="8" s="1"/>
  <c r="B241" i="8"/>
  <c r="A241" i="8"/>
  <c r="P396" i="4"/>
  <c r="O396" i="4"/>
  <c r="N396" i="4"/>
  <c r="F396" i="4"/>
  <c r="N430" i="8"/>
  <c r="AB391" i="4"/>
  <c r="R388" i="4"/>
  <c r="Q388" i="4"/>
  <c r="M388" i="4"/>
  <c r="AB388" i="4" s="1"/>
  <c r="I388" i="4"/>
  <c r="E393" i="11" s="1"/>
  <c r="E401" i="11" s="1"/>
  <c r="E404" i="11" s="1"/>
  <c r="E86" i="7"/>
  <c r="K86" i="7" s="1"/>
  <c r="P7" i="4"/>
  <c r="AO7" i="4" s="1"/>
  <c r="O7" i="4"/>
  <c r="B82" i="3"/>
  <c r="A3" i="3"/>
  <c r="A396" i="2"/>
  <c r="U391" i="2"/>
  <c r="O341" i="6" s="1"/>
  <c r="T391" i="2"/>
  <c r="N341" i="6" s="1"/>
  <c r="J391" i="2"/>
  <c r="C341" i="6" s="1"/>
  <c r="F391" i="2"/>
  <c r="C391" i="2"/>
  <c r="E341" i="6" s="1"/>
  <c r="E346" i="6" s="1"/>
  <c r="B391" i="2"/>
  <c r="B341" i="6" s="1"/>
  <c r="A391" i="2"/>
  <c r="A341" i="6" s="1"/>
  <c r="U388" i="2"/>
  <c r="O338" i="6" s="1"/>
  <c r="T388" i="2"/>
  <c r="N338" i="6" s="1"/>
  <c r="P388" i="2"/>
  <c r="L338" i="6" s="1"/>
  <c r="L346" i="6" s="1"/>
  <c r="O388" i="2"/>
  <c r="O396" i="2" s="1"/>
  <c r="O399" i="2" s="1"/>
  <c r="N388" i="2"/>
  <c r="N396" i="2" s="1"/>
  <c r="N399" i="2" s="1"/>
  <c r="J388" i="2"/>
  <c r="C338" i="6" s="1"/>
  <c r="F388" i="2"/>
  <c r="F338" i="6" s="1"/>
  <c r="B388" i="2"/>
  <c r="B338" i="6" s="1"/>
  <c r="A388" i="2"/>
  <c r="A338" i="6" s="1"/>
  <c r="A249" i="2"/>
  <c r="A248" i="2"/>
  <c r="A239" i="2"/>
  <c r="A237" i="2"/>
  <c r="U223" i="2"/>
  <c r="O80" i="6" s="1"/>
  <c r="T223" i="2"/>
  <c r="N80" i="6" s="1"/>
  <c r="O223" i="2"/>
  <c r="N223" i="2"/>
  <c r="J223" i="2"/>
  <c r="C80" i="6" s="1"/>
  <c r="C144" i="6" s="1"/>
  <c r="F223" i="2"/>
  <c r="F80" i="6" s="1"/>
  <c r="F144" i="6" s="1"/>
  <c r="B223" i="2"/>
  <c r="B80" i="6" s="1"/>
  <c r="A223" i="2"/>
  <c r="A80" i="6" s="1"/>
  <c r="A222" i="2"/>
  <c r="A41" i="2"/>
  <c r="A40" i="2"/>
  <c r="A28" i="2"/>
  <c r="A26" i="2"/>
  <c r="A8" i="2"/>
  <c r="A216" i="2"/>
  <c r="A215" i="2"/>
  <c r="A156" i="2"/>
  <c r="A154" i="2"/>
  <c r="P7" i="2"/>
  <c r="O7" i="2"/>
  <c r="A3" i="1"/>
  <c r="D338" i="6" l="1"/>
  <c r="C346" i="6"/>
  <c r="J396" i="11"/>
  <c r="N396" i="11" s="1"/>
  <c r="F341" i="6"/>
  <c r="F346" i="6" s="1"/>
  <c r="D341" i="6"/>
  <c r="Q396" i="4"/>
  <c r="R393" i="11"/>
  <c r="F237" i="2"/>
  <c r="F398" i="2" s="1"/>
  <c r="J430" i="8"/>
  <c r="E430" i="8" s="1"/>
  <c r="F430" i="8" s="1"/>
  <c r="L348" i="6"/>
  <c r="G393" i="11"/>
  <c r="D223" i="2"/>
  <c r="J227" i="11"/>
  <c r="J241" i="11" s="1"/>
  <c r="C223" i="2"/>
  <c r="C396" i="2"/>
  <c r="J393" i="11"/>
  <c r="F396" i="2"/>
  <c r="F399" i="2" s="1"/>
  <c r="J396" i="2"/>
  <c r="J399" i="2" s="1"/>
  <c r="P396" i="2"/>
  <c r="AO359" i="4" s="1"/>
  <c r="AP359" i="4" s="1"/>
  <c r="AA391" i="4"/>
  <c r="AH391" i="4"/>
  <c r="F86" i="7"/>
  <c r="I308" i="8"/>
  <c r="I439" i="8" s="1"/>
  <c r="K308" i="8"/>
  <c r="K439" i="8" s="1"/>
  <c r="D308" i="8"/>
  <c r="D439" i="8" s="1"/>
  <c r="D181" i="7" s="1"/>
  <c r="D182" i="7" s="1"/>
  <c r="E308" i="8"/>
  <c r="E439" i="8" s="1"/>
  <c r="G181" i="7" s="1"/>
  <c r="D268" i="8"/>
  <c r="A3" i="8"/>
  <c r="J237" i="2"/>
  <c r="A81" i="1"/>
  <c r="N237" i="2"/>
  <c r="N398" i="2" s="1"/>
  <c r="O237" i="2"/>
  <c r="O398" i="2" s="1"/>
  <c r="Q223" i="2"/>
  <c r="V227" i="11" s="1"/>
  <c r="V241" i="11" s="1"/>
  <c r="R223" i="2"/>
  <c r="R396" i="4"/>
  <c r="N427" i="8"/>
  <c r="O41" i="2"/>
  <c r="K435" i="8"/>
  <c r="I435" i="8"/>
  <c r="D435" i="8"/>
  <c r="H241" i="8"/>
  <c r="N255" i="8"/>
  <c r="E388" i="2"/>
  <c r="I338" i="6" s="1"/>
  <c r="Q391" i="2"/>
  <c r="V396" i="11" s="1"/>
  <c r="E391" i="2"/>
  <c r="I341" i="6" s="1"/>
  <c r="H341" i="6" s="1"/>
  <c r="J427" i="8"/>
  <c r="R391" i="2"/>
  <c r="M396" i="4"/>
  <c r="AB396" i="4" s="1"/>
  <c r="H396" i="4"/>
  <c r="E396" i="4"/>
  <c r="K388" i="4"/>
  <c r="H427" i="8"/>
  <c r="M388" i="2"/>
  <c r="R388" i="2"/>
  <c r="M391" i="2"/>
  <c r="Q388" i="2"/>
  <c r="V393" i="11" s="1"/>
  <c r="F241" i="8"/>
  <c r="F255" i="8" s="1"/>
  <c r="D419" i="4" l="1"/>
  <c r="D427" i="4" s="1"/>
  <c r="D429" i="4" s="1"/>
  <c r="D237" i="2"/>
  <c r="D398" i="2" s="1"/>
  <c r="E80" i="6"/>
  <c r="C419" i="4"/>
  <c r="C427" i="4" s="1"/>
  <c r="D80" i="6"/>
  <c r="D144" i="6" s="1"/>
  <c r="E144" i="6"/>
  <c r="H338" i="6"/>
  <c r="I346" i="6"/>
  <c r="D346" i="6"/>
  <c r="G341" i="6"/>
  <c r="Z393" i="11"/>
  <c r="Q393" i="11"/>
  <c r="R401" i="11"/>
  <c r="R404" i="11" s="1"/>
  <c r="V401" i="11"/>
  <c r="V404" i="11" s="1"/>
  <c r="Z396" i="11"/>
  <c r="Z227" i="11"/>
  <c r="Z241" i="11" s="1"/>
  <c r="C348" i="6"/>
  <c r="S396" i="4"/>
  <c r="Z396" i="4" s="1"/>
  <c r="Z391" i="4"/>
  <c r="G182" i="7"/>
  <c r="D440" i="8"/>
  <c r="D441" i="8" s="1"/>
  <c r="D447" i="8" s="1"/>
  <c r="C437" i="8"/>
  <c r="N227" i="11"/>
  <c r="N241" i="11" s="1"/>
  <c r="AD223" i="4"/>
  <c r="P399" i="2"/>
  <c r="C237" i="2"/>
  <c r="C399" i="2"/>
  <c r="N393" i="11"/>
  <c r="N401" i="11" s="1"/>
  <c r="N404" i="11" s="1"/>
  <c r="J401" i="11"/>
  <c r="J404" i="11" s="1"/>
  <c r="F348" i="6"/>
  <c r="Q396" i="2"/>
  <c r="D391" i="2"/>
  <c r="G391" i="2" s="1"/>
  <c r="R396" i="2"/>
  <c r="R399" i="2" s="1"/>
  <c r="M396" i="2"/>
  <c r="M399" i="2" s="1"/>
  <c r="E396" i="2"/>
  <c r="E399" i="2" s="1"/>
  <c r="AH396" i="4"/>
  <c r="AG391" i="4"/>
  <c r="D310" i="8"/>
  <c r="F308" i="8"/>
  <c r="F439" i="8" s="1"/>
  <c r="N308" i="8"/>
  <c r="N439" i="8" s="1"/>
  <c r="O249" i="2"/>
  <c r="O400" i="2"/>
  <c r="J249" i="2"/>
  <c r="N249" i="2"/>
  <c r="N400" i="2"/>
  <c r="F249" i="2"/>
  <c r="F400" i="2"/>
  <c r="P427" i="8"/>
  <c r="N435" i="8"/>
  <c r="E223" i="2"/>
  <c r="I80" i="6" s="1"/>
  <c r="I144" i="6" s="1"/>
  <c r="L388" i="4"/>
  <c r="AA388" i="4" s="1"/>
  <c r="G388" i="4"/>
  <c r="R237" i="2"/>
  <c r="Q237" i="2"/>
  <c r="Q398" i="2" s="1"/>
  <c r="N41" i="2"/>
  <c r="L223" i="2"/>
  <c r="G223" i="2"/>
  <c r="J80" i="6" s="1"/>
  <c r="M223" i="2"/>
  <c r="M237" i="2" s="1"/>
  <c r="O430" i="8"/>
  <c r="O435" i="8" s="1"/>
  <c r="J435" i="8"/>
  <c r="E427" i="8"/>
  <c r="D388" i="2"/>
  <c r="H430" i="8"/>
  <c r="P241" i="8"/>
  <c r="M241" i="8"/>
  <c r="I396" i="4"/>
  <c r="L82" i="3"/>
  <c r="C241" i="8"/>
  <c r="J82" i="3"/>
  <c r="F82" i="3"/>
  <c r="F137" i="3" s="1"/>
  <c r="I82" i="3"/>
  <c r="I137" i="3" s="1"/>
  <c r="E82" i="3"/>
  <c r="E137" i="3" s="1"/>
  <c r="K82" i="3"/>
  <c r="C82" i="3"/>
  <c r="C137" i="3" s="1"/>
  <c r="G82" i="3"/>
  <c r="G137" i="3" s="1"/>
  <c r="H82" i="3"/>
  <c r="H137" i="3" s="1"/>
  <c r="D82" i="3"/>
  <c r="D348" i="6" l="1"/>
  <c r="H80" i="6"/>
  <c r="G338" i="6"/>
  <c r="G346" i="6" s="1"/>
  <c r="H346" i="6"/>
  <c r="P400" i="2"/>
  <c r="AO363" i="4" s="1"/>
  <c r="AP363" i="4" s="1"/>
  <c r="AO362" i="4"/>
  <c r="AP362" i="4" s="1"/>
  <c r="D396" i="11"/>
  <c r="J341" i="6"/>
  <c r="Q401" i="11"/>
  <c r="Q404" i="11" s="1"/>
  <c r="Z401" i="11"/>
  <c r="Z404" i="11" s="1"/>
  <c r="V283" i="11"/>
  <c r="V285" i="11" s="1"/>
  <c r="V254" i="11"/>
  <c r="Z254" i="11"/>
  <c r="Z283" i="11"/>
  <c r="Z285" i="11" s="1"/>
  <c r="AD237" i="4"/>
  <c r="H391" i="2"/>
  <c r="K341" i="6" s="1"/>
  <c r="M341" i="6" s="1"/>
  <c r="G401" i="11"/>
  <c r="G404" i="11" s="1"/>
  <c r="AP317" i="4"/>
  <c r="AP398" i="4" s="1"/>
  <c r="AO398" i="4"/>
  <c r="AJ391" i="4"/>
  <c r="AK391" i="4" s="1"/>
  <c r="AD399" i="2"/>
  <c r="C429" i="4"/>
  <c r="F349" i="6"/>
  <c r="E348" i="6"/>
  <c r="C249" i="2"/>
  <c r="C398" i="2"/>
  <c r="Q399" i="2"/>
  <c r="Q400" i="2" s="1"/>
  <c r="I139" i="1" s="1"/>
  <c r="C427" i="8"/>
  <c r="C393" i="11"/>
  <c r="C430" i="8"/>
  <c r="N283" i="11"/>
  <c r="N254" i="11"/>
  <c r="D227" i="11"/>
  <c r="L391" i="2"/>
  <c r="J283" i="11"/>
  <c r="J254" i="11"/>
  <c r="F427" i="8"/>
  <c r="F435" i="8" s="1"/>
  <c r="E435" i="8"/>
  <c r="D396" i="2"/>
  <c r="D399" i="2" s="1"/>
  <c r="AI391" i="4"/>
  <c r="AM391" i="4"/>
  <c r="AM396" i="4" s="1"/>
  <c r="AG396" i="4"/>
  <c r="Q249" i="2"/>
  <c r="R249" i="2"/>
  <c r="E419" i="4"/>
  <c r="E427" i="4" s="1"/>
  <c r="P430" i="8"/>
  <c r="P435" i="8" s="1"/>
  <c r="M430" i="8"/>
  <c r="F146" i="3"/>
  <c r="M427" i="8"/>
  <c r="H223" i="2"/>
  <c r="K80" i="6" s="1"/>
  <c r="G81" i="1"/>
  <c r="H81" i="1"/>
  <c r="B81" i="1"/>
  <c r="J81" i="1"/>
  <c r="C81" i="1"/>
  <c r="D81" i="1"/>
  <c r="E81" i="1"/>
  <c r="F81" i="1"/>
  <c r="I81" i="1"/>
  <c r="G388" i="2"/>
  <c r="J338" i="6" s="1"/>
  <c r="H435" i="8"/>
  <c r="H388" i="2"/>
  <c r="K338" i="6" s="1"/>
  <c r="L388" i="2"/>
  <c r="K396" i="4"/>
  <c r="L396" i="4"/>
  <c r="AA396" i="4" s="1"/>
  <c r="M80" i="6" l="1"/>
  <c r="M144" i="6" s="1"/>
  <c r="K144" i="6"/>
  <c r="G80" i="6"/>
  <c r="G144" i="6" s="1"/>
  <c r="H144" i="6"/>
  <c r="M338" i="6"/>
  <c r="M346" i="6" s="1"/>
  <c r="K346" i="6"/>
  <c r="L349" i="6"/>
  <c r="P432" i="2"/>
  <c r="I391" i="2"/>
  <c r="I396" i="11" s="1"/>
  <c r="AD249" i="4"/>
  <c r="S391" i="2"/>
  <c r="W396" i="11" s="1"/>
  <c r="AP391" i="4"/>
  <c r="AP396" i="4" s="1"/>
  <c r="AJ396" i="4"/>
  <c r="AP385" i="4"/>
  <c r="C400" i="2"/>
  <c r="M407" i="2"/>
  <c r="L396" i="2"/>
  <c r="L399" i="2" s="1"/>
  <c r="J285" i="11"/>
  <c r="H396" i="2"/>
  <c r="H399" i="2" s="1"/>
  <c r="D393" i="11"/>
  <c r="N285" i="11"/>
  <c r="AL391" i="4"/>
  <c r="AL396" i="4" s="1"/>
  <c r="AK396" i="4"/>
  <c r="S388" i="2"/>
  <c r="W393" i="11" s="1"/>
  <c r="AD398" i="2"/>
  <c r="M249" i="2"/>
  <c r="M435" i="8"/>
  <c r="N437" i="8"/>
  <c r="I437" i="8"/>
  <c r="I223" i="2"/>
  <c r="K81" i="1"/>
  <c r="S81" i="1" s="1"/>
  <c r="S223" i="2"/>
  <c r="W227" i="11" s="1"/>
  <c r="W241" i="11" s="1"/>
  <c r="I388" i="2"/>
  <c r="K391" i="2" l="1"/>
  <c r="W401" i="11"/>
  <c r="W404" i="11" s="1"/>
  <c r="AA393" i="11"/>
  <c r="U393" i="11"/>
  <c r="AA396" i="11"/>
  <c r="U396" i="11"/>
  <c r="Y396" i="11" s="1"/>
  <c r="M396" i="11"/>
  <c r="K396" i="11"/>
  <c r="O396" i="11" s="1"/>
  <c r="AA227" i="11"/>
  <c r="AA241" i="11" s="1"/>
  <c r="U227" i="11"/>
  <c r="U241" i="11" s="1"/>
  <c r="S396" i="2"/>
  <c r="S399" i="2" s="1"/>
  <c r="C430" i="4"/>
  <c r="AF414" i="4"/>
  <c r="I396" i="2"/>
  <c r="I399" i="2" s="1"/>
  <c r="I393" i="11"/>
  <c r="M393" i="11" s="1"/>
  <c r="I227" i="11"/>
  <c r="I241" i="11" s="1"/>
  <c r="AD400" i="2"/>
  <c r="E349" i="6"/>
  <c r="K223" i="2"/>
  <c r="K388" i="2"/>
  <c r="K396" i="2" l="1"/>
  <c r="K399" i="2" s="1"/>
  <c r="U401" i="11"/>
  <c r="U404" i="11" s="1"/>
  <c r="Y393" i="11"/>
  <c r="Y401" i="11" s="1"/>
  <c r="Y404" i="11" s="1"/>
  <c r="AA401" i="11"/>
  <c r="AA404" i="11" s="1"/>
  <c r="Y227" i="11"/>
  <c r="Y241" i="11" s="1"/>
  <c r="W254" i="11"/>
  <c r="W283" i="11"/>
  <c r="W285" i="11" s="1"/>
  <c r="AA254" i="11"/>
  <c r="M227" i="11"/>
  <c r="M241" i="11" s="1"/>
  <c r="K227" i="11"/>
  <c r="K241" i="11" s="1"/>
  <c r="M401" i="11"/>
  <c r="M404" i="11" s="1"/>
  <c r="K393" i="11"/>
  <c r="I401" i="11"/>
  <c r="I404" i="11" s="1"/>
  <c r="L81" i="1"/>
  <c r="T81" i="1" l="1"/>
  <c r="L136" i="1"/>
  <c r="I146" i="1" s="1"/>
  <c r="U283" i="11"/>
  <c r="U285" i="11" s="1"/>
  <c r="U254" i="11"/>
  <c r="Y254" i="11"/>
  <c r="O227" i="11"/>
  <c r="O241" i="11" s="1"/>
  <c r="K401" i="11"/>
  <c r="K404" i="11" s="1"/>
  <c r="O393" i="11"/>
  <c r="O401" i="11" s="1"/>
  <c r="O404" i="11" s="1"/>
  <c r="O216" i="2"/>
  <c r="N216" i="2"/>
  <c r="P216" i="2"/>
  <c r="F350" i="6" l="1"/>
  <c r="L350" i="6"/>
  <c r="AO216" i="4" l="1"/>
  <c r="AO219" i="4"/>
  <c r="AO220" i="4" s="1"/>
  <c r="AP219" i="4"/>
  <c r="AP220" i="4" s="1"/>
  <c r="AP216" i="4"/>
  <c r="E350" i="6"/>
  <c r="D230" i="8" l="1"/>
  <c r="I44" i="8" l="1"/>
  <c r="M42" i="8"/>
  <c r="K42" i="8"/>
  <c r="J42" i="8"/>
  <c r="P42" i="8"/>
  <c r="I42" i="8"/>
  <c r="E42" i="8"/>
  <c r="H154" i="2" l="1"/>
  <c r="E216" i="2"/>
  <c r="I154" i="2"/>
  <c r="H216" i="2" l="1"/>
  <c r="Z399" i="2" l="1"/>
  <c r="I216" i="2"/>
  <c r="C431" i="4" l="1"/>
  <c r="C431" i="2"/>
  <c r="C432" i="2" s="1"/>
  <c r="AA399" i="2" l="1"/>
  <c r="AB399" i="2"/>
  <c r="J278" i="4" l="1"/>
  <c r="N278" i="4"/>
  <c r="N280" i="4" s="1"/>
  <c r="M278" i="4"/>
  <c r="AB278" i="4" s="1"/>
  <c r="N249" i="4"/>
  <c r="L278" i="4"/>
  <c r="AA278" i="4" s="1"/>
  <c r="P278" i="4"/>
  <c r="O278" i="4"/>
  <c r="Q278" i="4"/>
  <c r="R278" i="4"/>
  <c r="O398" i="4" l="1"/>
  <c r="N398" i="4"/>
  <c r="L398" i="4"/>
  <c r="AA398" i="4" s="1"/>
  <c r="N385" i="4"/>
  <c r="O385" i="4"/>
  <c r="Q398" i="4"/>
  <c r="P398" i="4"/>
  <c r="P385" i="4"/>
  <c r="F219" i="4"/>
  <c r="E219" i="4"/>
  <c r="E220" i="4" s="1"/>
  <c r="I219" i="4"/>
  <c r="P219" i="4"/>
  <c r="N219" i="4"/>
  <c r="N399" i="4" s="1"/>
  <c r="J219" i="4"/>
  <c r="K219" i="4"/>
  <c r="Q219" i="4"/>
  <c r="M219" i="4"/>
  <c r="AB219" i="4" s="1"/>
  <c r="L219" i="4"/>
  <c r="S219" i="4"/>
  <c r="Z219" i="4" s="1"/>
  <c r="R219" i="4"/>
  <c r="O219" i="4"/>
  <c r="O220" i="4" s="1"/>
  <c r="H219" i="4"/>
  <c r="L220" i="4" l="1"/>
  <c r="AA220" i="4" s="1"/>
  <c r="AA219" i="4"/>
  <c r="Q220" i="4"/>
  <c r="F220" i="4"/>
  <c r="I399" i="4"/>
  <c r="N400" i="4"/>
  <c r="N220" i="4"/>
  <c r="P220" i="4"/>
  <c r="F249" i="4"/>
  <c r="F279" i="4"/>
  <c r="F280" i="4" s="1"/>
  <c r="E279" i="4"/>
  <c r="E399" i="4" s="1"/>
  <c r="E400" i="4" s="1"/>
  <c r="E249" i="4"/>
  <c r="N431" i="2" l="1"/>
  <c r="N432" i="2" s="1"/>
  <c r="F399" i="4"/>
  <c r="F400" i="4" s="1"/>
  <c r="F431" i="2" s="1"/>
  <c r="E280" i="4"/>
  <c r="E431" i="2"/>
  <c r="F432" i="2" l="1"/>
  <c r="D431" i="2"/>
  <c r="Q249" i="4"/>
  <c r="J279" i="4"/>
  <c r="J280" i="4" s="1"/>
  <c r="L249" i="4"/>
  <c r="AA249" i="4" s="1"/>
  <c r="L279" i="4"/>
  <c r="O249" i="4"/>
  <c r="K279" i="4"/>
  <c r="K399" i="4" s="1"/>
  <c r="H279" i="4"/>
  <c r="H399" i="4" s="1"/>
  <c r="P249" i="4"/>
  <c r="R249" i="4"/>
  <c r="M249" i="4"/>
  <c r="AB249" i="4" s="1"/>
  <c r="J249" i="4"/>
  <c r="R279" i="4"/>
  <c r="R280" i="4" s="1"/>
  <c r="P279" i="4"/>
  <c r="P280" i="4" s="1"/>
  <c r="M279" i="4"/>
  <c r="S279" i="4"/>
  <c r="Z279" i="4" s="1"/>
  <c r="O279" i="4"/>
  <c r="O280" i="4" s="1"/>
  <c r="Q279" i="4"/>
  <c r="M280" i="4" l="1"/>
  <c r="AB280" i="4" s="1"/>
  <c r="AB279" i="4"/>
  <c r="L280" i="4"/>
  <c r="AA280" i="4" s="1"/>
  <c r="AA279" i="4"/>
  <c r="Q280" i="4"/>
  <c r="Q399" i="4"/>
  <c r="Q400" i="4" s="1"/>
  <c r="K140" i="3" s="1"/>
  <c r="S399" i="4"/>
  <c r="Z399" i="4" s="1"/>
  <c r="L399" i="4"/>
  <c r="M399" i="4"/>
  <c r="AB399" i="4" s="1"/>
  <c r="O399" i="4"/>
  <c r="O400" i="4" s="1"/>
  <c r="R399" i="4"/>
  <c r="P399" i="4"/>
  <c r="P400" i="4" s="1"/>
  <c r="C270" i="8"/>
  <c r="C312" i="8" s="1"/>
  <c r="J399" i="4"/>
  <c r="L400" i="4" l="1"/>
  <c r="AA400" i="4" s="1"/>
  <c r="AA399" i="4"/>
  <c r="AM407" i="4"/>
  <c r="L407" i="4"/>
  <c r="O431" i="2"/>
  <c r="O432" i="2" s="1"/>
  <c r="Q431" i="2"/>
  <c r="Q432" i="2" s="1"/>
  <c r="AM279" i="4"/>
  <c r="AM280" i="4" s="1"/>
  <c r="AG279" i="4"/>
  <c r="AG399" i="4" s="1"/>
  <c r="AG400" i="4" s="1"/>
  <c r="AP249" i="4"/>
  <c r="AM249" i="4"/>
  <c r="AH279" i="4"/>
  <c r="AH399" i="4" s="1"/>
  <c r="AH400" i="4" s="1"/>
  <c r="AP279" i="4"/>
  <c r="AP399" i="4" s="1"/>
  <c r="AP400" i="4" s="1"/>
  <c r="AO279" i="4"/>
  <c r="AO249" i="4"/>
  <c r="AL279" i="4"/>
  <c r="AL399" i="4" s="1"/>
  <c r="AJ249" i="4"/>
  <c r="AN249" i="4"/>
  <c r="AN279" i="4"/>
  <c r="AN399" i="4" s="1"/>
  <c r="AH249" i="4"/>
  <c r="AL249" i="4"/>
  <c r="AG249" i="4"/>
  <c r="AJ279" i="4"/>
  <c r="AJ399" i="4" s="1"/>
  <c r="AJ400" i="4" s="1"/>
  <c r="AK279" i="4"/>
  <c r="AK280" i="4" s="1"/>
  <c r="L431" i="2" l="1"/>
  <c r="AL280" i="4"/>
  <c r="AO280" i="4"/>
  <c r="AO399" i="4"/>
  <c r="AO400" i="4" s="1"/>
  <c r="AO414" i="4" s="1"/>
  <c r="AH280" i="4"/>
  <c r="AK399" i="4"/>
  <c r="AK400" i="4" s="1"/>
  <c r="AG280" i="4"/>
  <c r="AM399" i="4"/>
  <c r="AM400" i="4" s="1"/>
  <c r="AP280" i="4"/>
  <c r="AJ280" i="4"/>
  <c r="AN280" i="4"/>
  <c r="E235" i="8" l="1"/>
  <c r="E236" i="8" s="1"/>
  <c r="E230" i="8"/>
  <c r="F235" i="8"/>
  <c r="F236" i="8" s="1"/>
  <c r="F230" i="8"/>
  <c r="J235" i="8"/>
  <c r="K235" i="8"/>
  <c r="K236" i="8" s="1"/>
  <c r="H235" i="8"/>
  <c r="I232" i="8"/>
  <c r="I235" i="8"/>
  <c r="I236" i="8" s="1"/>
  <c r="J230" i="8"/>
  <c r="K230" i="8"/>
  <c r="I230" i="8"/>
  <c r="N235" i="8" l="1"/>
  <c r="N236" i="8" s="1"/>
  <c r="M235" i="8"/>
  <c r="O235" i="8"/>
  <c r="N230" i="8"/>
  <c r="M230" i="8"/>
  <c r="O230" i="8"/>
  <c r="P235" i="8"/>
  <c r="E309" i="8"/>
  <c r="E310" i="8" s="1"/>
  <c r="F309" i="8"/>
  <c r="F310" i="8" s="1"/>
  <c r="F440" i="8"/>
  <c r="F441" i="8" s="1"/>
  <c r="F268" i="8"/>
  <c r="E440" i="8"/>
  <c r="E441" i="8" s="1"/>
  <c r="E447" i="8" s="1"/>
  <c r="E268" i="8"/>
  <c r="H309" i="8"/>
  <c r="H440" i="8"/>
  <c r="I268" i="8"/>
  <c r="J440" i="8"/>
  <c r="I309" i="8"/>
  <c r="I310" i="8" s="1"/>
  <c r="K440" i="8"/>
  <c r="K441" i="8" s="1"/>
  <c r="K447" i="8" s="1"/>
  <c r="I440" i="8"/>
  <c r="I441" i="8" s="1"/>
  <c r="I447" i="8" s="1"/>
  <c r="K309" i="8"/>
  <c r="K310" i="8" s="1"/>
  <c r="J309" i="8"/>
  <c r="K268" i="8"/>
  <c r="M309" i="8" l="1"/>
  <c r="N309" i="8"/>
  <c r="N310" i="8" s="1"/>
  <c r="O309" i="8"/>
  <c r="M440" i="8"/>
  <c r="N440" i="8"/>
  <c r="N441" i="8" s="1"/>
  <c r="N447" i="8" s="1"/>
  <c r="P309" i="8"/>
  <c r="O440" i="8"/>
  <c r="N268" i="8"/>
  <c r="P440" i="8" l="1"/>
  <c r="J218" i="4" l="1"/>
  <c r="AN154" i="4"/>
  <c r="AN218" i="4" s="1"/>
  <c r="D137" i="3" l="1"/>
  <c r="T50" i="1"/>
  <c r="T56" i="1"/>
  <c r="T55" i="1"/>
  <c r="T49" i="1"/>
  <c r="T53" i="1"/>
  <c r="T48" i="1"/>
  <c r="T54" i="1"/>
  <c r="T51" i="1"/>
  <c r="AB154" i="4"/>
  <c r="K216" i="4"/>
  <c r="J216" i="4"/>
  <c r="N232" i="8" s="1"/>
  <c r="C146" i="3"/>
  <c r="R216" i="4"/>
  <c r="AL154" i="4"/>
  <c r="AL218" i="4" s="1"/>
  <c r="J398" i="4"/>
  <c r="J400" i="4" s="1"/>
  <c r="J220" i="4"/>
  <c r="AN220" i="4"/>
  <c r="AN398" i="4"/>
  <c r="AN400" i="4" s="1"/>
  <c r="AN216" i="4"/>
  <c r="J154" i="2"/>
  <c r="J431" i="2" l="1"/>
  <c r="R218" i="4"/>
  <c r="R220" i="4" s="1"/>
  <c r="AL216" i="4"/>
  <c r="C232" i="8"/>
  <c r="AL220" i="4"/>
  <c r="AL398" i="4"/>
  <c r="AL400" i="4" s="1"/>
  <c r="AL405" i="4" s="1"/>
  <c r="AL406" i="4" s="1"/>
  <c r="M154" i="2"/>
  <c r="R154" i="2"/>
  <c r="J398" i="2"/>
  <c r="J400" i="2" s="1"/>
  <c r="C349" i="6" s="1"/>
  <c r="J216" i="2"/>
  <c r="K154" i="2"/>
  <c r="M216" i="4"/>
  <c r="AB216" i="4" s="1"/>
  <c r="M218" i="4"/>
  <c r="AB218" i="4" s="1"/>
  <c r="R398" i="4" l="1"/>
  <c r="R400" i="4" s="1"/>
  <c r="K143" i="3" s="1"/>
  <c r="AM405" i="4"/>
  <c r="C443" i="8"/>
  <c r="C238" i="8"/>
  <c r="K216" i="2"/>
  <c r="M220" i="4"/>
  <c r="AB220" i="4" s="1"/>
  <c r="M398" i="4"/>
  <c r="AB398" i="4" s="1"/>
  <c r="M216" i="2"/>
  <c r="M398" i="2"/>
  <c r="R216" i="2"/>
  <c r="R398" i="2"/>
  <c r="R400" i="2" s="1"/>
  <c r="J432" i="2"/>
  <c r="M403" i="2" l="1"/>
  <c r="I142" i="1"/>
  <c r="R431" i="2"/>
  <c r="R432" i="2" s="1"/>
  <c r="AM403" i="4"/>
  <c r="AM406" i="4" s="1"/>
  <c r="AM409" i="4" s="1"/>
  <c r="AM411" i="4" s="1"/>
  <c r="L403" i="4"/>
  <c r="C350" i="6"/>
  <c r="M400" i="2"/>
  <c r="D349" i="6" s="1"/>
  <c r="D350" i="6" s="1"/>
  <c r="AB398" i="2"/>
  <c r="M400" i="4"/>
  <c r="AB400" i="4" s="1"/>
  <c r="M431" i="2" l="1"/>
  <c r="M432" i="2" s="1"/>
  <c r="AB400" i="2"/>
  <c r="AN414" i="4"/>
  <c r="H237" i="4" l="1"/>
  <c r="J247" i="8"/>
  <c r="J255" i="8" s="1"/>
  <c r="O247" i="8" l="1"/>
  <c r="P247" i="8" s="1"/>
  <c r="P255" i="8" s="1"/>
  <c r="Z229" i="4"/>
  <c r="H249" i="4"/>
  <c r="J268" i="8"/>
  <c r="S237" i="4"/>
  <c r="H247" i="8"/>
  <c r="H255" i="8" s="1"/>
  <c r="I237" i="4"/>
  <c r="O255" i="8" l="1"/>
  <c r="O268" i="8" s="1"/>
  <c r="M247" i="8"/>
  <c r="M255" i="8" s="1"/>
  <c r="M268" i="8" s="1"/>
  <c r="Z237" i="4"/>
  <c r="E99" i="7"/>
  <c r="K99" i="7" s="1"/>
  <c r="E254" i="11"/>
  <c r="K237" i="4"/>
  <c r="T87" i="1"/>
  <c r="S249" i="4"/>
  <c r="Z249" i="4" s="1"/>
  <c r="P268" i="8"/>
  <c r="H268" i="8"/>
  <c r="N270" i="8" s="1"/>
  <c r="I249" i="4"/>
  <c r="K249" i="4" l="1"/>
  <c r="F99" i="7"/>
  <c r="I270" i="8"/>
  <c r="G254" i="11" l="1"/>
  <c r="Z222" i="11" l="1"/>
  <c r="Z224" i="11" s="1"/>
  <c r="Y222" i="11"/>
  <c r="Y224" i="11" s="1"/>
  <c r="U222" i="11"/>
  <c r="W222" i="11"/>
  <c r="W224" i="11" s="1"/>
  <c r="AA222" i="11"/>
  <c r="V222" i="11"/>
  <c r="Q222" i="11"/>
  <c r="Q224" i="11" s="1"/>
  <c r="R222" i="11"/>
  <c r="R224" i="11" s="1"/>
  <c r="AA224" i="11" l="1"/>
  <c r="R120" i="11"/>
  <c r="R403" i="11"/>
  <c r="R405" i="11" s="1"/>
  <c r="U403" i="11"/>
  <c r="U405" i="11" s="1"/>
  <c r="U224" i="11"/>
  <c r="Z403" i="11"/>
  <c r="Z405" i="11" s="1"/>
  <c r="Z420" i="11" s="1"/>
  <c r="W403" i="11"/>
  <c r="W405" i="11" s="1"/>
  <c r="W420" i="11" s="1"/>
  <c r="V224" i="11"/>
  <c r="V403" i="11"/>
  <c r="V405" i="11" s="1"/>
  <c r="Q120" i="11"/>
  <c r="K120" i="11"/>
  <c r="J222" i="11"/>
  <c r="J224" i="11" s="1"/>
  <c r="I222" i="11"/>
  <c r="F120" i="11"/>
  <c r="N222" i="11"/>
  <c r="N224" i="11" s="1"/>
  <c r="R420" i="11" l="1"/>
  <c r="R447" i="11"/>
  <c r="V420" i="11"/>
  <c r="V447" i="11"/>
  <c r="U420" i="11"/>
  <c r="O120" i="11"/>
  <c r="K222" i="11"/>
  <c r="K224" i="11" s="1"/>
  <c r="G120" i="11"/>
  <c r="M120" i="11"/>
  <c r="I120" i="11"/>
  <c r="N120" i="11"/>
  <c r="J120" i="11"/>
  <c r="F222" i="11"/>
  <c r="F403" i="11" s="1"/>
  <c r="F405" i="11" s="1"/>
  <c r="J403" i="11"/>
  <c r="J405" i="11" s="1"/>
  <c r="N403" i="11"/>
  <c r="N405" i="11" s="1"/>
  <c r="I224" i="11"/>
  <c r="J447" i="11" l="1"/>
  <c r="F420" i="11"/>
  <c r="F447" i="11"/>
  <c r="F224" i="11"/>
  <c r="E429" i="4" l="1"/>
  <c r="G348" i="6"/>
  <c r="I348" i="6"/>
  <c r="E237" i="2"/>
  <c r="E398" i="2" s="1"/>
  <c r="E400" i="2" s="1"/>
  <c r="D249" i="2" l="1"/>
  <c r="I349" i="6"/>
  <c r="I350" i="6" s="1"/>
  <c r="E432" i="2"/>
  <c r="AH414" i="4"/>
  <c r="E430" i="4"/>
  <c r="E431" i="4" s="1"/>
  <c r="E249" i="2"/>
  <c r="H348" i="6"/>
  <c r="L237" i="2" l="1"/>
  <c r="H237" i="2"/>
  <c r="S237" i="2"/>
  <c r="I237" i="2" l="1"/>
  <c r="H249" i="2"/>
  <c r="H398" i="2"/>
  <c r="H400" i="2" s="1"/>
  <c r="S249" i="2"/>
  <c r="S398" i="2"/>
  <c r="S400" i="2" s="1"/>
  <c r="I141" i="1" s="1"/>
  <c r="I143" i="1" s="1"/>
  <c r="K348" i="6"/>
  <c r="M146" i="6"/>
  <c r="L249" i="2"/>
  <c r="W447" i="11" l="1"/>
  <c r="U447" i="11"/>
  <c r="M348" i="6"/>
  <c r="N147" i="6"/>
  <c r="Z398" i="2"/>
  <c r="K349" i="6"/>
  <c r="K350" i="6" s="1"/>
  <c r="AJ414" i="4"/>
  <c r="I147" i="1"/>
  <c r="K237" i="2"/>
  <c r="I249" i="2"/>
  <c r="I398" i="2"/>
  <c r="I400" i="2" s="1"/>
  <c r="AK414" i="4" l="1"/>
  <c r="M254" i="11"/>
  <c r="K398" i="2"/>
  <c r="K400" i="2" s="1"/>
  <c r="K249" i="2"/>
  <c r="AP414" i="4"/>
  <c r="M349" i="6"/>
  <c r="M350" i="6" s="1"/>
  <c r="Z400" i="2"/>
  <c r="M150" i="6"/>
  <c r="I283" i="11"/>
  <c r="I254" i="11"/>
  <c r="I148" i="1" l="1"/>
  <c r="I150" i="1"/>
  <c r="I151" i="1" s="1"/>
  <c r="I403" i="11"/>
  <c r="I405" i="11" s="1"/>
  <c r="I285" i="11"/>
  <c r="K254" i="11"/>
  <c r="K283" i="11"/>
  <c r="O254" i="11"/>
  <c r="AL414" i="4"/>
  <c r="L405" i="2"/>
  <c r="I447" i="11" l="1"/>
  <c r="L406" i="2"/>
  <c r="M405" i="2"/>
  <c r="M406" i="2" s="1"/>
  <c r="M409" i="2" s="1"/>
  <c r="M410" i="2" s="1"/>
  <c r="K403" i="11"/>
  <c r="K405" i="11" s="1"/>
  <c r="K285" i="11"/>
  <c r="K447" i="11" l="1"/>
  <c r="AD155" i="4" l="1"/>
  <c r="AD217" i="4" l="1"/>
  <c r="AD221" i="4"/>
  <c r="J49" i="8" l="1"/>
  <c r="S30" i="1"/>
  <c r="S29" i="1"/>
  <c r="S31" i="1"/>
  <c r="S32" i="1"/>
  <c r="S33" i="1"/>
  <c r="S35" i="1"/>
  <c r="S36" i="1"/>
  <c r="S37" i="1"/>
  <c r="S38" i="1"/>
  <c r="S39" i="1"/>
  <c r="O54" i="8"/>
  <c r="O49" i="8"/>
  <c r="O55" i="8"/>
  <c r="O53" i="8"/>
  <c r="S40" i="1"/>
  <c r="O57" i="8"/>
  <c r="J56" i="8"/>
  <c r="J52" i="8"/>
  <c r="J55" i="8"/>
  <c r="S27" i="1"/>
  <c r="J50" i="8"/>
  <c r="H54" i="8"/>
  <c r="J54" i="8"/>
  <c r="H218" i="4"/>
  <c r="S34" i="1"/>
  <c r="T27" i="1"/>
  <c r="H55" i="8"/>
  <c r="J53" i="8"/>
  <c r="J51" i="8"/>
  <c r="T38" i="1"/>
  <c r="S28" i="1"/>
  <c r="T28" i="1"/>
  <c r="T29" i="1"/>
  <c r="T39" i="1"/>
  <c r="T36" i="1"/>
  <c r="J57" i="8"/>
  <c r="T33" i="1"/>
  <c r="H104" i="4" l="1"/>
  <c r="H57" i="8"/>
  <c r="O52" i="8"/>
  <c r="H53" i="8"/>
  <c r="J69" i="8"/>
  <c r="J234" i="8" s="1"/>
  <c r="O51" i="8"/>
  <c r="M51" i="8" s="1"/>
  <c r="H43" i="7"/>
  <c r="H83" i="7" s="1"/>
  <c r="O56" i="8"/>
  <c r="T35" i="1"/>
  <c r="T34" i="1"/>
  <c r="T31" i="1"/>
  <c r="P53" i="8"/>
  <c r="M53" i="8"/>
  <c r="H220" i="4"/>
  <c r="P55" i="8"/>
  <c r="M55" i="8"/>
  <c r="M57" i="8"/>
  <c r="P57" i="8"/>
  <c r="M54" i="8"/>
  <c r="P54" i="8"/>
  <c r="I43" i="7"/>
  <c r="I83" i="7" s="1"/>
  <c r="H50" i="8"/>
  <c r="P49" i="8"/>
  <c r="M49" i="8"/>
  <c r="S25" i="1"/>
  <c r="H51" i="8"/>
  <c r="T40" i="1"/>
  <c r="O50" i="8"/>
  <c r="H49" i="8"/>
  <c r="T37" i="1"/>
  <c r="H52" i="8"/>
  <c r="H56" i="8"/>
  <c r="T32" i="1"/>
  <c r="T30" i="1"/>
  <c r="S104" i="4" l="1"/>
  <c r="Z104" i="4" s="1"/>
  <c r="S218" i="4"/>
  <c r="Z218" i="4" s="1"/>
  <c r="O69" i="8"/>
  <c r="O234" i="8" s="1"/>
  <c r="J109" i="8"/>
  <c r="P51" i="8"/>
  <c r="M52" i="8"/>
  <c r="P52" i="8"/>
  <c r="H69" i="8"/>
  <c r="H234" i="8" s="1"/>
  <c r="M56" i="8"/>
  <c r="P56" i="8"/>
  <c r="I218" i="4"/>
  <c r="I104" i="4"/>
  <c r="E43" i="7"/>
  <c r="F43" i="7"/>
  <c r="F83" i="7" s="1"/>
  <c r="M50" i="8"/>
  <c r="P50" i="8"/>
  <c r="T25" i="1"/>
  <c r="J236" i="8"/>
  <c r="E83" i="7" l="1"/>
  <c r="K83" i="7" s="1"/>
  <c r="K43" i="7"/>
  <c r="P69" i="8"/>
  <c r="P109" i="8" s="1"/>
  <c r="S220" i="4"/>
  <c r="Z220" i="4" s="1"/>
  <c r="O109" i="8"/>
  <c r="H109" i="8"/>
  <c r="N111" i="8" s="1"/>
  <c r="M69" i="8"/>
  <c r="M234" i="8" s="1"/>
  <c r="H236" i="8"/>
  <c r="M66" i="11"/>
  <c r="O236" i="8"/>
  <c r="E222" i="11"/>
  <c r="E106" i="11"/>
  <c r="O66" i="11"/>
  <c r="G66" i="11"/>
  <c r="K218" i="4"/>
  <c r="K104" i="4"/>
  <c r="I220" i="4"/>
  <c r="P234" i="8" l="1"/>
  <c r="I111" i="8"/>
  <c r="M109" i="8"/>
  <c r="M222" i="11"/>
  <c r="M106" i="11"/>
  <c r="K220" i="4"/>
  <c r="E224" i="11"/>
  <c r="N238" i="8"/>
  <c r="G106" i="11"/>
  <c r="G222" i="11"/>
  <c r="O222" i="11"/>
  <c r="O106" i="11"/>
  <c r="M236" i="8"/>
  <c r="P236" i="8" l="1"/>
  <c r="I238" i="8"/>
  <c r="O224" i="11"/>
  <c r="G224" i="11"/>
  <c r="M224" i="11"/>
  <c r="H10" i="12" l="1"/>
  <c r="M12" i="13"/>
  <c r="H12" i="13"/>
  <c r="J10" i="12" s="1"/>
  <c r="F12" i="13"/>
  <c r="F27" i="13" s="1"/>
  <c r="I10" i="12" l="1"/>
  <c r="E27" i="13"/>
  <c r="G10" i="12"/>
  <c r="M27" i="13" l="1"/>
  <c r="H27" i="13"/>
  <c r="D44" i="13" l="1"/>
  <c r="F44" i="13" s="1"/>
  <c r="I14" i="13"/>
  <c r="P14" i="13" s="1"/>
  <c r="P29" i="13"/>
  <c r="J413" i="11"/>
  <c r="N413" i="11" s="1"/>
  <c r="N418" i="11" s="1"/>
  <c r="N420" i="11" s="1"/>
  <c r="H14" i="13"/>
  <c r="J12" i="12" s="1"/>
  <c r="G34" i="13"/>
  <c r="M29" i="13"/>
  <c r="F12" i="12"/>
  <c r="F17" i="12" s="1"/>
  <c r="H29" i="13"/>
  <c r="D413" i="11" s="1"/>
  <c r="J29" i="13"/>
  <c r="G14" i="13"/>
  <c r="G19" i="13" s="1"/>
  <c r="K12" i="12" l="1"/>
  <c r="J14" i="13"/>
  <c r="M14" i="13"/>
  <c r="L14" i="13"/>
  <c r="L29" i="13"/>
  <c r="G12" i="12"/>
  <c r="I413" i="11"/>
  <c r="J418" i="11"/>
  <c r="J420" i="11" s="1"/>
  <c r="K413" i="11" l="1"/>
  <c r="M413" i="11"/>
  <c r="L12" i="12"/>
  <c r="O413" i="11" l="1"/>
  <c r="H105" i="7" l="1"/>
  <c r="H110" i="7" s="1"/>
  <c r="H112" i="7" s="1"/>
  <c r="H149" i="7" s="1"/>
  <c r="H257" i="4"/>
  <c r="H264" i="4" s="1"/>
  <c r="J276" i="8"/>
  <c r="S96" i="1"/>
  <c r="I253" i="4"/>
  <c r="S253" i="4"/>
  <c r="S258" i="11" s="1"/>
  <c r="S255" i="4"/>
  <c r="I255" i="4"/>
  <c r="E260" i="11" s="1"/>
  <c r="J278" i="8"/>
  <c r="J280" i="8" l="1"/>
  <c r="J288" i="8" s="1"/>
  <c r="O278" i="8"/>
  <c r="P278" i="8" s="1"/>
  <c r="S260" i="11"/>
  <c r="AA258" i="11"/>
  <c r="Q258" i="11"/>
  <c r="Y258" i="11" s="1"/>
  <c r="M260" i="11"/>
  <c r="G260" i="11"/>
  <c r="O260" i="11" s="1"/>
  <c r="E102" i="7"/>
  <c r="E258" i="11"/>
  <c r="K255" i="4"/>
  <c r="L99" i="3" s="1"/>
  <c r="E104" i="7"/>
  <c r="S257" i="4"/>
  <c r="S278" i="4" s="1"/>
  <c r="O276" i="8"/>
  <c r="M276" i="8" s="1"/>
  <c r="Z253" i="4"/>
  <c r="K137" i="3"/>
  <c r="K253" i="4"/>
  <c r="H278" i="4"/>
  <c r="Z255" i="4"/>
  <c r="H278" i="8"/>
  <c r="I257" i="4"/>
  <c r="H276" i="8"/>
  <c r="I105" i="7"/>
  <c r="I110" i="7" s="1"/>
  <c r="I112" i="7" s="1"/>
  <c r="I149" i="7" s="1"/>
  <c r="F104" i="7" l="1"/>
  <c r="K104" i="7"/>
  <c r="F102" i="7"/>
  <c r="K102" i="7"/>
  <c r="M278" i="8"/>
  <c r="M280" i="8" s="1"/>
  <c r="M288" i="8" s="1"/>
  <c r="J308" i="8"/>
  <c r="J310" i="8" s="1"/>
  <c r="F105" i="7"/>
  <c r="F110" i="7" s="1"/>
  <c r="F112" i="7" s="1"/>
  <c r="F149" i="7" s="1"/>
  <c r="M258" i="11"/>
  <c r="M262" i="11" s="1"/>
  <c r="G258" i="11"/>
  <c r="O258" i="11" s="1"/>
  <c r="AA260" i="11"/>
  <c r="AA262" i="11" s="1"/>
  <c r="Q260" i="11"/>
  <c r="Y260" i="11" s="1"/>
  <c r="Y262" i="11" s="1"/>
  <c r="E105" i="7"/>
  <c r="Z257" i="4"/>
  <c r="S264" i="4"/>
  <c r="Z264" i="4" s="1"/>
  <c r="L97" i="3"/>
  <c r="T96" i="1" s="1"/>
  <c r="K257" i="4"/>
  <c r="K264" i="4" s="1"/>
  <c r="S262" i="11"/>
  <c r="O280" i="8"/>
  <c r="P276" i="8"/>
  <c r="P280" i="8" s="1"/>
  <c r="I278" i="4"/>
  <c r="I264" i="4"/>
  <c r="E262" i="11"/>
  <c r="H398" i="4"/>
  <c r="H400" i="4" s="1"/>
  <c r="H431" i="2" s="1"/>
  <c r="H432" i="2" s="1"/>
  <c r="H280" i="4"/>
  <c r="S280" i="4"/>
  <c r="Z280" i="4" s="1"/>
  <c r="S398" i="4"/>
  <c r="Z278" i="4"/>
  <c r="H280" i="8"/>
  <c r="E110" i="7" l="1"/>
  <c r="K105" i="7"/>
  <c r="J439" i="8"/>
  <c r="H181" i="7" s="1"/>
  <c r="I181" i="7" s="1"/>
  <c r="I182" i="7" s="1"/>
  <c r="L137" i="3"/>
  <c r="T136" i="1" s="1"/>
  <c r="Q262" i="11"/>
  <c r="K278" i="4"/>
  <c r="K398" i="4" s="1"/>
  <c r="K400" i="4" s="1"/>
  <c r="K405" i="4" s="1"/>
  <c r="M308" i="8"/>
  <c r="M310" i="8" s="1"/>
  <c r="P308" i="8"/>
  <c r="P439" i="8" s="1"/>
  <c r="P441" i="8" s="1"/>
  <c r="P288" i="8"/>
  <c r="AA269" i="11"/>
  <c r="AA283" i="11"/>
  <c r="S269" i="11"/>
  <c r="S283" i="11"/>
  <c r="O308" i="8"/>
  <c r="O288" i="8"/>
  <c r="E283" i="11"/>
  <c r="E269" i="11"/>
  <c r="G262" i="11"/>
  <c r="O262" i="11"/>
  <c r="K280" i="4"/>
  <c r="Q269" i="11"/>
  <c r="Q283" i="11"/>
  <c r="Y269" i="11"/>
  <c r="Y283" i="11"/>
  <c r="M283" i="11"/>
  <c r="M269" i="11"/>
  <c r="S400" i="4"/>
  <c r="Z398" i="4"/>
  <c r="H288" i="8"/>
  <c r="H308" i="8"/>
  <c r="H182" i="7"/>
  <c r="I398" i="4"/>
  <c r="I400" i="4" s="1"/>
  <c r="I280" i="4"/>
  <c r="E112" i="7" l="1"/>
  <c r="K110" i="7"/>
  <c r="J441" i="8"/>
  <c r="J447" i="8" s="1"/>
  <c r="M439" i="8"/>
  <c r="M441" i="8" s="1"/>
  <c r="M447" i="8" s="1"/>
  <c r="P310" i="8"/>
  <c r="S403" i="11"/>
  <c r="S405" i="11" s="1"/>
  <c r="S285" i="11"/>
  <c r="O439" i="8"/>
  <c r="O441" i="8" s="1"/>
  <c r="P447" i="8" s="1"/>
  <c r="O310" i="8"/>
  <c r="AA403" i="11"/>
  <c r="AA405" i="11" s="1"/>
  <c r="AA285" i="11"/>
  <c r="Q403" i="11"/>
  <c r="Q405" i="11" s="1"/>
  <c r="Q285" i="11"/>
  <c r="Y403" i="11"/>
  <c r="Y405" i="11" s="1"/>
  <c r="Y420" i="11" s="1"/>
  <c r="Y285" i="11"/>
  <c r="L405" i="4"/>
  <c r="L406" i="4" s="1"/>
  <c r="L409" i="4" s="1"/>
  <c r="L411" i="4" s="1"/>
  <c r="K406" i="4"/>
  <c r="H439" i="8"/>
  <c r="H310" i="8"/>
  <c r="O283" i="11"/>
  <c r="O269" i="11"/>
  <c r="N290" i="8"/>
  <c r="I290" i="8"/>
  <c r="G283" i="11"/>
  <c r="G269" i="11"/>
  <c r="Z400" i="4"/>
  <c r="K142" i="3"/>
  <c r="K144" i="3" s="1"/>
  <c r="E285" i="11"/>
  <c r="E403" i="11"/>
  <c r="E405" i="11" s="1"/>
  <c r="E447" i="11" s="1"/>
  <c r="M285" i="11"/>
  <c r="M403" i="11"/>
  <c r="M405" i="11" s="1"/>
  <c r="E149" i="7" l="1"/>
  <c r="K149" i="7" s="1"/>
  <c r="K112" i="7"/>
  <c r="AA422" i="11"/>
  <c r="O447" i="8"/>
  <c r="S447" i="11"/>
  <c r="S420" i="11"/>
  <c r="N443" i="8"/>
  <c r="K146" i="3" s="1"/>
  <c r="N312" i="8"/>
  <c r="I443" i="8"/>
  <c r="I312" i="8"/>
  <c r="O285" i="11"/>
  <c r="O403" i="11"/>
  <c r="O405" i="11" s="1"/>
  <c r="H441" i="8"/>
  <c r="H447" i="8" s="1"/>
  <c r="E181" i="7"/>
  <c r="E420" i="11"/>
  <c r="G285" i="11"/>
  <c r="G403" i="11"/>
  <c r="G405" i="11" s="1"/>
  <c r="Q447" i="11"/>
  <c r="Q420" i="11"/>
  <c r="F181" i="7" l="1"/>
  <c r="F182" i="7" s="1"/>
  <c r="E182" i="7"/>
  <c r="G420" i="11"/>
  <c r="G447" i="11"/>
  <c r="L138" i="2"/>
  <c r="L154" i="2"/>
  <c r="L398" i="2" s="1"/>
  <c r="D216" i="2"/>
  <c r="G138" i="2"/>
  <c r="K65" i="1" s="1"/>
  <c r="F65" i="1" l="1"/>
  <c r="F136" i="1" s="1"/>
  <c r="S65" i="1"/>
  <c r="K136" i="1"/>
  <c r="AA398" i="2"/>
  <c r="L400" i="2"/>
  <c r="L140" i="1"/>
  <c r="F153" i="1"/>
  <c r="L216" i="2"/>
  <c r="G65" i="1"/>
  <c r="G136" i="1" s="1"/>
  <c r="J186" i="6"/>
  <c r="B65" i="1"/>
  <c r="H65" i="1"/>
  <c r="H136" i="1" s="1"/>
  <c r="D141" i="11"/>
  <c r="D400" i="2"/>
  <c r="D430" i="4" s="1"/>
  <c r="D431" i="4" s="1"/>
  <c r="C65" i="1"/>
  <c r="C136" i="1" s="1"/>
  <c r="J65" i="1"/>
  <c r="E65" i="1"/>
  <c r="E136" i="1" s="1"/>
  <c r="I65" i="1"/>
  <c r="I136" i="1" s="1"/>
  <c r="D65" i="1"/>
  <c r="D136" i="1" s="1"/>
  <c r="C153" i="1" l="1"/>
  <c r="L143" i="1"/>
  <c r="L432" i="2"/>
  <c r="AA400" i="2"/>
  <c r="AM414" i="4"/>
  <c r="G349" i="6"/>
  <c r="G350" i="6" s="1"/>
  <c r="K153" i="1"/>
  <c r="S136" i="1"/>
  <c r="L141" i="1"/>
  <c r="L142" i="1" s="1"/>
  <c r="L144" i="1" s="1"/>
  <c r="D432" i="2"/>
  <c r="H349" i="6"/>
  <c r="H350" i="6" s="1"/>
  <c r="AG414" i="4"/>
  <c r="M16" i="13"/>
  <c r="M19" i="13" s="1"/>
  <c r="G14" i="12"/>
  <c r="G17" i="12"/>
  <c r="H14" i="12"/>
  <c r="H17" i="12" s="1"/>
  <c r="E19" i="13"/>
  <c r="F16" i="13"/>
  <c r="F19" i="13" s="1"/>
  <c r="H16" i="13"/>
  <c r="J14" i="12" s="1"/>
  <c r="I14" i="12" l="1"/>
  <c r="I17" i="12" s="1"/>
  <c r="F31" i="13"/>
  <c r="E31" i="13" l="1"/>
  <c r="F34" i="13"/>
  <c r="H31" i="13" l="1"/>
  <c r="D415" i="11" s="1"/>
  <c r="E34" i="13"/>
  <c r="M31" i="13"/>
  <c r="M34" i="13" s="1"/>
  <c r="L16" i="13"/>
  <c r="L19" i="13" s="1"/>
  <c r="I19" i="13"/>
  <c r="I31" i="13"/>
  <c r="D46" i="13" s="1"/>
  <c r="I16" i="13"/>
  <c r="K14" i="12" s="1"/>
  <c r="K17" i="12" s="1"/>
  <c r="J19" i="13"/>
  <c r="P31" i="13" l="1"/>
  <c r="P34" i="13" s="1"/>
  <c r="P16" i="13"/>
  <c r="P19" i="13" s="1"/>
  <c r="L14" i="12"/>
  <c r="L17" i="12" s="1"/>
  <c r="D49" i="13"/>
  <c r="F46" i="13"/>
  <c r="F49" i="13" s="1"/>
  <c r="I34" i="13"/>
  <c r="J31" i="13"/>
  <c r="I415" i="11" l="1"/>
  <c r="L31" i="13"/>
  <c r="L34" i="13" s="1"/>
  <c r="J34" i="13"/>
  <c r="K415" i="11" l="1"/>
  <c r="I418" i="11"/>
  <c r="I420" i="11" s="1"/>
  <c r="M415" i="11"/>
  <c r="M418" i="11" s="1"/>
  <c r="M420" i="11" s="1"/>
  <c r="K418" i="11" l="1"/>
  <c r="K420" i="11" s="1"/>
  <c r="O415" i="11"/>
  <c r="O418" i="11" l="1"/>
  <c r="AC415" i="11"/>
  <c r="O420" i="11" l="1"/>
  <c r="AC420" i="11" s="1"/>
  <c r="AC41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Cindy Jordan</author>
    <author>TThornton</author>
  </authors>
  <commentList>
    <comment ref="F6" authorId="0" shapeId="0" xr:uid="{00000000-0006-0000-0200-000001000000}">
      <text>
        <r>
          <rPr>
            <b/>
            <sz val="8"/>
            <color indexed="81"/>
            <rFont val="Tahoma"/>
            <family val="2"/>
          </rPr>
          <t>Cindy Jordan:</t>
        </r>
        <r>
          <rPr>
            <sz val="8"/>
            <color indexed="81"/>
            <rFont val="Tahoma"/>
            <family val="2"/>
          </rPr>
          <t xml:space="preserve">
From Timberline Job Cost Summary jpVII - JTD COSTS
</t>
        </r>
      </text>
    </comment>
    <comment ref="P6" authorId="1" shapeId="0" xr:uid="{00000000-0006-0000-0200-000002000000}">
      <text>
        <r>
          <rPr>
            <b/>
            <sz val="8"/>
            <color indexed="81"/>
            <rFont val="Tahoma"/>
            <family val="2"/>
          </rPr>
          <t>TThornton:</t>
        </r>
        <r>
          <rPr>
            <sz val="8"/>
            <color indexed="81"/>
            <rFont val="Tahoma"/>
            <family val="2"/>
          </rPr>
          <t xml:space="preserve">
PY JTD GAAP Profits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Cindy Jordan</author>
  </authors>
  <commentList>
    <comment ref="H5" authorId="0" shapeId="0" xr:uid="{00000000-0006-0000-0400-000001000000}">
      <text>
        <r>
          <rPr>
            <b/>
            <sz val="8"/>
            <color indexed="81"/>
            <rFont val="Tahoma"/>
            <family val="2"/>
          </rPr>
          <t>Cindy Jordan:</t>
        </r>
        <r>
          <rPr>
            <sz val="8"/>
            <color indexed="81"/>
            <rFont val="Tahoma"/>
            <family val="2"/>
          </rPr>
          <t xml:space="preserve">
Timberline Job Summary Profits JTD</t>
        </r>
      </text>
    </comment>
  </commentList>
</comments>
</file>

<file path=xl/sharedStrings.xml><?xml version="1.0" encoding="utf-8"?>
<sst xmlns="http://schemas.openxmlformats.org/spreadsheetml/2006/main" count="1652" uniqueCount="733">
  <si>
    <t>AMOUNT</t>
  </si>
  <si>
    <t>TOTAL</t>
  </si>
  <si>
    <t>COSTS</t>
  </si>
  <si>
    <t>ESTIMATED</t>
  </si>
  <si>
    <t>% OF</t>
  </si>
  <si>
    <t>OVER</t>
  </si>
  <si>
    <t>BILLED</t>
  </si>
  <si>
    <t>TO BE</t>
  </si>
  <si>
    <t>INCURED</t>
  </si>
  <si>
    <t>COSTS TO</t>
  </si>
  <si>
    <t>COMPLETION</t>
  </si>
  <si>
    <t>(UNDER)</t>
  </si>
  <si>
    <t>COMPLETE</t>
  </si>
  <si>
    <t>DESCRIPTION</t>
  </si>
  <si>
    <t>JOB</t>
  </si>
  <si>
    <t>TO DATE</t>
  </si>
  <si>
    <t>CONTRACT</t>
  </si>
  <si>
    <t>PROFIT</t>
  </si>
  <si>
    <t>COST/COST</t>
  </si>
  <si>
    <t>BILLIING</t>
  </si>
  <si>
    <t>Proof of GAAP Basis WIP:</t>
  </si>
  <si>
    <t>YTD Costs</t>
  </si>
  <si>
    <t>YTD Profit</t>
  </si>
  <si>
    <t>YTD Amount Billed</t>
  </si>
  <si>
    <t>Prior WIP</t>
  </si>
  <si>
    <t>Current WIP</t>
  </si>
  <si>
    <t>PROFIT AND LOSS BY JOB (GAAP Basis)</t>
  </si>
  <si>
    <t>COST /</t>
  </si>
  <si>
    <t>BILLING</t>
  </si>
  <si>
    <t>COST</t>
  </si>
  <si>
    <t>WIP</t>
  </si>
  <si>
    <t>BALANCE</t>
  </si>
  <si>
    <t>Proof of GAAP Basis Profit/Loss:</t>
  </si>
  <si>
    <t>Billed Revenue</t>
  </si>
  <si>
    <t>GAAP Revenue</t>
  </si>
  <si>
    <t>Costs YTD</t>
  </si>
  <si>
    <t>GAAP Profit/Loss</t>
  </si>
  <si>
    <t>WORK IN PROCESS - BONUS</t>
  </si>
  <si>
    <t>Proof of Construction Basis WIP:</t>
  </si>
  <si>
    <t>Proof of Construction Basis Profit/Loss:</t>
  </si>
  <si>
    <t>Construction Revenue</t>
  </si>
  <si>
    <t>Construction Basis Profit/Loss</t>
  </si>
  <si>
    <t>W.M. Lyles Co.</t>
  </si>
  <si>
    <t>(Input cell)</t>
  </si>
  <si>
    <t>(input cell if not 100% complete)</t>
  </si>
  <si>
    <t>Total</t>
  </si>
  <si>
    <t>REMAINING</t>
  </si>
  <si>
    <t>Prior year adjustment</t>
  </si>
  <si>
    <t>Prior Year Adjustment</t>
  </si>
  <si>
    <t>F/S Footnote:</t>
  </si>
  <si>
    <t>Cost to Date</t>
  </si>
  <si>
    <t>P/L to Date</t>
  </si>
  <si>
    <t>Billed to Date</t>
  </si>
  <si>
    <t>Variance</t>
  </si>
  <si>
    <t>Grand Totals</t>
  </si>
  <si>
    <t>EST. TOTAL</t>
  </si>
  <si>
    <t>JTD BILLED</t>
  </si>
  <si>
    <t>EST. COST TO</t>
  </si>
  <si>
    <t>YTD COSTS</t>
  </si>
  <si>
    <t>YTD BILLINGS</t>
  </si>
  <si>
    <t>YTD PROFIT</t>
  </si>
  <si>
    <t>PY JTD COSTS</t>
  </si>
  <si>
    <t>PY JTD BILLINGS</t>
  </si>
  <si>
    <t>PY JTD PROFIT</t>
  </si>
  <si>
    <t>JTD JOB COST</t>
  </si>
  <si>
    <t>YTD PROFITS</t>
  </si>
  <si>
    <t>OH Jobs</t>
  </si>
  <si>
    <t>Billed</t>
  </si>
  <si>
    <t>Remaining</t>
  </si>
  <si>
    <t>Cost</t>
  </si>
  <si>
    <t xml:space="preserve">Estimate </t>
  </si>
  <si>
    <t>Projected</t>
  </si>
  <si>
    <t>Job to Date</t>
  </si>
  <si>
    <t>Prior</t>
  </si>
  <si>
    <t xml:space="preserve">Net </t>
  </si>
  <si>
    <t>To</t>
  </si>
  <si>
    <t>Contract</t>
  </si>
  <si>
    <t>Incurred</t>
  </si>
  <si>
    <t>Cost To</t>
  </si>
  <si>
    <t>Final</t>
  </si>
  <si>
    <t xml:space="preserve">Percent </t>
  </si>
  <si>
    <t>Amount</t>
  </si>
  <si>
    <t>Change</t>
  </si>
  <si>
    <t>Project Name</t>
  </si>
  <si>
    <t>Job No.</t>
  </si>
  <si>
    <t>Date</t>
  </si>
  <si>
    <t>Bill</t>
  </si>
  <si>
    <t>To Date</t>
  </si>
  <si>
    <t>Complete</t>
  </si>
  <si>
    <t>Profit/(Loss)</t>
  </si>
  <si>
    <t>Claimed</t>
  </si>
  <si>
    <t>Total Estimated</t>
  </si>
  <si>
    <t>Profit</t>
  </si>
  <si>
    <t>Jobs with Contract Amounts greater than $250,000</t>
  </si>
  <si>
    <t>W. M. Lyles Co.</t>
  </si>
  <si>
    <t>Job Status Analysis</t>
  </si>
  <si>
    <t>D</t>
  </si>
  <si>
    <t>A</t>
  </si>
  <si>
    <t>Opened in PY, Closed in CY</t>
  </si>
  <si>
    <t>B</t>
  </si>
  <si>
    <t>C</t>
  </si>
  <si>
    <t>O</t>
  </si>
  <si>
    <t>Overhead Jobs</t>
  </si>
  <si>
    <t>U</t>
  </si>
  <si>
    <t>Under $250,000</t>
  </si>
  <si>
    <t>W</t>
  </si>
  <si>
    <t>W Jobs</t>
  </si>
  <si>
    <t>Totals</t>
  </si>
  <si>
    <t>Variance Check</t>
  </si>
  <si>
    <t>Profit on jobs with contracts under $250,000</t>
  </si>
  <si>
    <t>Over/(Under) application, including bidding jobs</t>
  </si>
  <si>
    <t>YTD WIP</t>
  </si>
  <si>
    <t>Open in CY, Closed in CY:</t>
  </si>
  <si>
    <t>Opened in CY, Still Open:</t>
  </si>
  <si>
    <t>Opened in PY, Still Open:</t>
  </si>
  <si>
    <t>WORK IN PROCESS-GAAP BASIS</t>
  </si>
  <si>
    <t>Totals Per GAAP Basis Profit and Loss Schedule</t>
  </si>
  <si>
    <t>Additional amounts recognized on Bonus Basis Schedule, but not on GAAP Basis Schedule:</t>
  </si>
  <si>
    <t>Total Schedule Differences</t>
  </si>
  <si>
    <t>Bonus Basis Grand Total less Total Schedule Differences</t>
  </si>
  <si>
    <t>Explanations:</t>
  </si>
  <si>
    <t>Fiscal Y/E</t>
  </si>
  <si>
    <t>Job Opens</t>
  </si>
  <si>
    <t>Job Closes</t>
  </si>
  <si>
    <t>CURRENT WIP</t>
  </si>
  <si>
    <t>Bonus Totals</t>
  </si>
  <si>
    <t>PROFIT AND LOSS BY JOB - BONUS BASIS</t>
  </si>
  <si>
    <t>EXPECTED</t>
  </si>
  <si>
    <t>JOB TO DATE</t>
  </si>
  <si>
    <t>PROFIT/LOSS</t>
  </si>
  <si>
    <t>EARNED REV.</t>
  </si>
  <si>
    <t>JOB COSTS</t>
  </si>
  <si>
    <t>GAAP Totals</t>
  </si>
  <si>
    <t>Prior year info hidden in Columns N, O &amp; P</t>
  </si>
  <si>
    <t xml:space="preserve">PROFIT / </t>
  </si>
  <si>
    <t>LOSS</t>
  </si>
  <si>
    <t>=Should tie to Job Margin (not including JV)</t>
  </si>
  <si>
    <t>Note: Any job over 95% complete, review Cost to Complete and the cost incurred after 9/30, if costs are substantially more then CTC, profits may need to be reviewed/changed (unless there is CCO work)</t>
  </si>
  <si>
    <t>Prior Year</t>
  </si>
  <si>
    <t>GAAP Profit</t>
  </si>
  <si>
    <t>Construction Backlog and Remaining Profit</t>
  </si>
  <si>
    <t>Job</t>
  </si>
  <si>
    <t>Description</t>
  </si>
  <si>
    <t>Engineer's Contract</t>
  </si>
  <si>
    <t>Earned Revenue</t>
  </si>
  <si>
    <t>Construction Backlog</t>
  </si>
  <si>
    <t>Expected Profit</t>
  </si>
  <si>
    <t>JTD Profit</t>
  </si>
  <si>
    <t>Remaining Profit</t>
  </si>
  <si>
    <t>Per Schedule</t>
  </si>
  <si>
    <t>JOB SUMMARY REPORT</t>
  </si>
  <si>
    <t>Expected</t>
  </si>
  <si>
    <t>Actual</t>
  </si>
  <si>
    <t>%</t>
  </si>
  <si>
    <t>JTD</t>
  </si>
  <si>
    <t>PY JTD</t>
  </si>
  <si>
    <t>YTD</t>
  </si>
  <si>
    <t>Monthly Change</t>
  </si>
  <si>
    <t>PM Expected</t>
  </si>
  <si>
    <t>Revenue</t>
  </si>
  <si>
    <t>Change In</t>
  </si>
  <si>
    <t>In Profits</t>
  </si>
  <si>
    <t>Contract Balance</t>
  </si>
  <si>
    <t>W Job Total</t>
  </si>
  <si>
    <t>Closed Job Totals</t>
  </si>
  <si>
    <t>Company Totals</t>
  </si>
  <si>
    <t>Variance with Bonus P&amp;L Schedule</t>
  </si>
  <si>
    <t>Prior Month</t>
  </si>
  <si>
    <t>Northern Open Jobs Total</t>
  </si>
  <si>
    <t>Northern Total</t>
  </si>
  <si>
    <t>Southern Open Jobs Total</t>
  </si>
  <si>
    <t>Southern Closed Jobs Total</t>
  </si>
  <si>
    <t>Southern Total</t>
  </si>
  <si>
    <t>Open Jobs Totals</t>
  </si>
  <si>
    <t>Job 55.1090 is associated with the Joint Venture agreement WML has with Webcor/Obayshi.  This job represents the engineering staffs consulting service.   For Bonus Basis, we recognized the total estimated consulting service expected to provide.  For GAAP, we only recognize the services already performed since there is no contract for this work.</t>
  </si>
  <si>
    <t>2012</t>
  </si>
  <si>
    <t xml:space="preserve">Contract Balance                     </t>
  </si>
  <si>
    <t>LA Dept of Water and Power - Silverlake</t>
  </si>
  <si>
    <t>Lyles Services Co.</t>
  </si>
  <si>
    <t>2019</t>
  </si>
  <si>
    <t>Northern Closed Jobs Total</t>
  </si>
  <si>
    <t>City of Stockton - RWCF Phase 2A/2B</t>
  </si>
  <si>
    <t>Job 51.1108 is associated with the Joint Venture agreement WML has with AECOM.  This job represents the engineering staffs consulting services and construction work.   For Bonus Basis, we recognized the total estimated services expected to provide.  For GAAP, we only recognize the services already performed since there is no contract for this work.</t>
  </si>
  <si>
    <t>2020</t>
  </si>
  <si>
    <t>Inland Empire Utilities - IEUA RP-1 Flare Improvements</t>
  </si>
  <si>
    <t>Laguna County Sanitation Dist. - Phase 1 Plant Upgrade</t>
  </si>
  <si>
    <t>East County Advanced Water Purification Project - Package 1</t>
  </si>
  <si>
    <t>LA County Sanitation District - Oxygen Generation Project</t>
  </si>
  <si>
    <t xml:space="preserve">East County Advanced Water Purification Project - Package 3 </t>
  </si>
  <si>
    <t>Job Open</t>
  </si>
  <si>
    <t>2021</t>
  </si>
  <si>
    <t>Calif. Rail Bldrs LLC - North Kern WSD Canal 9-22 Relocation Project</t>
  </si>
  <si>
    <t>W.M. Lyles Co. - General Overhead</t>
  </si>
  <si>
    <t>Column K should equal zero; variance check</t>
  </si>
  <si>
    <t>Semitropic WSD - Stored Water Recovery Unit Phase 2A, Amendment 8</t>
  </si>
  <si>
    <t>Section</t>
  </si>
  <si>
    <t>Opened</t>
  </si>
  <si>
    <t>Closed</t>
  </si>
  <si>
    <t>Size</t>
  </si>
  <si>
    <t>Job 55.1200 is associated with the Joint Venture agreement WML has with AECOM.  This job represents the engineering staffs consulting services and construction work.   For Bonus Basis, we recognized the total estimated services expected to provide.  For GAAP, we only recognize the services already performed since there is no contract for this work.</t>
  </si>
  <si>
    <t>Job 55.1204 is associated with the Joint Venture agreement WML has with AECOM.  This job represents the engineering staffs consulting services and construction work.   For Bonus Basis, we recognized the total estimated services expected to provide.  For GAAP, we only recognize the services already performed since there is no contract for this work.</t>
  </si>
  <si>
    <t xml:space="preserve">Opened in PY, Closed in CY: </t>
  </si>
  <si>
    <t xml:space="preserve">Opened in PY, Still Open: </t>
  </si>
  <si>
    <t>Contracts Under $250,000</t>
  </si>
  <si>
    <t xml:space="preserve">Overhead jobs (Bidding Jobs) </t>
  </si>
  <si>
    <t>Closed In Prior Year</t>
  </si>
  <si>
    <t>Update date in next row to appropriate quarter end.</t>
  </si>
  <si>
    <t>Calif. Rail Bldrs LLC - SWSD Distribution System Conflict</t>
  </si>
  <si>
    <t>City of Santa Cruz - Graham Hill WTP Facility Improvements - Phase 1</t>
  </si>
  <si>
    <t>Job 52.8563 is associated with the Joint Venture agreement WML has with AECOM.  This job represents the engineering staffs consulting services and construction work.   For Bonus Basis, we recognized the total estimated services expected to provide.  For GAAP, we only recognize the services already performed since there is no contract for this work.</t>
  </si>
  <si>
    <t>City of Visalia - Water Reclamation Facility RPGS SCR System</t>
  </si>
  <si>
    <t>City of Modesto - Grayson Well 69</t>
  </si>
  <si>
    <t>CR 4010.50</t>
  </si>
  <si>
    <t>DR 1220</t>
  </si>
  <si>
    <t>55.1159 - This job is not complete, additional work to be completed in the new year</t>
  </si>
  <si>
    <t>55.1184 - This job is not complete, additional work to be completed in the new year</t>
  </si>
  <si>
    <t>52.8446 - This job is not complete, additional work to be completed in the new year</t>
  </si>
  <si>
    <t>52.8528 - This job is not complete, additional work to be completed in the new year</t>
  </si>
  <si>
    <t>52.8563 - AECOM/Lyles Joint Venture. The work is being performed on a T&amp;M basis and additional work will be completed in the new year.</t>
  </si>
  <si>
    <t>54.9118 - This job is not complete, additional work to be completed in the new year</t>
  </si>
  <si>
    <t>51.1108 - AECOM/Lyles Joint Venture. The work is being performed on a T&amp;M basis and additional work will be completed in the new year.</t>
  </si>
  <si>
    <t>55.1090 - Webcor/Obayashi/Lyles Joint Venture. The work is being performed on a T&amp;M basis and additional work will be completed in the new year.</t>
  </si>
  <si>
    <t>55.1200 - AECOM/Lyles Joint Venture. The work is being performed on a T&amp;M basis and additional work will be completed in the new year.</t>
  </si>
  <si>
    <t>55.1204 - AECOM/Lyles Joint Venture. The work is being performed on a T&amp;M basis and additional work will be completed in the new year.</t>
  </si>
  <si>
    <t>Inland Empire Utilities - IEUA RP-5 Liquids Exp. &amp; Solids Treat. Facility</t>
  </si>
  <si>
    <t>51.1118 - Work is complete on this job but was left open pending owner approval of final change orders so project can be billed 100% - minor supervision time to also be charged in new year</t>
  </si>
  <si>
    <t>Union Sanit. Dist - Enhanced Trtmnt &amp; Site Upgrd Ph. 1A Aeration Basin</t>
  </si>
  <si>
    <t>2022</t>
  </si>
  <si>
    <t>This is total of Overhead Jobs (Bidding Jobs) and W-Jobs</t>
  </si>
  <si>
    <t>Print this worksheet in B&amp;W!</t>
  </si>
  <si>
    <t>Tesoro Viejo MMWC- WTP/WWTP/RWSP Phase B Expansion - Phase 1</t>
  </si>
  <si>
    <t>CA Dept. of Corr. - Water Treatment Improvements</t>
  </si>
  <si>
    <t>Eastern Municipal Water District - MVRWRF Plant 2B Equipping and Flow Diversion Project</t>
  </si>
  <si>
    <t>City of Atwater - Project No. 20-2, Well 20-A TCP Mitigation</t>
  </si>
  <si>
    <t>Kern County Water Agency - Well 38 &amp; 39 Well Equiping Project</t>
  </si>
  <si>
    <t>CA Water Service Co. - S. San Francisco St 1-A Pump Replacement</t>
  </si>
  <si>
    <t>Union Sanitary Dist - USD Plant Misc. Improvements</t>
  </si>
  <si>
    <t>2023</t>
  </si>
  <si>
    <t>Lyles Utility Construction, LLC</t>
  </si>
  <si>
    <t>Semitropic Water Storage Dist. - Amendment No. 22 JPP Valve Control Modification</t>
  </si>
  <si>
    <t>Anaergia Technologies - VVWRA - DAF 3 Replacement</t>
  </si>
  <si>
    <t>Semitropic Water Storage Dist. - Amendment No. 23 Raw Water Processing Plant Pipeline Replacement</t>
  </si>
  <si>
    <t>Semitropic Water Storage Dist. - Design &amp; Construction of the Central TCP Facility-Phase 1</t>
  </si>
  <si>
    <t>CA Water Service Co. - Bear Gulch Pump Station 18</t>
  </si>
  <si>
    <t>CA Water Service Co. - Bear Gulch Pump Station 21</t>
  </si>
  <si>
    <t>CA Water Service Co. - Bear Gulch Pump Station 14/29</t>
  </si>
  <si>
    <t>City of Tulare - Well 4-3 Equipping &amp; I Drive Pipeline Proj.</t>
  </si>
  <si>
    <t>Gunner Ranch, Inc. - Well 1 Equipping and Site Improvements</t>
  </si>
  <si>
    <t>City of Guadalupe - Highway 1 Lift Station</t>
  </si>
  <si>
    <t>System Integration Total</t>
  </si>
  <si>
    <t>City of Colfax - WWTP Algae Reduction Project</t>
  </si>
  <si>
    <t>City of Corona - WRF 1 Aeration System Improvements</t>
  </si>
  <si>
    <t>City of Huron - Water Treatment Plant Imp. Phase 2</t>
  </si>
  <si>
    <t>City of Bakersfield Public Works - Sewer Lift Station Rehabilitation</t>
  </si>
  <si>
    <t>Olivehurst Plumas Lake Manganese Filter Expansion</t>
  </si>
  <si>
    <t>Anaergia Technologies, LLC - Anaergia M1W Digester Mixing Project</t>
  </si>
  <si>
    <t>Root Creek Water Dist. - Groundwater Blending &amp; Arsenic</t>
  </si>
  <si>
    <t>City of Dos Palos - WTP Replacement Project</t>
  </si>
  <si>
    <t>Silicon Valley Clean Water - FEP Improvements Project</t>
  </si>
  <si>
    <t>City of Lodi-Public Works Dept. - Aeration Diffusers Replacement Project</t>
  </si>
  <si>
    <t>Semitropic Water Storage Dist. - Emergency Radial Arm Gate Removal and Replacement</t>
  </si>
  <si>
    <t>Michael K. Nunley &amp; Assoc., Inc. - Waterton WTP Budgeting</t>
  </si>
  <si>
    <t>National Carbon Technologies, LLC - Aymium Williams Production Facility</t>
  </si>
  <si>
    <t>Anaergia Technologies LLC - East County Package 5</t>
  </si>
  <si>
    <t>Con J. Franke Electric, Inc. - Well 22 GAC Water Treatment</t>
  </si>
  <si>
    <t>California Water Service Co. - Visalia Station 98 Water Storage Tank &amp; Booster Site</t>
  </si>
  <si>
    <t>Michael K. Nunley &amp; Assoc., Inc. - AMWC Sycamore &amp; NWT Budgeting</t>
  </si>
  <si>
    <t>Net Income (Loss) from Joint Ventures</t>
  </si>
  <si>
    <t>Has to tie to the dollar</t>
  </si>
  <si>
    <t>GAAP</t>
  </si>
  <si>
    <t>Bonus</t>
  </si>
  <si>
    <t>Bonus vs. GAAP Comparison</t>
  </si>
  <si>
    <t>Bonus vs GAAP</t>
  </si>
  <si>
    <t>Year to Date</t>
  </si>
  <si>
    <t>San Diego Total</t>
  </si>
  <si>
    <t>Los Angeles Total</t>
  </si>
  <si>
    <t>Los Angeles County Sanitation Dist. - Los Coyotes WRP Process Air Compressor Replacement</t>
  </si>
  <si>
    <t>Sacramento Co. Dept. of Water Resources - D49 Metro Air Park Storm Drain Pump Station Phase 2</t>
  </si>
  <si>
    <t>2024</t>
  </si>
  <si>
    <t>California Water Service Co. - Salinas 77 Booster Station</t>
  </si>
  <si>
    <t>Teviston Community Services Dist. - Teviston Drought Resilience Water System Impr</t>
  </si>
  <si>
    <t>East Bay Total</t>
  </si>
  <si>
    <t>San Joaquin Electric - Bowman WTP Phase 3 Improvements - Placer County Water Agency</t>
  </si>
  <si>
    <t>San Joaquin Electric - Liberty Ranch Sewer Pump Station</t>
  </si>
  <si>
    <t>SD Electric, Inc. - Stormwater Evacuation Lines &amp; Outfall Manifold</t>
  </si>
  <si>
    <t>Fusion Electric - Waterman WTP Ozone System Improvements - City of Fairfield</t>
  </si>
  <si>
    <t>SD Electric, Inc. - Treatment Plant Seismic Retrofit of Secondary Clarifiers</t>
  </si>
  <si>
    <t>Mike Brown Electric Co. - Riverside Ponds &amp; Headworks Mitigation – City of Calistoga</t>
  </si>
  <si>
    <t>East Bay Open Jobs</t>
  </si>
  <si>
    <t>East Bay Open Jobs Total</t>
  </si>
  <si>
    <t>East Bay Closed Jobs</t>
  </si>
  <si>
    <t>East Bay Closed Jobs Total</t>
  </si>
  <si>
    <t>San Diego Open Jobs</t>
  </si>
  <si>
    <t>San Diego Open Jobs Total</t>
  </si>
  <si>
    <t>San Diego Closed Jobs</t>
  </si>
  <si>
    <t>San Diego Closed Jobs Total</t>
  </si>
  <si>
    <t>Los Angeles Open Jobs</t>
  </si>
  <si>
    <t>Los Angeles Open Jobs Total</t>
  </si>
  <si>
    <t>Los Angeles Closed Jobs</t>
  </si>
  <si>
    <t>Los Angeles Closed Jobs Total</t>
  </si>
  <si>
    <t>Joint Ventures</t>
  </si>
  <si>
    <t>Silverlake</t>
  </si>
  <si>
    <t>East County Advanced Package 1</t>
  </si>
  <si>
    <t>East County Advanced Package 3</t>
  </si>
  <si>
    <t>Stockton Phase 1</t>
  </si>
  <si>
    <t>Stockton Phase 2</t>
  </si>
  <si>
    <t>City of Santa Cruz - Graham Hill WTP</t>
  </si>
  <si>
    <t>Company Totals - Jobs</t>
  </si>
  <si>
    <t>WML % JV Job Totals</t>
  </si>
  <si>
    <t>WML Jobs and JV's</t>
  </si>
  <si>
    <t>Proof to Bonus/GAAP Op. Stmt. Variance</t>
  </si>
  <si>
    <t>Bonus Net Income</t>
  </si>
  <si>
    <t>GAAP Net Income</t>
  </si>
  <si>
    <t>Jobs/JV's Variance</t>
  </si>
  <si>
    <t>Total Variance</t>
  </si>
  <si>
    <t>Profit Sharing</t>
  </si>
  <si>
    <t>Income Tax</t>
  </si>
  <si>
    <t>Lease Liability Adj.</t>
  </si>
  <si>
    <t>Net Income Variance</t>
  </si>
  <si>
    <t>Rocklin Open Jobs</t>
  </si>
  <si>
    <t>Rocklin Open Jobs Total</t>
  </si>
  <si>
    <t>Rocklin Closed Jobs</t>
  </si>
  <si>
    <t>Rocklin Closed Jobs Total</t>
  </si>
  <si>
    <t>Rocklin Total</t>
  </si>
  <si>
    <t>Murrieta Open Jobs</t>
  </si>
  <si>
    <t>Murrieta Open Jobs Total</t>
  </si>
  <si>
    <t>Murrieta Closed Jobs</t>
  </si>
  <si>
    <t>Murrieta Closed Jobs Total</t>
  </si>
  <si>
    <t>Murrieta Total</t>
  </si>
  <si>
    <t>Rocklin Area - Open Jobs</t>
  </si>
  <si>
    <t>Fresno Area - Open Jobs Totals</t>
  </si>
  <si>
    <t>Fresno Area - Closed Jobs</t>
  </si>
  <si>
    <t>Fresno Area - Closed Jobs Totals</t>
  </si>
  <si>
    <t>Fresno Area -  Grand Totals</t>
  </si>
  <si>
    <t>Fresno Area - Open Jobs</t>
  </si>
  <si>
    <t>Bakersfield Area - Open Jobs</t>
  </si>
  <si>
    <t>Bakersfield Area - Open Jobs Totals</t>
  </si>
  <si>
    <t>Bakersfield Area - Closed Jobs</t>
  </si>
  <si>
    <t>Bakersfield Area - Closed Jobs Totals</t>
  </si>
  <si>
    <t>Bakersfield Area -  Grand Totals</t>
  </si>
  <si>
    <t>Rocklin Area - Open Job Totals</t>
  </si>
  <si>
    <t>Rocklin Area - Closed Jobs</t>
  </si>
  <si>
    <t>Rocklin Area - Closed Totals</t>
  </si>
  <si>
    <t>Rocklin Area - Grand Totals</t>
  </si>
  <si>
    <t>Murrieta Area - Open Jobs</t>
  </si>
  <si>
    <t>Murrieta Area - Open Jobs Totals</t>
  </si>
  <si>
    <t>Murrieta Area - Closed Jobs</t>
  </si>
  <si>
    <t>Murrieta Area - Closed Jobs Totals</t>
  </si>
  <si>
    <t>Murrieta Area - Grand Totals</t>
  </si>
  <si>
    <t>Bakersfield Open Jobs Total</t>
  </si>
  <si>
    <t>Bakersfield Closed Jobs</t>
  </si>
  <si>
    <t>Bakersfield Closed Jobs Total</t>
  </si>
  <si>
    <t>Bakersfield Total</t>
  </si>
  <si>
    <t>Fresno Open Jobs Total</t>
  </si>
  <si>
    <t>Fresno Closed Jobs</t>
  </si>
  <si>
    <t>Fresno Closed Jobs Total</t>
  </si>
  <si>
    <t>Fresno Total</t>
  </si>
  <si>
    <t>Bakersfield Open Jobs</t>
  </si>
  <si>
    <t>System Integration - Grand Totals</t>
  </si>
  <si>
    <t>Fresno Open Jobs</t>
  </si>
  <si>
    <t>Northern Open Jobs Totals</t>
  </si>
  <si>
    <t>Northern Closed Job Totals</t>
  </si>
  <si>
    <t>Nothern Area Totals</t>
  </si>
  <si>
    <t>Southern Open Jobs Totals</t>
  </si>
  <si>
    <t>Southern Closed Job Totals</t>
  </si>
  <si>
    <t>Southern Area Totals</t>
  </si>
  <si>
    <t>50 Jobs</t>
  </si>
  <si>
    <t>50 Jobs Total</t>
  </si>
  <si>
    <t>System Integration - Open Jobs</t>
  </si>
  <si>
    <t>System Integration - Open Jobs Totals</t>
  </si>
  <si>
    <t>System Integration - Closed Jobs</t>
  </si>
  <si>
    <t>System Integration - Closed Jobs Totals</t>
  </si>
  <si>
    <t>50 Jobs Totals</t>
  </si>
  <si>
    <t>Northern Area Totals</t>
  </si>
  <si>
    <t>W.M. Lyles Co. - General Estimating</t>
  </si>
  <si>
    <t>East Bay Area - Open Jobs</t>
  </si>
  <si>
    <t>East Bay Area - Open Jobs Totals</t>
  </si>
  <si>
    <t>East Bay Area - Closed Jobs</t>
  </si>
  <si>
    <t>East Bay Area - Closed Jobs Totals</t>
  </si>
  <si>
    <t>East Bay - Grand Totals</t>
  </si>
  <si>
    <t>San Diego Area - Open Jobs</t>
  </si>
  <si>
    <t>San Diego Area - Open Jobs Totals</t>
  </si>
  <si>
    <t>San Diego Area - Closed Jobs</t>
  </si>
  <si>
    <t>San Diego Area - Closed Jobs Totals</t>
  </si>
  <si>
    <t>San Diego - Grand Totals</t>
  </si>
  <si>
    <t>Los Angeles Area - Open Jobs</t>
  </si>
  <si>
    <t>Los Angeles Area - Open Jobs Totals</t>
  </si>
  <si>
    <t>Los Angeles Area - Closed Jobs</t>
  </si>
  <si>
    <t>Los Angeles Area - Closed Jobs Totals</t>
  </si>
  <si>
    <t>Los Angeles - Grand Totals</t>
  </si>
  <si>
    <t>System Integration Open Jobs</t>
  </si>
  <si>
    <t>System Integration Open Jobs Totals</t>
  </si>
  <si>
    <t>System Integration Closed Jobs</t>
  </si>
  <si>
    <t>System Integration Closed Jobs Totals</t>
  </si>
  <si>
    <t>Rocklin</t>
  </si>
  <si>
    <t>Fresno</t>
  </si>
  <si>
    <t>Murrieta</t>
  </si>
  <si>
    <t>Root Creek Water Dist. - Ag Well 277 Conversion Project</t>
  </si>
  <si>
    <t>Semitropic Water Storage Dist. - Buena Vista Water Storage District Turnout Valve Repair</t>
  </si>
  <si>
    <t>Moulton Niguel Water Dist. - Advanced Water Treatment Facility Salinity Management System - Ph 1</t>
  </si>
  <si>
    <t>Trabuco Canyon Water Dist. - On-Call Services - Trabuco Canyon Water District</t>
  </si>
  <si>
    <t>Bay Tech Engineering - SDDS Gate Valves Replacement – SF International Airport</t>
  </si>
  <si>
    <t>CM Controls - Salinas AG Industrial Phase 1 – City of Salinas</t>
  </si>
  <si>
    <t>Conco-West - Monte Vista Collection Subdivision (Onsite) - Stanislaus Co.</t>
  </si>
  <si>
    <t>American Paving</t>
  </si>
  <si>
    <t>Darrel Varni Electric, Inc. - City of Santa Cruz – Rail Trail Segment 7 – Phase 2</t>
  </si>
  <si>
    <t>Cal Electro Inc. - 13th Street OC Pumping Plant Upgrade</t>
  </si>
  <si>
    <t>City of Bakersfield Public Works - Wastewater Treatment Plant No. 3 Septage Processing Unit Rep</t>
  </si>
  <si>
    <t>Semitropic Water Storage Dist. - SWSD 2 Hydro Turbine Repair Project</t>
  </si>
  <si>
    <t>Santa Margarita Water Dist. - Oso Creek Water Reclamation Plant Optimization Project</t>
  </si>
  <si>
    <t>Newtron - Watsonville, City of - Zone 2 Water Res &amp; AirportBPS Mods</t>
  </si>
  <si>
    <t>Darrel Varni Electric, Inc. - GSW, San Benito Co. Sewer Pump Station No. 2</t>
  </si>
  <si>
    <t>Linda County Water Dist. - Aeration Blower Replacement</t>
  </si>
  <si>
    <t>Palmdale Water Dist. - Pure Water AV - Demonstration Facility</t>
  </si>
  <si>
    <t>Granite Construction Co. - Granite Chumash Camp 4 Infrastructure Project</t>
  </si>
  <si>
    <t>Veolia Water West Operating Services, Inc. - Rialto Solids Handling Design-Build Project (Design Phase)</t>
  </si>
  <si>
    <t xml:space="preserve">Bonus </t>
  </si>
  <si>
    <t xml:space="preserve">GAAP </t>
  </si>
  <si>
    <t>% Complete</t>
  </si>
  <si>
    <t>Troxell JH Electrical Inc - Keyes CSD TCP Treatment Impvmts Wells 7,8,9,10</t>
  </si>
  <si>
    <t>Sac Valley Electrica Inc -  Placer County - Creekview Ranch Sewer Lift Station</t>
  </si>
  <si>
    <t xml:space="preserve">50-Jobs </t>
  </si>
  <si>
    <t>50</t>
  </si>
  <si>
    <t>Sonoma Valley County Sanitation Dist. - Sonoma Valley Influent Effluent Upgrade</t>
  </si>
  <si>
    <t>California Water Service Co. - Cal Water Salinas Station 33</t>
  </si>
  <si>
    <t>California Water Service Co. - Cal Water - Salinas Station 57</t>
  </si>
  <si>
    <t>Mozingo Construction Inc - ElD Sly Park Intertie Project</t>
  </si>
  <si>
    <t>Keyes Community Services Dist. - TCP Treatment Impvmts Wells 7,8,9,10</t>
  </si>
  <si>
    <t>City of Hanford - WWTP Standby Influent Pump Install</t>
  </si>
  <si>
    <t>City of Millbrae - Millbrae Sludge Thickener &amp;  Digester No. 2 Rehab Project</t>
  </si>
  <si>
    <t>North of River Sanitary Dist. No. 1 - Sanitary Sewer Rehab Package 21 Remove and Replace</t>
  </si>
  <si>
    <t>56.1010.01</t>
  </si>
  <si>
    <t>Placer County Water Agency - Auburn WTP Removal of 531s from Filter Control Panels</t>
  </si>
  <si>
    <t>East Orange County Water District - EOCWD - On-Call SCADA Integration Services</t>
  </si>
  <si>
    <t>Trabuco Canyon Water Dist.  - SCADA Integration Services</t>
  </si>
  <si>
    <t>SD Electirc, Inc - Morgan Hill, City of - Sanitary Sewer Lift Station K &amp; F Reh</t>
  </si>
  <si>
    <t>California Water Service Co. - SSF-1 - Visalia St. 97 Panelboard Mods</t>
  </si>
  <si>
    <t>SD Electric, Inc - Lathrop, City of - Consolidated Treatment Facility Ph. 3</t>
  </si>
  <si>
    <t>East Orange County Water District - SCADA Field Site RTU Prog Ph.1</t>
  </si>
  <si>
    <t>California Water Service Co. - Cal Water - King City Station 10</t>
  </si>
  <si>
    <t>Gunner Ranch, Inc. - CSA 22C Tank and PW2 Site Improvements</t>
  </si>
  <si>
    <t>City of Bakersfield Public Works - WWTP 3 Digester Gas Booster Blower Replacement Project</t>
  </si>
  <si>
    <t>Nipomo Community Service Dist. - Water Project Interconnection Improvements</t>
  </si>
  <si>
    <t>Tehachapi-Cummings County  Water District - DB – Replace Diesel Engines PP2 and PP3</t>
  </si>
  <si>
    <t>Anaergia Technologies LLC - City of Riverside - Digester 5 Rehabilitation</t>
  </si>
  <si>
    <t>Collins Electric - Watsonville, City of - WWTF Electrical System Hazard Mitigat</t>
  </si>
  <si>
    <t>Las Gallinas Valley Sanitary District - PE Pump Variable Frequency Drives</t>
  </si>
  <si>
    <t>San Jose Water - Williams Back ATS Replacement</t>
  </si>
  <si>
    <t>Bay Tech Engineering - San Francisco Public Utilities Commission (SFPUC) - Geary Un</t>
  </si>
  <si>
    <t>Blocka Construction, Inc - West Bay Sanitary District - Telemetry Panel Replacement</t>
  </si>
  <si>
    <t>From GAAP Op. Statement row 56</t>
  </si>
  <si>
    <t>North of River Sanitary Dist. No. 1 - Sanitary Sewer Rehabilitation Package A</t>
  </si>
  <si>
    <t>Kern Water Bank Authority - Construct New Well 18P01</t>
  </si>
  <si>
    <t>Arvin Edison Water Storage Dist. - Forrest Frick Valve Replacement</t>
  </si>
  <si>
    <t>Kern Water Bank Authority - Cut In Valve at Well 18R01</t>
  </si>
  <si>
    <t>California Water Service Co. - Northeast Plant Lift Station Pipe Repair</t>
  </si>
  <si>
    <t>Kern Water Bank Authority - Install Canal Valve at Well 17P01</t>
  </si>
  <si>
    <t>Kern Water Bank Authority - Install Canal Valve at Well 20A01</t>
  </si>
  <si>
    <t>Kern Water Bank Authority - Install Canal Valve at Well 20C01</t>
  </si>
  <si>
    <t>Kern Water Bank Authority - Install Canal Valve at Well 21A02</t>
  </si>
  <si>
    <t>Kern Water Bank Authority - Install Canal Valve at Well 16J01</t>
  </si>
  <si>
    <t>Kern Water Bank Authority - Install Canal Valve at Well 15N01</t>
  </si>
  <si>
    <t>Kern Water Bank Authority - Install Canal Valve at Well 20L01</t>
  </si>
  <si>
    <t>Inland Empire Utilities - IEUA - RP-1 Solids Thickening Project - EN22044</t>
  </si>
  <si>
    <t>Strategic Mechanical, Inc - Tranquility Irrigation District - Tranquility Well 8 Project</t>
  </si>
  <si>
    <t>A-C Electric Company - Caltrans District 06 - Olive Avenue Pumping Plant</t>
  </si>
  <si>
    <t>Fusion Electric, Inc - San Francisco Utilities Commission (SFPUC) - Moccasin Compou</t>
  </si>
  <si>
    <t>Fusion Electric, Inc - Stockton, City of - N4 Pump Station Improvement Plans of Mar</t>
  </si>
  <si>
    <t>San Jose Water - PLC System Assessment</t>
  </si>
  <si>
    <t>Bay Tech Engineering - West Bay Sanitary District - Stowe Lane Pump Station Project</t>
  </si>
  <si>
    <t>South Orange County Water Agency - CTP &amp; JBL SCADA Upgrade</t>
  </si>
  <si>
    <t>Laguna County Sanitation Dist. - WWTP Storage Pond Slide Gates Replacement</t>
  </si>
  <si>
    <t>Arvin Edison Water Storage Dist. - Frick Unit - Phase I Turnout</t>
  </si>
  <si>
    <t>TNT Industrial Contractors Inc. - WWTF Sodium Hypochlorite Improvements / Chlorine Contact</t>
  </si>
  <si>
    <t>CM Controls - City of Larkspur and Ross Valley Sanitary District – Heather</t>
  </si>
  <si>
    <t>Fusion Electric - Woodland Lift Station Rehabilitation - City of Modesto</t>
  </si>
  <si>
    <t>San Gabriel Valley Water Co. - Power Monitor Replacement at B24 Hydro – San Gabriel Valley</t>
  </si>
  <si>
    <t>City of Chowcilla - Well 15 &amp; Generator Improvement Projects</t>
  </si>
  <si>
    <t>City of Orange Cove - Orange Cove West Clarifier T&amp;M</t>
  </si>
  <si>
    <t>Root Creek Water Dist. - Groundwater - 48-Inch RCP Repair</t>
  </si>
  <si>
    <t>North of River Sanitary Dist. No. 1 - WWTP Digester Gas Scrubber Vessel and Effluent Storage Pond</t>
  </si>
  <si>
    <t>Cawelo Water Dist. - Remove and Replace 24” and 18” Well Line</t>
  </si>
  <si>
    <t>City of Pismo Beach Community Development Dept. - WWTP Clarifier Equipment Replacement</t>
  </si>
  <si>
    <t>North of River Sanitary Dist. No. 1 - Wilson Ave Sewer Repair</t>
  </si>
  <si>
    <t>California Water Service Co. - PFAS Treatment Program Project</t>
  </si>
  <si>
    <t>Anaergia Technologies LLC - VVWRA Digester Dome No. 1 Repair</t>
  </si>
  <si>
    <t>San Jose Water Co. - 3 Mile Station 3000 Amp Switchboard</t>
  </si>
  <si>
    <t>Bullert Industrial Electric, Inc. - Washwater Equalizer Tank Replacement Project – Paradise Irri</t>
  </si>
  <si>
    <t>San Jose Water Co. - Saratoga Plant Feed Pump 1 VFD Replacement</t>
  </si>
  <si>
    <t>From Op. Statement row 48</t>
  </si>
  <si>
    <t>SI Adjustment</t>
  </si>
  <si>
    <t>(1)</t>
  </si>
  <si>
    <t xml:space="preserve">sum of </t>
  </si>
  <si>
    <t>100% of loss is recognized for books, not for tax.</t>
  </si>
  <si>
    <t xml:space="preserve">For tax, need to make an adjustment by taking </t>
  </si>
  <si>
    <t>actual %age complete and tax difference as income.</t>
  </si>
  <si>
    <t>For the 3 Months Period Ended 3/31/25</t>
  </si>
  <si>
    <t>FISCAL YEAR ENDING 12/31/25</t>
  </si>
  <si>
    <t>New England Sheet Metal and Mechanical Co.</t>
  </si>
  <si>
    <t>Rocklin Overhead 2025</t>
  </si>
  <si>
    <t>Rocklin Estimating 2025</t>
  </si>
  <si>
    <t>Schneider Electric - City of Ceres WWTP Phase 1- Schneider Electric</t>
  </si>
  <si>
    <t>Fresno Overhead 2025</t>
  </si>
  <si>
    <t>Fresno Estimating 2025</t>
  </si>
  <si>
    <t>Malaga County Water Dist. - Malaga County Water District</t>
  </si>
  <si>
    <t>California Water Service Co. - Salinas Station 205</t>
  </si>
  <si>
    <t>New England Sheet Metal and Mechanical Co. - Valley Children's Hospital NESM Trench Limits</t>
  </si>
  <si>
    <t>City of Sanger - Public Works Dept. - City of Sanger WWTP- Remove and Install Valves T&amp;M</t>
  </si>
  <si>
    <t>City of Dinuba - WWTP Rake Replacement</t>
  </si>
  <si>
    <t>County of Fresno - Quail Lakes Repair at Bodega Bay Rd</t>
  </si>
  <si>
    <t>2025</t>
  </si>
  <si>
    <t>OH</t>
  </si>
  <si>
    <t>East Bay Overhead 2025</t>
  </si>
  <si>
    <t>East Bay Estimating 2026</t>
  </si>
  <si>
    <t>City of Guadalupe - Effluent Pump Station Flow Meter Installation</t>
  </si>
  <si>
    <t>Semitropic Water Storage Dist. - Pond Poso Pumping Plant Pipe Repair</t>
  </si>
  <si>
    <t>Bakersfield Overhead 2025</t>
  </si>
  <si>
    <t>Bakersfield Estimating 2025</t>
  </si>
  <si>
    <t>City of Guadalupe - Guadalupe Pioneer Lift Station Replacement</t>
  </si>
  <si>
    <t>City of Santa Maria - WWTP Trickling Filter Repairs</t>
  </si>
  <si>
    <t>City of Santa Maria - WWTP Clarifier Repairs</t>
  </si>
  <si>
    <t>Semitropic Water Storage Dist. - Delta System Pipe Repair</t>
  </si>
  <si>
    <t>Cawelo Water Dist. - CWD Pump Station Pipe Repair</t>
  </si>
  <si>
    <t>Kern Sanitation Authority - KSA Trickling Filter Bracket Replacement</t>
  </si>
  <si>
    <t>Laguna County Sanitation Dist. - Laguna WWTP Flow Meter FIT-7000 Replacement</t>
  </si>
  <si>
    <t>Semitropic Water Storage Dist. - Amendment No. 19 Operate 300 CFS RWPP 2025</t>
  </si>
  <si>
    <t>Shafter-Wasco Irrigation Dist. - 7th Street Pipe Repair</t>
  </si>
  <si>
    <t>Westside Water Authority - Pump Station A - Electrical Controls and Civil</t>
  </si>
  <si>
    <t>Kern Valley State Prison - Arsenic Pipe Leak Repair</t>
  </si>
  <si>
    <t>Woodard &amp; Curran, Inc. - VVWRA Magnesium Hydroxide Feed System Upgrade</t>
  </si>
  <si>
    <t>Murrieta Overhead 2025</t>
  </si>
  <si>
    <t>Murrieta Estimating 2025</t>
  </si>
  <si>
    <t>San Diego Overhead 2025</t>
  </si>
  <si>
    <t>San Diego Estimating 2025</t>
  </si>
  <si>
    <t>Los Angeles Overhead 2025</t>
  </si>
  <si>
    <t>Los Angeles Estimating 2025</t>
  </si>
  <si>
    <t>Placer County Water Agency -PCWA Time &amp; Material Contract</t>
  </si>
  <si>
    <t>California Water Service Co. - Stockton Station 66-02 Panelboard Replacement - California W</t>
  </si>
  <si>
    <t>California Water Service Co. -Pkg 1 Bakersfield &amp; Arden PFAS RF</t>
  </si>
  <si>
    <t>City of Napa - On-Call Control Systems Integrator Services</t>
  </si>
  <si>
    <t>Rancho Murieta Community Service District - RFP for Replacement of WTP SCADA</t>
  </si>
  <si>
    <t>City of Clovis - Pump Station E New Pump 5 VFD Startup</t>
  </si>
  <si>
    <t>West Valley Water District - Furnish Planning Services for SCADA, Instrumentation, and SM</t>
  </si>
  <si>
    <t>System Integration Overhead 2025</t>
  </si>
  <si>
    <t>&lt; 250k</t>
  </si>
  <si>
    <t>.</t>
  </si>
  <si>
    <t>W.M. Lyles Co. - Graham Hill WTP Facility Improvements - City of Santa Cruz</t>
  </si>
  <si>
    <t>Area</t>
  </si>
  <si>
    <t>JV Description</t>
  </si>
  <si>
    <t>JV % Owned</t>
  </si>
  <si>
    <t>WML % JV Contract</t>
  </si>
  <si>
    <t>WML % Earned Revenue</t>
  </si>
  <si>
    <t>WML % JV Backlog</t>
  </si>
  <si>
    <t>WML % Expected Profit</t>
  </si>
  <si>
    <t>WML %     JTD Profit</t>
  </si>
  <si>
    <t>WML % Remaining Profit</t>
  </si>
  <si>
    <t>JOINT VENTURE</t>
  </si>
  <si>
    <t>Rocklin Subtotal</t>
  </si>
  <si>
    <t>Fresno Subtotal</t>
  </si>
  <si>
    <t>East Bay Subtotal</t>
  </si>
  <si>
    <t>Bakersfield Subtotal</t>
  </si>
  <si>
    <t>Northern Subtotals</t>
  </si>
  <si>
    <t>Murrieta Subtotal</t>
  </si>
  <si>
    <t>San Diego Subtotal</t>
  </si>
  <si>
    <t>Los Angeles Subtotal</t>
  </si>
  <si>
    <t>Southern Subtotals</t>
  </si>
  <si>
    <t>System Integration Subtotal</t>
  </si>
  <si>
    <t>WML Jobs Total</t>
  </si>
  <si>
    <t>JV Total</t>
  </si>
  <si>
    <t>New England Sheet Metal and Mechanical Co. - Clovis South T&amp;M</t>
  </si>
  <si>
    <t>New England Sheet Metal and Mechanical Co. - VCH Service Meter Connections</t>
  </si>
  <si>
    <t>Pixley Public Utility District - Pixley WWTF - STM-Aerotor Repair</t>
  </si>
  <si>
    <t>Lyles Services Co. - LSC GO Trash Enclosure</t>
  </si>
  <si>
    <t>City of Santa Maria - Santa Maria WWTP Digester Pipe Modifications</t>
  </si>
  <si>
    <t>Arvin Edison Water Storage Dist. - Tejon Spreading Ground Pipe Installation</t>
  </si>
  <si>
    <t>Arvin Edison Water Storage Dist. - Bar Screen Concrete Collection Pads</t>
  </si>
  <si>
    <t>South Orange County Water Authority - PLC Programming Support - South Orange County Wastewater Aut</t>
  </si>
  <si>
    <t>San Gabrial Valley Water Companyy - WNOU Plant Replacement Flow Transmitters</t>
  </si>
  <si>
    <t>El Dorado Irrigation Dist. - EID Reservoir A WTP Backwash-to-waste Valve Repalcement</t>
  </si>
  <si>
    <t>American Paving Co. - Hot Tap for APC- Tule River Parkway</t>
  </si>
  <si>
    <t>City of Tulare - Industrial WWTP Dewatering Improvements Pro</t>
  </si>
  <si>
    <t>City of Atascadero - Atascadero Lift Stations 4 &amp; 11 Rehab Project</t>
  </si>
  <si>
    <t>Arvin Edison Water Storage Dist. - HQ Concrete R&amp;R</t>
  </si>
  <si>
    <t>Arvin Edison Water Storage Dist. - Tejon Spreading Grounds Basin Repairs</t>
  </si>
  <si>
    <t>East Niles Community Service Dist. - Freeway Tank and College Ave Repairs</t>
  </si>
  <si>
    <t>City of Arvin - Haven Drive Lateral Repair</t>
  </si>
  <si>
    <t>Bullert Industrial Electric, Inc - Pkg 3 Chico PFAS RFP (CTS) - California Water Service</t>
  </si>
  <si>
    <t>Bullert Industrial Electric, Inc - Pkg 3 Chico PFAS RFP (WVC) - California Water Service</t>
  </si>
  <si>
    <t>California Water Service Company - Salinas District Station 304 Panelboard Replacement - Califo</t>
  </si>
  <si>
    <t>System Integration Division Estimating 2025</t>
  </si>
  <si>
    <t>City of Hanford - WWTP Repair T&amp;M</t>
  </si>
  <si>
    <t>Lyles Services Co. - LSC GO Misc. Work</t>
  </si>
  <si>
    <t>Lakeside Ditch Co. - Lakeland Radial Gate Repair (T&amp;M)</t>
  </si>
  <si>
    <t>Semitropic Water Storage Dist. - Pond Poso Pumping Plant Siphon Pipe Replacement Project</t>
  </si>
  <si>
    <t>Cawelo Water Dist. - Friant-Kern Canal Pump Station</t>
  </si>
  <si>
    <t>County of Santa Barbara Public Works - Laguna CSD  - C-Channel Installation</t>
  </si>
  <si>
    <t>City of Atascadero - Atascadero Lift Station 6 Pipe Replacement</t>
  </si>
  <si>
    <t>JV w/City of Banning - Wastewater Treatment Plant Recycled Water</t>
  </si>
  <si>
    <t>Advanced Integration &amp; Controls</t>
  </si>
  <si>
    <t>JV WORK IN PROCESS-GAAP BASIS</t>
  </si>
  <si>
    <t>AREA</t>
  </si>
  <si>
    <t>Northern</t>
  </si>
  <si>
    <t>Southern</t>
  </si>
  <si>
    <t>JV WORK IN PROCESS</t>
  </si>
  <si>
    <t>Full JV</t>
  </si>
  <si>
    <t>PRIOR YR</t>
  </si>
  <si>
    <t xml:space="preserve">CURRENT </t>
  </si>
  <si>
    <t>JTD PROFIT</t>
  </si>
  <si>
    <t>JV Projects</t>
  </si>
  <si>
    <t xml:space="preserve">Silverlake </t>
  </si>
  <si>
    <t>WML Portion</t>
  </si>
  <si>
    <t>% of JV</t>
  </si>
  <si>
    <t>CONTRACT AMOUNT</t>
  </si>
  <si>
    <t>EST. TOTALS COSTS</t>
  </si>
  <si>
    <t>EXPECTED PROFIT</t>
  </si>
  <si>
    <t>JOB TO DATE JOB COSTS</t>
  </si>
  <si>
    <t>JOB TO DATE PROFIT/LOSS</t>
  </si>
  <si>
    <t>JOB TO DATE EARNED REV.</t>
  </si>
  <si>
    <t>EST. COST TO COMPLETE</t>
  </si>
  <si>
    <t>CONTRACT BALANCE</t>
  </si>
  <si>
    <t>PRIOR YR JTD PROFIT</t>
  </si>
  <si>
    <t>CURRENT YTD PROFIT</t>
  </si>
  <si>
    <t xml:space="preserve">Northern </t>
  </si>
  <si>
    <t>JTD Profit Comparison</t>
  </si>
  <si>
    <t>BONUS</t>
  </si>
  <si>
    <t>Northern &amp; Southern Subtotals</t>
  </si>
  <si>
    <t>AIC - Core Electrical Services, Inc. - Corte Madera, Town of - Paradise PS RehabiProject</t>
  </si>
  <si>
    <t>AIC - Irvin Rranch District - MWRP Fueling Facility CP-100 Programming</t>
  </si>
  <si>
    <t>AIC - Irvine Ranch Water District - Michelson Water Recycling Plan</t>
  </si>
  <si>
    <t>AIC - SCADA System Upgrade - City of Brentwood</t>
  </si>
  <si>
    <t>AIC - San Benito County Water District - West Hills WTP Exp. - San Benito County WD - Royal</t>
  </si>
  <si>
    <t>AIC - Willitts Equipment &amp; Engineering Co., Inc. - Washington &amp; S. Union PP Repair- Caltrans District</t>
  </si>
  <si>
    <t>AIC - Monterey Mechanical Co. - Tunnel SCADA Integration Config - Caltrans Distric</t>
  </si>
  <si>
    <t>AIC - Koch &amp; Koch, Inc. - Monte Vista Tank Replacement Project – Placer Coun</t>
  </si>
  <si>
    <t>AIC - Cal Signal Corp - SR211 Fernbridge Eel River Bridge Seismic Gates -</t>
  </si>
  <si>
    <t>AIC - San Joaquin Electric - Pkg 4 Livermore &amp; Stockton PFAS RFP – California W</t>
  </si>
  <si>
    <t>AIC - City of Davis - Programming and Panel Modifications at Turnout Sit</t>
  </si>
  <si>
    <t>AIC - Fusion Electric, Inc.. - Moccasin WWTP Replacement - San Francisco Public U</t>
  </si>
  <si>
    <t>AIC - Al Fresco Landscape Management Inc. - East Garrison Autodialer Replacement - County of M</t>
  </si>
  <si>
    <t>AIC - California American Water - Luzern Well Treatment Design</t>
  </si>
  <si>
    <t>AIC - Westside Water Authority - Pump Station A On-Site Support - Westside Water Au</t>
  </si>
  <si>
    <t>AIC - Central Sierra Electric Co., Inc. - Industrial WWTF - City of Gonzales - Central Sierr</t>
  </si>
  <si>
    <t>AIC - UC Davis - WWTP Annual Instrument Calibrations</t>
  </si>
  <si>
    <t>AIC - SD Electric Inc. - Chrysler Stormwater Pump Station Switchboard - Cit</t>
  </si>
  <si>
    <t>AIC - Strategic Mechanical - Construction Plans for 2-Water Booster Pump Statio</t>
  </si>
  <si>
    <t>AIC - San Joaquin Electric, Inc.  -WQCF Sludge Thickener and Dewatering Unit No. 3 Pro</t>
  </si>
  <si>
    <t>AIC - West Bay Sanitary District  - West Bay Sanitary District - Soft Starter Retrofit</t>
  </si>
  <si>
    <t>AIC - UC Davis  - Landfill Flare PLC &amp; SCADA Integration - UC Davis</t>
  </si>
  <si>
    <t>AIC - Cupertino Electric Inc.- Eagle Rock Aggregrates Oakland Terminal - Port of</t>
  </si>
  <si>
    <t>AIC - Fowler Electric Services Inc.  - Third Street Pump Station - San Rafael Sanitation</t>
  </si>
  <si>
    <t>AIC - Fowler Electric Services Inc.  - Parr Tank and Pipeline Project – North Gualala Wat</t>
  </si>
  <si>
    <t>AIC - Auburn Constructors, LLC - Colfax Water Treatment Plant Replacement Project – Placer Co</t>
  </si>
  <si>
    <t>AIC - Con J. Franke Electric Inc. - San Joaquin Pipeline Valve and Safe Entry Improvements Phase</t>
  </si>
  <si>
    <t>AIC - RMCSD - VEEAM SFTWR</t>
  </si>
  <si>
    <t>AIC - North Star Construction - Sweeney Ranch Pump Station Pumps &amp; Temp Electrical – Sacrame</t>
  </si>
  <si>
    <t xml:space="preserve">AIC - UC Davis  - CABA Well Pump Station Rehabilitation – UC Davis </t>
  </si>
  <si>
    <t>AIC - UC Davis  - CABA Ag Pump Station Rehabilitation – UC Davis</t>
  </si>
  <si>
    <t>AIC - Cupertino Electric Inc. - Headworks (Cupertino Troubleshooting Project) - San Francisc</t>
  </si>
  <si>
    <t xml:space="preserve">AIC - San Joaquin Electric - Lurline Check and Siphon Replacement Project - Glenn-Colusa </t>
  </si>
  <si>
    <t>AIC - Blocka Construction Inc. - Glenview Reservoir Recoating and Tank Improvements - San Jos</t>
  </si>
  <si>
    <t>Stockton Phase 1 &amp; 2</t>
  </si>
  <si>
    <t>WML Holds the Contract</t>
  </si>
  <si>
    <t>AIC Holds the Contract</t>
  </si>
  <si>
    <t>City of Galt Public Works - Industrial WWTP Expansion</t>
  </si>
  <si>
    <t>County of Fresno - 47 Water</t>
  </si>
  <si>
    <t>New England Sheet Metal and Mechanical Co. - FUSD Wilson Elementary T&amp;M</t>
  </si>
  <si>
    <t>County of Fresno - CSA 47 Egret Point Water Line Repair</t>
  </si>
  <si>
    <t>Mojave Groundwater Storage LLC - Mojave Water Bank Northern Pipeline Facilities Construction</t>
  </si>
  <si>
    <t>Arvin Edison Water Storage Dist. - FFPP Core Drilling</t>
  </si>
  <si>
    <t>AIC - San Jose Water Co - Montevina PLC Upgrade</t>
  </si>
  <si>
    <t>AIC - San Jose Water Co - PLC System Assessment</t>
  </si>
  <si>
    <t>City of Banning</t>
  </si>
  <si>
    <t>Sacramento Area Sewer Dist. - SASD Influent Pump Nos. 2 and 5 Installation Project</t>
  </si>
  <si>
    <t>City of Hanford - WWTP Weld Repair T&amp;M 2</t>
  </si>
  <si>
    <t>Arvin Edison Water Storage Dist. - FFPP Modernization Concrete R&amp;R</t>
  </si>
  <si>
    <t>Lost Hills Utility Dist. - WTP Improvements</t>
  </si>
  <si>
    <t>Cawelo Water Dist. - Reuse of Produced Water</t>
  </si>
  <si>
    <t>Semitropic Water Storage Dist. - Pump Platform Replacement Project</t>
  </si>
  <si>
    <t>City of Riverside - RWQCP Emergency Repair</t>
  </si>
  <si>
    <t>Anaergia Technologies, LLC - East County Package 5 - Phase 1B</t>
  </si>
  <si>
    <t>City of Visalia - Solids Handling Improvements Project</t>
  </si>
  <si>
    <t>California Water Service Co. - Visalia Station 200 - New Storage Tank &amp; Booster</t>
  </si>
  <si>
    <t>County of Fresno - Westside Water Tank and Pump Station</t>
  </si>
  <si>
    <t>Union Sanitary Dist. - Phase 1B Secondary Clarifiers</t>
  </si>
  <si>
    <t>Semitropic Water Storage Dist. - North Plant Emergency Repair</t>
  </si>
  <si>
    <t xml:space="preserve">Nipomo CSD Osage Emergency Waterline Repair </t>
  </si>
  <si>
    <t>SWID - Burbank St. Repair</t>
  </si>
  <si>
    <t>AIC - Riverside Public Works - Digester 5 Rehab</t>
  </si>
  <si>
    <t>City of Chico - Chico Primary Clarifiers No. 1-3 Rehabilitation Project</t>
  </si>
  <si>
    <t>County of Fresno - CSA 44A Wastewater Improvements</t>
  </si>
  <si>
    <t>County of Fresno - 47.1 Water</t>
  </si>
  <si>
    <t>City of Dinuba - WWTP Bar Screen Motor Bracket Repair</t>
  </si>
  <si>
    <t>Kern Water Bank Authority - Valve Replacement Parts</t>
  </si>
  <si>
    <t>Nipomo Community Service Dist. - Frontage Road Sewer Trunk Line</t>
  </si>
  <si>
    <t>Moorefield Construction Inc. - Hard Rock Tejon AEWSD Line Relocation</t>
  </si>
  <si>
    <t>Arvin Edison Water Storage Dist. - Sycamore Well 39 Earthwork</t>
  </si>
  <si>
    <t>Arvin Edison Water Storage Dist. - Tejon Well 102 Earthwork</t>
  </si>
  <si>
    <t>Anaergia Technologies LLC - City of Riverside - OPS</t>
  </si>
  <si>
    <t>Imperial Irrigation Dist. - El Centro Generating Station WWTP</t>
  </si>
  <si>
    <t>AIC - City of Brentwood - Brentwood, City of - On-Call Agreement</t>
  </si>
  <si>
    <t>Cawelo Water Dist. - Cawelo Diversion Structure Rehab</t>
  </si>
  <si>
    <t>California Water Service Co. - BK 147 Station Improvements</t>
  </si>
  <si>
    <t>GenerateUpcycle - Organics Waste Processing Facility</t>
  </si>
  <si>
    <t>For the 12 Months Period Ended 12/31/25</t>
  </si>
  <si>
    <t>For the Month Ended December 31, 2025</t>
  </si>
  <si>
    <t>For the Month Period Ended 12/31/2025</t>
  </si>
  <si>
    <t>CA Water Service Co. - Stockton Roofing</t>
  </si>
  <si>
    <t>City of Yuba City - WTP Aquifer Storage and Recovery Well No. 3</t>
  </si>
  <si>
    <t>California Water Service Co. - Tesoro Viejo ARV Replacement</t>
  </si>
  <si>
    <t>City of Visalia - Remove &amp; Replace Chain and Flight Mechanic</t>
  </si>
  <si>
    <t>New England Sheet Metal and Mechanical Co. - VCH Digging Water Line T&amp;M</t>
  </si>
  <si>
    <t>New England Sheet Metal and Mechanical Co. - Vitro Glass Plant Concrete Pad T&amp;M</t>
  </si>
  <si>
    <t>California Water Service Co. - Tesoro Viejo RWSP Liner Repair</t>
  </si>
  <si>
    <t>Nipomo Community Service Dist. - Tefft Emergency Pipe Repair</t>
  </si>
  <si>
    <t>County of Santa Barbara-Public Works - Laguna WWTP WAS Pipe Modifications</t>
  </si>
  <si>
    <t>California Water Service Co. - Emergency PACL leak repair</t>
  </si>
  <si>
    <t>Job 54.9269 is a T&amp;M job.   For Bonus Basis, we recognized the estimated contract value and profits for the work performed.  For GAAP, we only recognized the services performed &amp; billed.</t>
  </si>
  <si>
    <t>Job 55.1233 is associated with the Joint Venture agreement WML has with AECOM.  This job represents the engineering staffs consulting services and construction work.   For Bonus Basis, we recognized the total estimated services expected to provide.  For GAAP, we only recognize the services already performed since there is no contract for this work.</t>
  </si>
  <si>
    <t>Job 55.1254 is associated with the Joint Venture agreement WML has with AECOM.  This job represents the engineering staffs consulting services and construction work.   For Bonus Basis, we recognized the total estimated services expected to provide.  For GAAP, we only recognize the services already performed since there is no contract for this work.</t>
  </si>
  <si>
    <t>Job 54.9414 is a T&amp;M job.   For Bonus Basis, we recognized projected profit.  For GAAP, we only recognized the profit on services performed &amp; billed.</t>
  </si>
  <si>
    <t>Job 57.0007 is a T&amp;M job.   For Bonus Basis, we recognized projected profit.  For GAAP, we only recognized the profit on services performed &amp; billed.</t>
  </si>
  <si>
    <t>Job 56.1075 is expected to have a contract value of $950,000 but for GAAP, we are only recognizing the profit on services performed &amp; billed.</t>
  </si>
  <si>
    <t>Job 56.1015 is expected to have a contract value of $230,000 but the current value is only $160,000.</t>
  </si>
  <si>
    <t>- This is a Joint Venture job - The work is being performed on a T&amp;M basis and additional work will be completed in the new year.</t>
  </si>
  <si>
    <t xml:space="preserve"> - This job is not complete, additional work to be completed in the new year</t>
  </si>
  <si>
    <t>Job 52.8636 had a last minute GAAP contract amount change to $3,656,112 but bonus was left at original $3,642,197.</t>
  </si>
  <si>
    <t>2024 Job to Date</t>
  </si>
  <si>
    <t>Net change for the period 1/1/25-12/31/25</t>
  </si>
  <si>
    <t>Net Income (Loss) from Operations for the period 1/1/25-12/31/25</t>
  </si>
  <si>
    <t>2025 book to tax diff</t>
  </si>
  <si>
    <t>Percent Profit</t>
  </si>
  <si>
    <t>Project Percent Complete</t>
  </si>
  <si>
    <t>WML &amp; JV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</si>
</sst>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0.0_);\(#,##0.0\)"/>
    <numFmt numFmtId="165" formatCode="0.0%"/>
    <numFmt numFmtId="166" formatCode="_(* #,##0_);_(* \(#,##0\);_(* &quot;-&quot;??_);_(@_)"/>
    <numFmt numFmtId="167" formatCode="0000"/>
    <numFmt numFmtId="168" formatCode="[$-409]mmmm\ d\,\ yyyy;@"/>
    <numFmt numFmtId="169" formatCode="#,##0.0000_);\(#,##0.0000\)"/>
    <numFmt numFmtId="170" formatCode="0.0000"/>
    <numFmt numFmtId="171" formatCode="_(* #,##0.000_);_(* \(#,##0.000\);_(* &quot;-&quot;??_);_(@_)"/>
    <numFmt numFmtId="172" formatCode="_(* #,##0.00000000_);_(* \(#,##0.00000000\);_(* &quot;-&quot;??_);_(@_)"/>
    <numFmt numFmtId="173" formatCode="0.0000000000000000000000000000000000000000000000000000000E+00"/>
  </numFmts>
  <fonts count="80">
    <font>
      <sz val="10"/>
      <name val="Arial"/>
    </font>
    <font>
      <sz val="10"/>
      <name val="Arial"/>
      <family val="2"/>
    </font>
    <font>
      <sz val="8"/>
      <name val="Arial"/>
      <family val="2"/>
    </font>
    <font>
      <b/>
      <sz val="16"/>
      <name val="Arial"/>
      <family val="2"/>
    </font>
    <font>
      <sz val="12"/>
      <name val="Arial"/>
      <family val="2"/>
    </font>
    <font>
      <b/>
      <sz val="12"/>
      <name val="Arial"/>
      <family val="2"/>
    </font>
    <font>
      <sz val="10"/>
      <name val="Arial"/>
      <family val="2"/>
    </font>
    <font>
      <b/>
      <sz val="12"/>
      <name val="Arial"/>
      <family val="2"/>
    </font>
    <font>
      <sz val="8"/>
      <color indexed="8"/>
      <name val="Arial"/>
      <family val="2"/>
    </font>
    <font>
      <b/>
      <sz val="10"/>
      <name val="Arial"/>
      <family val="2"/>
    </font>
    <font>
      <sz val="8"/>
      <color indexed="81"/>
      <name val="Tahoma"/>
      <family val="2"/>
    </font>
    <font>
      <b/>
      <sz val="8"/>
      <color indexed="81"/>
      <name val="Tahoma"/>
      <family val="2"/>
    </font>
    <font>
      <b/>
      <sz val="8"/>
      <name val="Arial"/>
      <family val="2"/>
    </font>
    <font>
      <u/>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Narrow"/>
      <family val="2"/>
    </font>
    <font>
      <sz val="10"/>
      <name val="MS Sans Serif"/>
      <family val="2"/>
    </font>
    <font>
      <sz val="10"/>
      <name val="CG Omega"/>
    </font>
    <font>
      <sz val="10"/>
      <color indexed="8"/>
      <name val="Arial"/>
      <family val="2"/>
    </font>
    <font>
      <sz val="8"/>
      <color theme="3"/>
      <name val="Arial"/>
      <family val="2"/>
    </font>
    <font>
      <sz val="8"/>
      <color theme="1"/>
      <name val="Arial"/>
      <family val="2"/>
    </font>
    <font>
      <b/>
      <sz val="8"/>
      <color theme="1"/>
      <name val="Arial"/>
      <family val="2"/>
    </font>
    <font>
      <sz val="12"/>
      <color theme="1"/>
      <name val="Arial"/>
      <family val="2"/>
    </font>
    <font>
      <i/>
      <sz val="8"/>
      <color theme="1"/>
      <name val="Arial Narrow"/>
      <family val="2"/>
    </font>
    <font>
      <sz val="10"/>
      <color theme="1"/>
      <name val="Arial"/>
      <family val="2"/>
    </font>
    <font>
      <b/>
      <sz val="12"/>
      <color theme="1"/>
      <name val="Arial"/>
      <family val="2"/>
    </font>
    <font>
      <sz val="12"/>
      <color rgb="FF0070C0"/>
      <name val="Arial"/>
      <family val="2"/>
    </font>
    <font>
      <sz val="8"/>
      <color rgb="FF0070C0"/>
      <name val="Arial"/>
      <family val="2"/>
    </font>
    <font>
      <i/>
      <sz val="8"/>
      <color rgb="FF0070C0"/>
      <name val="Arial Narrow"/>
      <family val="2"/>
    </font>
    <font>
      <b/>
      <sz val="8"/>
      <color rgb="FF0070C0"/>
      <name val="Arial"/>
      <family val="2"/>
    </font>
    <font>
      <sz val="10"/>
      <color rgb="FF0070C0"/>
      <name val="Arial"/>
      <family val="2"/>
    </font>
    <font>
      <b/>
      <sz val="12"/>
      <color rgb="FF00B050"/>
      <name val="Arial"/>
      <family val="2"/>
    </font>
    <font>
      <b/>
      <sz val="12"/>
      <color rgb="FF0070C0"/>
      <name val="Arial"/>
      <family val="2"/>
    </font>
    <font>
      <i/>
      <sz val="8"/>
      <color rgb="FF0070C0"/>
      <name val="Arial"/>
      <family val="2"/>
    </font>
    <font>
      <b/>
      <i/>
      <sz val="8"/>
      <color rgb="FF0070C0"/>
      <name val="Arial Narrow"/>
      <family val="2"/>
    </font>
    <font>
      <sz val="7"/>
      <color rgb="FF0070C0"/>
      <name val="Arial"/>
      <family val="2"/>
    </font>
    <font>
      <sz val="8"/>
      <color rgb="FF7030A0"/>
      <name val="Arial"/>
      <family val="2"/>
    </font>
    <font>
      <sz val="8"/>
      <color rgb="FFFF0000"/>
      <name val="Arial"/>
      <family val="2"/>
    </font>
    <font>
      <sz val="8"/>
      <color theme="1"/>
      <name val="Arial Narrow"/>
      <family val="2"/>
    </font>
    <font>
      <b/>
      <sz val="8"/>
      <color rgb="FF7030A0"/>
      <name val="Arial"/>
      <family val="2"/>
    </font>
    <font>
      <sz val="8"/>
      <color theme="3" tint="0.39997558519241921"/>
      <name val="Arial"/>
      <family val="2"/>
    </font>
    <font>
      <b/>
      <sz val="10"/>
      <color indexed="8"/>
      <name val="Arial"/>
      <family val="2"/>
    </font>
    <font>
      <b/>
      <sz val="10"/>
      <color rgb="FF0070C0"/>
      <name val="Arial"/>
      <family val="2"/>
    </font>
    <font>
      <b/>
      <sz val="14"/>
      <name val="Calibri"/>
      <family val="2"/>
      <scheme val="minor"/>
    </font>
    <font>
      <sz val="10"/>
      <name val="Calibri"/>
      <family val="2"/>
      <scheme val="minor"/>
    </font>
    <font>
      <b/>
      <sz val="10"/>
      <name val="Calibri"/>
      <family val="2"/>
      <scheme val="minor"/>
    </font>
    <font>
      <sz val="10"/>
      <color rgb="FF7030A0"/>
      <name val="Calibri"/>
      <family val="2"/>
      <scheme val="minor"/>
    </font>
    <font>
      <b/>
      <sz val="10"/>
      <color rgb="FF7030A0"/>
      <name val="Calibri"/>
      <family val="2"/>
      <scheme val="minor"/>
    </font>
    <font>
      <sz val="10"/>
      <name val="CG Omega"/>
      <family val="2"/>
    </font>
    <font>
      <sz val="10"/>
      <color rgb="FFFF0000"/>
      <name val="Arial"/>
      <family val="2"/>
    </font>
    <font>
      <sz val="8"/>
      <color indexed="8"/>
      <name val="Calibri"/>
      <family val="2"/>
    </font>
    <font>
      <sz val="8"/>
      <color theme="0" tint="-0.499984740745262"/>
      <name val="Arial"/>
      <family val="2"/>
    </font>
    <font>
      <sz val="8"/>
      <color theme="0" tint="-0.499984740745262"/>
      <name val="Arial Narrow"/>
      <family val="2"/>
    </font>
    <font>
      <sz val="11"/>
      <color theme="0" tint="-0.499984740745262"/>
      <name val="Calibri"/>
      <family val="2"/>
    </font>
    <font>
      <sz val="10"/>
      <color theme="0" tint="-0.499984740745262"/>
      <name val="Arial"/>
      <family val="2"/>
    </font>
    <font>
      <b/>
      <sz val="8"/>
      <color theme="0" tint="-0.499984740745262"/>
      <name val="Arial"/>
      <family val="2"/>
    </font>
    <font>
      <sz val="8"/>
      <name val="Calibri"/>
      <family val="2"/>
      <scheme val="minor"/>
    </font>
    <font>
      <b/>
      <i/>
      <sz val="8"/>
      <color rgb="FFFF0000"/>
      <name val="Arial"/>
      <family val="2"/>
    </font>
    <font>
      <sz val="8"/>
      <color rgb="FF00B050"/>
      <name val="Arial"/>
      <family val="2"/>
    </font>
    <font>
      <sz val="8"/>
      <name val="Arial"/>
      <family val="2"/>
    </font>
    <font>
      <sz val="10"/>
      <name val="Arial"/>
      <family val="2"/>
    </font>
    <font>
      <b/>
      <sz val="12"/>
      <name val="Calibri"/>
      <family val="2"/>
      <scheme val="minor"/>
    </font>
    <font>
      <b/>
      <sz val="10"/>
      <color rgb="FFFF0000"/>
      <name val="Arial"/>
      <family val="2"/>
    </font>
    <font>
      <u/>
      <sz val="1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9"/>
      </patternFill>
    </fill>
    <fill>
      <patternFill patternType="solid">
        <fgColor indexed="26"/>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FF00"/>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top style="thin">
        <color indexed="64"/>
      </top>
      <bottom style="double">
        <color indexed="64"/>
      </bottom>
      <diagonal/>
    </border>
    <border>
      <left/>
      <right/>
      <top style="hair">
        <color indexed="64"/>
      </top>
      <bottom/>
      <diagonal/>
    </border>
    <border>
      <left/>
      <right/>
      <top/>
      <bottom style="thin">
        <color indexed="8"/>
      </bottom>
      <diagonal/>
    </border>
    <border>
      <left/>
      <right/>
      <top style="thin">
        <color indexed="64"/>
      </top>
      <bottom/>
      <diagonal/>
    </border>
    <border>
      <left/>
      <right/>
      <top style="thin">
        <color indexed="64"/>
      </top>
      <bottom style="dashed">
        <color indexed="64"/>
      </bottom>
      <diagonal/>
    </border>
    <border>
      <left/>
      <right/>
      <top/>
      <bottom style="hair">
        <color auto="1"/>
      </bottom>
      <diagonal/>
    </border>
    <border>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auto="1"/>
      </bottom>
      <diagonal/>
    </border>
  </borders>
  <cellStyleXfs count="71">
    <xf numFmtId="0" fontId="0"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5" borderId="0" applyNumberFormat="0" applyBorder="0" applyAlignment="0" applyProtection="0"/>
    <xf numFmtId="0" fontId="14" fillId="8" borderId="0" applyNumberFormat="0" applyBorder="0" applyAlignment="0" applyProtection="0"/>
    <xf numFmtId="0" fontId="14" fillId="11"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9" borderId="0" applyNumberFormat="0" applyBorder="0" applyAlignment="0" applyProtection="0"/>
    <xf numFmtId="0" fontId="16" fillId="3" borderId="0" applyNumberFormat="0" applyBorder="0" applyAlignment="0" applyProtection="0"/>
    <xf numFmtId="0" fontId="17" fillId="20" borderId="1" applyNumberFormat="0" applyAlignment="0" applyProtection="0"/>
    <xf numFmtId="0" fontId="18" fillId="21"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3" fillId="0" borderId="0" applyFont="0" applyFill="0" applyBorder="0" applyAlignment="0" applyProtection="0"/>
    <xf numFmtId="44" fontId="33" fillId="0" borderId="0" applyFont="0" applyFill="0" applyBorder="0" applyAlignment="0" applyProtection="0"/>
    <xf numFmtId="0" fontId="19" fillId="0" borderId="0" applyNumberFormat="0" applyFill="0" applyBorder="0" applyAlignment="0" applyProtection="0"/>
    <xf numFmtId="0" fontId="20" fillId="4" borderId="0" applyNumberFormat="0" applyBorder="0" applyAlignment="0" applyProtection="0"/>
    <xf numFmtId="0" fontId="21" fillId="0" borderId="3" applyNumberFormat="0" applyFill="0" applyAlignment="0" applyProtection="0"/>
    <xf numFmtId="0" fontId="22" fillId="0" borderId="4" applyNumberFormat="0" applyFill="0" applyAlignment="0" applyProtection="0"/>
    <xf numFmtId="0" fontId="23" fillId="0" borderId="5" applyNumberFormat="0" applyFill="0" applyAlignment="0" applyProtection="0"/>
    <xf numFmtId="0" fontId="23" fillId="0" borderId="0" applyNumberFormat="0" applyFill="0" applyBorder="0" applyAlignment="0" applyProtection="0"/>
    <xf numFmtId="0" fontId="24" fillId="7" borderId="1" applyNumberFormat="0" applyAlignment="0" applyProtection="0"/>
    <xf numFmtId="0" fontId="25" fillId="0" borderId="6" applyNumberFormat="0" applyFill="0" applyAlignment="0" applyProtection="0"/>
    <xf numFmtId="0" fontId="26" fillId="22" borderId="0" applyNumberFormat="0" applyBorder="0" applyAlignment="0" applyProtection="0"/>
    <xf numFmtId="0" fontId="1" fillId="0" borderId="0"/>
    <xf numFmtId="0" fontId="1" fillId="0" borderId="0"/>
    <xf numFmtId="37" fontId="4" fillId="23" borderId="0"/>
    <xf numFmtId="0" fontId="1" fillId="0" borderId="0"/>
    <xf numFmtId="37" fontId="4" fillId="23" borderId="0"/>
    <xf numFmtId="37" fontId="4" fillId="23" borderId="0"/>
    <xf numFmtId="0" fontId="4" fillId="0" borderId="0"/>
    <xf numFmtId="0" fontId="32" fillId="0" borderId="0"/>
    <xf numFmtId="0" fontId="32" fillId="0" borderId="0"/>
    <xf numFmtId="0" fontId="33" fillId="0" borderId="0"/>
    <xf numFmtId="0" fontId="34" fillId="0" borderId="0"/>
    <xf numFmtId="0" fontId="1" fillId="24" borderId="7" applyNumberFormat="0" applyFont="0" applyAlignment="0" applyProtection="0"/>
    <xf numFmtId="0" fontId="27" fillId="20" borderId="8"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0" fontId="34" fillId="0" borderId="0">
      <alignment vertical="top"/>
    </xf>
    <xf numFmtId="0" fontId="34" fillId="0" borderId="0">
      <alignment vertical="top"/>
    </xf>
    <xf numFmtId="43" fontId="64" fillId="0" borderId="0" applyFont="0" applyFill="0" applyBorder="0" applyAlignment="0" applyProtection="0"/>
    <xf numFmtId="43" fontId="64" fillId="0" borderId="0" applyFont="0" applyFill="0" applyBorder="0" applyAlignment="0" applyProtection="0"/>
    <xf numFmtId="44" fontId="64" fillId="0" borderId="0" applyFont="0" applyFill="0" applyBorder="0" applyAlignment="0" applyProtection="0"/>
    <xf numFmtId="9" fontId="64" fillId="0" borderId="0" applyFont="0" applyFill="0" applyBorder="0" applyAlignment="0" applyProtection="0"/>
    <xf numFmtId="44" fontId="76" fillId="0" borderId="0" applyFont="0" applyFill="0" applyBorder="0" applyAlignment="0" applyProtection="0"/>
    <xf numFmtId="0" fontId="1" fillId="0" borderId="0"/>
    <xf numFmtId="0" fontId="1" fillId="0" borderId="0"/>
  </cellStyleXfs>
  <cellXfs count="656">
    <xf numFmtId="0" fontId="0" fillId="0" borderId="0" xfId="0"/>
    <xf numFmtId="0" fontId="3" fillId="0" borderId="0" xfId="0" applyFont="1"/>
    <xf numFmtId="0" fontId="4" fillId="0" borderId="0" xfId="0" applyFont="1"/>
    <xf numFmtId="37" fontId="4" fillId="0" borderId="0" xfId="0" applyNumberFormat="1" applyFont="1"/>
    <xf numFmtId="166" fontId="4" fillId="0" borderId="0" xfId="0" applyNumberFormat="1" applyFont="1"/>
    <xf numFmtId="39" fontId="4" fillId="0" borderId="0" xfId="0" applyNumberFormat="1" applyFont="1"/>
    <xf numFmtId="0" fontId="5" fillId="0" borderId="0" xfId="0" applyFont="1"/>
    <xf numFmtId="166" fontId="4" fillId="0" borderId="0" xfId="28" applyNumberFormat="1" applyFont="1"/>
    <xf numFmtId="43" fontId="4" fillId="0" borderId="0" xfId="28" applyFont="1"/>
    <xf numFmtId="0" fontId="6" fillId="0" borderId="0" xfId="0" applyFont="1" applyAlignment="1">
      <alignment horizontal="center"/>
    </xf>
    <xf numFmtId="0" fontId="1" fillId="0" borderId="0" xfId="0" applyFont="1" applyAlignment="1">
      <alignment horizontal="center"/>
    </xf>
    <xf numFmtId="37" fontId="6" fillId="0" borderId="0" xfId="0" applyNumberFormat="1" applyFont="1" applyAlignment="1">
      <alignment horizontal="center"/>
    </xf>
    <xf numFmtId="166" fontId="6" fillId="0" borderId="0" xfId="28" applyNumberFormat="1" applyFont="1" applyAlignment="1">
      <alignment horizontal="center"/>
    </xf>
    <xf numFmtId="43" fontId="6" fillId="0" borderId="0" xfId="28" applyFont="1" applyAlignment="1">
      <alignment horizontal="center"/>
    </xf>
    <xf numFmtId="43" fontId="6" fillId="0" borderId="0" xfId="28" quotePrefix="1" applyFont="1" applyAlignment="1">
      <alignment horizontal="center"/>
    </xf>
    <xf numFmtId="0" fontId="0" fillId="0" borderId="0" xfId="0" applyAlignment="1">
      <alignment horizontal="center"/>
    </xf>
    <xf numFmtId="0" fontId="6" fillId="0" borderId="0" xfId="0" applyFont="1"/>
    <xf numFmtId="39" fontId="6" fillId="0" borderId="0" xfId="0" applyNumberFormat="1" applyFont="1" applyAlignment="1">
      <alignment horizontal="center"/>
    </xf>
    <xf numFmtId="37" fontId="6" fillId="0" borderId="0" xfId="28" applyNumberFormat="1" applyFont="1" applyAlignment="1">
      <alignment horizontal="center"/>
    </xf>
    <xf numFmtId="166" fontId="6" fillId="0" borderId="0" xfId="28" quotePrefix="1" applyNumberFormat="1" applyFont="1" applyAlignment="1">
      <alignment horizontal="center"/>
    </xf>
    <xf numFmtId="39" fontId="6" fillId="0" borderId="10" xfId="0" applyNumberFormat="1" applyFont="1" applyBorder="1" applyAlignment="1">
      <alignment horizontal="center"/>
    </xf>
    <xf numFmtId="0" fontId="6" fillId="0" borderId="10" xfId="0" applyFont="1" applyBorder="1" applyAlignment="1">
      <alignment horizontal="center"/>
    </xf>
    <xf numFmtId="1" fontId="6" fillId="0" borderId="10" xfId="0" applyNumberFormat="1" applyFont="1" applyBorder="1" applyAlignment="1">
      <alignment horizontal="center"/>
    </xf>
    <xf numFmtId="37" fontId="6" fillId="0" borderId="10" xfId="0" quotePrefix="1" applyNumberFormat="1" applyFont="1" applyBorder="1" applyAlignment="1">
      <alignment horizontal="center"/>
    </xf>
    <xf numFmtId="37" fontId="6" fillId="0" borderId="10" xfId="0" applyNumberFormat="1" applyFont="1" applyBorder="1" applyAlignment="1">
      <alignment horizontal="center"/>
    </xf>
    <xf numFmtId="166" fontId="6" fillId="0" borderId="10" xfId="28" applyNumberFormat="1" applyFont="1" applyBorder="1" applyAlignment="1">
      <alignment horizontal="center"/>
    </xf>
    <xf numFmtId="17" fontId="6" fillId="0" borderId="10" xfId="28" applyNumberFormat="1" applyFont="1" applyBorder="1" applyAlignment="1">
      <alignment horizontal="center"/>
    </xf>
    <xf numFmtId="14" fontId="6" fillId="0" borderId="10" xfId="28" quotePrefix="1" applyNumberFormat="1" applyFont="1" applyBorder="1" applyAlignment="1">
      <alignment horizontal="center"/>
    </xf>
    <xf numFmtId="17" fontId="6" fillId="0" borderId="10" xfId="28" quotePrefix="1" applyNumberFormat="1" applyFont="1" applyBorder="1" applyAlignment="1">
      <alignment horizontal="center"/>
    </xf>
    <xf numFmtId="43" fontId="6" fillId="0" borderId="0" xfId="28" applyFont="1" applyAlignment="1">
      <alignment horizontal="left"/>
    </xf>
    <xf numFmtId="166" fontId="6" fillId="0" borderId="0" xfId="28" applyNumberFormat="1" applyFont="1" applyAlignment="1"/>
    <xf numFmtId="165" fontId="6" fillId="0" borderId="0" xfId="55" applyNumberFormat="1" applyFont="1" applyAlignment="1"/>
    <xf numFmtId="165" fontId="6" fillId="0" borderId="0" xfId="28" applyNumberFormat="1" applyFont="1" applyAlignment="1"/>
    <xf numFmtId="166" fontId="0" fillId="0" borderId="0" xfId="0" applyNumberFormat="1"/>
    <xf numFmtId="37" fontId="0" fillId="0" borderId="0" xfId="0" applyNumberFormat="1"/>
    <xf numFmtId="166" fontId="0" fillId="0" borderId="10" xfId="0" applyNumberFormat="1" applyBorder="1"/>
    <xf numFmtId="166" fontId="4" fillId="0" borderId="0" xfId="28" applyNumberFormat="1" applyFont="1" applyFill="1"/>
    <xf numFmtId="166" fontId="0" fillId="0" borderId="0" xfId="0" applyNumberFormat="1" applyAlignment="1">
      <alignment horizontal="fill"/>
    </xf>
    <xf numFmtId="37" fontId="0" fillId="0" borderId="11" xfId="0" applyNumberFormat="1" applyBorder="1"/>
    <xf numFmtId="166" fontId="0" fillId="0" borderId="12" xfId="0" applyNumberFormat="1" applyBorder="1"/>
    <xf numFmtId="0" fontId="0" fillId="0" borderId="12" xfId="0" applyBorder="1"/>
    <xf numFmtId="166" fontId="4" fillId="0" borderId="0" xfId="28" applyNumberFormat="1" applyFont="1" applyFill="1" applyBorder="1"/>
    <xf numFmtId="39" fontId="0" fillId="0" borderId="0" xfId="0" applyNumberFormat="1"/>
    <xf numFmtId="39" fontId="0" fillId="0" borderId="0" xfId="0" applyNumberFormat="1" applyAlignment="1">
      <alignment horizontal="fill"/>
    </xf>
    <xf numFmtId="1" fontId="1" fillId="0" borderId="0" xfId="0" applyNumberFormat="1" applyFont="1"/>
    <xf numFmtId="0" fontId="1" fillId="0" borderId="0" xfId="0" applyFont="1"/>
    <xf numFmtId="0" fontId="0" fillId="0" borderId="13" xfId="0" applyBorder="1"/>
    <xf numFmtId="0" fontId="0" fillId="0" borderId="14" xfId="0" applyBorder="1"/>
    <xf numFmtId="0" fontId="0" fillId="0" borderId="15" xfId="0" applyBorder="1"/>
    <xf numFmtId="166" fontId="0" fillId="0" borderId="16" xfId="0" applyNumberFormat="1" applyBorder="1"/>
    <xf numFmtId="166" fontId="0" fillId="0" borderId="17" xfId="0" applyNumberFormat="1" applyBorder="1"/>
    <xf numFmtId="166" fontId="0" fillId="0" borderId="18" xfId="0" applyNumberFormat="1" applyBorder="1"/>
    <xf numFmtId="0" fontId="0" fillId="0" borderId="19" xfId="0" applyBorder="1"/>
    <xf numFmtId="0" fontId="0" fillId="0" borderId="17" xfId="0" applyBorder="1"/>
    <xf numFmtId="166" fontId="1" fillId="0" borderId="0" xfId="0" applyNumberFormat="1" applyFont="1"/>
    <xf numFmtId="39" fontId="1" fillId="0" borderId="0" xfId="0" applyNumberFormat="1" applyFont="1"/>
    <xf numFmtId="166" fontId="2" fillId="0" borderId="0" xfId="28" applyNumberFormat="1" applyFont="1" applyFill="1" applyAlignment="1">
      <alignment horizontal="center"/>
    </xf>
    <xf numFmtId="0" fontId="2" fillId="0" borderId="0" xfId="0" applyFont="1"/>
    <xf numFmtId="166" fontId="2" fillId="0" borderId="10" xfId="28" applyNumberFormat="1" applyFont="1" applyFill="1" applyBorder="1" applyAlignment="1">
      <alignment horizontal="center"/>
    </xf>
    <xf numFmtId="39" fontId="2" fillId="0" borderId="0" xfId="0" applyNumberFormat="1" applyFont="1" applyAlignment="1">
      <alignment horizontal="center"/>
    </xf>
    <xf numFmtId="39" fontId="2" fillId="0" borderId="0" xfId="0" applyNumberFormat="1" applyFont="1" applyAlignment="1">
      <alignment horizontal="fill"/>
    </xf>
    <xf numFmtId="166" fontId="8" fillId="0" borderId="0" xfId="28" applyNumberFormat="1" applyFont="1" applyFill="1" applyAlignment="1" applyProtection="1">
      <alignment horizontal="fill"/>
      <protection locked="0"/>
    </xf>
    <xf numFmtId="166" fontId="2" fillId="0" borderId="0" xfId="28" applyNumberFormat="1" applyFont="1" applyFill="1" applyAlignment="1">
      <alignment horizontal="fill"/>
    </xf>
    <xf numFmtId="166" fontId="2" fillId="0" borderId="0" xfId="28" applyNumberFormat="1" applyFont="1" applyFill="1" applyProtection="1">
      <protection locked="0"/>
    </xf>
    <xf numFmtId="166" fontId="2" fillId="0" borderId="0" xfId="0" applyNumberFormat="1" applyFont="1"/>
    <xf numFmtId="37" fontId="2" fillId="0" borderId="0" xfId="0" applyNumberFormat="1" applyFont="1"/>
    <xf numFmtId="167" fontId="2" fillId="0" borderId="0" xfId="0" applyNumberFormat="1" applyFont="1" applyAlignment="1">
      <alignment horizontal="center"/>
    </xf>
    <xf numFmtId="166" fontId="2" fillId="0" borderId="0" xfId="28" applyNumberFormat="1" applyFont="1" applyFill="1" applyAlignment="1"/>
    <xf numFmtId="166" fontId="2" fillId="0" borderId="0" xfId="28" applyNumberFormat="1" applyFont="1" applyFill="1" applyBorder="1"/>
    <xf numFmtId="39" fontId="2" fillId="0" borderId="0" xfId="0" applyNumberFormat="1" applyFont="1"/>
    <xf numFmtId="2" fontId="2" fillId="0" borderId="0" xfId="0" applyNumberFormat="1" applyFont="1"/>
    <xf numFmtId="41" fontId="2" fillId="0" borderId="0" xfId="0" applyNumberFormat="1" applyFont="1"/>
    <xf numFmtId="166" fontId="2" fillId="0" borderId="10" xfId="0" applyNumberFormat="1" applyFont="1" applyBorder="1"/>
    <xf numFmtId="41" fontId="2" fillId="0" borderId="10" xfId="0" applyNumberFormat="1" applyFont="1" applyBorder="1"/>
    <xf numFmtId="166" fontId="2" fillId="0" borderId="20" xfId="0" applyNumberFormat="1" applyFont="1" applyBorder="1"/>
    <xf numFmtId="1" fontId="2" fillId="0" borderId="0" xfId="0" applyNumberFormat="1" applyFont="1"/>
    <xf numFmtId="166" fontId="2" fillId="0" borderId="0" xfId="0" applyNumberFormat="1" applyFont="1" applyAlignment="1">
      <alignment horizontal="fill"/>
    </xf>
    <xf numFmtId="166" fontId="35" fillId="0" borderId="0" xfId="28" applyNumberFormat="1" applyFont="1" applyFill="1" applyProtection="1">
      <protection locked="0"/>
    </xf>
    <xf numFmtId="166" fontId="2" fillId="0" borderId="0" xfId="28" applyNumberFormat="1" applyFont="1" applyFill="1" applyBorder="1" applyAlignment="1">
      <alignment horizontal="center"/>
    </xf>
    <xf numFmtId="0" fontId="2" fillId="0" borderId="0" xfId="0" applyFont="1" applyAlignment="1">
      <alignment horizontal="center"/>
    </xf>
    <xf numFmtId="167" fontId="12" fillId="0" borderId="0" xfId="0" applyNumberFormat="1" applyFont="1" applyAlignment="1">
      <alignment horizontal="left"/>
    </xf>
    <xf numFmtId="0" fontId="12" fillId="0" borderId="0" xfId="0" applyFont="1"/>
    <xf numFmtId="0" fontId="36" fillId="0" borderId="0" xfId="0" applyFont="1"/>
    <xf numFmtId="166" fontId="37" fillId="0" borderId="21" xfId="28" applyNumberFormat="1" applyFont="1" applyFill="1" applyBorder="1" applyAlignment="1"/>
    <xf numFmtId="166" fontId="37" fillId="0" borderId="0" xfId="28" applyNumberFormat="1" applyFont="1" applyFill="1" applyBorder="1" applyAlignment="1"/>
    <xf numFmtId="0" fontId="37" fillId="0" borderId="0" xfId="0" applyFont="1"/>
    <xf numFmtId="166" fontId="37" fillId="0" borderId="0" xfId="28" applyNumberFormat="1" applyFont="1" applyFill="1" applyBorder="1" applyProtection="1">
      <protection locked="0"/>
    </xf>
    <xf numFmtId="0" fontId="37" fillId="0" borderId="21" xfId="0" applyFont="1" applyBorder="1"/>
    <xf numFmtId="41" fontId="2" fillId="0" borderId="20" xfId="0" applyNumberFormat="1" applyFont="1" applyBorder="1"/>
    <xf numFmtId="164" fontId="2" fillId="0" borderId="0" xfId="0" applyNumberFormat="1" applyFont="1"/>
    <xf numFmtId="37" fontId="2" fillId="0" borderId="0" xfId="44" applyFont="1" applyFill="1"/>
    <xf numFmtId="37" fontId="2" fillId="0" borderId="0" xfId="44" applyFont="1" applyFill="1" applyAlignment="1">
      <alignment horizontal="center"/>
    </xf>
    <xf numFmtId="37" fontId="2" fillId="0" borderId="22" xfId="44" applyFont="1" applyFill="1" applyBorder="1" applyAlignment="1">
      <alignment horizontal="center"/>
    </xf>
    <xf numFmtId="37" fontId="2" fillId="0" borderId="22" xfId="44" applyFont="1" applyFill="1" applyBorder="1"/>
    <xf numFmtId="37" fontId="9" fillId="0" borderId="0" xfId="44" applyFont="1" applyFill="1"/>
    <xf numFmtId="37" fontId="4" fillId="0" borderId="0" xfId="44" applyFill="1"/>
    <xf numFmtId="0" fontId="1" fillId="0" borderId="15" xfId="0" applyFont="1" applyBorder="1"/>
    <xf numFmtId="0" fontId="6" fillId="0" borderId="0" xfId="28" applyNumberFormat="1" applyFont="1" applyAlignment="1">
      <alignment horizontal="left"/>
    </xf>
    <xf numFmtId="166" fontId="36" fillId="0" borderId="0" xfId="28" applyNumberFormat="1" applyFont="1" applyFill="1"/>
    <xf numFmtId="43" fontId="2" fillId="0" borderId="0" xfId="28" applyFont="1" applyFill="1" applyAlignment="1"/>
    <xf numFmtId="166" fontId="0" fillId="0" borderId="0" xfId="28" applyNumberFormat="1" applyFont="1"/>
    <xf numFmtId="0" fontId="1" fillId="0" borderId="0" xfId="0" quotePrefix="1" applyFont="1"/>
    <xf numFmtId="43" fontId="4" fillId="0" borderId="0" xfId="28" applyFont="1" applyFill="1"/>
    <xf numFmtId="166" fontId="7" fillId="0" borderId="0" xfId="28" applyNumberFormat="1" applyFont="1" applyFill="1"/>
    <xf numFmtId="43" fontId="2" fillId="0" borderId="0" xfId="28" applyFont="1" applyFill="1" applyAlignment="1">
      <alignment horizontal="center"/>
    </xf>
    <xf numFmtId="14" fontId="2" fillId="0" borderId="10" xfId="28" applyNumberFormat="1" applyFont="1" applyFill="1" applyBorder="1" applyAlignment="1">
      <alignment horizontal="center"/>
    </xf>
    <xf numFmtId="17" fontId="2" fillId="0" borderId="10" xfId="28" applyNumberFormat="1" applyFont="1" applyFill="1" applyBorder="1" applyAlignment="1">
      <alignment horizontal="center"/>
    </xf>
    <xf numFmtId="14" fontId="2" fillId="0" borderId="0" xfId="28" applyNumberFormat="1" applyFont="1" applyFill="1" applyBorder="1" applyAlignment="1">
      <alignment horizontal="center"/>
    </xf>
    <xf numFmtId="17" fontId="8" fillId="0" borderId="0" xfId="28" applyNumberFormat="1" applyFont="1" applyFill="1" applyBorder="1" applyAlignment="1" applyProtection="1">
      <alignment horizontal="center"/>
    </xf>
    <xf numFmtId="17" fontId="2" fillId="0" borderId="0" xfId="28" applyNumberFormat="1" applyFont="1" applyFill="1" applyBorder="1" applyAlignment="1">
      <alignment horizontal="center"/>
    </xf>
    <xf numFmtId="0" fontId="2" fillId="0" borderId="0" xfId="0" applyFont="1" applyAlignment="1">
      <alignment horizontal="fill"/>
    </xf>
    <xf numFmtId="0" fontId="0" fillId="0" borderId="0" xfId="0" applyAlignment="1">
      <alignment horizontal="fill"/>
    </xf>
    <xf numFmtId="37" fontId="0" fillId="0" borderId="0" xfId="0" applyNumberFormat="1" applyAlignment="1">
      <alignment horizontal="fill"/>
    </xf>
    <xf numFmtId="0" fontId="3" fillId="0" borderId="0" xfId="0" applyFont="1" applyAlignment="1">
      <alignment horizontal="left"/>
    </xf>
    <xf numFmtId="1" fontId="2" fillId="0" borderId="10" xfId="0" applyNumberFormat="1" applyFont="1" applyBorder="1" applyAlignment="1">
      <alignment horizontal="center"/>
    </xf>
    <xf numFmtId="39" fontId="2" fillId="0" borderId="10" xfId="0" applyNumberFormat="1" applyFont="1" applyBorder="1" applyAlignment="1">
      <alignment horizontal="center"/>
    </xf>
    <xf numFmtId="166" fontId="2" fillId="0" borderId="0" xfId="0" applyNumberFormat="1" applyFont="1" applyAlignment="1">
      <alignment horizontal="center"/>
    </xf>
    <xf numFmtId="37" fontId="2" fillId="0" borderId="0" xfId="0" applyNumberFormat="1" applyFont="1" applyAlignment="1">
      <alignment horizontal="fill"/>
    </xf>
    <xf numFmtId="49" fontId="2" fillId="0" borderId="0" xfId="0" applyNumberFormat="1" applyFont="1" applyAlignment="1">
      <alignment horizontal="center"/>
    </xf>
    <xf numFmtId="0" fontId="4" fillId="0" borderId="0" xfId="0" applyFont="1" applyAlignment="1">
      <alignment horizontal="center"/>
    </xf>
    <xf numFmtId="166" fontId="38" fillId="0" borderId="0" xfId="28" applyNumberFormat="1" applyFont="1" applyFill="1"/>
    <xf numFmtId="37" fontId="36" fillId="0" borderId="0" xfId="0" applyNumberFormat="1" applyFont="1"/>
    <xf numFmtId="166" fontId="36" fillId="0" borderId="0" xfId="28" applyNumberFormat="1" applyFont="1" applyFill="1" applyAlignment="1"/>
    <xf numFmtId="166" fontId="36" fillId="0" borderId="0" xfId="0" applyNumberFormat="1" applyFont="1"/>
    <xf numFmtId="14" fontId="36" fillId="0" borderId="0" xfId="0" applyNumberFormat="1" applyFont="1"/>
    <xf numFmtId="0" fontId="40" fillId="0" borderId="0" xfId="0" applyFont="1"/>
    <xf numFmtId="166" fontId="36" fillId="0" borderId="0" xfId="28" applyNumberFormat="1" applyFont="1" applyFill="1" applyAlignment="1">
      <alignment horizontal="center"/>
    </xf>
    <xf numFmtId="166" fontId="36" fillId="0" borderId="10" xfId="28" applyNumberFormat="1" applyFont="1" applyFill="1" applyBorder="1" applyAlignment="1">
      <alignment horizontal="center"/>
    </xf>
    <xf numFmtId="17" fontId="36" fillId="0" borderId="0" xfId="28" applyNumberFormat="1" applyFont="1" applyFill="1" applyBorder="1" applyAlignment="1">
      <alignment horizontal="center"/>
    </xf>
    <xf numFmtId="166" fontId="36" fillId="0" borderId="0" xfId="28" applyNumberFormat="1" applyFont="1" applyFill="1" applyAlignment="1">
      <alignment horizontal="fill"/>
    </xf>
    <xf numFmtId="166" fontId="36" fillId="0" borderId="0" xfId="0" applyNumberFormat="1" applyFont="1" applyAlignment="1">
      <alignment horizontal="fill"/>
    </xf>
    <xf numFmtId="166" fontId="40" fillId="0" borderId="0" xfId="0" applyNumberFormat="1" applyFont="1" applyAlignment="1">
      <alignment horizontal="fill"/>
    </xf>
    <xf numFmtId="166" fontId="40" fillId="0" borderId="0" xfId="0" applyNumberFormat="1" applyFont="1"/>
    <xf numFmtId="37" fontId="38" fillId="0" borderId="0" xfId="0" applyNumberFormat="1" applyFont="1"/>
    <xf numFmtId="166" fontId="41" fillId="0" borderId="0" xfId="28" applyNumberFormat="1" applyFont="1" applyFill="1"/>
    <xf numFmtId="0" fontId="41" fillId="0" borderId="0" xfId="0" applyFont="1"/>
    <xf numFmtId="37" fontId="36" fillId="0" borderId="0" xfId="0" applyNumberFormat="1" applyFont="1" applyAlignment="1">
      <alignment horizontal="center"/>
    </xf>
    <xf numFmtId="166" fontId="36" fillId="0" borderId="0" xfId="28" applyNumberFormat="1" applyFont="1" applyFill="1" applyAlignment="1">
      <alignment horizontal="center" wrapText="1"/>
    </xf>
    <xf numFmtId="37" fontId="36" fillId="0" borderId="0" xfId="28" applyNumberFormat="1" applyFont="1" applyFill="1" applyAlignment="1">
      <alignment horizontal="center"/>
    </xf>
    <xf numFmtId="37" fontId="36" fillId="0" borderId="10" xfId="0" applyNumberFormat="1" applyFont="1" applyBorder="1" applyAlignment="1">
      <alignment horizontal="center"/>
    </xf>
    <xf numFmtId="166" fontId="36" fillId="0" borderId="0" xfId="28" applyNumberFormat="1" applyFont="1" applyFill="1" applyBorder="1" applyAlignment="1">
      <alignment horizontal="center"/>
    </xf>
    <xf numFmtId="17" fontId="36" fillId="0" borderId="0" xfId="28" applyNumberFormat="1" applyFont="1" applyFill="1" applyBorder="1" applyAlignment="1" applyProtection="1">
      <alignment horizontal="center"/>
      <protection locked="0"/>
    </xf>
    <xf numFmtId="166" fontId="36" fillId="0" borderId="0" xfId="28" applyNumberFormat="1" applyFont="1" applyFill="1" applyBorder="1" applyProtection="1">
      <protection locked="0"/>
    </xf>
    <xf numFmtId="37" fontId="40" fillId="0" borderId="0" xfId="0" applyNumberFormat="1" applyFont="1"/>
    <xf numFmtId="0" fontId="2" fillId="0" borderId="0" xfId="0" applyFont="1" applyAlignment="1">
      <alignment horizontal="right"/>
    </xf>
    <xf numFmtId="166" fontId="42" fillId="0" borderId="0" xfId="28" applyNumberFormat="1" applyFont="1" applyFill="1"/>
    <xf numFmtId="166" fontId="43" fillId="0" borderId="0" xfId="28" applyNumberFormat="1" applyFont="1" applyFill="1" applyAlignment="1"/>
    <xf numFmtId="166" fontId="44" fillId="0" borderId="0" xfId="28" applyNumberFormat="1" applyFont="1" applyFill="1" applyAlignment="1">
      <alignment horizontal="fill"/>
    </xf>
    <xf numFmtId="0" fontId="43" fillId="0" borderId="0" xfId="0" applyFont="1"/>
    <xf numFmtId="166" fontId="43" fillId="0" borderId="0" xfId="0" applyNumberFormat="1" applyFont="1"/>
    <xf numFmtId="0" fontId="46" fillId="0" borderId="0" xfId="0" applyFont="1"/>
    <xf numFmtId="166" fontId="36" fillId="0" borderId="11" xfId="0" applyNumberFormat="1" applyFont="1" applyBorder="1"/>
    <xf numFmtId="166" fontId="43" fillId="0" borderId="0" xfId="28" applyNumberFormat="1" applyFont="1" applyFill="1" applyAlignment="1">
      <alignment horizontal="center"/>
    </xf>
    <xf numFmtId="166" fontId="43" fillId="0" borderId="0" xfId="0" applyNumberFormat="1" applyFont="1" applyAlignment="1">
      <alignment horizontal="fill"/>
    </xf>
    <xf numFmtId="166" fontId="46" fillId="0" borderId="0" xfId="0" applyNumberFormat="1" applyFont="1"/>
    <xf numFmtId="0" fontId="47" fillId="0" borderId="0" xfId="0" applyFont="1"/>
    <xf numFmtId="43" fontId="36" fillId="0" borderId="0" xfId="0" applyNumberFormat="1" applyFont="1"/>
    <xf numFmtId="37" fontId="42" fillId="0" borderId="0" xfId="0" applyNumberFormat="1" applyFont="1"/>
    <xf numFmtId="37" fontId="43" fillId="0" borderId="0" xfId="28" applyNumberFormat="1" applyFont="1" applyFill="1" applyAlignment="1">
      <alignment horizontal="center"/>
    </xf>
    <xf numFmtId="37" fontId="43" fillId="0" borderId="10" xfId="0" applyNumberFormat="1" applyFont="1" applyBorder="1" applyAlignment="1">
      <alignment horizontal="center"/>
    </xf>
    <xf numFmtId="37" fontId="43" fillId="0" borderId="0" xfId="0" applyNumberFormat="1" applyFont="1" applyAlignment="1" applyProtection="1">
      <alignment horizontal="fill"/>
      <protection locked="0"/>
    </xf>
    <xf numFmtId="43" fontId="43" fillId="0" borderId="0" xfId="28" applyFont="1" applyFill="1" applyAlignment="1"/>
    <xf numFmtId="37" fontId="43" fillId="0" borderId="0" xfId="28" applyNumberFormat="1" applyFont="1" applyFill="1"/>
    <xf numFmtId="37" fontId="43" fillId="0" borderId="0" xfId="0" applyNumberFormat="1" applyFont="1"/>
    <xf numFmtId="37" fontId="46" fillId="0" borderId="0" xfId="0" applyNumberFormat="1" applyFont="1"/>
    <xf numFmtId="166" fontId="43" fillId="0" borderId="0" xfId="28" applyNumberFormat="1" applyFont="1" applyFill="1" applyAlignment="1">
      <alignment horizontal="center" wrapText="1"/>
    </xf>
    <xf numFmtId="166" fontId="43" fillId="0" borderId="10" xfId="28" applyNumberFormat="1" applyFont="1" applyFill="1" applyBorder="1" applyAlignment="1">
      <alignment horizontal="center"/>
    </xf>
    <xf numFmtId="166" fontId="43" fillId="0" borderId="0" xfId="28" applyNumberFormat="1" applyFont="1" applyFill="1" applyAlignment="1" applyProtection="1">
      <alignment horizontal="fill"/>
      <protection locked="0"/>
    </xf>
    <xf numFmtId="166" fontId="43" fillId="0" borderId="0" xfId="28" applyNumberFormat="1" applyFont="1" applyFill="1" applyAlignment="1" applyProtection="1">
      <alignment horizontal="right"/>
      <protection locked="0"/>
    </xf>
    <xf numFmtId="39" fontId="46" fillId="0" borderId="0" xfId="0" applyNumberFormat="1" applyFont="1"/>
    <xf numFmtId="166" fontId="49" fillId="0" borderId="0" xfId="28" applyNumberFormat="1" applyFont="1" applyFill="1" applyAlignment="1">
      <alignment horizontal="center"/>
    </xf>
    <xf numFmtId="17" fontId="49" fillId="0" borderId="10" xfId="28" applyNumberFormat="1" applyFont="1" applyFill="1" applyBorder="1" applyAlignment="1">
      <alignment horizontal="center"/>
    </xf>
    <xf numFmtId="166" fontId="51" fillId="0" borderId="0" xfId="28" applyNumberFormat="1" applyFont="1" applyFill="1" applyAlignment="1">
      <alignment horizontal="center" wrapText="1"/>
    </xf>
    <xf numFmtId="43" fontId="1" fillId="0" borderId="0" xfId="28" quotePrefix="1" applyFont="1" applyAlignment="1">
      <alignment horizontal="center"/>
    </xf>
    <xf numFmtId="14" fontId="1" fillId="0" borderId="10" xfId="28" quotePrefix="1" applyNumberFormat="1" applyFont="1" applyBorder="1" applyAlignment="1">
      <alignment horizontal="center"/>
    </xf>
    <xf numFmtId="43" fontId="2" fillId="0" borderId="0" xfId="0" applyNumberFormat="1" applyFont="1"/>
    <xf numFmtId="39" fontId="37" fillId="0" borderId="0" xfId="0" applyNumberFormat="1" applyFont="1" applyAlignment="1">
      <alignment horizontal="left"/>
    </xf>
    <xf numFmtId="166" fontId="37" fillId="0" borderId="0" xfId="28" applyNumberFormat="1" applyFont="1" applyFill="1" applyAlignment="1"/>
    <xf numFmtId="39" fontId="37" fillId="0" borderId="21" xfId="0" applyNumberFormat="1" applyFont="1" applyBorder="1" applyAlignment="1">
      <alignment horizontal="left"/>
    </xf>
    <xf numFmtId="166" fontId="1" fillId="0" borderId="0" xfId="0" applyNumberFormat="1" applyFont="1" applyAlignment="1">
      <alignment horizontal="fill"/>
    </xf>
    <xf numFmtId="166" fontId="52" fillId="0" borderId="0" xfId="28" applyNumberFormat="1" applyFont="1" applyFill="1"/>
    <xf numFmtId="39" fontId="36" fillId="0" borderId="0" xfId="0" applyNumberFormat="1" applyFont="1" applyAlignment="1">
      <alignment horizontal="center"/>
    </xf>
    <xf numFmtId="165" fontId="36" fillId="0" borderId="0" xfId="28" applyNumberFormat="1" applyFont="1" applyFill="1"/>
    <xf numFmtId="166" fontId="54" fillId="0" borderId="0" xfId="28" applyNumberFormat="1" applyFont="1" applyFill="1" applyProtection="1">
      <protection locked="0"/>
    </xf>
    <xf numFmtId="0" fontId="43" fillId="0" borderId="0" xfId="0" applyFont="1" applyAlignment="1">
      <alignment horizontal="center"/>
    </xf>
    <xf numFmtId="49" fontId="43" fillId="0" borderId="0" xfId="0" applyNumberFormat="1" applyFont="1" applyAlignment="1">
      <alignment horizontal="center"/>
    </xf>
    <xf numFmtId="166" fontId="45" fillId="0" borderId="0" xfId="0" applyNumberFormat="1" applyFont="1"/>
    <xf numFmtId="2" fontId="43" fillId="0" borderId="0" xfId="0" applyNumberFormat="1" applyFont="1"/>
    <xf numFmtId="166" fontId="2" fillId="0" borderId="0" xfId="28" applyNumberFormat="1" applyFont="1" applyFill="1" applyAlignment="1">
      <alignment vertical="center"/>
    </xf>
    <xf numFmtId="166" fontId="36" fillId="0" borderId="0" xfId="28" applyNumberFormat="1" applyFont="1" applyFill="1" applyAlignment="1">
      <alignment vertical="center"/>
    </xf>
    <xf numFmtId="166" fontId="2" fillId="0" borderId="0" xfId="28" applyNumberFormat="1" applyFont="1" applyFill="1" applyAlignment="1">
      <alignment horizontal="center" vertical="center"/>
    </xf>
    <xf numFmtId="166" fontId="45" fillId="0" borderId="0" xfId="28" applyNumberFormat="1" applyFont="1" applyFill="1" applyBorder="1" applyAlignment="1"/>
    <xf numFmtId="43" fontId="2" fillId="0" borderId="0" xfId="28" applyFont="1" applyFill="1" applyBorder="1"/>
    <xf numFmtId="166" fontId="12" fillId="0" borderId="0" xfId="28" applyNumberFormat="1" applyFont="1" applyFill="1" applyBorder="1" applyProtection="1">
      <protection locked="0"/>
    </xf>
    <xf numFmtId="166" fontId="12" fillId="0" borderId="0" xfId="0" applyNumberFormat="1" applyFont="1"/>
    <xf numFmtId="39" fontId="12" fillId="0" borderId="0" xfId="0" applyNumberFormat="1" applyFont="1"/>
    <xf numFmtId="166" fontId="12" fillId="0" borderId="0" xfId="28" applyNumberFormat="1" applyFont="1" applyFill="1"/>
    <xf numFmtId="166" fontId="55" fillId="0" borderId="0" xfId="28" applyNumberFormat="1" applyFont="1" applyFill="1"/>
    <xf numFmtId="166" fontId="37" fillId="0" borderId="0" xfId="28" applyNumberFormat="1" applyFont="1" applyFill="1"/>
    <xf numFmtId="49" fontId="36" fillId="0" borderId="0" xfId="0" applyNumberFormat="1" applyFont="1" applyAlignment="1">
      <alignment horizontal="center"/>
    </xf>
    <xf numFmtId="43" fontId="0" fillId="0" borderId="0" xfId="28" applyFont="1"/>
    <xf numFmtId="0" fontId="6" fillId="0" borderId="23" xfId="28" applyNumberFormat="1" applyFont="1" applyBorder="1" applyAlignment="1">
      <alignment horizontal="center"/>
    </xf>
    <xf numFmtId="166" fontId="6" fillId="0" borderId="23" xfId="28" applyNumberFormat="1" applyFont="1" applyBorder="1" applyAlignment="1"/>
    <xf numFmtId="166" fontId="37" fillId="0" borderId="0" xfId="0" applyNumberFormat="1" applyFont="1"/>
    <xf numFmtId="37" fontId="37" fillId="0" borderId="20" xfId="28" applyNumberFormat="1" applyFont="1" applyFill="1" applyBorder="1"/>
    <xf numFmtId="39" fontId="37" fillId="0" borderId="0" xfId="0" applyNumberFormat="1" applyFont="1"/>
    <xf numFmtId="166" fontId="44" fillId="0" borderId="0" xfId="28" applyNumberFormat="1" applyFont="1" applyFill="1" applyAlignment="1">
      <alignment horizontal="center"/>
    </xf>
    <xf numFmtId="17" fontId="44" fillId="0" borderId="10" xfId="28" applyNumberFormat="1" applyFont="1" applyFill="1" applyBorder="1" applyAlignment="1">
      <alignment horizontal="center"/>
    </xf>
    <xf numFmtId="17" fontId="44" fillId="0" borderId="0" xfId="28" applyNumberFormat="1" applyFont="1" applyFill="1" applyBorder="1" applyAlignment="1">
      <alignment horizontal="center"/>
    </xf>
    <xf numFmtId="166" fontId="43" fillId="0" borderId="0" xfId="28" applyNumberFormat="1" applyFont="1" applyFill="1" applyAlignment="1">
      <alignment vertical="center"/>
    </xf>
    <xf numFmtId="17" fontId="43" fillId="0" borderId="0" xfId="0" applyNumberFormat="1" applyFont="1"/>
    <xf numFmtId="43" fontId="43" fillId="0" borderId="0" xfId="28" applyFont="1" applyFill="1"/>
    <xf numFmtId="166" fontId="46" fillId="0" borderId="0" xfId="0" applyNumberFormat="1" applyFont="1" applyAlignment="1">
      <alignment horizontal="fill"/>
    </xf>
    <xf numFmtId="166" fontId="36" fillId="0" borderId="0" xfId="28" applyNumberFormat="1" applyFont="1" applyFill="1" applyBorder="1" applyAlignment="1"/>
    <xf numFmtId="166" fontId="2" fillId="0" borderId="0" xfId="28" applyNumberFormat="1" applyFont="1" applyFill="1"/>
    <xf numFmtId="43" fontId="2" fillId="0" borderId="0" xfId="28" applyFont="1" applyFill="1"/>
    <xf numFmtId="166" fontId="8" fillId="0" borderId="0" xfId="28" applyNumberFormat="1" applyFont="1" applyFill="1" applyProtection="1">
      <protection locked="0"/>
    </xf>
    <xf numFmtId="165" fontId="2" fillId="0" borderId="0" xfId="28" applyNumberFormat="1" applyFont="1" applyFill="1"/>
    <xf numFmtId="166" fontId="36" fillId="0" borderId="0" xfId="28" applyNumberFormat="1" applyFont="1" applyFill="1" applyProtection="1">
      <protection locked="0"/>
    </xf>
    <xf numFmtId="166" fontId="39" fillId="0" borderId="0" xfId="28" applyNumberFormat="1" applyFont="1" applyFill="1"/>
    <xf numFmtId="166" fontId="43" fillId="0" borderId="0" xfId="28" applyNumberFormat="1" applyFont="1" applyFill="1"/>
    <xf numFmtId="166" fontId="43" fillId="0" borderId="0" xfId="28" applyNumberFormat="1" applyFont="1" applyFill="1" applyProtection="1">
      <protection locked="0"/>
    </xf>
    <xf numFmtId="166" fontId="44" fillId="0" borderId="0" xfId="28" applyNumberFormat="1" applyFont="1" applyFill="1"/>
    <xf numFmtId="166" fontId="43" fillId="0" borderId="0" xfId="28" applyNumberFormat="1" applyFont="1" applyFill="1" applyAlignment="1">
      <alignment horizontal="right"/>
    </xf>
    <xf numFmtId="166" fontId="36" fillId="0" borderId="0" xfId="28" applyNumberFormat="1" applyFont="1" applyFill="1" applyAlignment="1">
      <alignment horizontal="right"/>
    </xf>
    <xf numFmtId="166" fontId="56" fillId="0" borderId="0" xfId="28" applyNumberFormat="1" applyFont="1" applyFill="1" applyAlignment="1">
      <alignment horizontal="right"/>
    </xf>
    <xf numFmtId="39" fontId="2" fillId="0" borderId="0" xfId="0" applyNumberFormat="1" applyFont="1" applyAlignment="1">
      <alignment horizontal="left"/>
    </xf>
    <xf numFmtId="166" fontId="2" fillId="0" borderId="0" xfId="28" applyNumberFormat="1" applyFont="1" applyFill="1" applyBorder="1" applyProtection="1">
      <protection locked="0"/>
    </xf>
    <xf numFmtId="0" fontId="9" fillId="0" borderId="0" xfId="0" applyFont="1"/>
    <xf numFmtId="0" fontId="57" fillId="0" borderId="0" xfId="62" applyFont="1">
      <alignment vertical="top"/>
    </xf>
    <xf numFmtId="14" fontId="58" fillId="0" borderId="0" xfId="0" applyNumberFormat="1" applyFont="1" applyAlignment="1">
      <alignment horizontal="left"/>
    </xf>
    <xf numFmtId="0" fontId="57" fillId="0" borderId="10" xfId="63" applyFont="1" applyBorder="1" applyAlignment="1">
      <alignment horizontal="center" wrapText="1"/>
    </xf>
    <xf numFmtId="166" fontId="57" fillId="0" borderId="10" xfId="28" applyNumberFormat="1" applyFont="1" applyBorder="1" applyAlignment="1">
      <alignment horizontal="center" wrapText="1"/>
    </xf>
    <xf numFmtId="166" fontId="0" fillId="0" borderId="0" xfId="28" applyNumberFormat="1" applyFont="1" applyFill="1"/>
    <xf numFmtId="166" fontId="0" fillId="0" borderId="23" xfId="28" applyNumberFormat="1" applyFont="1" applyBorder="1"/>
    <xf numFmtId="0" fontId="60" fillId="0" borderId="0" xfId="0" applyFont="1"/>
    <xf numFmtId="0" fontId="60" fillId="0" borderId="0" xfId="0" applyFont="1" applyAlignment="1">
      <alignment horizontal="center"/>
    </xf>
    <xf numFmtId="0" fontId="60" fillId="0" borderId="23" xfId="0" applyFont="1" applyBorder="1"/>
    <xf numFmtId="0" fontId="60" fillId="0" borderId="10" xfId="0" applyFont="1" applyBorder="1" applyAlignment="1">
      <alignment horizontal="center"/>
    </xf>
    <xf numFmtId="0" fontId="60" fillId="0" borderId="10" xfId="0" applyFont="1" applyBorder="1"/>
    <xf numFmtId="0" fontId="61" fillId="0" borderId="0" xfId="0" applyFont="1"/>
    <xf numFmtId="9" fontId="60" fillId="0" borderId="0" xfId="55" applyFont="1" applyAlignment="1">
      <alignment horizontal="center"/>
    </xf>
    <xf numFmtId="166" fontId="60" fillId="0" borderId="0" xfId="28" applyNumberFormat="1" applyFont="1"/>
    <xf numFmtId="166" fontId="62" fillId="0" borderId="0" xfId="28" applyNumberFormat="1" applyFont="1"/>
    <xf numFmtId="9" fontId="61" fillId="0" borderId="0" xfId="55" applyFont="1" applyAlignment="1">
      <alignment horizontal="center"/>
    </xf>
    <xf numFmtId="166" fontId="61" fillId="0" borderId="0" xfId="28" applyNumberFormat="1" applyFont="1"/>
    <xf numFmtId="0" fontId="61" fillId="0" borderId="0" xfId="0" applyFont="1" applyAlignment="1">
      <alignment horizontal="right"/>
    </xf>
    <xf numFmtId="166" fontId="61" fillId="0" borderId="0" xfId="55" applyNumberFormat="1" applyFont="1" applyAlignment="1">
      <alignment horizontal="center"/>
    </xf>
    <xf numFmtId="0" fontId="61" fillId="0" borderId="21" xfId="0" applyFont="1" applyBorder="1"/>
    <xf numFmtId="9" fontId="61" fillId="0" borderId="21" xfId="55" applyFont="1" applyBorder="1" applyAlignment="1">
      <alignment horizontal="center"/>
    </xf>
    <xf numFmtId="166" fontId="61" fillId="0" borderId="21" xfId="55" applyNumberFormat="1" applyFont="1" applyBorder="1" applyAlignment="1">
      <alignment horizontal="center"/>
    </xf>
    <xf numFmtId="166" fontId="61" fillId="0" borderId="10" xfId="55" applyNumberFormat="1" applyFont="1" applyBorder="1" applyAlignment="1">
      <alignment horizontal="center"/>
    </xf>
    <xf numFmtId="0" fontId="61" fillId="0" borderId="23" xfId="0" applyFont="1" applyBorder="1"/>
    <xf numFmtId="9" fontId="61" fillId="0" borderId="23" xfId="55" applyFont="1" applyBorder="1" applyAlignment="1">
      <alignment horizontal="center"/>
    </xf>
    <xf numFmtId="166" fontId="61" fillId="0" borderId="23" xfId="28" applyNumberFormat="1" applyFont="1" applyBorder="1"/>
    <xf numFmtId="9" fontId="61" fillId="0" borderId="0" xfId="55" applyFont="1" applyBorder="1" applyAlignment="1">
      <alignment horizontal="center"/>
    </xf>
    <xf numFmtId="166" fontId="61" fillId="0" borderId="0" xfId="28" applyNumberFormat="1" applyFont="1" applyBorder="1"/>
    <xf numFmtId="166" fontId="60" fillId="0" borderId="0" xfId="28" applyNumberFormat="1" applyFont="1" applyAlignment="1">
      <alignment horizontal="center"/>
    </xf>
    <xf numFmtId="169" fontId="2" fillId="0" borderId="0" xfId="0" applyNumberFormat="1" applyFont="1" applyAlignment="1">
      <alignment horizontal="center"/>
    </xf>
    <xf numFmtId="169" fontId="36" fillId="0" borderId="0" xfId="0" applyNumberFormat="1" applyFont="1" applyAlignment="1">
      <alignment horizontal="center"/>
    </xf>
    <xf numFmtId="169" fontId="6" fillId="0" borderId="0" xfId="28" applyNumberFormat="1" applyFont="1" applyAlignment="1">
      <alignment horizontal="center"/>
    </xf>
    <xf numFmtId="166" fontId="63" fillId="0" borderId="0" xfId="28" applyNumberFormat="1" applyFont="1"/>
    <xf numFmtId="169" fontId="6" fillId="0" borderId="0" xfId="28" applyNumberFormat="1" applyFont="1" applyAlignment="1">
      <alignment horizontal="left"/>
    </xf>
    <xf numFmtId="169" fontId="36" fillId="0" borderId="0" xfId="0" applyNumberFormat="1" applyFont="1" applyAlignment="1">
      <alignment horizontal="left"/>
    </xf>
    <xf numFmtId="0" fontId="62" fillId="0" borderId="0" xfId="0" applyFont="1"/>
    <xf numFmtId="0" fontId="62" fillId="0" borderId="0" xfId="0" applyFont="1" applyAlignment="1">
      <alignment horizontal="center"/>
    </xf>
    <xf numFmtId="0" fontId="62" fillId="0" borderId="10" xfId="0" applyFont="1" applyBorder="1" applyAlignment="1">
      <alignment horizontal="center"/>
    </xf>
    <xf numFmtId="169" fontId="2" fillId="0" borderId="0" xfId="0" applyNumberFormat="1" applyFont="1" applyAlignment="1">
      <alignment horizontal="center" vertical="center"/>
    </xf>
    <xf numFmtId="0" fontId="43" fillId="0" borderId="0" xfId="0" applyFont="1" applyAlignment="1">
      <alignment wrapText="1"/>
    </xf>
    <xf numFmtId="0" fontId="2" fillId="0" borderId="0" xfId="0" applyFont="1" applyAlignment="1">
      <alignment wrapText="1"/>
    </xf>
    <xf numFmtId="166" fontId="2" fillId="0" borderId="0" xfId="0" applyNumberFormat="1" applyFont="1" applyAlignment="1">
      <alignment wrapText="1"/>
    </xf>
    <xf numFmtId="39" fontId="2" fillId="0" borderId="0" xfId="0" applyNumberFormat="1" applyFont="1" applyAlignment="1">
      <alignment wrapText="1"/>
    </xf>
    <xf numFmtId="49" fontId="2" fillId="0" borderId="0" xfId="0" applyNumberFormat="1" applyFont="1" applyAlignment="1">
      <alignment horizontal="center" wrapText="1"/>
    </xf>
    <xf numFmtId="49" fontId="43" fillId="0" borderId="0" xfId="0" quotePrefix="1" applyNumberFormat="1" applyFont="1" applyAlignment="1">
      <alignment horizontal="center"/>
    </xf>
    <xf numFmtId="166" fontId="53" fillId="0" borderId="0" xfId="28" applyNumberFormat="1" applyFont="1" applyFill="1" applyBorder="1" applyProtection="1">
      <protection locked="0"/>
    </xf>
    <xf numFmtId="166" fontId="53" fillId="0" borderId="0" xfId="28" applyNumberFormat="1" applyFont="1" applyFill="1" applyProtection="1">
      <protection locked="0"/>
    </xf>
    <xf numFmtId="43" fontId="36" fillId="0" borderId="0" xfId="28" applyFont="1" applyFill="1"/>
    <xf numFmtId="0" fontId="65" fillId="0" borderId="0" xfId="0" applyFont="1"/>
    <xf numFmtId="166" fontId="60" fillId="0" borderId="0" xfId="28" applyNumberFormat="1" applyFont="1" applyFill="1"/>
    <xf numFmtId="166" fontId="62" fillId="0" borderId="0" xfId="28" applyNumberFormat="1" applyFont="1" applyFill="1"/>
    <xf numFmtId="43" fontId="66" fillId="0" borderId="0" xfId="28" applyFont="1" applyFill="1" applyBorder="1" applyAlignment="1">
      <alignment horizontal="center"/>
    </xf>
    <xf numFmtId="171" fontId="2" fillId="0" borderId="0" xfId="0" applyNumberFormat="1" applyFont="1"/>
    <xf numFmtId="0" fontId="67" fillId="0" borderId="0" xfId="0" applyFont="1"/>
    <xf numFmtId="0" fontId="68" fillId="0" borderId="0" xfId="43" applyFont="1" applyAlignment="1">
      <alignment horizontal="center"/>
    </xf>
    <xf numFmtId="0" fontId="67" fillId="0" borderId="0" xfId="42" applyFont="1" applyAlignment="1">
      <alignment horizontal="center"/>
    </xf>
    <xf numFmtId="0" fontId="67" fillId="0" borderId="0" xfId="0" applyFont="1" applyAlignment="1">
      <alignment horizontal="center"/>
    </xf>
    <xf numFmtId="0" fontId="67" fillId="0" borderId="10" xfId="0" applyFont="1" applyBorder="1" applyAlignment="1">
      <alignment horizontal="center"/>
    </xf>
    <xf numFmtId="0" fontId="69" fillId="0" borderId="0" xfId="52" applyFont="1" applyAlignment="1">
      <alignment horizontal="center"/>
    </xf>
    <xf numFmtId="43" fontId="67" fillId="0" borderId="0" xfId="28" applyFont="1" applyFill="1"/>
    <xf numFmtId="0" fontId="69" fillId="0" borderId="0" xfId="52" applyFont="1" applyAlignment="1">
      <alignment horizontal="right" wrapText="1"/>
    </xf>
    <xf numFmtId="0" fontId="70" fillId="0" borderId="0" xfId="0" applyFont="1"/>
    <xf numFmtId="166" fontId="69" fillId="0" borderId="0" xfId="52" applyNumberFormat="1" applyFont="1" applyAlignment="1">
      <alignment horizontal="right" wrapText="1"/>
    </xf>
    <xf numFmtId="166" fontId="71" fillId="0" borderId="0" xfId="0" applyNumberFormat="1" applyFont="1"/>
    <xf numFmtId="0" fontId="71" fillId="0" borderId="0" xfId="0" applyFont="1"/>
    <xf numFmtId="39" fontId="71" fillId="0" borderId="0" xfId="0" applyNumberFormat="1" applyFont="1"/>
    <xf numFmtId="2" fontId="67" fillId="0" borderId="0" xfId="0" applyNumberFormat="1" applyFont="1"/>
    <xf numFmtId="0" fontId="67" fillId="0" borderId="0" xfId="0" applyFont="1" applyAlignment="1">
      <alignment wrapText="1"/>
    </xf>
    <xf numFmtId="39" fontId="67" fillId="0" borderId="0" xfId="0" applyNumberFormat="1" applyFont="1"/>
    <xf numFmtId="43" fontId="43" fillId="0" borderId="0" xfId="0" applyNumberFormat="1" applyFont="1"/>
    <xf numFmtId="166" fontId="61" fillId="0" borderId="23" xfId="28" applyNumberFormat="1" applyFont="1" applyFill="1" applyBorder="1"/>
    <xf numFmtId="43" fontId="60" fillId="0" borderId="0" xfId="28" applyFont="1"/>
    <xf numFmtId="166" fontId="48" fillId="0" borderId="0" xfId="0" applyNumberFormat="1" applyFont="1"/>
    <xf numFmtId="43" fontId="42" fillId="0" borderId="0" xfId="28" applyFont="1" applyFill="1"/>
    <xf numFmtId="43" fontId="43" fillId="0" borderId="0" xfId="28" applyFont="1" applyFill="1" applyAlignment="1">
      <alignment horizontal="center"/>
    </xf>
    <xf numFmtId="43" fontId="43" fillId="0" borderId="10" xfId="28" applyFont="1" applyFill="1" applyBorder="1" applyAlignment="1">
      <alignment horizontal="center"/>
    </xf>
    <xf numFmtId="43" fontId="43" fillId="0" borderId="0" xfId="28" applyFont="1" applyFill="1" applyAlignment="1">
      <alignment horizontal="fill"/>
    </xf>
    <xf numFmtId="172" fontId="72" fillId="0" borderId="0" xfId="28" applyNumberFormat="1" applyFont="1"/>
    <xf numFmtId="166" fontId="73" fillId="0" borderId="0" xfId="28" quotePrefix="1" applyNumberFormat="1" applyFont="1" applyFill="1" applyAlignment="1"/>
    <xf numFmtId="169" fontId="74" fillId="0" borderId="0" xfId="0" applyNumberFormat="1" applyFont="1" applyAlignment="1">
      <alignment horizontal="center"/>
    </xf>
    <xf numFmtId="0" fontId="74" fillId="0" borderId="0" xfId="0" applyFont="1"/>
    <xf numFmtId="166" fontId="67" fillId="0" borderId="0" xfId="28" applyNumberFormat="1" applyFont="1" applyFill="1" applyBorder="1" applyAlignment="1"/>
    <xf numFmtId="166" fontId="67" fillId="0" borderId="0" xfId="28" applyNumberFormat="1" applyFont="1" applyFill="1" applyBorder="1"/>
    <xf numFmtId="166" fontId="71" fillId="0" borderId="0" xfId="28" applyNumberFormat="1" applyFont="1" applyFill="1" applyBorder="1"/>
    <xf numFmtId="166" fontId="67" fillId="0" borderId="0" xfId="28" applyNumberFormat="1" applyFont="1" applyFill="1" applyBorder="1" applyAlignment="1">
      <alignment wrapText="1"/>
    </xf>
    <xf numFmtId="0" fontId="31" fillId="0" borderId="0" xfId="43" applyFont="1" applyAlignment="1">
      <alignment horizontal="center"/>
    </xf>
    <xf numFmtId="0" fontId="12" fillId="0" borderId="0" xfId="43" applyFont="1"/>
    <xf numFmtId="0" fontId="2" fillId="0" borderId="0" xfId="42" applyFont="1" applyAlignment="1">
      <alignment horizontal="center"/>
    </xf>
    <xf numFmtId="0" fontId="12" fillId="0" borderId="0" xfId="42" applyFont="1"/>
    <xf numFmtId="0" fontId="2" fillId="0" borderId="0" xfId="43" applyFont="1"/>
    <xf numFmtId="165" fontId="2" fillId="0" borderId="0" xfId="55" applyNumberFormat="1" applyFont="1" applyFill="1"/>
    <xf numFmtId="49" fontId="2" fillId="0" borderId="0" xfId="28" applyNumberFormat="1" applyFont="1" applyFill="1" applyAlignment="1">
      <alignment horizontal="center"/>
    </xf>
    <xf numFmtId="43" fontId="2" fillId="0" borderId="0" xfId="28" quotePrefix="1" applyFont="1" applyFill="1" applyAlignment="1">
      <alignment horizontal="center"/>
    </xf>
    <xf numFmtId="0" fontId="2" fillId="0" borderId="23" xfId="0" applyFont="1" applyBorder="1"/>
    <xf numFmtId="166" fontId="2" fillId="0" borderId="23" xfId="28" applyNumberFormat="1" applyFont="1" applyFill="1" applyBorder="1"/>
    <xf numFmtId="166" fontId="2" fillId="0" borderId="0" xfId="28" quotePrefix="1" applyNumberFormat="1" applyFont="1" applyFill="1"/>
    <xf numFmtId="166" fontId="12" fillId="0" borderId="0" xfId="28" applyNumberFormat="1" applyFont="1" applyFill="1" applyAlignment="1">
      <alignment horizontal="center"/>
    </xf>
    <xf numFmtId="166" fontId="2" fillId="0" borderId="20" xfId="28" applyNumberFormat="1" applyFont="1" applyFill="1" applyBorder="1"/>
    <xf numFmtId="166" fontId="2" fillId="0" borderId="11" xfId="28" applyNumberFormat="1" applyFont="1" applyFill="1" applyBorder="1"/>
    <xf numFmtId="0" fontId="59" fillId="0" borderId="0" xfId="0" applyFont="1"/>
    <xf numFmtId="169" fontId="60" fillId="0" borderId="0" xfId="0" applyNumberFormat="1" applyFont="1" applyAlignment="1">
      <alignment horizontal="left"/>
    </xf>
    <xf numFmtId="169" fontId="61" fillId="0" borderId="0" xfId="0" applyNumberFormat="1" applyFont="1" applyAlignment="1">
      <alignment horizontal="left"/>
    </xf>
    <xf numFmtId="39" fontId="61" fillId="0" borderId="0" xfId="0" applyNumberFormat="1" applyFont="1"/>
    <xf numFmtId="39" fontId="61" fillId="0" borderId="21" xfId="0" applyNumberFormat="1" applyFont="1" applyBorder="1"/>
    <xf numFmtId="0" fontId="43" fillId="0" borderId="0" xfId="0" quotePrefix="1" applyFont="1" applyAlignment="1">
      <alignment horizontal="center"/>
    </xf>
    <xf numFmtId="166" fontId="39" fillId="0" borderId="0" xfId="28" applyNumberFormat="1" applyFont="1" applyFill="1" applyAlignment="1">
      <alignment horizontal="center"/>
    </xf>
    <xf numFmtId="17" fontId="39" fillId="0" borderId="10" xfId="28" applyNumberFormat="1" applyFont="1" applyFill="1" applyBorder="1" applyAlignment="1">
      <alignment horizontal="center"/>
    </xf>
    <xf numFmtId="17" fontId="39" fillId="0" borderId="0" xfId="28" applyNumberFormat="1" applyFont="1" applyFill="1" applyBorder="1" applyAlignment="1">
      <alignment horizontal="center"/>
    </xf>
    <xf numFmtId="0" fontId="2" fillId="0" borderId="0" xfId="28" applyNumberFormat="1" applyFont="1" applyFill="1" applyBorder="1" applyAlignment="1">
      <alignment horizontal="center"/>
    </xf>
    <xf numFmtId="166" fontId="53" fillId="0" borderId="0" xfId="28" applyNumberFormat="1" applyFont="1" applyFill="1" applyAlignment="1">
      <alignment horizontal="left"/>
    </xf>
    <xf numFmtId="166" fontId="73" fillId="0" borderId="0" xfId="28" applyNumberFormat="1" applyFont="1" applyFill="1" applyAlignment="1">
      <alignment horizontal="left"/>
    </xf>
    <xf numFmtId="166" fontId="60" fillId="0" borderId="0" xfId="0" applyNumberFormat="1" applyFont="1"/>
    <xf numFmtId="37" fontId="43" fillId="0" borderId="23" xfId="0" applyNumberFormat="1" applyFont="1" applyBorder="1"/>
    <xf numFmtId="166" fontId="43" fillId="0" borderId="23" xfId="0" applyNumberFormat="1" applyFont="1" applyBorder="1"/>
    <xf numFmtId="0" fontId="2" fillId="0" borderId="0" xfId="0" applyFont="1" applyAlignment="1">
      <alignment horizontal="left" vertical="top" wrapText="1"/>
    </xf>
    <xf numFmtId="166" fontId="2" fillId="0" borderId="0" xfId="0" applyNumberFormat="1" applyFont="1" applyAlignment="1">
      <alignment horizontal="left" vertical="top" wrapText="1"/>
    </xf>
    <xf numFmtId="164" fontId="1" fillId="0" borderId="0" xfId="0" applyNumberFormat="1" applyFont="1"/>
    <xf numFmtId="37" fontId="37" fillId="0" borderId="0" xfId="28" applyNumberFormat="1" applyFont="1" applyFill="1" applyBorder="1"/>
    <xf numFmtId="37" fontId="45" fillId="0" borderId="25" xfId="28" applyNumberFormat="1" applyFont="1" applyFill="1" applyBorder="1" applyAlignment="1">
      <alignment horizontal="fill"/>
    </xf>
    <xf numFmtId="166" fontId="12" fillId="0" borderId="25" xfId="28" applyNumberFormat="1" applyFont="1" applyFill="1" applyBorder="1" applyAlignment="1">
      <alignment horizontal="fill"/>
    </xf>
    <xf numFmtId="166" fontId="45" fillId="0" borderId="25" xfId="28" applyNumberFormat="1" applyFont="1" applyFill="1" applyBorder="1" applyAlignment="1">
      <alignment horizontal="fill"/>
    </xf>
    <xf numFmtId="43" fontId="12" fillId="0" borderId="25" xfId="28" applyFont="1" applyFill="1" applyBorder="1" applyAlignment="1">
      <alignment horizontal="fill"/>
    </xf>
    <xf numFmtId="166" fontId="45" fillId="0" borderId="25" xfId="28" applyNumberFormat="1" applyFont="1" applyFill="1" applyBorder="1" applyAlignment="1">
      <alignment horizontal="right"/>
    </xf>
    <xf numFmtId="166" fontId="43" fillId="0" borderId="25" xfId="28" applyNumberFormat="1" applyFont="1" applyFill="1" applyBorder="1" applyAlignment="1">
      <alignment horizontal="fill"/>
    </xf>
    <xf numFmtId="166" fontId="50" fillId="0" borderId="25" xfId="28" applyNumberFormat="1" applyFont="1" applyFill="1" applyBorder="1" applyAlignment="1">
      <alignment horizontal="fill"/>
    </xf>
    <xf numFmtId="37" fontId="8" fillId="0" borderId="0" xfId="28" applyNumberFormat="1" applyFont="1" applyFill="1" applyProtection="1">
      <protection locked="0"/>
    </xf>
    <xf numFmtId="37" fontId="12" fillId="0" borderId="0" xfId="28" applyNumberFormat="1" applyFont="1" applyFill="1" applyBorder="1" applyProtection="1">
      <protection locked="0"/>
    </xf>
    <xf numFmtId="39" fontId="37" fillId="0" borderId="25" xfId="0" applyNumberFormat="1" applyFont="1" applyBorder="1" applyAlignment="1">
      <alignment horizontal="left"/>
    </xf>
    <xf numFmtId="166" fontId="37" fillId="0" borderId="25" xfId="28" applyNumberFormat="1" applyFont="1" applyFill="1" applyBorder="1" applyAlignment="1"/>
    <xf numFmtId="39" fontId="42" fillId="0" borderId="0" xfId="0" applyNumberFormat="1" applyFont="1"/>
    <xf numFmtId="49" fontId="37" fillId="0" borderId="0" xfId="0" applyNumberFormat="1" applyFont="1" applyAlignment="1">
      <alignment horizontal="center"/>
    </xf>
    <xf numFmtId="0" fontId="1" fillId="0" borderId="0" xfId="0" applyFont="1" applyAlignment="1">
      <alignment horizontal="left"/>
    </xf>
    <xf numFmtId="37" fontId="2" fillId="0" borderId="0" xfId="0" applyNumberFormat="1" applyFont="1" applyAlignment="1">
      <alignment horizontal="center"/>
    </xf>
    <xf numFmtId="49" fontId="0" fillId="0" borderId="0" xfId="0" applyNumberFormat="1" applyAlignment="1">
      <alignment horizontal="center"/>
    </xf>
    <xf numFmtId="43" fontId="43" fillId="0" borderId="23" xfId="28" applyFont="1" applyBorder="1"/>
    <xf numFmtId="43" fontId="2" fillId="0" borderId="23" xfId="28" applyFont="1" applyBorder="1"/>
    <xf numFmtId="0" fontId="2" fillId="0" borderId="0" xfId="0" quotePrefix="1" applyFont="1"/>
    <xf numFmtId="44" fontId="6" fillId="0" borderId="0" xfId="68" applyFont="1" applyAlignment="1"/>
    <xf numFmtId="37" fontId="12" fillId="0" borderId="0" xfId="28" applyNumberFormat="1" applyFont="1" applyFill="1" applyBorder="1"/>
    <xf numFmtId="37" fontId="12" fillId="0" borderId="20" xfId="28" applyNumberFormat="1" applyFont="1" applyFill="1" applyBorder="1"/>
    <xf numFmtId="0" fontId="60" fillId="0" borderId="19" xfId="0" applyFont="1" applyBorder="1" applyAlignment="1">
      <alignment horizontal="center"/>
    </xf>
    <xf numFmtId="166" fontId="60" fillId="0" borderId="15" xfId="28" applyNumberFormat="1" applyFont="1" applyBorder="1"/>
    <xf numFmtId="166" fontId="60" fillId="0" borderId="0" xfId="28" applyNumberFormat="1" applyFont="1" applyBorder="1"/>
    <xf numFmtId="166" fontId="61" fillId="0" borderId="15" xfId="28" applyNumberFormat="1" applyFont="1" applyBorder="1"/>
    <xf numFmtId="166" fontId="61" fillId="0" borderId="16" xfId="28" applyNumberFormat="1" applyFont="1" applyBorder="1"/>
    <xf numFmtId="166" fontId="61" fillId="0" borderId="27" xfId="55" applyNumberFormat="1" applyFont="1" applyBorder="1" applyAlignment="1">
      <alignment horizontal="center"/>
    </xf>
    <xf numFmtId="166" fontId="61" fillId="0" borderId="11" xfId="28" applyNumberFormat="1" applyFont="1" applyBorder="1"/>
    <xf numFmtId="166" fontId="61" fillId="0" borderId="26" xfId="28" applyNumberFormat="1" applyFont="1" applyBorder="1"/>
    <xf numFmtId="0" fontId="60" fillId="0" borderId="30" xfId="0" applyFont="1" applyBorder="1"/>
    <xf numFmtId="0" fontId="60" fillId="0" borderId="30" xfId="0" applyFont="1" applyBorder="1" applyAlignment="1">
      <alignment horizontal="center"/>
    </xf>
    <xf numFmtId="166" fontId="60" fillId="0" borderId="30" xfId="28" applyNumberFormat="1" applyFont="1" applyBorder="1"/>
    <xf numFmtId="166" fontId="61" fillId="0" borderId="30" xfId="28" applyNumberFormat="1" applyFont="1" applyBorder="1"/>
    <xf numFmtId="166" fontId="61" fillId="0" borderId="30" xfId="55" applyNumberFormat="1" applyFont="1" applyBorder="1" applyAlignment="1">
      <alignment horizontal="center"/>
    </xf>
    <xf numFmtId="0" fontId="61" fillId="0" borderId="11" xfId="0" applyFont="1" applyBorder="1" applyAlignment="1">
      <alignment horizontal="center"/>
    </xf>
    <xf numFmtId="0" fontId="61" fillId="0" borderId="26" xfId="0" applyFont="1" applyBorder="1" applyAlignment="1">
      <alignment horizontal="center"/>
    </xf>
    <xf numFmtId="0" fontId="61" fillId="0" borderId="29" xfId="0" applyFont="1" applyBorder="1" applyAlignment="1">
      <alignment horizontal="center"/>
    </xf>
    <xf numFmtId="169" fontId="60" fillId="0" borderId="32" xfId="0" applyNumberFormat="1" applyFont="1" applyBorder="1" applyAlignment="1">
      <alignment horizontal="left"/>
    </xf>
    <xf numFmtId="0" fontId="60" fillId="0" borderId="32" xfId="0" applyFont="1" applyBorder="1"/>
    <xf numFmtId="166" fontId="60" fillId="0" borderId="33" xfId="28" applyNumberFormat="1" applyFont="1" applyBorder="1"/>
    <xf numFmtId="166" fontId="60" fillId="0" borderId="32" xfId="28" applyNumberFormat="1" applyFont="1" applyBorder="1"/>
    <xf numFmtId="166" fontId="61" fillId="0" borderId="33" xfId="28" applyNumberFormat="1" applyFont="1" applyBorder="1"/>
    <xf numFmtId="166" fontId="61" fillId="0" borderId="32" xfId="28" applyNumberFormat="1" applyFont="1" applyBorder="1"/>
    <xf numFmtId="166" fontId="61" fillId="0" borderId="31" xfId="28" applyNumberFormat="1" applyFont="1" applyBorder="1"/>
    <xf numFmtId="0" fontId="61" fillId="0" borderId="15" xfId="0" applyFont="1" applyBorder="1" applyAlignment="1">
      <alignment horizontal="center"/>
    </xf>
    <xf numFmtId="0" fontId="60" fillId="0" borderId="21" xfId="0" applyFont="1" applyBorder="1"/>
    <xf numFmtId="166" fontId="60" fillId="0" borderId="21" xfId="28" applyNumberFormat="1" applyFont="1" applyBorder="1"/>
    <xf numFmtId="166" fontId="61" fillId="0" borderId="27" xfId="28" applyNumberFormat="1" applyFont="1" applyBorder="1"/>
    <xf numFmtId="166" fontId="61" fillId="0" borderId="21" xfId="28" applyNumberFormat="1" applyFont="1" applyBorder="1"/>
    <xf numFmtId="166" fontId="61" fillId="0" borderId="14" xfId="28" applyNumberFormat="1" applyFont="1" applyBorder="1"/>
    <xf numFmtId="166" fontId="60" fillId="0" borderId="16" xfId="28" applyNumberFormat="1" applyFont="1" applyBorder="1"/>
    <xf numFmtId="0" fontId="61" fillId="0" borderId="20" xfId="0" applyFont="1" applyBorder="1"/>
    <xf numFmtId="166" fontId="61" fillId="0" borderId="20" xfId="0" applyNumberFormat="1" applyFont="1" applyBorder="1"/>
    <xf numFmtId="43" fontId="61" fillId="0" borderId="0" xfId="28" applyFont="1"/>
    <xf numFmtId="41" fontId="61" fillId="0" borderId="0" xfId="28" applyNumberFormat="1" applyFont="1"/>
    <xf numFmtId="0" fontId="60" fillId="0" borderId="15" xfId="0" applyFont="1" applyBorder="1"/>
    <xf numFmtId="0" fontId="61" fillId="0" borderId="15" xfId="0" applyFont="1" applyBorder="1"/>
    <xf numFmtId="0" fontId="61" fillId="0" borderId="13" xfId="0" applyFont="1" applyBorder="1"/>
    <xf numFmtId="0" fontId="61" fillId="0" borderId="29" xfId="0" applyFont="1" applyBorder="1"/>
    <xf numFmtId="0" fontId="61" fillId="0" borderId="11" xfId="0" applyFont="1" applyBorder="1"/>
    <xf numFmtId="0" fontId="61" fillId="0" borderId="0" xfId="0" applyFont="1" applyAlignment="1">
      <alignment horizontal="center"/>
    </xf>
    <xf numFmtId="0" fontId="61" fillId="0" borderId="16" xfId="0" applyFont="1" applyBorder="1" applyAlignment="1">
      <alignment horizontal="center"/>
    </xf>
    <xf numFmtId="169" fontId="2" fillId="0" borderId="0" xfId="0" applyNumberFormat="1" applyFont="1"/>
    <xf numFmtId="0" fontId="2" fillId="0" borderId="25" xfId="0" applyFont="1" applyBorder="1"/>
    <xf numFmtId="0" fontId="61" fillId="0" borderId="25" xfId="0" applyFont="1" applyBorder="1" applyAlignment="1">
      <alignment horizontal="right"/>
    </xf>
    <xf numFmtId="166" fontId="61" fillId="0" borderId="25" xfId="55" applyNumberFormat="1" applyFont="1" applyBorder="1" applyAlignment="1">
      <alignment horizontal="center"/>
    </xf>
    <xf numFmtId="166" fontId="61" fillId="0" borderId="25" xfId="28" applyNumberFormat="1" applyFont="1" applyBorder="1"/>
    <xf numFmtId="0" fontId="61" fillId="0" borderId="10" xfId="0" applyFont="1" applyBorder="1" applyAlignment="1">
      <alignment horizontal="right"/>
    </xf>
    <xf numFmtId="166" fontId="61" fillId="0" borderId="10" xfId="28" applyNumberFormat="1" applyFont="1" applyBorder="1"/>
    <xf numFmtId="1" fontId="2" fillId="0" borderId="0" xfId="0" applyNumberFormat="1" applyFont="1" applyAlignment="1">
      <alignment horizontal="center"/>
    </xf>
    <xf numFmtId="37" fontId="43" fillId="0" borderId="0" xfId="0" applyNumberFormat="1" applyFont="1" applyAlignment="1">
      <alignment horizontal="center"/>
    </xf>
    <xf numFmtId="166" fontId="43" fillId="0" borderId="0" xfId="28" applyNumberFormat="1" applyFont="1" applyFill="1" applyBorder="1" applyAlignment="1">
      <alignment horizontal="center"/>
    </xf>
    <xf numFmtId="43" fontId="43" fillId="0" borderId="0" xfId="28" applyFont="1" applyFill="1" applyBorder="1" applyAlignment="1">
      <alignment horizontal="center"/>
    </xf>
    <xf numFmtId="17" fontId="49" fillId="0" borderId="0" xfId="28" applyNumberFormat="1" applyFont="1" applyFill="1" applyBorder="1" applyAlignment="1">
      <alignment horizontal="center"/>
    </xf>
    <xf numFmtId="1" fontId="6" fillId="0" borderId="0" xfId="0" applyNumberFormat="1" applyFont="1" applyAlignment="1">
      <alignment horizontal="center"/>
    </xf>
    <xf numFmtId="37" fontId="6" fillId="0" borderId="0" xfId="0" quotePrefix="1" applyNumberFormat="1" applyFont="1" applyAlignment="1">
      <alignment horizontal="center"/>
    </xf>
    <xf numFmtId="166" fontId="6" fillId="0" borderId="0" xfId="28" applyNumberFormat="1" applyFont="1" applyBorder="1" applyAlignment="1">
      <alignment horizontal="center"/>
    </xf>
    <xf numFmtId="17" fontId="6" fillId="0" borderId="0" xfId="28" applyNumberFormat="1" applyFont="1" applyBorder="1" applyAlignment="1">
      <alignment horizontal="center"/>
    </xf>
    <xf numFmtId="14" fontId="1" fillId="0" borderId="0" xfId="28" quotePrefix="1" applyNumberFormat="1" applyFont="1" applyBorder="1" applyAlignment="1">
      <alignment horizontal="center"/>
    </xf>
    <xf numFmtId="17" fontId="6" fillId="0" borderId="0" xfId="28" quotePrefix="1" applyNumberFormat="1" applyFont="1" applyBorder="1" applyAlignment="1">
      <alignment horizontal="center"/>
    </xf>
    <xf numFmtId="14" fontId="6" fillId="0" borderId="0" xfId="28" quotePrefix="1" applyNumberFormat="1" applyFont="1" applyBorder="1" applyAlignment="1">
      <alignment horizontal="center"/>
    </xf>
    <xf numFmtId="169" fontId="61" fillId="0" borderId="23" xfId="0" applyNumberFormat="1" applyFont="1" applyBorder="1" applyAlignment="1">
      <alignment horizontal="left"/>
    </xf>
    <xf numFmtId="9" fontId="60" fillId="0" borderId="23" xfId="55" applyFont="1" applyBorder="1" applyAlignment="1">
      <alignment horizontal="center"/>
    </xf>
    <xf numFmtId="166" fontId="60" fillId="0" borderId="23" xfId="28" applyNumberFormat="1" applyFont="1" applyBorder="1"/>
    <xf numFmtId="0" fontId="61" fillId="0" borderId="20" xfId="0" applyFont="1" applyBorder="1" applyAlignment="1">
      <alignment horizontal="right"/>
    </xf>
    <xf numFmtId="166" fontId="61" fillId="0" borderId="20" xfId="55" applyNumberFormat="1" applyFont="1" applyBorder="1" applyAlignment="1">
      <alignment horizontal="center"/>
    </xf>
    <xf numFmtId="166" fontId="61" fillId="0" borderId="20" xfId="28" applyNumberFormat="1" applyFont="1" applyBorder="1"/>
    <xf numFmtId="9" fontId="61" fillId="0" borderId="20" xfId="55" applyFont="1" applyBorder="1" applyAlignment="1">
      <alignment horizontal="center"/>
    </xf>
    <xf numFmtId="39" fontId="37" fillId="0" borderId="20" xfId="0" applyNumberFormat="1" applyFont="1" applyBorder="1" applyAlignment="1">
      <alignment horizontal="left"/>
    </xf>
    <xf numFmtId="0" fontId="36" fillId="0" borderId="20" xfId="0" applyFont="1" applyBorder="1"/>
    <xf numFmtId="166" fontId="12" fillId="0" borderId="0" xfId="28" applyNumberFormat="1" applyFont="1" applyFill="1" applyProtection="1">
      <protection locked="0"/>
    </xf>
    <xf numFmtId="166" fontId="12" fillId="0" borderId="20" xfId="28" applyNumberFormat="1" applyFont="1" applyFill="1" applyBorder="1" applyProtection="1">
      <protection locked="0"/>
    </xf>
    <xf numFmtId="169" fontId="12" fillId="0" borderId="0" xfId="0" applyNumberFormat="1" applyFont="1" applyAlignment="1">
      <alignment horizontal="left"/>
    </xf>
    <xf numFmtId="170" fontId="2" fillId="0" borderId="0" xfId="0" applyNumberFormat="1" applyFont="1" applyAlignment="1">
      <alignment horizontal="left"/>
    </xf>
    <xf numFmtId="0" fontId="60" fillId="0" borderId="25" xfId="0" applyFont="1" applyBorder="1"/>
    <xf numFmtId="166" fontId="60" fillId="0" borderId="34" xfId="28" applyNumberFormat="1" applyFont="1" applyBorder="1"/>
    <xf numFmtId="166" fontId="60" fillId="0" borderId="25" xfId="28" applyNumberFormat="1" applyFont="1" applyBorder="1"/>
    <xf numFmtId="166" fontId="61" fillId="0" borderId="34" xfId="28" applyNumberFormat="1" applyFont="1" applyBorder="1"/>
    <xf numFmtId="166" fontId="61" fillId="0" borderId="35" xfId="28" applyNumberFormat="1" applyFont="1" applyBorder="1"/>
    <xf numFmtId="166" fontId="61" fillId="0" borderId="28" xfId="28" applyNumberFormat="1" applyFont="1" applyBorder="1"/>
    <xf numFmtId="169" fontId="61" fillId="0" borderId="10" xfId="0" applyNumberFormat="1" applyFont="1" applyBorder="1" applyAlignment="1">
      <alignment horizontal="left"/>
    </xf>
    <xf numFmtId="0" fontId="61" fillId="0" borderId="10" xfId="0" applyFont="1" applyBorder="1"/>
    <xf numFmtId="166" fontId="61" fillId="0" borderId="19" xfId="28" applyNumberFormat="1" applyFont="1" applyBorder="1"/>
    <xf numFmtId="166" fontId="61" fillId="0" borderId="36" xfId="28" applyNumberFormat="1" applyFont="1" applyBorder="1"/>
    <xf numFmtId="166" fontId="61" fillId="0" borderId="17" xfId="28" applyNumberFormat="1" applyFont="1" applyBorder="1"/>
    <xf numFmtId="169" fontId="60" fillId="0" borderId="10" xfId="0" applyNumberFormat="1" applyFont="1" applyBorder="1" applyAlignment="1">
      <alignment horizontal="left"/>
    </xf>
    <xf numFmtId="166" fontId="60" fillId="0" borderId="19" xfId="28" applyNumberFormat="1" applyFont="1" applyBorder="1"/>
    <xf numFmtId="166" fontId="60" fillId="0" borderId="10" xfId="28" applyNumberFormat="1" applyFont="1" applyBorder="1"/>
    <xf numFmtId="166" fontId="60" fillId="0" borderId="36" xfId="28" applyNumberFormat="1" applyFont="1" applyBorder="1"/>
    <xf numFmtId="166" fontId="60" fillId="0" borderId="37" xfId="28" applyNumberFormat="1" applyFont="1" applyBorder="1"/>
    <xf numFmtId="166" fontId="2" fillId="0" borderId="0" xfId="28" applyNumberFormat="1" applyFont="1"/>
    <xf numFmtId="39" fontId="37" fillId="0" borderId="20" xfId="28" applyNumberFormat="1" applyFont="1" applyFill="1" applyBorder="1"/>
    <xf numFmtId="43" fontId="36" fillId="0" borderId="0" xfId="28" applyFont="1"/>
    <xf numFmtId="166" fontId="61" fillId="0" borderId="19" xfId="55" applyNumberFormat="1" applyFont="1" applyFill="1" applyBorder="1" applyAlignment="1">
      <alignment horizontal="center"/>
    </xf>
    <xf numFmtId="166" fontId="61" fillId="0" borderId="10" xfId="55" applyNumberFormat="1" applyFont="1" applyFill="1" applyBorder="1" applyAlignment="1">
      <alignment horizontal="center"/>
    </xf>
    <xf numFmtId="166" fontId="61" fillId="0" borderId="30" xfId="55" applyNumberFormat="1" applyFont="1" applyFill="1" applyBorder="1" applyAlignment="1">
      <alignment horizontal="center"/>
    </xf>
    <xf numFmtId="166" fontId="61" fillId="0" borderId="29" xfId="28" applyNumberFormat="1" applyFont="1" applyFill="1" applyBorder="1"/>
    <xf numFmtId="166" fontId="61" fillId="0" borderId="10" xfId="28" applyNumberFormat="1" applyFont="1" applyFill="1" applyBorder="1"/>
    <xf numFmtId="166" fontId="61" fillId="0" borderId="11" xfId="28" applyNumberFormat="1" applyFont="1" applyFill="1" applyBorder="1"/>
    <xf numFmtId="166" fontId="61" fillId="0" borderId="30" xfId="28" applyNumberFormat="1" applyFont="1" applyFill="1" applyBorder="1"/>
    <xf numFmtId="9" fontId="60" fillId="0" borderId="32" xfId="55" applyFont="1" applyBorder="1"/>
    <xf numFmtId="166" fontId="60" fillId="0" borderId="15" xfId="0" applyNumberFormat="1" applyFont="1" applyBorder="1" applyAlignment="1">
      <alignment horizontal="center"/>
    </xf>
    <xf numFmtId="166" fontId="60" fillId="0" borderId="16" xfId="28" applyNumberFormat="1" applyFont="1" applyFill="1" applyBorder="1"/>
    <xf numFmtId="166" fontId="60" fillId="0" borderId="0" xfId="0" applyNumberFormat="1" applyFont="1" applyAlignment="1">
      <alignment horizontal="center"/>
    </xf>
    <xf numFmtId="166" fontId="46" fillId="0" borderId="0" xfId="28" applyNumberFormat="1" applyFont="1"/>
    <xf numFmtId="166" fontId="43" fillId="0" borderId="0" xfId="28" applyNumberFormat="1" applyFont="1"/>
    <xf numFmtId="166" fontId="60" fillId="0" borderId="0" xfId="29" applyNumberFormat="1" applyFont="1"/>
    <xf numFmtId="166" fontId="61" fillId="0" borderId="0" xfId="0" applyNumberFormat="1" applyFont="1"/>
    <xf numFmtId="166" fontId="56" fillId="0" borderId="11" xfId="0" applyNumberFormat="1" applyFont="1" applyBorder="1"/>
    <xf numFmtId="9" fontId="60" fillId="0" borderId="0" xfId="55" applyFont="1" applyBorder="1"/>
    <xf numFmtId="166" fontId="1" fillId="0" borderId="0" xfId="0" applyNumberFormat="1" applyFont="1" applyAlignment="1">
      <alignment horizontal="center"/>
    </xf>
    <xf numFmtId="166" fontId="67" fillId="0" borderId="0" xfId="0" applyNumberFormat="1" applyFont="1"/>
    <xf numFmtId="166" fontId="70" fillId="0" borderId="0" xfId="0" applyNumberFormat="1" applyFont="1"/>
    <xf numFmtId="166" fontId="43" fillId="0" borderId="0" xfId="28" applyNumberFormat="1" applyFont="1" applyFill="1" applyBorder="1"/>
    <xf numFmtId="43" fontId="37" fillId="0" borderId="0" xfId="28" applyFont="1" applyFill="1" applyBorder="1"/>
    <xf numFmtId="43" fontId="43" fillId="0" borderId="0" xfId="28" applyFont="1"/>
    <xf numFmtId="0" fontId="2" fillId="0" borderId="11" xfId="0" applyFont="1" applyBorder="1"/>
    <xf numFmtId="43" fontId="46" fillId="0" borderId="0" xfId="0" applyNumberFormat="1" applyFont="1" applyAlignment="1">
      <alignment horizontal="left"/>
    </xf>
    <xf numFmtId="43" fontId="46" fillId="0" borderId="0" xfId="0" applyNumberFormat="1" applyFont="1"/>
    <xf numFmtId="43" fontId="43" fillId="0" borderId="0" xfId="0" applyNumberFormat="1" applyFont="1" applyAlignment="1">
      <alignment wrapText="1"/>
    </xf>
    <xf numFmtId="43" fontId="43" fillId="0" borderId="0" xfId="0" applyNumberFormat="1" applyFont="1" applyAlignment="1">
      <alignment horizontal="fill"/>
    </xf>
    <xf numFmtId="0" fontId="2" fillId="0" borderId="0" xfId="0" applyFont="1" applyAlignment="1">
      <alignment horizontal="left" wrapText="1"/>
    </xf>
    <xf numFmtId="0" fontId="78" fillId="0" borderId="0" xfId="0" quotePrefix="1" applyFont="1"/>
    <xf numFmtId="166" fontId="78" fillId="0" borderId="0" xfId="0" applyNumberFormat="1" applyFont="1" applyAlignment="1">
      <alignment horizontal="right"/>
    </xf>
    <xf numFmtId="0" fontId="79" fillId="0" borderId="0" xfId="0" applyFont="1" applyAlignment="1">
      <alignment horizontal="center"/>
    </xf>
    <xf numFmtId="166" fontId="1" fillId="0" borderId="0" xfId="0" quotePrefix="1" applyNumberFormat="1" applyFont="1"/>
    <xf numFmtId="0" fontId="57" fillId="0" borderId="10" xfId="0" applyFont="1" applyBorder="1" applyAlignment="1">
      <alignment horizontal="center" wrapText="1"/>
    </xf>
    <xf numFmtId="0" fontId="57" fillId="0" borderId="0" xfId="0" applyFont="1" applyAlignment="1">
      <alignment vertical="top"/>
    </xf>
    <xf numFmtId="0" fontId="57" fillId="0" borderId="0" xfId="0" applyFont="1" applyAlignment="1">
      <alignment horizontal="center" wrapText="1"/>
    </xf>
    <xf numFmtId="169" fontId="1" fillId="0" borderId="0" xfId="69" applyNumberFormat="1"/>
    <xf numFmtId="0" fontId="1" fillId="0" borderId="0" xfId="69"/>
    <xf numFmtId="166" fontId="1" fillId="0" borderId="0" xfId="65" applyNumberFormat="1" applyFont="1"/>
    <xf numFmtId="169" fontId="1" fillId="0" borderId="0" xfId="0" applyNumberFormat="1" applyFont="1" applyAlignment="1">
      <alignment horizontal="left"/>
    </xf>
    <xf numFmtId="9" fontId="1" fillId="0" borderId="0" xfId="55" applyFont="1" applyAlignment="1">
      <alignment horizontal="center" vertical="center"/>
    </xf>
    <xf numFmtId="166" fontId="1" fillId="0" borderId="0" xfId="65" applyNumberFormat="1" applyFont="1" applyBorder="1"/>
    <xf numFmtId="37" fontId="57" fillId="23" borderId="20" xfId="44" applyFont="1" applyBorder="1" applyAlignment="1">
      <alignment vertical="top"/>
    </xf>
    <xf numFmtId="169" fontId="9" fillId="0" borderId="11" xfId="0" applyNumberFormat="1" applyFont="1" applyBorder="1" applyAlignment="1">
      <alignment horizontal="left"/>
    </xf>
    <xf numFmtId="0" fontId="9" fillId="0" borderId="11" xfId="0" applyFont="1" applyBorder="1"/>
    <xf numFmtId="166" fontId="9" fillId="0" borderId="11" xfId="28" applyNumberFormat="1" applyFont="1" applyBorder="1"/>
    <xf numFmtId="169" fontId="9" fillId="0" borderId="0" xfId="0" applyNumberFormat="1" applyFont="1" applyAlignment="1">
      <alignment horizontal="left"/>
    </xf>
    <xf numFmtId="166" fontId="9" fillId="0" borderId="0" xfId="28" applyNumberFormat="1" applyFont="1" applyBorder="1"/>
    <xf numFmtId="0" fontId="0" fillId="0" borderId="20" xfId="0" applyBorder="1"/>
    <xf numFmtId="0" fontId="9" fillId="0" borderId="20" xfId="0" applyFont="1" applyBorder="1"/>
    <xf numFmtId="166" fontId="9" fillId="0" borderId="20" xfId="28" applyNumberFormat="1" applyFont="1" applyBorder="1"/>
    <xf numFmtId="169" fontId="0" fillId="0" borderId="0" xfId="0" applyNumberFormat="1" applyAlignment="1">
      <alignment horizontal="left"/>
    </xf>
    <xf numFmtId="169" fontId="0" fillId="0" borderId="23" xfId="0" applyNumberFormat="1" applyBorder="1" applyAlignment="1">
      <alignment horizontal="left"/>
    </xf>
    <xf numFmtId="0" fontId="0" fillId="0" borderId="23" xfId="0" applyBorder="1"/>
    <xf numFmtId="166" fontId="0" fillId="0" borderId="0" xfId="28" applyNumberFormat="1" applyFont="1" applyBorder="1"/>
    <xf numFmtId="166" fontId="0" fillId="0" borderId="0" xfId="28" applyNumberFormat="1" applyFont="1" applyFill="1" applyBorder="1"/>
    <xf numFmtId="0" fontId="1" fillId="0" borderId="23" xfId="0" applyFont="1" applyBorder="1"/>
    <xf numFmtId="0" fontId="57" fillId="0" borderId="20" xfId="0" applyFont="1" applyBorder="1" applyAlignment="1">
      <alignment vertical="top"/>
    </xf>
    <xf numFmtId="43" fontId="60" fillId="0" borderId="0" xfId="0" applyNumberFormat="1" applyFont="1"/>
    <xf numFmtId="0" fontId="36" fillId="0" borderId="0" xfId="0" quotePrefix="1" applyFont="1"/>
    <xf numFmtId="169" fontId="60" fillId="0" borderId="0" xfId="0" applyNumberFormat="1" applyFont="1"/>
    <xf numFmtId="165" fontId="12" fillId="0" borderId="0" xfId="28" applyNumberFormat="1" applyFont="1" applyFill="1"/>
    <xf numFmtId="169" fontId="0" fillId="0" borderId="0" xfId="0" applyNumberFormat="1"/>
    <xf numFmtId="169" fontId="1" fillId="0" borderId="0" xfId="0" applyNumberFormat="1" applyFont="1"/>
    <xf numFmtId="43" fontId="0" fillId="0" borderId="0" xfId="0" applyNumberFormat="1"/>
    <xf numFmtId="173" fontId="60" fillId="0" borderId="0" xfId="0" applyNumberFormat="1" applyFont="1"/>
    <xf numFmtId="43" fontId="2" fillId="0" borderId="0" xfId="28" applyFont="1"/>
    <xf numFmtId="43" fontId="44" fillId="0" borderId="0" xfId="28" applyFont="1" applyFill="1"/>
    <xf numFmtId="43" fontId="12" fillId="0" borderId="0" xfId="28" applyFont="1" applyFill="1" applyBorder="1"/>
    <xf numFmtId="49" fontId="2" fillId="0" borderId="0" xfId="28" quotePrefix="1" applyNumberFormat="1" applyFont="1" applyFill="1" applyAlignment="1">
      <alignment horizontal="center"/>
    </xf>
    <xf numFmtId="39" fontId="36" fillId="0" borderId="0" xfId="0" applyNumberFormat="1" applyFont="1" applyAlignment="1">
      <alignment horizontal="left"/>
    </xf>
    <xf numFmtId="39" fontId="37" fillId="0" borderId="0" xfId="0" applyNumberFormat="1" applyFont="1" applyAlignment="1">
      <alignment horizontal="center"/>
    </xf>
    <xf numFmtId="1" fontId="0" fillId="0" borderId="0" xfId="0" applyNumberFormat="1"/>
    <xf numFmtId="0" fontId="2" fillId="0" borderId="23" xfId="0" applyFont="1" applyBorder="1" applyAlignment="1">
      <alignment horizontal="right"/>
    </xf>
    <xf numFmtId="0" fontId="3" fillId="0" borderId="0" xfId="69" applyFont="1"/>
    <xf numFmtId="0" fontId="4" fillId="0" borderId="0" xfId="69" applyFont="1"/>
    <xf numFmtId="37" fontId="4" fillId="0" borderId="0" xfId="69" applyNumberFormat="1" applyFont="1"/>
    <xf numFmtId="166" fontId="4" fillId="0" borderId="0" xfId="69" applyNumberFormat="1" applyFont="1"/>
    <xf numFmtId="39" fontId="4" fillId="0" borderId="0" xfId="69" applyNumberFormat="1" applyFont="1"/>
    <xf numFmtId="0" fontId="5" fillId="0" borderId="0" xfId="69" applyFont="1"/>
    <xf numFmtId="0" fontId="1" fillId="0" borderId="0" xfId="69" applyAlignment="1">
      <alignment horizontal="center"/>
    </xf>
    <xf numFmtId="37" fontId="1" fillId="0" borderId="0" xfId="69" applyNumberFormat="1" applyAlignment="1">
      <alignment horizontal="center"/>
    </xf>
    <xf numFmtId="166" fontId="1" fillId="0" borderId="0" xfId="28" applyNumberFormat="1" applyFont="1" applyAlignment="1">
      <alignment horizontal="center"/>
    </xf>
    <xf numFmtId="43" fontId="1" fillId="0" borderId="0" xfId="28" applyFont="1" applyAlignment="1">
      <alignment horizontal="center"/>
    </xf>
    <xf numFmtId="39" fontId="1" fillId="0" borderId="0" xfId="69" applyNumberFormat="1" applyAlignment="1">
      <alignment horizontal="center"/>
    </xf>
    <xf numFmtId="37" fontId="1" fillId="0" borderId="0" xfId="28" applyNumberFormat="1" applyFont="1" applyAlignment="1">
      <alignment horizontal="center"/>
    </xf>
    <xf numFmtId="166" fontId="1" fillId="0" borderId="0" xfId="28" quotePrefix="1" applyNumberFormat="1" applyFont="1" applyAlignment="1">
      <alignment horizontal="center"/>
    </xf>
    <xf numFmtId="0" fontId="1" fillId="0" borderId="10" xfId="69" applyBorder="1" applyAlignment="1">
      <alignment horizontal="center"/>
    </xf>
    <xf numFmtId="1" fontId="1" fillId="0" borderId="10" xfId="69" applyNumberFormat="1" applyBorder="1" applyAlignment="1">
      <alignment horizontal="center"/>
    </xf>
    <xf numFmtId="37" fontId="1" fillId="0" borderId="10" xfId="69" quotePrefix="1" applyNumberFormat="1" applyBorder="1" applyAlignment="1">
      <alignment horizontal="center"/>
    </xf>
    <xf numFmtId="37" fontId="1" fillId="0" borderId="10" xfId="69" applyNumberFormat="1" applyBorder="1" applyAlignment="1">
      <alignment horizontal="center"/>
    </xf>
    <xf numFmtId="166" fontId="1" fillId="0" borderId="10" xfId="28" applyNumberFormat="1" applyFont="1" applyBorder="1" applyAlignment="1">
      <alignment horizontal="center"/>
    </xf>
    <xf numFmtId="17" fontId="1" fillId="0" borderId="10" xfId="28" applyNumberFormat="1" applyFont="1" applyBorder="1" applyAlignment="1">
      <alignment horizontal="center"/>
    </xf>
    <xf numFmtId="1" fontId="1" fillId="0" borderId="0" xfId="69" applyNumberFormat="1" applyAlignment="1">
      <alignment horizontal="center"/>
    </xf>
    <xf numFmtId="37" fontId="1" fillId="0" borderId="0" xfId="69" quotePrefix="1" applyNumberFormat="1" applyAlignment="1">
      <alignment horizontal="center"/>
    </xf>
    <xf numFmtId="166" fontId="1" fillId="0" borderId="0" xfId="28" applyNumberFormat="1" applyFont="1" applyBorder="1" applyAlignment="1">
      <alignment horizontal="center"/>
    </xf>
    <xf numFmtId="17" fontId="1" fillId="0" borderId="0" xfId="28" applyNumberFormat="1" applyFont="1" applyBorder="1" applyAlignment="1">
      <alignment horizontal="center"/>
    </xf>
    <xf numFmtId="169" fontId="1" fillId="0" borderId="0" xfId="28" applyNumberFormat="1" applyFont="1" applyAlignment="1">
      <alignment horizontal="left"/>
    </xf>
    <xf numFmtId="0" fontId="1" fillId="0" borderId="0" xfId="28" applyNumberFormat="1" applyFont="1" applyAlignment="1">
      <alignment horizontal="left"/>
    </xf>
    <xf numFmtId="166" fontId="1" fillId="0" borderId="0" xfId="28" applyNumberFormat="1" applyFont="1" applyAlignment="1"/>
    <xf numFmtId="165" fontId="1" fillId="0" borderId="0" xfId="55" applyNumberFormat="1" applyFont="1" applyAlignment="1"/>
    <xf numFmtId="0" fontId="1" fillId="0" borderId="12" xfId="69" applyBorder="1"/>
    <xf numFmtId="166" fontId="1" fillId="0" borderId="12" xfId="69" applyNumberFormat="1" applyBorder="1"/>
    <xf numFmtId="166" fontId="1" fillId="0" borderId="0" xfId="69" applyNumberFormat="1"/>
    <xf numFmtId="0" fontId="3" fillId="0" borderId="0" xfId="70" applyFont="1" applyAlignment="1">
      <alignment horizontal="left"/>
    </xf>
    <xf numFmtId="0" fontId="4" fillId="0" borderId="0" xfId="70" applyFont="1"/>
    <xf numFmtId="37" fontId="38" fillId="0" borderId="0" xfId="70" applyNumberFormat="1" applyFont="1"/>
    <xf numFmtId="0" fontId="1" fillId="0" borderId="0" xfId="70"/>
    <xf numFmtId="0" fontId="5" fillId="0" borderId="0" xfId="70" applyFont="1"/>
    <xf numFmtId="0" fontId="41" fillId="0" borderId="0" xfId="70" applyFont="1"/>
    <xf numFmtId="0" fontId="2" fillId="0" borderId="0" xfId="70" applyFont="1"/>
    <xf numFmtId="37" fontId="36" fillId="0" borderId="0" xfId="70" applyNumberFormat="1" applyFont="1" applyAlignment="1">
      <alignment horizontal="center"/>
    </xf>
    <xf numFmtId="1" fontId="2" fillId="0" borderId="10" xfId="70" applyNumberFormat="1" applyFont="1" applyBorder="1" applyAlignment="1">
      <alignment horizontal="center"/>
    </xf>
    <xf numFmtId="39" fontId="2" fillId="0" borderId="10" xfId="70" applyNumberFormat="1" applyFont="1" applyBorder="1" applyAlignment="1">
      <alignment horizontal="center"/>
    </xf>
    <xf numFmtId="37" fontId="36" fillId="0" borderId="10" xfId="70" applyNumberFormat="1" applyFont="1" applyBorder="1" applyAlignment="1">
      <alignment horizontal="center"/>
    </xf>
    <xf numFmtId="1" fontId="12" fillId="0" borderId="0" xfId="70" applyNumberFormat="1" applyFont="1" applyAlignment="1">
      <alignment horizontal="left"/>
    </xf>
    <xf numFmtId="39" fontId="2" fillId="0" borderId="0" xfId="70" applyNumberFormat="1" applyFont="1" applyAlignment="1">
      <alignment horizontal="center"/>
    </xf>
    <xf numFmtId="169" fontId="36" fillId="0" borderId="0" xfId="70" applyNumberFormat="1" applyFont="1" applyAlignment="1">
      <alignment horizontal="center"/>
    </xf>
    <xf numFmtId="0" fontId="36" fillId="0" borderId="0" xfId="70" applyFont="1"/>
    <xf numFmtId="39" fontId="36" fillId="0" borderId="0" xfId="70" applyNumberFormat="1" applyFont="1" applyAlignment="1">
      <alignment horizontal="center"/>
    </xf>
    <xf numFmtId="166" fontId="2" fillId="0" borderId="0" xfId="70" applyNumberFormat="1" applyFont="1"/>
    <xf numFmtId="0" fontId="12" fillId="0" borderId="0" xfId="70" applyFont="1" applyAlignment="1">
      <alignment horizontal="left"/>
    </xf>
    <xf numFmtId="166" fontId="37" fillId="0" borderId="20" xfId="28" applyNumberFormat="1" applyFont="1" applyFill="1" applyBorder="1"/>
    <xf numFmtId="39" fontId="2" fillId="0" borderId="0" xfId="70" applyNumberFormat="1" applyFont="1"/>
    <xf numFmtId="37" fontId="40" fillId="0" borderId="0" xfId="70" applyNumberFormat="1" applyFont="1"/>
    <xf numFmtId="166" fontId="40" fillId="0" borderId="0" xfId="70" applyNumberFormat="1" applyFont="1"/>
    <xf numFmtId="166" fontId="1" fillId="0" borderId="0" xfId="70" applyNumberFormat="1"/>
    <xf numFmtId="39" fontId="2" fillId="0" borderId="10" xfId="70" applyNumberFormat="1" applyFont="1" applyBorder="1" applyAlignment="1">
      <alignment horizontal="center" wrapText="1"/>
    </xf>
    <xf numFmtId="14" fontId="2" fillId="0" borderId="10" xfId="28" applyNumberFormat="1" applyFont="1" applyFill="1" applyBorder="1" applyAlignment="1">
      <alignment horizontal="center" wrapText="1"/>
    </xf>
    <xf numFmtId="166" fontId="2" fillId="0" borderId="10" xfId="28" applyNumberFormat="1" applyFont="1" applyFill="1" applyBorder="1" applyAlignment="1">
      <alignment horizontal="center" wrapText="1"/>
    </xf>
    <xf numFmtId="17" fontId="2" fillId="0" borderId="10" xfId="28" applyNumberFormat="1" applyFont="1" applyFill="1" applyBorder="1" applyAlignment="1">
      <alignment horizontal="center" wrapText="1"/>
    </xf>
    <xf numFmtId="9" fontId="36" fillId="0" borderId="0" xfId="55" applyFont="1"/>
    <xf numFmtId="9" fontId="2" fillId="0" borderId="0" xfId="55" applyFont="1"/>
    <xf numFmtId="0" fontId="60" fillId="0" borderId="0" xfId="69" applyFont="1"/>
    <xf numFmtId="1" fontId="2" fillId="0" borderId="0" xfId="70" applyNumberFormat="1" applyFont="1" applyAlignment="1">
      <alignment horizontal="center"/>
    </xf>
    <xf numFmtId="0" fontId="61" fillId="0" borderId="0" xfId="69" applyFont="1"/>
    <xf numFmtId="166" fontId="60" fillId="0" borderId="32" xfId="28" applyNumberFormat="1" applyFont="1" applyFill="1" applyBorder="1"/>
    <xf numFmtId="166" fontId="12" fillId="0" borderId="20" xfId="28" applyNumberFormat="1" applyFont="1" applyFill="1" applyBorder="1"/>
    <xf numFmtId="37" fontId="1" fillId="0" borderId="0" xfId="70" applyNumberFormat="1"/>
    <xf numFmtId="37" fontId="2" fillId="0" borderId="0" xfId="28" applyNumberFormat="1" applyFont="1" applyFill="1" applyAlignment="1">
      <alignment horizontal="center"/>
    </xf>
    <xf numFmtId="37" fontId="2" fillId="0" borderId="10" xfId="70" applyNumberFormat="1" applyFont="1" applyBorder="1" applyAlignment="1">
      <alignment horizontal="center" wrapText="1"/>
    </xf>
    <xf numFmtId="37" fontId="2" fillId="0" borderId="0" xfId="70" applyNumberFormat="1" applyFont="1" applyAlignment="1">
      <alignment horizontal="center"/>
    </xf>
    <xf numFmtId="17" fontId="2" fillId="0" borderId="0" xfId="28" applyNumberFormat="1" applyFont="1" applyFill="1" applyBorder="1" applyAlignment="1" applyProtection="1">
      <alignment horizontal="center"/>
      <protection locked="0"/>
    </xf>
    <xf numFmtId="17" fontId="2" fillId="0" borderId="0" xfId="28" applyNumberFormat="1" applyFont="1" applyFill="1" applyBorder="1" applyAlignment="1" applyProtection="1">
      <alignment horizontal="center"/>
    </xf>
    <xf numFmtId="166" fontId="61" fillId="0" borderId="0" xfId="28" applyNumberFormat="1" applyFont="1" applyFill="1" applyBorder="1"/>
    <xf numFmtId="0" fontId="60" fillId="25" borderId="0" xfId="0" applyFont="1" applyFill="1" applyAlignment="1">
      <alignment horizontal="center"/>
    </xf>
    <xf numFmtId="0" fontId="60" fillId="26" borderId="0" xfId="0" applyFont="1" applyFill="1" applyAlignment="1">
      <alignment horizontal="center"/>
    </xf>
    <xf numFmtId="169" fontId="60" fillId="26" borderId="0" xfId="0" applyNumberFormat="1" applyFont="1" applyFill="1" applyAlignment="1">
      <alignment horizontal="left"/>
    </xf>
    <xf numFmtId="0" fontId="60" fillId="26" borderId="0" xfId="0" applyFont="1" applyFill="1"/>
    <xf numFmtId="169" fontId="60" fillId="25" borderId="0" xfId="0" applyNumberFormat="1" applyFont="1" applyFill="1" applyAlignment="1">
      <alignment horizontal="left"/>
    </xf>
    <xf numFmtId="0" fontId="60" fillId="25" borderId="0" xfId="0" applyFont="1" applyFill="1"/>
    <xf numFmtId="166" fontId="1" fillId="0" borderId="0" xfId="65" applyNumberFormat="1" applyFont="1" applyFill="1"/>
    <xf numFmtId="166" fontId="60" fillId="0" borderId="33" xfId="28" applyNumberFormat="1" applyFont="1" applyFill="1" applyBorder="1"/>
    <xf numFmtId="169" fontId="36" fillId="27" borderId="0" xfId="0" applyNumberFormat="1" applyFont="1" applyFill="1" applyAlignment="1">
      <alignment horizontal="center"/>
    </xf>
    <xf numFmtId="0" fontId="36" fillId="28" borderId="0" xfId="0" applyFont="1" applyFill="1"/>
    <xf numFmtId="0" fontId="2" fillId="27" borderId="0" xfId="0" applyFont="1" applyFill="1"/>
    <xf numFmtId="169" fontId="36" fillId="28" borderId="0" xfId="0" applyNumberFormat="1" applyFont="1" applyFill="1" applyAlignment="1">
      <alignment horizontal="center"/>
    </xf>
    <xf numFmtId="166" fontId="77" fillId="0" borderId="39" xfId="0" applyNumberFormat="1" applyFont="1" applyBorder="1"/>
    <xf numFmtId="166" fontId="61" fillId="0" borderId="30" xfId="0" applyNumberFormat="1" applyFont="1" applyBorder="1"/>
    <xf numFmtId="0" fontId="61" fillId="0" borderId="38" xfId="0" applyFont="1" applyBorder="1" applyAlignment="1">
      <alignment horizontal="center"/>
    </xf>
    <xf numFmtId="166" fontId="61" fillId="0" borderId="37" xfId="28" applyNumberFormat="1" applyFont="1" applyBorder="1"/>
    <xf numFmtId="0" fontId="61" fillId="0" borderId="30" xfId="0" applyFont="1" applyBorder="1" applyAlignment="1">
      <alignment horizontal="center"/>
    </xf>
    <xf numFmtId="166" fontId="61" fillId="0" borderId="40" xfId="28" applyNumberFormat="1" applyFont="1" applyBorder="1"/>
    <xf numFmtId="166" fontId="61" fillId="0" borderId="41" xfId="28" applyNumberFormat="1" applyFont="1" applyBorder="1"/>
    <xf numFmtId="166" fontId="61" fillId="0" borderId="40" xfId="55" applyNumberFormat="1" applyFont="1" applyBorder="1" applyAlignment="1">
      <alignment horizontal="center"/>
    </xf>
    <xf numFmtId="166" fontId="61" fillId="0" borderId="36" xfId="55" applyNumberFormat="1" applyFont="1" applyFill="1" applyBorder="1" applyAlignment="1">
      <alignment horizontal="center"/>
    </xf>
    <xf numFmtId="166" fontId="61" fillId="0" borderId="38" xfId="28" applyNumberFormat="1" applyFont="1" applyFill="1" applyBorder="1"/>
    <xf numFmtId="166" fontId="61" fillId="0" borderId="38" xfId="28" applyNumberFormat="1" applyFont="1" applyBorder="1"/>
    <xf numFmtId="166" fontId="61" fillId="0" borderId="38" xfId="0" applyNumberFormat="1" applyFont="1" applyBorder="1"/>
    <xf numFmtId="0" fontId="61" fillId="0" borderId="13" xfId="0" applyFont="1" applyBorder="1" applyAlignment="1">
      <alignment horizontal="center"/>
    </xf>
    <xf numFmtId="0" fontId="61" fillId="0" borderId="23" xfId="0" applyFont="1" applyBorder="1" applyAlignment="1">
      <alignment horizontal="center"/>
    </xf>
    <xf numFmtId="0" fontId="61" fillId="0" borderId="14" xfId="0" applyFont="1" applyBorder="1" applyAlignment="1">
      <alignment horizontal="center"/>
    </xf>
    <xf numFmtId="0" fontId="77" fillId="0" borderId="29" xfId="0" applyFont="1" applyBorder="1" applyAlignment="1">
      <alignment horizontal="center"/>
    </xf>
    <xf numFmtId="0" fontId="77" fillId="0" borderId="11" xfId="0" applyFont="1" applyBorder="1" applyAlignment="1">
      <alignment horizontal="center"/>
    </xf>
    <xf numFmtId="0" fontId="77" fillId="0" borderId="26" xfId="0" applyFont="1" applyBorder="1" applyAlignment="1">
      <alignment horizontal="center"/>
    </xf>
    <xf numFmtId="0" fontId="60" fillId="0" borderId="11" xfId="0" applyFont="1" applyBorder="1" applyAlignment="1">
      <alignment horizontal="center"/>
    </xf>
    <xf numFmtId="0" fontId="61" fillId="0" borderId="29" xfId="0" applyFont="1" applyBorder="1" applyAlignment="1">
      <alignment horizontal="center"/>
    </xf>
    <xf numFmtId="0" fontId="61" fillId="0" borderId="11" xfId="0" applyFont="1" applyBorder="1" applyAlignment="1">
      <alignment horizontal="center"/>
    </xf>
    <xf numFmtId="0" fontId="61" fillId="0" borderId="26" xfId="0" applyFont="1" applyBorder="1" applyAlignment="1">
      <alignment horizontal="center"/>
    </xf>
    <xf numFmtId="0" fontId="60" fillId="0" borderId="29" xfId="0" applyFont="1" applyBorder="1" applyAlignment="1">
      <alignment horizontal="center"/>
    </xf>
    <xf numFmtId="168" fontId="13" fillId="0" borderId="0" xfId="0" applyNumberFormat="1" applyFont="1" applyAlignment="1">
      <alignment horizontal="left"/>
    </xf>
    <xf numFmtId="0" fontId="2" fillId="0" borderId="0" xfId="0" applyFont="1" applyAlignment="1">
      <alignment horizontal="left" wrapText="1"/>
    </xf>
    <xf numFmtId="0" fontId="60" fillId="0" borderId="0" xfId="0" applyFont="1" applyAlignment="1">
      <alignment horizontal="center"/>
    </xf>
    <xf numFmtId="0" fontId="60" fillId="0" borderId="10" xfId="0" applyFont="1" applyBorder="1" applyAlignment="1">
      <alignment horizontal="center"/>
    </xf>
    <xf numFmtId="0" fontId="60" fillId="0" borderId="24" xfId="0" applyFont="1" applyBorder="1" applyAlignment="1">
      <alignment horizontal="center"/>
    </xf>
    <xf numFmtId="9" fontId="0" fillId="0" borderId="0" xfId="55" applyFont="1"/>
    <xf numFmtId="9" fontId="0" fillId="0" borderId="10" xfId="55" applyFont="1" applyBorder="1"/>
    <xf numFmtId="9" fontId="9" fillId="0" borderId="11" xfId="55" applyFont="1" applyBorder="1"/>
    <xf numFmtId="166" fontId="57" fillId="0" borderId="10" xfId="28" applyNumberFormat="1" applyFont="1" applyFill="1" applyBorder="1" applyAlignment="1">
      <alignment horizontal="center" wrapText="1"/>
    </xf>
    <xf numFmtId="9" fontId="57" fillId="23" borderId="20" xfId="55" applyFont="1" applyFill="1" applyBorder="1" applyAlignment="1">
      <alignment vertical="top"/>
    </xf>
    <xf numFmtId="9" fontId="9" fillId="0" borderId="20" xfId="55" applyFont="1" applyBorder="1"/>
    <xf numFmtId="9" fontId="9" fillId="0" borderId="0" xfId="0" applyNumberFormat="1" applyFont="1"/>
    <xf numFmtId="9" fontId="9" fillId="0" borderId="0" xfId="55" applyFont="1"/>
    <xf numFmtId="9" fontId="1" fillId="0" borderId="23" xfId="55" applyFont="1" applyBorder="1"/>
    <xf numFmtId="166" fontId="9" fillId="0" borderId="0" xfId="28" applyNumberFormat="1" applyFont="1"/>
  </cellXfs>
  <cellStyles count="71">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xfId="28" builtinId="3"/>
    <cellStyle name="Comma 2" xfId="29" xr:uid="{00000000-0005-0000-0000-00001C000000}"/>
    <cellStyle name="Comma 2 2" xfId="65" xr:uid="{00000000-0005-0000-0000-00001D000000}"/>
    <cellStyle name="Comma 3" xfId="30" xr:uid="{00000000-0005-0000-0000-00001E000000}"/>
    <cellStyle name="Comma 4" xfId="31" xr:uid="{00000000-0005-0000-0000-00001F000000}"/>
    <cellStyle name="Comma 5" xfId="64" xr:uid="{00000000-0005-0000-0000-000020000000}"/>
    <cellStyle name="Currency" xfId="68" builtinId="4"/>
    <cellStyle name="Currency 2" xfId="32" xr:uid="{00000000-0005-0000-0000-000021000000}"/>
    <cellStyle name="Currency 2 2" xfId="66" xr:uid="{00000000-0005-0000-0000-000022000000}"/>
    <cellStyle name="Explanatory Text 2" xfId="33" xr:uid="{00000000-0005-0000-0000-000023000000}"/>
    <cellStyle name="Good 2" xfId="34" xr:uid="{00000000-0005-0000-0000-000024000000}"/>
    <cellStyle name="Heading 1 2" xfId="35" xr:uid="{00000000-0005-0000-0000-000025000000}"/>
    <cellStyle name="Heading 2 2" xfId="36" xr:uid="{00000000-0005-0000-0000-000026000000}"/>
    <cellStyle name="Heading 3 2" xfId="37" xr:uid="{00000000-0005-0000-0000-000027000000}"/>
    <cellStyle name="Heading 4 2" xfId="38" xr:uid="{00000000-0005-0000-0000-000028000000}"/>
    <cellStyle name="Input 2" xfId="39" xr:uid="{00000000-0005-0000-0000-000029000000}"/>
    <cellStyle name="Linked Cell 2" xfId="40" xr:uid="{00000000-0005-0000-0000-00002A000000}"/>
    <cellStyle name="Neutral 2" xfId="41" xr:uid="{00000000-0005-0000-0000-00002B000000}"/>
    <cellStyle name="Normal" xfId="0" builtinId="0"/>
    <cellStyle name="Normal 11" xfId="69" xr:uid="{E7085C95-FF25-4200-B7C8-3BCDA265C8F4}"/>
    <cellStyle name="Normal 2" xfId="42" xr:uid="{00000000-0005-0000-0000-00002D000000}"/>
    <cellStyle name="Normal 2 13" xfId="70" xr:uid="{0F916D62-5DFF-4D03-A47A-89170C13D84C}"/>
    <cellStyle name="Normal 2 2" xfId="43" xr:uid="{00000000-0005-0000-0000-00002E000000}"/>
    <cellStyle name="Normal 2 3" xfId="62" xr:uid="{00000000-0005-0000-0000-00002F000000}"/>
    <cellStyle name="Normal 3" xfId="44" xr:uid="{00000000-0005-0000-0000-000030000000}"/>
    <cellStyle name="Normal 3 2" xfId="45" xr:uid="{00000000-0005-0000-0000-000031000000}"/>
    <cellStyle name="Normal 3 3" xfId="46" xr:uid="{00000000-0005-0000-0000-000032000000}"/>
    <cellStyle name="Normal 4" xfId="47" xr:uid="{00000000-0005-0000-0000-000033000000}"/>
    <cellStyle name="Normal 5" xfId="48" xr:uid="{00000000-0005-0000-0000-000034000000}"/>
    <cellStyle name="Normal 6" xfId="49" xr:uid="{00000000-0005-0000-0000-000035000000}"/>
    <cellStyle name="Normal 7" xfId="50" xr:uid="{00000000-0005-0000-0000-000036000000}"/>
    <cellStyle name="Normal 8" xfId="51" xr:uid="{00000000-0005-0000-0000-000037000000}"/>
    <cellStyle name="Normal 9" xfId="63" xr:uid="{00000000-0005-0000-0000-000038000000}"/>
    <cellStyle name="Normal_Bonus 12" xfId="52" xr:uid="{00000000-0005-0000-0000-000039000000}"/>
    <cellStyle name="Note 2" xfId="53" xr:uid="{00000000-0005-0000-0000-00003A000000}"/>
    <cellStyle name="Output 2" xfId="54" xr:uid="{00000000-0005-0000-0000-00003B000000}"/>
    <cellStyle name="Percent" xfId="55" builtinId="5"/>
    <cellStyle name="Percent 2" xfId="56" xr:uid="{00000000-0005-0000-0000-00003D000000}"/>
    <cellStyle name="Percent 2 2" xfId="67" xr:uid="{00000000-0005-0000-0000-00003E000000}"/>
    <cellStyle name="Percent 3" xfId="57" xr:uid="{00000000-0005-0000-0000-00003F000000}"/>
    <cellStyle name="Percent 4" xfId="58" xr:uid="{00000000-0005-0000-0000-000040000000}"/>
    <cellStyle name="Title 2" xfId="59" xr:uid="{00000000-0005-0000-0000-000041000000}"/>
    <cellStyle name="Total 2" xfId="60" xr:uid="{00000000-0005-0000-0000-000042000000}"/>
    <cellStyle name="Warning Text 2" xfId="61" xr:uid="{00000000-0005-0000-0000-000043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66FFCC"/>
      <color rgb="FFFF99FF"/>
      <color rgb="FFC39BFD"/>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9A3A-BE0F-485A-8370-8A850828F8BC}">
  <sheetPr>
    <pageSetUpPr fitToPage="1"/>
  </sheetPr>
  <dimension ref="A1:M34"/>
  <sheetViews>
    <sheetView zoomScaleNormal="100" workbookViewId="0">
      <selection activeCell="L9" sqref="L9"/>
    </sheetView>
  </sheetViews>
  <sheetFormatPr defaultColWidth="9.140625" defaultRowHeight="12.75"/>
  <cols>
    <col min="1" max="1" width="9" style="498" customWidth="1"/>
    <col min="2" max="2" width="39.42578125" style="498" customWidth="1"/>
    <col min="3" max="12" width="14" style="498" customWidth="1"/>
    <col min="13" max="13" width="3.28515625" style="498" customWidth="1"/>
    <col min="14" max="14" width="13.28515625" style="498" customWidth="1"/>
    <col min="15" max="15" width="10.28515625" style="498" customWidth="1"/>
    <col min="16" max="16384" width="9.140625" style="498"/>
  </cols>
  <sheetData>
    <row r="1" spans="1:12" ht="20.25">
      <c r="A1" s="535" t="s">
        <v>42</v>
      </c>
      <c r="B1" s="536"/>
      <c r="C1" s="536"/>
      <c r="D1" s="537"/>
      <c r="E1" s="537"/>
      <c r="F1" s="538"/>
      <c r="G1" s="538"/>
      <c r="H1" s="538"/>
      <c r="I1" s="538"/>
      <c r="J1" s="539"/>
      <c r="K1" s="538"/>
      <c r="L1" s="538"/>
    </row>
    <row r="2" spans="1:12" ht="15.75">
      <c r="A2" s="540" t="s">
        <v>599</v>
      </c>
      <c r="B2" s="536"/>
      <c r="C2" s="536"/>
      <c r="D2" s="537"/>
      <c r="E2" s="537"/>
      <c r="F2" s="538"/>
      <c r="G2" s="538"/>
      <c r="H2" s="538"/>
      <c r="I2" s="538"/>
      <c r="J2" s="539"/>
      <c r="K2" s="538"/>
      <c r="L2" s="538"/>
    </row>
    <row r="3" spans="1:12" ht="15.75">
      <c r="A3" s="540" t="str">
        <f>'JV GAAP'!A4</f>
        <v>For the 12 Months Period Ended 12/31/25</v>
      </c>
      <c r="B3" s="536"/>
      <c r="C3" s="539"/>
      <c r="D3" s="537"/>
      <c r="E3" s="537"/>
      <c r="F3" s="7"/>
      <c r="G3" s="7"/>
      <c r="H3" s="7"/>
      <c r="I3" s="7"/>
      <c r="J3" s="8"/>
      <c r="K3" s="7"/>
      <c r="L3" s="7"/>
    </row>
    <row r="4" spans="1:12" ht="15.75">
      <c r="A4" s="540"/>
      <c r="B4" s="536"/>
      <c r="C4" s="539"/>
      <c r="D4" s="537"/>
      <c r="E4" s="537"/>
      <c r="F4" s="7"/>
      <c r="G4" s="7"/>
      <c r="H4" s="7"/>
      <c r="I4" s="7"/>
      <c r="J4" s="8"/>
      <c r="K4" s="7"/>
      <c r="L4" s="7"/>
    </row>
    <row r="5" spans="1:12" ht="16.5" customHeight="1">
      <c r="A5" s="541"/>
      <c r="B5" s="541"/>
      <c r="C5" s="541" t="s">
        <v>0</v>
      </c>
      <c r="D5" s="541" t="s">
        <v>46</v>
      </c>
      <c r="E5" s="542" t="s">
        <v>1</v>
      </c>
      <c r="F5" s="542" t="s">
        <v>2</v>
      </c>
      <c r="G5" s="543" t="s">
        <v>3</v>
      </c>
      <c r="H5" s="543" t="s">
        <v>1</v>
      </c>
      <c r="I5" s="543" t="s">
        <v>1</v>
      </c>
      <c r="J5" s="543" t="s">
        <v>4</v>
      </c>
      <c r="K5" s="544"/>
      <c r="L5" s="543" t="s">
        <v>5</v>
      </c>
    </row>
    <row r="6" spans="1:12">
      <c r="A6" s="541"/>
      <c r="B6" s="541"/>
      <c r="C6" s="545" t="s">
        <v>6</v>
      </c>
      <c r="D6" s="541" t="s">
        <v>7</v>
      </c>
      <c r="E6" s="546" t="s">
        <v>3</v>
      </c>
      <c r="F6" s="542" t="s">
        <v>8</v>
      </c>
      <c r="G6" s="547" t="s">
        <v>9</v>
      </c>
      <c r="H6" s="543" t="s">
        <v>3</v>
      </c>
      <c r="I6" s="547" t="s">
        <v>3</v>
      </c>
      <c r="J6" s="547" t="s">
        <v>10</v>
      </c>
      <c r="K6" s="173" t="s">
        <v>134</v>
      </c>
      <c r="L6" s="543" t="s">
        <v>11</v>
      </c>
    </row>
    <row r="7" spans="1:12">
      <c r="A7" s="548" t="s">
        <v>600</v>
      </c>
      <c r="B7" s="548" t="s">
        <v>13</v>
      </c>
      <c r="C7" s="548" t="s">
        <v>15</v>
      </c>
      <c r="D7" s="549" t="s">
        <v>6</v>
      </c>
      <c r="E7" s="550" t="s">
        <v>16</v>
      </c>
      <c r="F7" s="551" t="s">
        <v>15</v>
      </c>
      <c r="G7" s="552" t="s">
        <v>12</v>
      </c>
      <c r="H7" s="552" t="s">
        <v>2</v>
      </c>
      <c r="I7" s="552" t="s">
        <v>17</v>
      </c>
      <c r="J7" s="553" t="s">
        <v>18</v>
      </c>
      <c r="K7" s="174" t="s">
        <v>135</v>
      </c>
      <c r="L7" s="553" t="s">
        <v>19</v>
      </c>
    </row>
    <row r="8" spans="1:12">
      <c r="A8" s="541"/>
      <c r="B8" s="541"/>
      <c r="C8" s="541"/>
      <c r="D8" s="554"/>
      <c r="E8" s="555"/>
      <c r="F8" s="542"/>
      <c r="G8" s="556"/>
      <c r="H8" s="556"/>
      <c r="I8" s="556"/>
      <c r="J8" s="557"/>
      <c r="K8" s="426"/>
      <c r="L8" s="557"/>
    </row>
    <row r="9" spans="1:12">
      <c r="A9" s="558" t="str">
        <f>'JV GAAP'!A11</f>
        <v>Northern</v>
      </c>
      <c r="B9" s="559" t="str">
        <f>'JV GAAP'!B11</f>
        <v>Stockton Phase 1</v>
      </c>
      <c r="C9" s="560">
        <f>'JV GAAP'!K11</f>
        <v>5508112</v>
      </c>
      <c r="D9" s="560">
        <f>'JV GAAP'!N11</f>
        <v>0</v>
      </c>
      <c r="E9" s="560">
        <f>'JV GAAP'!D11</f>
        <v>5508112</v>
      </c>
      <c r="F9" s="560">
        <f>'JV GAAP'!G11</f>
        <v>4939022</v>
      </c>
      <c r="G9" s="560">
        <f>'JV GAAP'!M11</f>
        <v>0</v>
      </c>
      <c r="H9" s="560">
        <f>'JV GAAP'!E11</f>
        <v>4939022</v>
      </c>
      <c r="I9" s="560">
        <f>'JV GAAP'!F11</f>
        <v>569090</v>
      </c>
      <c r="J9" s="561">
        <f>'JV GAAP'!H11</f>
        <v>1</v>
      </c>
      <c r="K9" s="560">
        <f>'JV GAAP'!I11</f>
        <v>569090</v>
      </c>
      <c r="L9" s="560">
        <f>'JV GAAP'!L11</f>
        <v>0</v>
      </c>
    </row>
    <row r="10" spans="1:12">
      <c r="A10" s="558" t="str">
        <f>'JV GAAP'!A12</f>
        <v>Northern</v>
      </c>
      <c r="B10" s="559" t="str">
        <f>'JV GAAP'!B12</f>
        <v>Stockton Phase 2</v>
      </c>
      <c r="C10" s="560">
        <f>'JV GAAP'!K12</f>
        <v>225085557</v>
      </c>
      <c r="D10" s="560">
        <f>'JV GAAP'!N12</f>
        <v>644014.62999999523</v>
      </c>
      <c r="E10" s="560">
        <f>'JV GAAP'!D12</f>
        <v>225729571.63</v>
      </c>
      <c r="F10" s="560">
        <f>'JV GAAP'!G12</f>
        <v>212615001.63</v>
      </c>
      <c r="G10" s="560">
        <f>'JV GAAP'!M12</f>
        <v>0</v>
      </c>
      <c r="H10" s="560">
        <f>'JV GAAP'!E12</f>
        <v>212615001.63</v>
      </c>
      <c r="I10" s="560">
        <f>'JV GAAP'!F12</f>
        <v>13114570</v>
      </c>
      <c r="J10" s="561">
        <f>'JV GAAP'!H12</f>
        <v>1</v>
      </c>
      <c r="K10" s="560">
        <f>'JV GAAP'!I12</f>
        <v>13114570</v>
      </c>
      <c r="L10" s="560">
        <f>'JV GAAP'!L12</f>
        <v>-644014.62999999523</v>
      </c>
    </row>
    <row r="11" spans="1:12">
      <c r="A11" s="558" t="str">
        <f>'JV GAAP'!A13</f>
        <v>Northern</v>
      </c>
      <c r="B11" s="559" t="str">
        <f>'JV GAAP'!B13</f>
        <v>City of Santa Cruz - Graham Hill WTP</v>
      </c>
      <c r="C11" s="560">
        <f>'JV GAAP'!K13</f>
        <v>11042467.789999999</v>
      </c>
      <c r="D11" s="560">
        <f>'JV GAAP'!N13</f>
        <v>55906.690000001341</v>
      </c>
      <c r="E11" s="560">
        <f>'JV GAAP'!D13</f>
        <v>11098374.48</v>
      </c>
      <c r="F11" s="560">
        <f>'JV GAAP'!G13</f>
        <v>10929117.720000001</v>
      </c>
      <c r="G11" s="560">
        <f>'JV GAAP'!M13</f>
        <v>0</v>
      </c>
      <c r="H11" s="560">
        <f>'JV GAAP'!E13</f>
        <v>10929117.720000001</v>
      </c>
      <c r="I11" s="560">
        <f>'JV GAAP'!F13</f>
        <v>169256.75999999978</v>
      </c>
      <c r="J11" s="561">
        <f>'JV GAAP'!H13</f>
        <v>1</v>
      </c>
      <c r="K11" s="560">
        <f>'JV GAAP'!I13</f>
        <v>169256.75999999978</v>
      </c>
      <c r="L11" s="560">
        <f>'JV GAAP'!L13</f>
        <v>-55906.690000001341</v>
      </c>
    </row>
    <row r="12" spans="1:12">
      <c r="A12" s="558" t="str">
        <f>'JV GAAP'!A14</f>
        <v>Southern</v>
      </c>
      <c r="B12" s="559" t="str">
        <f>'JV GAAP'!B14</f>
        <v xml:space="preserve">Silverlake </v>
      </c>
      <c r="C12" s="560">
        <f>'JV GAAP'!K14</f>
        <v>364279554</v>
      </c>
      <c r="D12" s="560">
        <f>'JV GAAP'!N14</f>
        <v>2066292</v>
      </c>
      <c r="E12" s="560">
        <f>'JV GAAP'!D14</f>
        <v>366345846</v>
      </c>
      <c r="F12" s="560">
        <f>'JV GAAP'!G14</f>
        <v>335294794.56</v>
      </c>
      <c r="G12" s="560">
        <f>'JV GAAP'!M14</f>
        <v>5666024.4399999976</v>
      </c>
      <c r="H12" s="560">
        <f>'JV GAAP'!E14</f>
        <v>340960819</v>
      </c>
      <c r="I12" s="560">
        <f>'JV GAAP'!F14</f>
        <v>25385027</v>
      </c>
      <c r="J12" s="561">
        <f>'JV GAAP'!H14</f>
        <v>0.98338218315929138</v>
      </c>
      <c r="K12" s="560">
        <f>'JV GAAP'!I14</f>
        <v>25406592.440000001</v>
      </c>
      <c r="L12" s="560">
        <f>'JV GAAP'!L14</f>
        <v>3578167</v>
      </c>
    </row>
    <row r="13" spans="1:12">
      <c r="A13" s="558" t="str">
        <f>'JV GAAP'!A15</f>
        <v>Southern</v>
      </c>
      <c r="B13" s="559" t="str">
        <f>'JV GAAP'!B15</f>
        <v>East County Advanced Package 1</v>
      </c>
      <c r="C13" s="560">
        <f>'JV GAAP'!K15</f>
        <v>416844515.33999997</v>
      </c>
      <c r="D13" s="560">
        <f>'JV GAAP'!N15</f>
        <v>63585780.689999998</v>
      </c>
      <c r="E13" s="560">
        <f>'JV GAAP'!D15</f>
        <v>480430296.02999997</v>
      </c>
      <c r="F13" s="560">
        <f>'JV GAAP'!G15</f>
        <v>404115748.69</v>
      </c>
      <c r="G13" s="560">
        <f>'JV GAAP'!M15</f>
        <v>48017632.469999969</v>
      </c>
      <c r="H13" s="560">
        <f>'JV GAAP'!E15</f>
        <v>452133381.15999997</v>
      </c>
      <c r="I13" s="560">
        <f>'JV GAAP'!F15</f>
        <v>28296914.870000001</v>
      </c>
      <c r="J13" s="561">
        <f>'JV GAAP'!H15</f>
        <v>0.89379763921255884</v>
      </c>
      <c r="K13" s="560">
        <f>'JV GAAP'!I15</f>
        <v>30680782.890000001</v>
      </c>
      <c r="L13" s="560">
        <f>'JV GAAP'!L15</f>
        <v>-17952016.24000001</v>
      </c>
    </row>
    <row r="14" spans="1:12">
      <c r="A14" s="558" t="str">
        <f>'JV GAAP'!A16</f>
        <v>Southern</v>
      </c>
      <c r="B14" s="559" t="str">
        <f>'JV GAAP'!B16</f>
        <v>East County Advanced Package 3</v>
      </c>
      <c r="C14" s="560">
        <f>'JV GAAP'!K16</f>
        <v>73088486</v>
      </c>
      <c r="D14" s="560">
        <f>'JV GAAP'!N16</f>
        <v>21497344.489999995</v>
      </c>
      <c r="E14" s="560">
        <f>'JV GAAP'!D16</f>
        <v>94585830.489999995</v>
      </c>
      <c r="F14" s="560">
        <f>'JV GAAP'!G16</f>
        <v>92385153.680000007</v>
      </c>
      <c r="G14" s="560">
        <f>'JV GAAP'!M16</f>
        <v>0</v>
      </c>
      <c r="H14" s="560">
        <f>'JV GAAP'!E16</f>
        <v>92385153.680000007</v>
      </c>
      <c r="I14" s="560">
        <f>'JV GAAP'!F16</f>
        <v>2200676.8099999875</v>
      </c>
      <c r="J14" s="561">
        <f>'JV GAAP'!H16</f>
        <v>1</v>
      </c>
      <c r="K14" s="560">
        <f>'JV GAAP'!I16</f>
        <v>2200676.8099999875</v>
      </c>
      <c r="L14" s="560">
        <f>'JV GAAP'!L16</f>
        <v>-21497344.489999995</v>
      </c>
    </row>
    <row r="15" spans="1:12">
      <c r="A15" s="558" t="str">
        <f>'JV GAAP'!A17</f>
        <v>Southern</v>
      </c>
      <c r="B15" s="559" t="str">
        <f>'JV GAAP'!B17</f>
        <v>City of Banning</v>
      </c>
      <c r="C15" s="560">
        <f>'JV GAAP'!K17</f>
        <v>1255755.76</v>
      </c>
      <c r="D15" s="560">
        <f>'JV GAAP'!N17</f>
        <v>2742872.24</v>
      </c>
      <c r="E15" s="560">
        <f>'JV GAAP'!D17</f>
        <v>3998628</v>
      </c>
      <c r="F15" s="560">
        <f>'JV GAAP'!G17</f>
        <v>1142481.3</v>
      </c>
      <c r="G15" s="560">
        <f>'JV GAAP'!M17</f>
        <v>2492634.7000000002</v>
      </c>
      <c r="H15" s="560">
        <f>'JV GAAP'!E17</f>
        <v>3635116</v>
      </c>
      <c r="I15" s="560">
        <f>'JV GAAP'!F17</f>
        <v>363512</v>
      </c>
      <c r="J15" s="561">
        <f>'JV GAAP'!H17</f>
        <v>0.31429019046434831</v>
      </c>
      <c r="K15" s="560">
        <f>'JV GAAP'!I17</f>
        <v>113274.33</v>
      </c>
      <c r="L15" s="560">
        <f>'JV GAAP'!L17</f>
        <v>0.12999999988824129</v>
      </c>
    </row>
    <row r="16" spans="1:12">
      <c r="A16" s="558"/>
      <c r="B16" s="559"/>
      <c r="C16" s="560"/>
      <c r="D16" s="560"/>
      <c r="E16" s="560"/>
      <c r="F16" s="560"/>
      <c r="G16" s="560"/>
      <c r="H16" s="560"/>
      <c r="I16" s="560"/>
      <c r="J16" s="561"/>
      <c r="K16" s="560"/>
      <c r="L16" s="560"/>
    </row>
    <row r="17" spans="1:13" ht="13.5" thickBot="1">
      <c r="A17" s="562"/>
      <c r="B17" s="562"/>
      <c r="C17" s="563">
        <f>SUM(C9:C16)</f>
        <v>1097104447.8899999</v>
      </c>
      <c r="D17" s="563">
        <f t="shared" ref="D17:I17" si="0">SUM(D9:D16)</f>
        <v>90592210.73999998</v>
      </c>
      <c r="E17" s="563">
        <f t="shared" si="0"/>
        <v>1187696658.6299999</v>
      </c>
      <c r="F17" s="563">
        <f t="shared" si="0"/>
        <v>1061421319.5799999</v>
      </c>
      <c r="G17" s="563">
        <f t="shared" si="0"/>
        <v>56176291.60999997</v>
      </c>
      <c r="H17" s="563">
        <f t="shared" si="0"/>
        <v>1117597611.1900001</v>
      </c>
      <c r="I17" s="563">
        <f t="shared" si="0"/>
        <v>70099047.439999983</v>
      </c>
      <c r="J17" s="563"/>
      <c r="K17" s="563">
        <f>SUM(K9:K16)</f>
        <v>72254243.229999989</v>
      </c>
      <c r="L17" s="563">
        <f>SUM(L9:L16)</f>
        <v>-36571114.919999994</v>
      </c>
    </row>
    <row r="18" spans="1:13" ht="13.5" thickTop="1">
      <c r="C18" s="564"/>
      <c r="D18" s="564"/>
      <c r="E18" s="564"/>
      <c r="F18" s="564"/>
      <c r="G18" s="564"/>
      <c r="H18" s="564"/>
      <c r="I18" s="564"/>
      <c r="J18" s="564"/>
      <c r="K18" s="564"/>
      <c r="L18" s="564"/>
    </row>
    <row r="19" spans="1:13">
      <c r="C19" s="100"/>
      <c r="D19" s="100"/>
      <c r="E19" s="100"/>
      <c r="F19" s="100"/>
      <c r="G19" s="100"/>
      <c r="H19" s="100"/>
      <c r="I19" s="100"/>
      <c r="J19" s="100"/>
      <c r="K19" s="100"/>
      <c r="L19" s="100"/>
    </row>
    <row r="20" spans="1:13">
      <c r="C20" s="564"/>
      <c r="D20" s="564"/>
      <c r="E20" s="564"/>
      <c r="F20" s="564"/>
      <c r="G20" s="564"/>
      <c r="H20" s="564"/>
      <c r="I20" s="564"/>
      <c r="J20" s="564"/>
      <c r="K20" s="564"/>
      <c r="L20" s="564"/>
    </row>
    <row r="21" spans="1:13">
      <c r="H21" s="200"/>
      <c r="I21" s="200"/>
      <c r="J21" s="200"/>
      <c r="K21" s="200"/>
      <c r="L21" s="200"/>
    </row>
    <row r="22" spans="1:13">
      <c r="H22" s="200"/>
      <c r="I22" s="200"/>
      <c r="J22" s="200"/>
      <c r="K22" s="200"/>
      <c r="L22" s="200"/>
    </row>
    <row r="23" spans="1:13">
      <c r="H23" s="200"/>
      <c r="I23" s="200"/>
      <c r="J23" s="200"/>
      <c r="K23" s="200"/>
      <c r="L23" s="200"/>
    </row>
    <row r="24" spans="1:13">
      <c r="H24" s="200"/>
      <c r="I24" s="200"/>
      <c r="J24" s="200"/>
      <c r="K24" s="200"/>
      <c r="L24" s="200"/>
    </row>
    <row r="25" spans="1:13">
      <c r="H25" s="200"/>
      <c r="I25" s="200"/>
      <c r="J25" s="200"/>
      <c r="K25" s="200"/>
      <c r="L25" s="200"/>
      <c r="M25" s="200"/>
    </row>
    <row r="26" spans="1:13">
      <c r="H26" s="200"/>
      <c r="I26" s="200"/>
      <c r="J26" s="200"/>
      <c r="K26" s="200"/>
      <c r="L26" s="200"/>
      <c r="M26" s="200"/>
    </row>
    <row r="27" spans="1:13">
      <c r="H27" s="200"/>
      <c r="I27" s="200"/>
      <c r="J27" s="200"/>
      <c r="K27" s="200"/>
      <c r="L27" s="200"/>
      <c r="M27" s="200"/>
    </row>
    <row r="28" spans="1:13">
      <c r="M28" s="200"/>
    </row>
    <row r="29" spans="1:13">
      <c r="M29" s="200"/>
    </row>
    <row r="30" spans="1:13">
      <c r="M30" s="200"/>
    </row>
    <row r="31" spans="1:13">
      <c r="M31" s="200"/>
    </row>
    <row r="32" spans="1:13">
      <c r="M32" s="200"/>
    </row>
    <row r="33" spans="13:13">
      <c r="M33" s="200"/>
    </row>
    <row r="34" spans="13:13">
      <c r="M34" s="200"/>
    </row>
  </sheetData>
  <pageMargins left="0.45" right="0.45" top="0.5" bottom="0.75" header="0.3" footer="0.3"/>
  <pageSetup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31EAF-1322-47BA-B59F-24F3081CD3A1}">
  <sheetPr>
    <pageSetUpPr fitToPage="1"/>
  </sheetPr>
  <dimension ref="A1:Y50"/>
  <sheetViews>
    <sheetView topLeftCell="A11" zoomScale="115" zoomScaleNormal="115" workbookViewId="0">
      <selection activeCell="K47" sqref="K47"/>
    </sheetView>
  </sheetViews>
  <sheetFormatPr defaultColWidth="11.28515625" defaultRowHeight="12.75"/>
  <cols>
    <col min="1" max="1" width="9.85546875" style="568" customWidth="1"/>
    <col min="2" max="2" width="26.42578125" style="568" customWidth="1"/>
    <col min="3" max="3" width="4.28515625" style="568" bestFit="1" customWidth="1"/>
    <col min="4" max="4" width="12" style="585" bestFit="1" customWidth="1"/>
    <col min="5" max="5" width="12" style="586" customWidth="1"/>
    <col min="6" max="6" width="9.85546875" style="586" bestFit="1" customWidth="1"/>
    <col min="7" max="7" width="11.7109375" style="586" customWidth="1"/>
    <col min="8" max="8" width="5.85546875" style="568" customWidth="1"/>
    <col min="9" max="9" width="11.7109375" style="587" customWidth="1"/>
    <col min="10" max="10" width="11.85546875" style="587" customWidth="1"/>
    <col min="11" max="11" width="12" style="586" bestFit="1" customWidth="1"/>
    <col min="12" max="12" width="11.42578125" style="587" bestFit="1" customWidth="1"/>
    <col min="13" max="13" width="12.140625" style="587" customWidth="1"/>
    <col min="14" max="14" width="10.7109375" style="587" bestFit="1" customWidth="1"/>
    <col min="15" max="15" width="10.28515625" style="568" bestFit="1" customWidth="1"/>
    <col min="16" max="16" width="11.140625" style="568" customWidth="1"/>
    <col min="17" max="17" width="11.28515625" style="568"/>
    <col min="18" max="18" width="12.28515625" style="568" bestFit="1" customWidth="1"/>
    <col min="19" max="19" width="12.85546875" style="568" bestFit="1" customWidth="1"/>
    <col min="20" max="16384" width="11.28515625" style="568"/>
  </cols>
  <sheetData>
    <row r="1" spans="1:18" ht="20.25">
      <c r="A1" s="565" t="s">
        <v>42</v>
      </c>
      <c r="B1" s="566"/>
      <c r="C1" s="566"/>
      <c r="D1" s="567"/>
      <c r="E1" s="120"/>
      <c r="F1" s="120"/>
      <c r="G1" s="120"/>
      <c r="H1" s="102"/>
      <c r="I1" s="36"/>
      <c r="J1" s="36"/>
      <c r="K1" s="120"/>
      <c r="L1" s="36"/>
      <c r="M1" s="36"/>
      <c r="N1" s="36"/>
    </row>
    <row r="2" spans="1:18" ht="15.75">
      <c r="A2" s="569" t="s">
        <v>603</v>
      </c>
      <c r="B2" s="566"/>
      <c r="C2" s="566"/>
      <c r="D2" s="567"/>
      <c r="E2" s="120"/>
      <c r="F2" s="120"/>
      <c r="G2" s="120"/>
      <c r="H2" s="102"/>
      <c r="I2" s="36"/>
      <c r="J2" s="36"/>
      <c r="K2" s="120"/>
      <c r="L2" s="36"/>
      <c r="M2" s="36"/>
      <c r="N2" s="36"/>
    </row>
    <row r="3" spans="1:18" ht="15.75">
      <c r="A3" s="569" t="s">
        <v>497</v>
      </c>
      <c r="B3" s="566"/>
      <c r="C3" s="566"/>
      <c r="D3" s="274"/>
      <c r="E3" s="275"/>
      <c r="F3" s="275"/>
      <c r="G3" s="120"/>
      <c r="H3" s="102"/>
      <c r="I3" s="36"/>
      <c r="J3" s="36"/>
      <c r="K3" s="120"/>
      <c r="L3" s="36"/>
      <c r="M3" s="36"/>
      <c r="N3" s="36"/>
    </row>
    <row r="4" spans="1:18" ht="15.75">
      <c r="A4" s="569" t="s">
        <v>703</v>
      </c>
      <c r="B4" s="566"/>
      <c r="C4" s="566"/>
      <c r="D4" s="567"/>
      <c r="E4" s="134"/>
      <c r="F4" s="570"/>
      <c r="G4" s="120"/>
      <c r="H4" s="102"/>
      <c r="I4" s="36"/>
      <c r="J4" s="36"/>
      <c r="K4" s="120"/>
      <c r="L4" s="36"/>
      <c r="M4" s="36"/>
      <c r="N4" s="36"/>
    </row>
    <row r="5" spans="1:18" ht="15.75">
      <c r="A5" s="540"/>
      <c r="B5" s="566"/>
      <c r="C5" s="566"/>
      <c r="D5" s="567"/>
      <c r="E5" s="134"/>
      <c r="F5" s="570"/>
      <c r="G5" s="120"/>
      <c r="H5" s="102"/>
      <c r="I5" s="36"/>
      <c r="J5" s="36"/>
      <c r="K5" s="120"/>
      <c r="L5" s="36"/>
      <c r="M5" s="36"/>
      <c r="N5" s="36"/>
    </row>
    <row r="6" spans="1:18" ht="15.75">
      <c r="A6" s="540"/>
      <c r="B6" s="566"/>
      <c r="C6" s="566"/>
      <c r="D6" s="567"/>
      <c r="E6" s="134"/>
      <c r="F6" s="570"/>
      <c r="G6" s="120"/>
      <c r="H6" s="102"/>
      <c r="I6" s="36"/>
      <c r="J6" s="36"/>
      <c r="K6" s="120"/>
      <c r="L6" s="36"/>
      <c r="M6" s="36"/>
      <c r="N6" s="36"/>
    </row>
    <row r="7" spans="1:18" s="571" customFormat="1" ht="15">
      <c r="A7" s="566" t="s">
        <v>604</v>
      </c>
      <c r="D7" s="572"/>
      <c r="E7" s="98"/>
      <c r="F7" s="98"/>
      <c r="G7" s="98"/>
      <c r="H7" s="215"/>
      <c r="I7" s="214"/>
      <c r="J7" s="214"/>
      <c r="K7" s="98"/>
      <c r="L7" s="214"/>
      <c r="M7" s="214"/>
      <c r="N7" s="214"/>
    </row>
    <row r="8" spans="1:18" s="571" customFormat="1" ht="11.25">
      <c r="D8" s="138" t="s">
        <v>16</v>
      </c>
      <c r="E8" s="126" t="s">
        <v>55</v>
      </c>
      <c r="F8" s="126" t="s">
        <v>127</v>
      </c>
      <c r="G8" s="126" t="s">
        <v>128</v>
      </c>
      <c r="H8" s="104" t="s">
        <v>27</v>
      </c>
      <c r="I8" s="126" t="s">
        <v>128</v>
      </c>
      <c r="J8" s="126" t="s">
        <v>128</v>
      </c>
      <c r="K8" s="126"/>
      <c r="L8" s="56"/>
      <c r="M8" s="56" t="s">
        <v>57</v>
      </c>
      <c r="N8" s="56" t="s">
        <v>16</v>
      </c>
      <c r="O8" s="56" t="s">
        <v>605</v>
      </c>
      <c r="P8" s="56" t="s">
        <v>606</v>
      </c>
    </row>
    <row r="9" spans="1:18" s="571" customFormat="1" ht="11.25">
      <c r="A9" s="573" t="s">
        <v>600</v>
      </c>
      <c r="B9" s="574" t="s">
        <v>13</v>
      </c>
      <c r="C9" s="574"/>
      <c r="D9" s="575" t="s">
        <v>0</v>
      </c>
      <c r="E9" s="127" t="s">
        <v>2</v>
      </c>
      <c r="F9" s="127" t="s">
        <v>17</v>
      </c>
      <c r="G9" s="127" t="s">
        <v>131</v>
      </c>
      <c r="H9" s="105" t="s">
        <v>29</v>
      </c>
      <c r="I9" s="58" t="s">
        <v>129</v>
      </c>
      <c r="J9" s="58" t="s">
        <v>130</v>
      </c>
      <c r="K9" s="127" t="s">
        <v>56</v>
      </c>
      <c r="L9" s="106" t="s">
        <v>124</v>
      </c>
      <c r="M9" s="58" t="s">
        <v>12</v>
      </c>
      <c r="N9" s="58" t="s">
        <v>31</v>
      </c>
      <c r="O9" s="58" t="s">
        <v>607</v>
      </c>
      <c r="P9" s="58" t="s">
        <v>60</v>
      </c>
    </row>
    <row r="10" spans="1:18" s="571" customFormat="1" ht="11.25">
      <c r="A10" s="576" t="s">
        <v>608</v>
      </c>
      <c r="B10" s="577"/>
      <c r="C10" s="577"/>
      <c r="D10" s="572"/>
      <c r="E10" s="140"/>
      <c r="F10" s="140"/>
      <c r="G10" s="141"/>
      <c r="H10" s="107"/>
      <c r="I10" s="108"/>
      <c r="J10" s="109"/>
      <c r="K10" s="128"/>
      <c r="L10" s="109"/>
      <c r="M10" s="78"/>
      <c r="N10" s="78"/>
    </row>
    <row r="11" spans="1:18" ht="12.75" customHeight="1">
      <c r="A11" s="578" t="s">
        <v>601</v>
      </c>
      <c r="B11" s="579" t="s">
        <v>304</v>
      </c>
      <c r="C11" s="579"/>
      <c r="D11" s="227">
        <v>5508112</v>
      </c>
      <c r="E11" s="63">
        <f t="shared" ref="E11:E17" si="0">D11-F11</f>
        <v>4939022</v>
      </c>
      <c r="F11" s="63">
        <v>569090</v>
      </c>
      <c r="G11" s="63">
        <v>4939022</v>
      </c>
      <c r="H11" s="217">
        <f>IF(E11&lt;&gt;0,+G11/E11,0)</f>
        <v>1</v>
      </c>
      <c r="I11" s="214">
        <v>569090</v>
      </c>
      <c r="J11" s="214">
        <f>+G11+I11</f>
        <v>5508112</v>
      </c>
      <c r="K11" s="63">
        <v>5508112</v>
      </c>
      <c r="L11" s="214">
        <f>K11-J11</f>
        <v>0</v>
      </c>
      <c r="M11" s="214">
        <f>+E11-G11</f>
        <v>0</v>
      </c>
      <c r="N11" s="214">
        <f>+D11-K11</f>
        <v>0</v>
      </c>
      <c r="O11" s="214">
        <f>O26*2</f>
        <v>569090</v>
      </c>
      <c r="P11" s="214">
        <f t="shared" ref="P11:P17" si="1">I11-O11</f>
        <v>0</v>
      </c>
    </row>
    <row r="12" spans="1:18">
      <c r="A12" s="578" t="s">
        <v>601</v>
      </c>
      <c r="B12" s="579" t="s">
        <v>305</v>
      </c>
      <c r="C12" s="579"/>
      <c r="D12" s="227">
        <v>225729571.63</v>
      </c>
      <c r="E12" s="63">
        <v>212615001.63</v>
      </c>
      <c r="F12" s="63">
        <f>D12-E12</f>
        <v>13114570</v>
      </c>
      <c r="G12" s="63">
        <v>212615001.63</v>
      </c>
      <c r="H12" s="217">
        <f t="shared" ref="H12:H17" si="2">IF(E12&lt;&gt;0,+G12/E12,0)</f>
        <v>1</v>
      </c>
      <c r="I12" s="214">
        <f>J12-G12</f>
        <v>13114570</v>
      </c>
      <c r="J12" s="214">
        <v>225729571.63</v>
      </c>
      <c r="K12" s="63">
        <v>225085557</v>
      </c>
      <c r="L12" s="214">
        <f>K12-J12</f>
        <v>-644014.62999999523</v>
      </c>
      <c r="M12" s="214">
        <f>+E12-G12</f>
        <v>0</v>
      </c>
      <c r="N12" s="214">
        <f>+D12-K12</f>
        <v>644014.62999999523</v>
      </c>
      <c r="O12" s="214">
        <f>O27*2</f>
        <v>19477450.52</v>
      </c>
      <c r="P12" s="214">
        <f>I12-O12</f>
        <v>-6362880.5199999996</v>
      </c>
      <c r="R12" s="63"/>
    </row>
    <row r="13" spans="1:18" ht="12.75" customHeight="1">
      <c r="A13" s="578" t="s">
        <v>601</v>
      </c>
      <c r="B13" s="579" t="s">
        <v>306</v>
      </c>
      <c r="C13" s="579"/>
      <c r="D13" s="227">
        <v>11098374.48</v>
      </c>
      <c r="E13" s="63">
        <v>10929117.720000001</v>
      </c>
      <c r="F13" s="63">
        <f>D13-E13</f>
        <v>169256.75999999978</v>
      </c>
      <c r="G13" s="63">
        <v>10929117.720000001</v>
      </c>
      <c r="H13" s="217">
        <f>IF(E13&lt;&gt;0,+G13/E13,0)</f>
        <v>1</v>
      </c>
      <c r="I13" s="214">
        <f>J13-G13</f>
        <v>169256.75999999978</v>
      </c>
      <c r="J13" s="214">
        <v>11098374.48</v>
      </c>
      <c r="K13" s="63">
        <v>11042467.789999999</v>
      </c>
      <c r="L13" s="214">
        <f>K13-J13</f>
        <v>-55906.690000001341</v>
      </c>
      <c r="M13" s="214">
        <f>+E13-G13</f>
        <v>0</v>
      </c>
      <c r="N13" s="214">
        <f>+D13-K13</f>
        <v>55906.690000001341</v>
      </c>
      <c r="O13" s="214">
        <f>O28*2</f>
        <v>-62367.340000000055</v>
      </c>
      <c r="P13" s="214">
        <f>I13-O13</f>
        <v>231624.09999999983</v>
      </c>
    </row>
    <row r="14" spans="1:18">
      <c r="A14" s="578" t="s">
        <v>602</v>
      </c>
      <c r="B14" s="579" t="s">
        <v>609</v>
      </c>
      <c r="C14" s="579"/>
      <c r="D14" s="227">
        <v>366345846</v>
      </c>
      <c r="E14" s="63">
        <f t="shared" si="0"/>
        <v>340960819</v>
      </c>
      <c r="F14" s="63">
        <v>25385027</v>
      </c>
      <c r="G14" s="63">
        <f>G29*4</f>
        <v>335294794.56</v>
      </c>
      <c r="H14" s="217">
        <f t="shared" si="2"/>
        <v>0.98338218315929138</v>
      </c>
      <c r="I14" s="63">
        <f>I29*4</f>
        <v>25406592.440000001</v>
      </c>
      <c r="J14" s="214">
        <f t="shared" ref="J14" si="3">+G14+I14</f>
        <v>360701387</v>
      </c>
      <c r="K14" s="63">
        <v>364279554</v>
      </c>
      <c r="L14" s="214">
        <f t="shared" ref="L14" si="4">K14-J14</f>
        <v>3578167</v>
      </c>
      <c r="M14" s="214">
        <f t="shared" ref="M14" si="5">+E14-G14</f>
        <v>5666024.4399999976</v>
      </c>
      <c r="N14" s="214">
        <f t="shared" ref="N14:N17" si="6">+D14-K14</f>
        <v>2066292</v>
      </c>
      <c r="O14" s="214">
        <f>O29/0.25</f>
        <v>24716046.439999998</v>
      </c>
      <c r="P14" s="214">
        <f t="shared" si="1"/>
        <v>690546.00000000373</v>
      </c>
    </row>
    <row r="15" spans="1:18">
      <c r="A15" s="578" t="s">
        <v>602</v>
      </c>
      <c r="B15" s="579" t="s">
        <v>302</v>
      </c>
      <c r="C15" s="579"/>
      <c r="D15" s="227">
        <v>480430296.02999997</v>
      </c>
      <c r="E15" s="63">
        <f t="shared" si="0"/>
        <v>452133381.15999997</v>
      </c>
      <c r="F15" s="63">
        <v>28296914.870000001</v>
      </c>
      <c r="G15" s="63">
        <v>404115748.69</v>
      </c>
      <c r="H15" s="217">
        <f t="shared" si="2"/>
        <v>0.89379763921255884</v>
      </c>
      <c r="I15" s="214">
        <v>30680782.890000001</v>
      </c>
      <c r="J15" s="214">
        <f>+G15+I15</f>
        <v>434796531.57999998</v>
      </c>
      <c r="K15" s="63">
        <v>416844515.33999997</v>
      </c>
      <c r="L15" s="214">
        <f>K15-J15</f>
        <v>-17952016.24000001</v>
      </c>
      <c r="M15" s="214">
        <f>+E15-G15</f>
        <v>48017632.469999969</v>
      </c>
      <c r="N15" s="214">
        <f>+D15-K15</f>
        <v>63585780.689999998</v>
      </c>
      <c r="O15" s="214">
        <f>O30*2</f>
        <v>26187672.919999998</v>
      </c>
      <c r="P15" s="214">
        <f t="shared" si="1"/>
        <v>4493109.9700000025</v>
      </c>
    </row>
    <row r="16" spans="1:18">
      <c r="A16" s="578" t="s">
        <v>602</v>
      </c>
      <c r="B16" s="579" t="s">
        <v>303</v>
      </c>
      <c r="C16" s="579"/>
      <c r="D16" s="227">
        <v>94585830.489999995</v>
      </c>
      <c r="E16" s="63">
        <v>92385153.680000007</v>
      </c>
      <c r="F16" s="63">
        <f>D16-E16</f>
        <v>2200676.8099999875</v>
      </c>
      <c r="G16" s="63">
        <v>92385153.680000007</v>
      </c>
      <c r="H16" s="217">
        <f t="shared" si="2"/>
        <v>1</v>
      </c>
      <c r="I16" s="214">
        <f>J16-G16</f>
        <v>2200676.8099999875</v>
      </c>
      <c r="J16" s="214">
        <v>94585830.489999995</v>
      </c>
      <c r="K16" s="63">
        <v>73088486</v>
      </c>
      <c r="L16" s="214">
        <f>K16-J16</f>
        <v>-21497344.489999995</v>
      </c>
      <c r="M16" s="214">
        <f>+E16-G16</f>
        <v>0</v>
      </c>
      <c r="N16" s="214">
        <f t="shared" si="6"/>
        <v>21497344.489999995</v>
      </c>
      <c r="O16" s="214">
        <f>O31*2</f>
        <v>3468742.2800000003</v>
      </c>
      <c r="P16" s="214">
        <f t="shared" si="1"/>
        <v>-1268065.4700000128</v>
      </c>
    </row>
    <row r="17" spans="1:25">
      <c r="A17" s="578" t="s">
        <v>602</v>
      </c>
      <c r="B17" s="579" t="s">
        <v>671</v>
      </c>
      <c r="C17" s="579"/>
      <c r="D17" s="227">
        <v>3998628</v>
      </c>
      <c r="E17" s="63">
        <f t="shared" si="0"/>
        <v>3635116</v>
      </c>
      <c r="F17" s="63">
        <v>363512</v>
      </c>
      <c r="G17" s="63">
        <v>1142481.3</v>
      </c>
      <c r="H17" s="217">
        <f t="shared" si="2"/>
        <v>0.31429019046434831</v>
      </c>
      <c r="I17" s="214">
        <v>113274.33</v>
      </c>
      <c r="J17" s="214">
        <f>+G17+I17</f>
        <v>1255755.6300000001</v>
      </c>
      <c r="K17" s="63">
        <v>1255755.76</v>
      </c>
      <c r="L17" s="214">
        <f>K17-J17</f>
        <v>0.12999999988824129</v>
      </c>
      <c r="M17" s="214">
        <f>+E17-G17</f>
        <v>2492634.7000000002</v>
      </c>
      <c r="N17" s="214">
        <f t="shared" si="6"/>
        <v>2742872.24</v>
      </c>
      <c r="O17" s="214">
        <f>O32*2</f>
        <v>0</v>
      </c>
      <c r="P17" s="214">
        <f t="shared" si="1"/>
        <v>113274.33</v>
      </c>
    </row>
    <row r="18" spans="1:25" s="571" customFormat="1" ht="11.25">
      <c r="A18" s="580"/>
      <c r="B18" s="579"/>
      <c r="C18" s="579"/>
      <c r="D18" s="227"/>
      <c r="E18" s="227"/>
      <c r="F18" s="227"/>
      <c r="G18" s="227"/>
      <c r="H18" s="227"/>
      <c r="I18" s="227"/>
      <c r="J18" s="227"/>
      <c r="K18" s="227"/>
      <c r="L18" s="227"/>
      <c r="M18" s="227"/>
      <c r="N18" s="227"/>
      <c r="O18" s="227"/>
      <c r="P18" s="227"/>
      <c r="Q18" s="214"/>
      <c r="R18" s="581"/>
    </row>
    <row r="19" spans="1:25" s="571" customFormat="1" ht="12" thickBot="1">
      <c r="A19" s="582" t="s">
        <v>54</v>
      </c>
      <c r="D19" s="598">
        <f>SUM(D11:D18)</f>
        <v>1187696658.6299999</v>
      </c>
      <c r="E19" s="598">
        <f>SUM(E11:E18)</f>
        <v>1117597611.1900001</v>
      </c>
      <c r="F19" s="598">
        <f>SUM(F11:F18)</f>
        <v>70099047.439999983</v>
      </c>
      <c r="G19" s="598">
        <f>SUM(G11:G18)</f>
        <v>1061421319.5799999</v>
      </c>
      <c r="H19" s="598"/>
      <c r="I19" s="598">
        <f t="shared" ref="I19:P19" si="7">SUM(I11:I18)</f>
        <v>72254243.229999989</v>
      </c>
      <c r="J19" s="598">
        <f t="shared" si="7"/>
        <v>1133675562.8100002</v>
      </c>
      <c r="K19" s="598">
        <f t="shared" si="7"/>
        <v>1097104447.8899999</v>
      </c>
      <c r="L19" s="598">
        <f t="shared" si="7"/>
        <v>-36571114.919999994</v>
      </c>
      <c r="M19" s="598">
        <f>SUM(M11:M18)</f>
        <v>56176291.60999997</v>
      </c>
      <c r="N19" s="598">
        <f t="shared" si="7"/>
        <v>90592210.73999998</v>
      </c>
      <c r="O19" s="598">
        <f t="shared" si="7"/>
        <v>74356634.819999993</v>
      </c>
      <c r="P19" s="598">
        <f t="shared" si="7"/>
        <v>-2102391.5900000064</v>
      </c>
      <c r="Q19" s="584"/>
      <c r="R19" s="584"/>
      <c r="S19" s="584"/>
      <c r="T19" s="584"/>
      <c r="U19" s="584"/>
      <c r="V19" s="584"/>
      <c r="W19" s="584"/>
      <c r="X19" s="584"/>
      <c r="Y19" s="584"/>
    </row>
    <row r="20" spans="1:25" s="188" customFormat="1" ht="12" thickTop="1"/>
    <row r="21" spans="1:25">
      <c r="D21" s="599"/>
      <c r="E21" s="587"/>
      <c r="F21" s="587"/>
      <c r="G21" s="587"/>
      <c r="K21" s="587"/>
    </row>
    <row r="22" spans="1:25" ht="15">
      <c r="A22" s="566" t="s">
        <v>610</v>
      </c>
      <c r="D22" s="599"/>
      <c r="E22" s="587"/>
      <c r="F22" s="587"/>
      <c r="G22" s="587"/>
      <c r="K22" s="587"/>
    </row>
    <row r="23" spans="1:25">
      <c r="A23" s="571"/>
      <c r="B23" s="571"/>
      <c r="C23" s="571"/>
      <c r="D23" s="600"/>
      <c r="E23" s="56"/>
      <c r="F23" s="56"/>
      <c r="G23" s="56"/>
      <c r="H23" s="104"/>
      <c r="I23" s="56"/>
      <c r="J23" s="56"/>
      <c r="K23" s="56"/>
      <c r="L23" s="56"/>
      <c r="M23" s="56"/>
      <c r="N23" s="56"/>
      <c r="O23" s="56"/>
      <c r="P23" s="56"/>
    </row>
    <row r="24" spans="1:25" ht="26.45" customHeight="1">
      <c r="A24" s="573" t="s">
        <v>600</v>
      </c>
      <c r="B24" s="574" t="s">
        <v>13</v>
      </c>
      <c r="C24" s="588" t="s">
        <v>611</v>
      </c>
      <c r="D24" s="601" t="s">
        <v>612</v>
      </c>
      <c r="E24" s="590" t="s">
        <v>613</v>
      </c>
      <c r="F24" s="590" t="s">
        <v>614</v>
      </c>
      <c r="G24" s="590" t="s">
        <v>615</v>
      </c>
      <c r="H24" s="589" t="s">
        <v>18</v>
      </c>
      <c r="I24" s="590" t="s">
        <v>616</v>
      </c>
      <c r="J24" s="590" t="s">
        <v>617</v>
      </c>
      <c r="K24" s="590" t="s">
        <v>56</v>
      </c>
      <c r="L24" s="591" t="s">
        <v>124</v>
      </c>
      <c r="M24" s="590" t="s">
        <v>618</v>
      </c>
      <c r="N24" s="590" t="s">
        <v>619</v>
      </c>
      <c r="O24" s="590" t="s">
        <v>620</v>
      </c>
      <c r="P24" s="590" t="s">
        <v>621</v>
      </c>
    </row>
    <row r="25" spans="1:25">
      <c r="A25" s="576" t="s">
        <v>608</v>
      </c>
      <c r="B25" s="577"/>
      <c r="C25" s="577"/>
      <c r="D25" s="602"/>
      <c r="E25" s="78"/>
      <c r="F25" s="78"/>
      <c r="G25" s="603"/>
      <c r="H25" s="107"/>
      <c r="I25" s="604"/>
      <c r="J25" s="109"/>
      <c r="K25" s="109"/>
      <c r="L25" s="109"/>
      <c r="M25" s="78"/>
      <c r="N25" s="78"/>
    </row>
    <row r="26" spans="1:25">
      <c r="A26" s="578" t="s">
        <v>622</v>
      </c>
      <c r="B26" s="579" t="s">
        <v>304</v>
      </c>
      <c r="C26" s="592">
        <v>0.5</v>
      </c>
      <c r="D26" s="227">
        <f>D11/2</f>
        <v>2754056</v>
      </c>
      <c r="E26" s="63">
        <f t="shared" ref="E26:E31" si="8">D26-F26</f>
        <v>2469511</v>
      </c>
      <c r="F26" s="227">
        <f t="shared" ref="F26:G28" si="9">F11/2</f>
        <v>284545</v>
      </c>
      <c r="G26" s="227">
        <f t="shared" si="9"/>
        <v>2469511</v>
      </c>
      <c r="H26" s="217">
        <f t="shared" ref="H26:H31" si="10">IF(E26&lt;&gt;0,+G26/E26,0)</f>
        <v>1</v>
      </c>
      <c r="I26" s="214">
        <f>I11/2</f>
        <v>284545</v>
      </c>
      <c r="J26" s="214">
        <f t="shared" ref="J26:J31" si="11">+G26+I26</f>
        <v>2754056</v>
      </c>
      <c r="K26" s="63">
        <f>K11/2</f>
        <v>2754056</v>
      </c>
      <c r="L26" s="214">
        <f t="shared" ref="L26:L31" si="12">K26-J26</f>
        <v>0</v>
      </c>
      <c r="M26" s="214">
        <f t="shared" ref="M26:M31" si="13">+E26-G26</f>
        <v>0</v>
      </c>
      <c r="N26" s="214">
        <f t="shared" ref="N26:N31" si="14">+D26-K26</f>
        <v>0</v>
      </c>
      <c r="O26" s="214">
        <v>284545</v>
      </c>
      <c r="P26" s="214">
        <f>I26-O26</f>
        <v>0</v>
      </c>
      <c r="Q26" s="587"/>
      <c r="R26" s="214"/>
      <c r="S26" s="214"/>
    </row>
    <row r="27" spans="1:25">
      <c r="A27" s="578" t="s">
        <v>601</v>
      </c>
      <c r="B27" s="579" t="s">
        <v>305</v>
      </c>
      <c r="C27" s="592">
        <v>0.5</v>
      </c>
      <c r="D27" s="227">
        <f>D12/2</f>
        <v>112864785.815</v>
      </c>
      <c r="E27" s="63">
        <f t="shared" si="8"/>
        <v>106307500.815</v>
      </c>
      <c r="F27" s="63">
        <f t="shared" si="9"/>
        <v>6557285</v>
      </c>
      <c r="G27" s="63">
        <f t="shared" si="9"/>
        <v>106307500.815</v>
      </c>
      <c r="H27" s="217">
        <f t="shared" si="10"/>
        <v>1</v>
      </c>
      <c r="I27" s="214">
        <f>I12/2</f>
        <v>6557285</v>
      </c>
      <c r="J27" s="214">
        <f t="shared" si="11"/>
        <v>112864785.815</v>
      </c>
      <c r="K27" s="63">
        <f>K12/2</f>
        <v>112542778.5</v>
      </c>
      <c r="L27" s="214">
        <f t="shared" si="12"/>
        <v>-322007.31499999762</v>
      </c>
      <c r="M27" s="214">
        <f t="shared" si="13"/>
        <v>0</v>
      </c>
      <c r="N27" s="214">
        <f t="shared" si="14"/>
        <v>322007.31499999762</v>
      </c>
      <c r="O27" s="214">
        <v>9738725.2599999998</v>
      </c>
      <c r="P27" s="214">
        <f>I27-O27</f>
        <v>-3181440.26</v>
      </c>
      <c r="Q27" s="587"/>
      <c r="R27" s="214"/>
      <c r="S27" s="214"/>
    </row>
    <row r="28" spans="1:25">
      <c r="A28" s="578" t="s">
        <v>622</v>
      </c>
      <c r="B28" s="579" t="s">
        <v>306</v>
      </c>
      <c r="C28" s="592">
        <v>0.5</v>
      </c>
      <c r="D28" s="227">
        <f>D13/2</f>
        <v>5549187.2400000002</v>
      </c>
      <c r="E28" s="63">
        <f>D28-F28</f>
        <v>5464558.8600000003</v>
      </c>
      <c r="F28" s="63">
        <f t="shared" si="9"/>
        <v>84628.379999999888</v>
      </c>
      <c r="G28" s="63">
        <f t="shared" si="9"/>
        <v>5464558.8600000003</v>
      </c>
      <c r="H28" s="217">
        <f>IF(E28&lt;&gt;0,+G28/E28,0)</f>
        <v>1</v>
      </c>
      <c r="I28" s="214">
        <f>I13/2</f>
        <v>84628.379999999888</v>
      </c>
      <c r="J28" s="214">
        <f>+G28+I28</f>
        <v>5549187.2400000002</v>
      </c>
      <c r="K28" s="63">
        <f>K13/2</f>
        <v>5521233.8949999996</v>
      </c>
      <c r="L28" s="214">
        <f>K28-J28</f>
        <v>-27953.345000000671</v>
      </c>
      <c r="M28" s="214">
        <f>+E28-G28</f>
        <v>0</v>
      </c>
      <c r="N28" s="214">
        <f>+D28-K28</f>
        <v>27953.345000000671</v>
      </c>
      <c r="O28" s="214">
        <v>-31183.670000000027</v>
      </c>
      <c r="P28" s="214">
        <f>I28-O28</f>
        <v>115812.04999999992</v>
      </c>
      <c r="Q28" s="587"/>
      <c r="R28" s="214"/>
      <c r="S28" s="214"/>
    </row>
    <row r="29" spans="1:25">
      <c r="A29" s="578" t="s">
        <v>602</v>
      </c>
      <c r="B29" s="579" t="s">
        <v>301</v>
      </c>
      <c r="C29" s="592">
        <v>0.25</v>
      </c>
      <c r="D29" s="227">
        <f>D14*0.25</f>
        <v>91586461.5</v>
      </c>
      <c r="E29" s="63">
        <f t="shared" si="8"/>
        <v>85240204.75</v>
      </c>
      <c r="F29" s="63">
        <f>F14*0.25</f>
        <v>6346256.75</v>
      </c>
      <c r="G29" s="63">
        <v>83823698.640000001</v>
      </c>
      <c r="H29" s="217">
        <f t="shared" si="10"/>
        <v>0.98338218315929138</v>
      </c>
      <c r="I29" s="214">
        <v>6351648.1100000003</v>
      </c>
      <c r="J29" s="214">
        <f t="shared" si="11"/>
        <v>90175346.75</v>
      </c>
      <c r="K29" s="63">
        <f>K14*0.25</f>
        <v>91069888.5</v>
      </c>
      <c r="L29" s="214">
        <f t="shared" si="12"/>
        <v>894541.75</v>
      </c>
      <c r="M29" s="214">
        <f t="shared" si="13"/>
        <v>1416506.1099999994</v>
      </c>
      <c r="N29" s="214">
        <f t="shared" si="14"/>
        <v>516573</v>
      </c>
      <c r="O29" s="214">
        <v>6179011.6099999994</v>
      </c>
      <c r="P29" s="214">
        <f>I29-O29</f>
        <v>172636.50000000093</v>
      </c>
      <c r="Q29" s="587"/>
      <c r="R29" s="214"/>
      <c r="S29" s="214"/>
    </row>
    <row r="30" spans="1:25">
      <c r="A30" s="578" t="s">
        <v>602</v>
      </c>
      <c r="B30" s="579" t="s">
        <v>302</v>
      </c>
      <c r="C30" s="592">
        <v>0.5</v>
      </c>
      <c r="D30" s="227">
        <f>D15/2</f>
        <v>240215148.01499999</v>
      </c>
      <c r="E30" s="63">
        <f t="shared" si="8"/>
        <v>226066690.57999998</v>
      </c>
      <c r="F30" s="63">
        <f t="shared" ref="F30:G32" si="15">F15/2</f>
        <v>14148457.435000001</v>
      </c>
      <c r="G30" s="63">
        <f t="shared" si="15"/>
        <v>202057874.345</v>
      </c>
      <c r="H30" s="217">
        <f t="shared" si="10"/>
        <v>0.89379763921255884</v>
      </c>
      <c r="I30" s="214">
        <f>I15/2</f>
        <v>15340391.445</v>
      </c>
      <c r="J30" s="214">
        <f t="shared" si="11"/>
        <v>217398265.78999999</v>
      </c>
      <c r="K30" s="63">
        <f>K15/2</f>
        <v>208422257.66999999</v>
      </c>
      <c r="L30" s="214">
        <f t="shared" si="12"/>
        <v>-8976008.1200000048</v>
      </c>
      <c r="M30" s="214">
        <f t="shared" si="13"/>
        <v>24008816.234999985</v>
      </c>
      <c r="N30" s="214">
        <f t="shared" si="14"/>
        <v>31792890.344999999</v>
      </c>
      <c r="O30" s="214">
        <v>13093836.459999999</v>
      </c>
      <c r="P30" s="214">
        <f>I30-O30</f>
        <v>2246554.9850000013</v>
      </c>
      <c r="Q30" s="587"/>
      <c r="R30" s="214"/>
      <c r="S30" s="214"/>
    </row>
    <row r="31" spans="1:25">
      <c r="A31" s="578" t="s">
        <v>602</v>
      </c>
      <c r="B31" s="579" t="s">
        <v>303</v>
      </c>
      <c r="C31" s="592">
        <v>0.5</v>
      </c>
      <c r="D31" s="227">
        <f>D16/2</f>
        <v>47292915.244999997</v>
      </c>
      <c r="E31" s="63">
        <f t="shared" si="8"/>
        <v>46192576.840000004</v>
      </c>
      <c r="F31" s="63">
        <f t="shared" si="15"/>
        <v>1100338.4049999937</v>
      </c>
      <c r="G31" s="63">
        <f t="shared" si="15"/>
        <v>46192576.840000004</v>
      </c>
      <c r="H31" s="217">
        <f t="shared" si="10"/>
        <v>1</v>
      </c>
      <c r="I31" s="214">
        <f>I16/2</f>
        <v>1100338.4049999937</v>
      </c>
      <c r="J31" s="214">
        <f t="shared" si="11"/>
        <v>47292915.244999997</v>
      </c>
      <c r="K31" s="63">
        <f>K16/2</f>
        <v>36544243</v>
      </c>
      <c r="L31" s="214">
        <f t="shared" si="12"/>
        <v>-10748672.244999997</v>
      </c>
      <c r="M31" s="214">
        <f t="shared" si="13"/>
        <v>0</v>
      </c>
      <c r="N31" s="214">
        <f t="shared" si="14"/>
        <v>10748672.244999997</v>
      </c>
      <c r="O31" s="214">
        <v>1734371.1400000001</v>
      </c>
      <c r="P31" s="214">
        <f t="shared" ref="P31" si="16">I31-O31</f>
        <v>-634032.73500000639</v>
      </c>
      <c r="Q31" s="587"/>
      <c r="R31" s="214"/>
      <c r="S31" s="214"/>
    </row>
    <row r="32" spans="1:25">
      <c r="A32" s="578" t="s">
        <v>602</v>
      </c>
      <c r="B32" s="579" t="s">
        <v>671</v>
      </c>
      <c r="C32" s="592">
        <v>0.5</v>
      </c>
      <c r="D32" s="227">
        <f>D17/2</f>
        <v>1999314</v>
      </c>
      <c r="E32" s="63">
        <f t="shared" ref="E32" si="17">D32-F32</f>
        <v>1817558</v>
      </c>
      <c r="F32" s="63">
        <f t="shared" si="15"/>
        <v>181756</v>
      </c>
      <c r="G32" s="63">
        <f t="shared" si="15"/>
        <v>571240.65</v>
      </c>
      <c r="H32" s="217">
        <f t="shared" ref="H32" si="18">IF(E32&lt;&gt;0,+G32/E32,0)</f>
        <v>0.31429019046434831</v>
      </c>
      <c r="I32" s="214">
        <f>I17/2</f>
        <v>56637.165000000001</v>
      </c>
      <c r="J32" s="214">
        <f t="shared" ref="J32" si="19">+G32+I32</f>
        <v>627877.81500000006</v>
      </c>
      <c r="K32" s="63">
        <f>K17/2</f>
        <v>627877.88</v>
      </c>
      <c r="L32" s="214">
        <f t="shared" ref="L32" si="20">K32-J32</f>
        <v>6.4999999944120646E-2</v>
      </c>
      <c r="M32" s="214">
        <f t="shared" ref="M32" si="21">+E32-G32</f>
        <v>1246317.3500000001</v>
      </c>
      <c r="N32" s="214">
        <f t="shared" ref="N32" si="22">+D32-K32</f>
        <v>1371436.12</v>
      </c>
      <c r="O32" s="214">
        <v>0</v>
      </c>
      <c r="P32" s="214">
        <f t="shared" ref="P32" si="23">I32-O32</f>
        <v>56637.165000000001</v>
      </c>
      <c r="Q32" s="587"/>
      <c r="R32" s="214"/>
      <c r="S32" s="214"/>
    </row>
    <row r="33" spans="1:25">
      <c r="A33" s="580"/>
      <c r="B33" s="579"/>
      <c r="C33" s="592"/>
      <c r="D33" s="227"/>
      <c r="E33" s="227"/>
      <c r="F33" s="227"/>
      <c r="G33" s="227"/>
      <c r="H33" s="227"/>
      <c r="I33" s="227"/>
      <c r="J33" s="227"/>
      <c r="K33" s="227"/>
      <c r="L33" s="227"/>
      <c r="M33" s="227"/>
      <c r="N33" s="227"/>
      <c r="O33" s="227"/>
      <c r="P33" s="227"/>
    </row>
    <row r="34" spans="1:25" ht="13.5" thickBot="1">
      <c r="A34" s="582" t="s">
        <v>107</v>
      </c>
      <c r="B34" s="571"/>
      <c r="C34" s="593"/>
      <c r="D34" s="598">
        <f>SUM(D26:D33)</f>
        <v>502261867.815</v>
      </c>
      <c r="E34" s="598">
        <f>SUM(E26:E33)</f>
        <v>473558600.84500003</v>
      </c>
      <c r="F34" s="598">
        <f>SUM(F26:F33)</f>
        <v>28703266.969999991</v>
      </c>
      <c r="G34" s="598">
        <f>SUM(G26:G33)</f>
        <v>446886961.14999998</v>
      </c>
      <c r="H34" s="598"/>
      <c r="I34" s="598">
        <f t="shared" ref="I34:P34" si="24">SUM(I26:I33)</f>
        <v>29775473.504999995</v>
      </c>
      <c r="J34" s="598">
        <f t="shared" si="24"/>
        <v>476662434.65500003</v>
      </c>
      <c r="K34" s="598">
        <f t="shared" si="24"/>
        <v>457482335.44499993</v>
      </c>
      <c r="L34" s="598">
        <f t="shared" si="24"/>
        <v>-19180099.209999997</v>
      </c>
      <c r="M34" s="598">
        <f t="shared" si="24"/>
        <v>26671639.694999985</v>
      </c>
      <c r="N34" s="598">
        <f t="shared" si="24"/>
        <v>44779532.36999999</v>
      </c>
      <c r="O34" s="598">
        <f t="shared" si="24"/>
        <v>30999305.799999997</v>
      </c>
      <c r="P34" s="598">
        <f t="shared" si="24"/>
        <v>-1223832.2950000041</v>
      </c>
      <c r="R34" s="587"/>
    </row>
    <row r="35" spans="1:25" s="586" customFormat="1" ht="13.5" thickTop="1">
      <c r="A35" s="568"/>
      <c r="B35" s="568"/>
      <c r="C35" s="568"/>
      <c r="D35" s="585"/>
      <c r="H35" s="568"/>
      <c r="I35" s="587"/>
      <c r="J35" s="587"/>
      <c r="L35" s="587"/>
      <c r="M35" s="587"/>
      <c r="N35" s="587"/>
      <c r="O35" s="568"/>
      <c r="P35" s="568"/>
      <c r="Q35" s="568"/>
      <c r="R35" s="568"/>
      <c r="S35" s="568"/>
      <c r="T35" s="568"/>
      <c r="U35" s="568"/>
      <c r="V35" s="568"/>
      <c r="W35" s="568"/>
      <c r="X35" s="568"/>
      <c r="Y35" s="568"/>
    </row>
    <row r="37" spans="1:25" s="586" customFormat="1" ht="15">
      <c r="A37" s="566" t="s">
        <v>623</v>
      </c>
      <c r="B37" s="568"/>
      <c r="C37" s="568"/>
      <c r="D37" s="585"/>
      <c r="H37" s="568"/>
      <c r="I37" s="587"/>
      <c r="J37" s="587"/>
      <c r="L37" s="587"/>
      <c r="M37" s="587"/>
      <c r="N37" s="587"/>
      <c r="O37" s="568"/>
      <c r="P37" s="568"/>
      <c r="Q37" s="568"/>
      <c r="R37" s="568"/>
      <c r="S37" s="568"/>
      <c r="T37" s="568"/>
      <c r="U37" s="568"/>
      <c r="V37" s="568"/>
      <c r="W37" s="568"/>
      <c r="X37" s="568"/>
      <c r="Y37" s="568"/>
    </row>
    <row r="38" spans="1:25" s="586" customFormat="1">
      <c r="A38" s="594"/>
      <c r="B38" s="594"/>
      <c r="C38" s="594"/>
      <c r="D38" s="138" t="s">
        <v>269</v>
      </c>
      <c r="E38" s="138" t="s">
        <v>624</v>
      </c>
      <c r="F38" s="568"/>
      <c r="H38" s="568"/>
      <c r="I38" s="587"/>
      <c r="J38" s="587"/>
      <c r="L38" s="587"/>
      <c r="M38" s="587"/>
      <c r="N38" s="587"/>
      <c r="O38" s="568"/>
      <c r="P38" s="587"/>
      <c r="Q38" s="568"/>
      <c r="R38" s="568"/>
      <c r="S38" s="568"/>
      <c r="T38" s="568"/>
      <c r="U38" s="568"/>
      <c r="V38" s="568"/>
      <c r="W38" s="568"/>
      <c r="X38" s="568"/>
      <c r="Y38" s="568"/>
    </row>
    <row r="39" spans="1:25" s="586" customFormat="1">
      <c r="A39" s="573" t="s">
        <v>600</v>
      </c>
      <c r="B39" s="573" t="s">
        <v>142</v>
      </c>
      <c r="C39" s="573"/>
      <c r="D39" s="573" t="s">
        <v>17</v>
      </c>
      <c r="E39" s="573" t="s">
        <v>17</v>
      </c>
      <c r="F39" s="573" t="s">
        <v>53</v>
      </c>
      <c r="H39" s="568"/>
      <c r="I39" s="587"/>
      <c r="J39" s="587"/>
      <c r="L39" s="587"/>
      <c r="M39" s="587"/>
      <c r="N39" s="587"/>
      <c r="O39" s="568"/>
      <c r="P39" s="568"/>
      <c r="Q39" s="568"/>
      <c r="R39" s="568"/>
      <c r="S39" s="568"/>
      <c r="T39" s="568"/>
      <c r="U39" s="568"/>
      <c r="V39" s="568"/>
      <c r="W39" s="568"/>
      <c r="X39" s="568"/>
      <c r="Y39" s="568"/>
    </row>
    <row r="40" spans="1:25" s="586" customFormat="1">
      <c r="A40" s="576" t="s">
        <v>608</v>
      </c>
      <c r="B40" s="595"/>
      <c r="C40" s="595"/>
      <c r="D40" s="595"/>
      <c r="E40" s="595"/>
      <c r="F40" s="568"/>
      <c r="H40" s="568"/>
      <c r="I40" s="587"/>
      <c r="J40" s="587"/>
      <c r="L40" s="587"/>
      <c r="M40" s="587"/>
      <c r="N40" s="587"/>
      <c r="O40" s="568"/>
      <c r="P40" s="568"/>
      <c r="Q40" s="568"/>
      <c r="R40" s="568"/>
      <c r="S40" s="568"/>
      <c r="T40" s="568"/>
      <c r="U40" s="568"/>
      <c r="V40" s="568"/>
      <c r="W40" s="568"/>
      <c r="X40" s="568"/>
      <c r="Y40" s="568"/>
    </row>
    <row r="41" spans="1:25" s="586" customFormat="1">
      <c r="A41" s="578" t="s">
        <v>622</v>
      </c>
      <c r="B41" s="579" t="s">
        <v>304</v>
      </c>
      <c r="C41" s="579"/>
      <c r="D41" s="142">
        <f t="shared" ref="D41:D47" si="25">I26</f>
        <v>284545</v>
      </c>
      <c r="E41" s="142">
        <v>284545</v>
      </c>
      <c r="F41" s="142">
        <f>D41-E41</f>
        <v>0</v>
      </c>
      <c r="H41" s="568"/>
      <c r="I41" s="587"/>
      <c r="J41" s="587"/>
      <c r="L41" s="587"/>
      <c r="M41" s="587"/>
      <c r="N41" s="587"/>
      <c r="O41" s="568"/>
      <c r="P41" s="568"/>
      <c r="Q41" s="568"/>
      <c r="R41" s="568"/>
      <c r="S41" s="568"/>
      <c r="T41" s="568"/>
      <c r="U41" s="568"/>
      <c r="V41" s="568"/>
      <c r="W41" s="568"/>
      <c r="X41" s="568"/>
      <c r="Y41" s="568"/>
    </row>
    <row r="42" spans="1:25" s="586" customFormat="1">
      <c r="A42" s="578" t="s">
        <v>601</v>
      </c>
      <c r="B42" s="579" t="s">
        <v>305</v>
      </c>
      <c r="C42" s="579"/>
      <c r="D42" s="142">
        <f t="shared" si="25"/>
        <v>6557285</v>
      </c>
      <c r="E42" s="142">
        <v>6418180.5</v>
      </c>
      <c r="F42" s="142">
        <f t="shared" ref="F42" si="26">D42-E42</f>
        <v>139104.5</v>
      </c>
      <c r="H42" s="568"/>
      <c r="I42" s="587"/>
      <c r="J42" s="587"/>
      <c r="L42" s="587"/>
      <c r="M42" s="587"/>
      <c r="N42" s="587"/>
      <c r="O42" s="568"/>
      <c r="P42" s="568"/>
      <c r="Q42" s="568"/>
      <c r="R42" s="568"/>
      <c r="S42" s="568"/>
      <c r="T42" s="568"/>
      <c r="U42" s="568"/>
      <c r="V42" s="568"/>
      <c r="W42" s="568"/>
      <c r="X42" s="568"/>
      <c r="Y42" s="568"/>
    </row>
    <row r="43" spans="1:25" s="586" customFormat="1">
      <c r="A43" s="578" t="s">
        <v>601</v>
      </c>
      <c r="B43" s="579" t="s">
        <v>306</v>
      </c>
      <c r="C43" s="579"/>
      <c r="D43" s="142">
        <f t="shared" si="25"/>
        <v>84628.379999999888</v>
      </c>
      <c r="E43" s="142">
        <v>17162.5</v>
      </c>
      <c r="F43" s="142">
        <f>D43-E43</f>
        <v>67465.879999999888</v>
      </c>
      <c r="H43" s="568"/>
      <c r="I43" s="587"/>
      <c r="J43" s="587"/>
      <c r="L43" s="587"/>
      <c r="M43" s="587"/>
      <c r="N43" s="587"/>
      <c r="O43" s="568"/>
      <c r="P43" s="568"/>
      <c r="Q43" s="568"/>
      <c r="R43" s="568"/>
      <c r="S43" s="568"/>
      <c r="T43" s="568"/>
      <c r="U43" s="568"/>
      <c r="V43" s="568"/>
      <c r="W43" s="568"/>
      <c r="X43" s="568"/>
      <c r="Y43" s="568"/>
    </row>
    <row r="44" spans="1:25" s="586" customFormat="1">
      <c r="A44" s="578" t="s">
        <v>602</v>
      </c>
      <c r="B44" s="579" t="s">
        <v>301</v>
      </c>
      <c r="C44" s="579"/>
      <c r="D44" s="142">
        <f t="shared" si="25"/>
        <v>6351648.1100000003</v>
      </c>
      <c r="E44" s="142">
        <v>6242676.75</v>
      </c>
      <c r="F44" s="142">
        <f>D44-E44</f>
        <v>108971.36000000034</v>
      </c>
      <c r="H44" s="568"/>
      <c r="I44" s="587"/>
      <c r="J44" s="587"/>
      <c r="L44" s="587"/>
      <c r="M44" s="587"/>
      <c r="N44" s="587"/>
      <c r="O44" s="568"/>
      <c r="P44" s="568"/>
      <c r="Q44" s="568"/>
      <c r="R44" s="568"/>
      <c r="S44" s="568"/>
      <c r="T44" s="568"/>
      <c r="U44" s="568"/>
      <c r="V44" s="568"/>
      <c r="W44" s="568"/>
      <c r="X44" s="568"/>
      <c r="Y44" s="568"/>
    </row>
    <row r="45" spans="1:25" s="586" customFormat="1">
      <c r="A45" s="578" t="s">
        <v>602</v>
      </c>
      <c r="B45" s="579" t="s">
        <v>302</v>
      </c>
      <c r="C45" s="579"/>
      <c r="D45" s="142">
        <f t="shared" si="25"/>
        <v>15340391.445</v>
      </c>
      <c r="E45" s="142">
        <v>8546652</v>
      </c>
      <c r="F45" s="142">
        <f>D45-E45</f>
        <v>6793739.4450000003</v>
      </c>
      <c r="H45" s="568"/>
      <c r="I45" s="587"/>
      <c r="J45" s="587"/>
      <c r="L45" s="587"/>
      <c r="M45" s="587"/>
      <c r="N45" s="587"/>
      <c r="O45" s="568"/>
      <c r="P45" s="568"/>
      <c r="Q45" s="568"/>
      <c r="R45" s="568"/>
      <c r="S45" s="568"/>
      <c r="T45" s="568"/>
      <c r="U45" s="568"/>
      <c r="V45" s="568"/>
      <c r="W45" s="568"/>
      <c r="X45" s="568"/>
      <c r="Y45" s="568"/>
    </row>
    <row r="46" spans="1:25" s="586" customFormat="1">
      <c r="A46" s="578" t="s">
        <v>602</v>
      </c>
      <c r="B46" s="579" t="s">
        <v>303</v>
      </c>
      <c r="C46" s="579"/>
      <c r="D46" s="142">
        <f t="shared" si="25"/>
        <v>1100338.4049999937</v>
      </c>
      <c r="E46" s="142">
        <v>-10262956</v>
      </c>
      <c r="F46" s="142">
        <f>D46-E46</f>
        <v>11363294.404999994</v>
      </c>
      <c r="H46" s="568"/>
      <c r="I46" s="587"/>
      <c r="J46" s="587"/>
      <c r="L46" s="587"/>
      <c r="M46" s="587"/>
      <c r="N46" s="587"/>
      <c r="O46" s="568"/>
      <c r="P46" s="568"/>
      <c r="Q46" s="568"/>
      <c r="R46" s="568"/>
      <c r="S46" s="568"/>
      <c r="T46" s="568"/>
      <c r="U46" s="568"/>
      <c r="V46" s="568"/>
      <c r="W46" s="568"/>
      <c r="X46" s="568"/>
      <c r="Y46" s="568"/>
    </row>
    <row r="47" spans="1:25" s="586" customFormat="1">
      <c r="A47" s="578" t="s">
        <v>602</v>
      </c>
      <c r="B47" s="579" t="s">
        <v>671</v>
      </c>
      <c r="C47" s="579"/>
      <c r="D47" s="142">
        <f t="shared" si="25"/>
        <v>56637.165000000001</v>
      </c>
      <c r="E47" s="142">
        <v>0</v>
      </c>
      <c r="F47" s="142">
        <f>D47-E47</f>
        <v>56637.165000000001</v>
      </c>
      <c r="H47" s="568"/>
      <c r="I47" s="587"/>
      <c r="J47" s="587"/>
      <c r="L47" s="587"/>
      <c r="M47" s="587"/>
      <c r="N47" s="587"/>
      <c r="O47" s="568"/>
      <c r="P47" s="568"/>
      <c r="Q47" s="568"/>
      <c r="R47" s="568"/>
      <c r="S47" s="568"/>
      <c r="T47" s="568"/>
      <c r="U47" s="568"/>
      <c r="V47" s="568"/>
      <c r="W47" s="568"/>
      <c r="X47" s="568"/>
      <c r="Y47" s="568"/>
    </row>
    <row r="48" spans="1:25" s="586" customFormat="1">
      <c r="A48" s="568"/>
      <c r="B48" s="568"/>
      <c r="C48" s="568"/>
      <c r="D48" s="568"/>
      <c r="E48" s="568"/>
      <c r="F48" s="568"/>
      <c r="H48" s="568"/>
      <c r="I48" s="587"/>
      <c r="J48" s="587"/>
      <c r="L48" s="587"/>
      <c r="M48" s="587"/>
      <c r="N48" s="587"/>
      <c r="O48" s="568"/>
      <c r="P48" s="568"/>
      <c r="Q48" s="568"/>
      <c r="R48" s="568"/>
      <c r="S48" s="568"/>
      <c r="T48" s="568"/>
      <c r="U48" s="568"/>
      <c r="V48" s="568"/>
      <c r="W48" s="568"/>
      <c r="X48" s="568"/>
      <c r="Y48" s="568"/>
    </row>
    <row r="49" spans="1:25" s="586" customFormat="1" ht="13.5" thickBot="1">
      <c r="A49" s="596" t="s">
        <v>308</v>
      </c>
      <c r="B49" s="596"/>
      <c r="C49" s="596"/>
      <c r="D49" s="583">
        <f>SUM(D41:D48)</f>
        <v>29775473.504999995</v>
      </c>
      <c r="E49" s="583">
        <f>SUM(E41:E48)</f>
        <v>11246260.75</v>
      </c>
      <c r="F49" s="583">
        <f>SUM(F41:F48)</f>
        <v>18529212.754999995</v>
      </c>
      <c r="H49" s="568"/>
      <c r="I49" s="587"/>
      <c r="J49" s="587"/>
      <c r="L49" s="587"/>
      <c r="M49" s="587"/>
      <c r="N49" s="587"/>
      <c r="O49" s="568"/>
      <c r="P49" s="568"/>
      <c r="Q49" s="568"/>
      <c r="R49" s="568"/>
      <c r="S49" s="568"/>
      <c r="T49" s="568"/>
      <c r="U49" s="568"/>
      <c r="V49" s="568"/>
      <c r="W49" s="568"/>
      <c r="X49" s="568"/>
      <c r="Y49" s="568"/>
    </row>
    <row r="50" spans="1:25" s="586" customFormat="1" ht="13.5" thickTop="1">
      <c r="A50" s="568"/>
      <c r="B50" s="568"/>
      <c r="C50" s="568"/>
      <c r="D50" s="585"/>
      <c r="H50" s="568"/>
      <c r="I50" s="587"/>
      <c r="J50" s="587"/>
      <c r="L50" s="587"/>
      <c r="M50" s="587"/>
      <c r="N50" s="587"/>
      <c r="O50" s="568"/>
      <c r="P50" s="568"/>
      <c r="Q50" s="568"/>
      <c r="R50" s="568"/>
      <c r="S50" s="568"/>
      <c r="T50" s="568"/>
      <c r="U50" s="568"/>
      <c r="V50" s="568"/>
      <c r="W50" s="568"/>
      <c r="X50" s="568"/>
      <c r="Y50" s="568"/>
    </row>
  </sheetData>
  <conditionalFormatting sqref="H11:H17">
    <cfRule type="cellIs" dxfId="4" priority="1" operator="greaterThan">
      <formula>1</formula>
    </cfRule>
  </conditionalFormatting>
  <pageMargins left="0.45" right="0.45" top="0.5" bottom="0.5" header="0.3" footer="0.3"/>
  <pageSetup scale="7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0911-4AA1-4D56-83A7-BC9BC4A8D4C7}">
  <sheetPr>
    <pageSetUpPr fitToPage="1"/>
  </sheetPr>
  <dimension ref="A1:AD447"/>
  <sheetViews>
    <sheetView topLeftCell="C1" zoomScale="85" zoomScaleNormal="85" workbookViewId="0">
      <pane ySplit="7" topLeftCell="A403" activePane="bottomLeft" state="frozen"/>
      <selection activeCell="E37" sqref="E37"/>
      <selection pane="bottomLeft" activeCell="AA428" sqref="AA428"/>
    </sheetView>
  </sheetViews>
  <sheetFormatPr defaultColWidth="9.140625" defaultRowHeight="12.75"/>
  <cols>
    <col min="1" max="1" width="10.85546875" style="235" customWidth="1"/>
    <col min="2" max="2" width="42.85546875" style="235" customWidth="1"/>
    <col min="3" max="4" width="10" style="235" bestFit="1" customWidth="1"/>
    <col min="5" max="6" width="13.85546875" style="235" customWidth="1"/>
    <col min="7" max="7" width="11.7109375" style="235" bestFit="1" customWidth="1"/>
    <col min="8" max="8" width="2" style="235" customWidth="1"/>
    <col min="9" max="10" width="13.85546875" style="235" customWidth="1"/>
    <col min="11" max="11" width="11.28515625" style="235" customWidth="1"/>
    <col min="12" max="12" width="2" style="235" customWidth="1"/>
    <col min="13" max="15" width="11.7109375" style="235" customWidth="1"/>
    <col min="16" max="16" width="4.140625" style="235" customWidth="1"/>
    <col min="17" max="17" width="14.7109375" style="235" customWidth="1"/>
    <col min="18" max="18" width="13" style="235" customWidth="1"/>
    <col min="19" max="19" width="12" style="235" customWidth="1"/>
    <col min="20" max="20" width="2" style="235" customWidth="1"/>
    <col min="21" max="22" width="12.28515625" style="235" bestFit="1" customWidth="1"/>
    <col min="23" max="23" width="11.7109375" style="235" bestFit="1" customWidth="1"/>
    <col min="24" max="24" width="2" style="235" customWidth="1"/>
    <col min="25" max="27" width="11.7109375" style="240" customWidth="1"/>
    <col min="28" max="28" width="9.140625" style="235"/>
    <col min="29" max="29" width="19.42578125" style="235" bestFit="1" customWidth="1"/>
    <col min="30" max="16384" width="9.140625" style="235"/>
  </cols>
  <sheetData>
    <row r="1" spans="1:29" ht="21.75" customHeight="1">
      <c r="A1" s="328" t="s">
        <v>94</v>
      </c>
    </row>
    <row r="2" spans="1:29" ht="18.75">
      <c r="A2" s="328" t="s">
        <v>271</v>
      </c>
    </row>
    <row r="3" spans="1:29" ht="18.75">
      <c r="A3" s="328" t="str">
        <f>GAAP!A4</f>
        <v>For the Month Period Ended 12/31/2025</v>
      </c>
    </row>
    <row r="4" spans="1:29" ht="18.75">
      <c r="A4" s="328"/>
    </row>
    <row r="5" spans="1:29" ht="15.75">
      <c r="E5" s="633" t="s">
        <v>72</v>
      </c>
      <c r="F5" s="634"/>
      <c r="G5" s="634"/>
      <c r="H5" s="634"/>
      <c r="I5" s="634"/>
      <c r="J5" s="634"/>
      <c r="K5" s="634"/>
      <c r="L5" s="634"/>
      <c r="M5" s="634"/>
      <c r="N5" s="634"/>
      <c r="O5" s="635"/>
      <c r="P5" s="377"/>
      <c r="Q5" s="633" t="s">
        <v>273</v>
      </c>
      <c r="R5" s="634"/>
      <c r="S5" s="634"/>
      <c r="T5" s="634"/>
      <c r="U5" s="634"/>
      <c r="V5" s="634"/>
      <c r="W5" s="634"/>
      <c r="X5" s="634"/>
      <c r="Y5" s="634"/>
      <c r="Z5" s="634"/>
      <c r="AA5" s="635"/>
      <c r="AC5" s="618" t="s">
        <v>726</v>
      </c>
    </row>
    <row r="6" spans="1:29">
      <c r="C6" s="236" t="s">
        <v>416</v>
      </c>
      <c r="D6" s="236" t="s">
        <v>417</v>
      </c>
      <c r="E6" s="640" t="s">
        <v>270</v>
      </c>
      <c r="F6" s="636"/>
      <c r="G6" s="636"/>
      <c r="I6" s="636" t="s">
        <v>269</v>
      </c>
      <c r="J6" s="636"/>
      <c r="K6" s="636"/>
      <c r="M6" s="637" t="s">
        <v>272</v>
      </c>
      <c r="N6" s="638"/>
      <c r="O6" s="639"/>
      <c r="P6" s="377"/>
      <c r="Q6" s="640" t="s">
        <v>270</v>
      </c>
      <c r="R6" s="636"/>
      <c r="S6" s="636"/>
      <c r="U6" s="636" t="s">
        <v>269</v>
      </c>
      <c r="V6" s="636"/>
      <c r="W6" s="636"/>
      <c r="Y6" s="637" t="s">
        <v>272</v>
      </c>
      <c r="Z6" s="638"/>
      <c r="AA6" s="639"/>
      <c r="AC6" s="619"/>
    </row>
    <row r="7" spans="1:29">
      <c r="A7" s="238" t="s">
        <v>141</v>
      </c>
      <c r="B7" s="238" t="s">
        <v>142</v>
      </c>
      <c r="C7" s="238" t="s">
        <v>418</v>
      </c>
      <c r="D7" s="238" t="s">
        <v>418</v>
      </c>
      <c r="E7" s="369" t="s">
        <v>159</v>
      </c>
      <c r="F7" s="238" t="s">
        <v>69</v>
      </c>
      <c r="G7" s="238" t="s">
        <v>92</v>
      </c>
      <c r="H7" s="238"/>
      <c r="I7" s="238" t="s">
        <v>159</v>
      </c>
      <c r="J7" s="238" t="s">
        <v>69</v>
      </c>
      <c r="K7" s="238" t="s">
        <v>92</v>
      </c>
      <c r="L7" s="238"/>
      <c r="M7" s="384" t="s">
        <v>159</v>
      </c>
      <c r="N7" s="382" t="s">
        <v>69</v>
      </c>
      <c r="O7" s="382" t="s">
        <v>92</v>
      </c>
      <c r="P7" s="378"/>
      <c r="Q7" s="238" t="s">
        <v>159</v>
      </c>
      <c r="R7" s="238" t="s">
        <v>69</v>
      </c>
      <c r="S7" s="238" t="s">
        <v>92</v>
      </c>
      <c r="T7" s="239"/>
      <c r="U7" s="238" t="s">
        <v>159</v>
      </c>
      <c r="V7" s="238" t="s">
        <v>69</v>
      </c>
      <c r="W7" s="238" t="s">
        <v>92</v>
      </c>
      <c r="X7" s="238"/>
      <c r="Y7" s="384" t="s">
        <v>159</v>
      </c>
      <c r="Z7" s="382" t="s">
        <v>69</v>
      </c>
      <c r="AA7" s="383" t="s">
        <v>92</v>
      </c>
      <c r="AC7" s="620" t="s">
        <v>272</v>
      </c>
    </row>
    <row r="8" spans="1:29" s="240" customFormat="1" ht="15" customHeight="1">
      <c r="A8" s="330" t="s">
        <v>319</v>
      </c>
      <c r="B8" s="235"/>
      <c r="C8" s="235"/>
      <c r="D8" s="235"/>
      <c r="E8" s="370"/>
      <c r="F8" s="371"/>
      <c r="G8" s="371"/>
      <c r="H8" s="371"/>
      <c r="I8" s="371"/>
      <c r="J8" s="371"/>
      <c r="K8" s="371"/>
      <c r="L8" s="371"/>
      <c r="M8" s="372"/>
      <c r="N8" s="256"/>
      <c r="O8" s="256"/>
      <c r="P8" s="379"/>
      <c r="Q8" s="371"/>
      <c r="R8" s="371"/>
      <c r="S8" s="371"/>
      <c r="T8" s="371"/>
      <c r="U8" s="371"/>
      <c r="V8" s="371"/>
      <c r="W8" s="371"/>
      <c r="X8" s="371"/>
      <c r="Y8" s="372"/>
      <c r="Z8" s="256"/>
      <c r="AA8" s="373"/>
      <c r="AC8" s="380">
        <f t="shared" ref="AC8:AC68" si="0">O8-AA8</f>
        <v>0</v>
      </c>
    </row>
    <row r="9" spans="1:29" s="240" customFormat="1" ht="15" customHeight="1">
      <c r="A9" s="385">
        <f>Bonus!A9</f>
        <v>51.110799999999998</v>
      </c>
      <c r="B9" s="386" t="str">
        <f>Bonus!B9</f>
        <v>City of Stockton - RWCF Phase 2A/2B</v>
      </c>
      <c r="C9" s="468">
        <f>Bonus!G9</f>
        <v>0.9999753785385459</v>
      </c>
      <c r="D9" s="468">
        <f>GAAP!G9</f>
        <v>1</v>
      </c>
      <c r="E9" s="387">
        <f>Bonus!I9</f>
        <v>94126376.709999993</v>
      </c>
      <c r="F9" s="388">
        <f>Bonus!F9</f>
        <v>89805617.799999997</v>
      </c>
      <c r="G9" s="388">
        <f>E9-F9</f>
        <v>4320758.9099999964</v>
      </c>
      <c r="H9" s="388"/>
      <c r="I9" s="388">
        <f>GAAP!I9</f>
        <v>94045647.859999999</v>
      </c>
      <c r="J9" s="388">
        <f>GAAP!F9</f>
        <v>89805617.799999997</v>
      </c>
      <c r="K9" s="388">
        <f>I9-J9</f>
        <v>4240030.0600000024</v>
      </c>
      <c r="L9" s="388"/>
      <c r="M9" s="389">
        <f>E9-I9</f>
        <v>80728.84999999404</v>
      </c>
      <c r="N9" s="390">
        <f>F9-J9</f>
        <v>0</v>
      </c>
      <c r="O9" s="390">
        <f>G9-K9</f>
        <v>80728.84999999404</v>
      </c>
      <c r="P9" s="379"/>
      <c r="Q9" s="388">
        <f>R9+S9</f>
        <v>1278781.9899999984</v>
      </c>
      <c r="R9" s="388">
        <f>Bonus!Q9</f>
        <v>1286422.8299999982</v>
      </c>
      <c r="S9" s="388">
        <f>Bonus!S9</f>
        <v>-7640.839999999851</v>
      </c>
      <c r="T9" s="388"/>
      <c r="U9" s="388">
        <f>V9+W9</f>
        <v>1490690.3199999928</v>
      </c>
      <c r="V9" s="388">
        <f>GAAP!Q9</f>
        <v>1286422.8299999982</v>
      </c>
      <c r="W9" s="388">
        <f>GAAP!S9</f>
        <v>204267.48999999464</v>
      </c>
      <c r="X9" s="388"/>
      <c r="Y9" s="389">
        <f>Q9-U9</f>
        <v>-211908.32999999449</v>
      </c>
      <c r="Z9" s="390">
        <f>R9-V9</f>
        <v>0</v>
      </c>
      <c r="AA9" s="391">
        <f>S9-W9</f>
        <v>-211908.32999999449</v>
      </c>
      <c r="AC9" s="621">
        <f t="shared" si="0"/>
        <v>292637.17999998853</v>
      </c>
    </row>
    <row r="10" spans="1:29" s="240" customFormat="1" ht="15" customHeight="1">
      <c r="A10" s="385">
        <f>Bonus!A10</f>
        <v>51.112900000000003</v>
      </c>
      <c r="B10" s="386" t="str">
        <f>Bonus!B10</f>
        <v>Union Sanit. Dist - Enhanced Trtmnt &amp; Site Upgrd Ph. 1A Aeration Basin</v>
      </c>
      <c r="C10" s="468">
        <f>Bonus!G10</f>
        <v>0.75772321387144703</v>
      </c>
      <c r="D10" s="468">
        <f>GAAP!G10</f>
        <v>0.75772321387144703</v>
      </c>
      <c r="E10" s="387">
        <f>Bonus!I10</f>
        <v>96373952.37605378</v>
      </c>
      <c r="F10" s="388">
        <f>Bonus!F10</f>
        <v>87315159.219999999</v>
      </c>
      <c r="G10" s="388">
        <f t="shared" ref="G10:G24" si="1">E10-F10</f>
        <v>9058793.1560537815</v>
      </c>
      <c r="H10" s="388"/>
      <c r="I10" s="388">
        <f>GAAP!I10</f>
        <v>95839545.37605378</v>
      </c>
      <c r="J10" s="388">
        <f>GAAP!F10</f>
        <v>87315159.219999999</v>
      </c>
      <c r="K10" s="388">
        <f t="shared" ref="K10:K24" si="2">I10-J10</f>
        <v>8524386.1560537815</v>
      </c>
      <c r="L10" s="388"/>
      <c r="M10" s="389">
        <f t="shared" ref="M10:M24" si="3">E10-I10</f>
        <v>534407</v>
      </c>
      <c r="N10" s="390">
        <f t="shared" ref="N10:N24" si="4">F10-J10</f>
        <v>0</v>
      </c>
      <c r="O10" s="390">
        <f t="shared" ref="O10:O24" si="5">G10-K10</f>
        <v>534407</v>
      </c>
      <c r="P10" s="379"/>
      <c r="Q10" s="388">
        <f t="shared" ref="Q10:Q24" si="6">R10+S10</f>
        <v>24666258.345850661</v>
      </c>
      <c r="R10" s="388">
        <f>Bonus!Q10</f>
        <v>23558088.549999997</v>
      </c>
      <c r="S10" s="388">
        <f>Bonus!S10</f>
        <v>1108169.7958506644</v>
      </c>
      <c r="T10" s="388"/>
      <c r="U10" s="388">
        <f t="shared" ref="U10:U24" si="7">V10+W10</f>
        <v>25124997.345850654</v>
      </c>
      <c r="V10" s="388">
        <f>GAAP!Q10</f>
        <v>23558088.549999997</v>
      </c>
      <c r="W10" s="388">
        <f>GAAP!S10</f>
        <v>1566908.795850656</v>
      </c>
      <c r="X10" s="388"/>
      <c r="Y10" s="389">
        <f t="shared" ref="Y10:Y24" si="8">Q10-U10</f>
        <v>-458738.99999999255</v>
      </c>
      <c r="Z10" s="390">
        <f t="shared" ref="Z10:Z24" si="9">R10-V10</f>
        <v>0</v>
      </c>
      <c r="AA10" s="391">
        <f t="shared" ref="AA10:AA24" si="10">S10-W10</f>
        <v>-458738.99999999162</v>
      </c>
      <c r="AC10" s="621">
        <f t="shared" si="0"/>
        <v>993145.99999999162</v>
      </c>
    </row>
    <row r="11" spans="1:29" s="240" customFormat="1" ht="15" customHeight="1">
      <c r="A11" s="385">
        <f>Bonus!A11</f>
        <v>51.113700000000001</v>
      </c>
      <c r="B11" s="386" t="str">
        <f>Bonus!B11</f>
        <v>CA Water Service Co. - Bear Gulch Pump Station 18</v>
      </c>
      <c r="C11" s="468">
        <f>Bonus!G11</f>
        <v>0.86960310750804171</v>
      </c>
      <c r="D11" s="468">
        <f>GAAP!G11</f>
        <v>0.86960310750804171</v>
      </c>
      <c r="E11" s="387">
        <f>Bonus!I11</f>
        <v>1141050.9871372138</v>
      </c>
      <c r="F11" s="388">
        <f>Bonus!F11</f>
        <v>1042229.29</v>
      </c>
      <c r="G11" s="388">
        <f t="shared" si="1"/>
        <v>98821.697137213778</v>
      </c>
      <c r="H11" s="388"/>
      <c r="I11" s="388">
        <f>GAAP!I11</f>
        <v>1141050.9871372138</v>
      </c>
      <c r="J11" s="388">
        <f>GAAP!F11</f>
        <v>1042229.29</v>
      </c>
      <c r="K11" s="388">
        <f t="shared" si="2"/>
        <v>98821.697137213778</v>
      </c>
      <c r="L11" s="388"/>
      <c r="M11" s="389">
        <f t="shared" si="3"/>
        <v>0</v>
      </c>
      <c r="N11" s="390">
        <f t="shared" si="4"/>
        <v>0</v>
      </c>
      <c r="O11" s="390">
        <f t="shared" si="5"/>
        <v>0</v>
      </c>
      <c r="P11" s="379"/>
      <c r="Q11" s="388">
        <f t="shared" si="6"/>
        <v>842122.97847823217</v>
      </c>
      <c r="R11" s="388">
        <f>Bonus!Q11</f>
        <v>770544.87000000011</v>
      </c>
      <c r="S11" s="388">
        <f>Bonus!S11</f>
        <v>71578.108478232083</v>
      </c>
      <c r="T11" s="388"/>
      <c r="U11" s="388">
        <f t="shared" si="7"/>
        <v>842122.97847823217</v>
      </c>
      <c r="V11" s="388">
        <f>GAAP!Q11</f>
        <v>770544.87000000011</v>
      </c>
      <c r="W11" s="388">
        <f>GAAP!S11</f>
        <v>71578.108478232083</v>
      </c>
      <c r="X11" s="388"/>
      <c r="Y11" s="389">
        <f t="shared" si="8"/>
        <v>0</v>
      </c>
      <c r="Z11" s="390">
        <f t="shared" si="9"/>
        <v>0</v>
      </c>
      <c r="AA11" s="391">
        <f t="shared" si="10"/>
        <v>0</v>
      </c>
      <c r="AC11" s="621">
        <f t="shared" si="0"/>
        <v>0</v>
      </c>
    </row>
    <row r="12" spans="1:29" s="240" customFormat="1" ht="15" customHeight="1">
      <c r="A12" s="385">
        <f>Bonus!A12</f>
        <v>51.114400000000003</v>
      </c>
      <c r="B12" s="386" t="str">
        <f>Bonus!B12</f>
        <v>Silicon Valley Clean Water - FEP Improvements Project</v>
      </c>
      <c r="C12" s="468">
        <f>Bonus!G12</f>
        <v>0.60744172327890289</v>
      </c>
      <c r="D12" s="468">
        <f>GAAP!G12</f>
        <v>0.60744172327890289</v>
      </c>
      <c r="E12" s="387">
        <f>Bonus!I12</f>
        <v>9093138.9677772745</v>
      </c>
      <c r="F12" s="388">
        <f>Bonus!F12</f>
        <v>8406760.8000000007</v>
      </c>
      <c r="G12" s="388">
        <f t="shared" si="1"/>
        <v>686378.1677772738</v>
      </c>
      <c r="H12" s="388"/>
      <c r="I12" s="388">
        <f>GAAP!I12</f>
        <v>9093138.9677772745</v>
      </c>
      <c r="J12" s="388">
        <f>GAAP!F12</f>
        <v>8406760.8000000007</v>
      </c>
      <c r="K12" s="388">
        <f t="shared" si="2"/>
        <v>686378.1677772738</v>
      </c>
      <c r="L12" s="388"/>
      <c r="M12" s="389">
        <f t="shared" si="3"/>
        <v>0</v>
      </c>
      <c r="N12" s="390">
        <f t="shared" si="4"/>
        <v>0</v>
      </c>
      <c r="O12" s="390">
        <f t="shared" si="5"/>
        <v>0</v>
      </c>
      <c r="P12" s="379"/>
      <c r="Q12" s="388">
        <f t="shared" si="6"/>
        <v>7649428.0966237243</v>
      </c>
      <c r="R12" s="388">
        <f>Bonus!Q12</f>
        <v>7053381.3800000008</v>
      </c>
      <c r="S12" s="388">
        <f>Bonus!S12</f>
        <v>596046.71662372304</v>
      </c>
      <c r="T12" s="388"/>
      <c r="U12" s="388">
        <f t="shared" si="7"/>
        <v>7649428.0966237243</v>
      </c>
      <c r="V12" s="388">
        <f>GAAP!Q12</f>
        <v>7053381.3800000008</v>
      </c>
      <c r="W12" s="388">
        <f>GAAP!S12</f>
        <v>596046.71662372304</v>
      </c>
      <c r="X12" s="388"/>
      <c r="Y12" s="389">
        <f t="shared" si="8"/>
        <v>0</v>
      </c>
      <c r="Z12" s="390">
        <f t="shared" si="9"/>
        <v>0</v>
      </c>
      <c r="AA12" s="391">
        <f t="shared" si="10"/>
        <v>0</v>
      </c>
      <c r="AC12" s="621">
        <f t="shared" si="0"/>
        <v>0</v>
      </c>
    </row>
    <row r="13" spans="1:29" s="240" customFormat="1" ht="15" customHeight="1">
      <c r="A13" s="385">
        <f>Bonus!A13</f>
        <v>51.114600000000003</v>
      </c>
      <c r="B13" s="386" t="str">
        <f>Bonus!B13</f>
        <v>National Carbon Technologies, LLC - Aymium Williams Production Facility</v>
      </c>
      <c r="C13" s="468">
        <f>Bonus!G13</f>
        <v>0.92655206798663625</v>
      </c>
      <c r="D13" s="468">
        <f>GAAP!G13</f>
        <v>0.92655206798663625</v>
      </c>
      <c r="E13" s="387">
        <f>Bonus!I13</f>
        <v>56675078.537272215</v>
      </c>
      <c r="F13" s="388">
        <f>Bonus!F13</f>
        <v>40950686.5</v>
      </c>
      <c r="G13" s="388">
        <f t="shared" si="1"/>
        <v>15724392.037272215</v>
      </c>
      <c r="H13" s="388"/>
      <c r="I13" s="388">
        <f>GAAP!I13</f>
        <v>56501361.919008985</v>
      </c>
      <c r="J13" s="388">
        <f>GAAP!F13</f>
        <v>40950686.5</v>
      </c>
      <c r="K13" s="388">
        <f t="shared" si="2"/>
        <v>15550675.419008985</v>
      </c>
      <c r="L13" s="388"/>
      <c r="M13" s="389">
        <f t="shared" si="3"/>
        <v>173716.61826322973</v>
      </c>
      <c r="N13" s="390">
        <f t="shared" si="4"/>
        <v>0</v>
      </c>
      <c r="O13" s="390">
        <f t="shared" si="5"/>
        <v>173716.61826322973</v>
      </c>
      <c r="P13" s="379"/>
      <c r="Q13" s="388">
        <f t="shared" si="6"/>
        <v>51031949.907272212</v>
      </c>
      <c r="R13" s="388">
        <f>Bonus!Q13</f>
        <v>36389605.289999999</v>
      </c>
      <c r="S13" s="388">
        <f>Bonus!S13</f>
        <v>14642344.617272211</v>
      </c>
      <c r="T13" s="388"/>
      <c r="U13" s="388">
        <f t="shared" si="7"/>
        <v>51940280.709008992</v>
      </c>
      <c r="V13" s="388">
        <f>GAAP!Q13</f>
        <v>36389605.289999999</v>
      </c>
      <c r="W13" s="388">
        <f>GAAP!S13</f>
        <v>15550675.419008989</v>
      </c>
      <c r="X13" s="388"/>
      <c r="Y13" s="389">
        <f t="shared" si="8"/>
        <v>-908330.80173677951</v>
      </c>
      <c r="Z13" s="390">
        <f t="shared" si="9"/>
        <v>0</v>
      </c>
      <c r="AA13" s="391">
        <f t="shared" si="10"/>
        <v>-908330.80173677765</v>
      </c>
      <c r="AC13" s="621">
        <f t="shared" si="0"/>
        <v>1082047.4200000074</v>
      </c>
    </row>
    <row r="14" spans="1:29" s="240" customFormat="1" ht="15" customHeight="1">
      <c r="A14" s="385">
        <f>Bonus!A14</f>
        <v>51.115099999999998</v>
      </c>
      <c r="B14" s="386" t="str">
        <f>Bonus!B14</f>
        <v>Sonoma Valley County Sanitation Dist. - Sonoma Valley Influent Effluent Upgrade</v>
      </c>
      <c r="C14" s="468">
        <f>Bonus!G14</f>
        <v>0.48846743123962727</v>
      </c>
      <c r="D14" s="468">
        <f>GAAP!G14</f>
        <v>0.48846743123962727</v>
      </c>
      <c r="E14" s="387">
        <f>Bonus!I14</f>
        <v>5206183.5756381955</v>
      </c>
      <c r="F14" s="388">
        <f>Bonus!F14</f>
        <v>4923435.18</v>
      </c>
      <c r="G14" s="388">
        <f t="shared" si="1"/>
        <v>282748.3956381958</v>
      </c>
      <c r="H14" s="388"/>
      <c r="I14" s="388">
        <f>GAAP!I14</f>
        <v>5206183.5756381955</v>
      </c>
      <c r="J14" s="388">
        <f>GAAP!F14</f>
        <v>4923435.18</v>
      </c>
      <c r="K14" s="388">
        <f t="shared" si="2"/>
        <v>282748.3956381958</v>
      </c>
      <c r="L14" s="388"/>
      <c r="M14" s="389">
        <f t="shared" si="3"/>
        <v>0</v>
      </c>
      <c r="N14" s="390">
        <f t="shared" si="4"/>
        <v>0</v>
      </c>
      <c r="O14" s="390">
        <f t="shared" si="5"/>
        <v>0</v>
      </c>
      <c r="P14" s="379"/>
      <c r="Q14" s="388">
        <f t="shared" si="6"/>
        <v>5019039.4956381954</v>
      </c>
      <c r="R14" s="388">
        <f>Bonus!Q14</f>
        <v>4736291.0999999996</v>
      </c>
      <c r="S14" s="388">
        <f>Bonus!S14</f>
        <v>282748.39563819574</v>
      </c>
      <c r="T14" s="388"/>
      <c r="U14" s="388">
        <f t="shared" si="7"/>
        <v>5019039.4956381954</v>
      </c>
      <c r="V14" s="388">
        <f>GAAP!Q14</f>
        <v>4736291.0999999996</v>
      </c>
      <c r="W14" s="388">
        <f>GAAP!S14</f>
        <v>282748.39563819574</v>
      </c>
      <c r="X14" s="388"/>
      <c r="Y14" s="389">
        <f t="shared" si="8"/>
        <v>0</v>
      </c>
      <c r="Z14" s="390">
        <f t="shared" si="9"/>
        <v>0</v>
      </c>
      <c r="AA14" s="391">
        <f t="shared" si="10"/>
        <v>0</v>
      </c>
      <c r="AC14" s="621">
        <f t="shared" si="0"/>
        <v>0</v>
      </c>
    </row>
    <row r="15" spans="1:29" s="240" customFormat="1" ht="15" customHeight="1">
      <c r="A15" s="385">
        <f>Bonus!A15</f>
        <v>51.115200000000002</v>
      </c>
      <c r="B15" s="386" t="str">
        <f>Bonus!B15</f>
        <v>Mozingo Construction Inc - ElD Sly Park Intertie Project</v>
      </c>
      <c r="C15" s="468">
        <f>Bonus!G15</f>
        <v>0.72332631418956417</v>
      </c>
      <c r="D15" s="468">
        <f>GAAP!G15</f>
        <v>0.72332631418956417</v>
      </c>
      <c r="E15" s="387">
        <f>Bonus!I15</f>
        <v>14448073.75212094</v>
      </c>
      <c r="F15" s="388">
        <f>Bonus!F15</f>
        <v>13474808.539999999</v>
      </c>
      <c r="G15" s="388">
        <f t="shared" si="1"/>
        <v>973265.21212094091</v>
      </c>
      <c r="H15" s="388"/>
      <c r="I15" s="388">
        <f>GAAP!I15</f>
        <v>14448073.75212094</v>
      </c>
      <c r="J15" s="388">
        <f>GAAP!F15</f>
        <v>13474808.539999999</v>
      </c>
      <c r="K15" s="388">
        <f t="shared" si="2"/>
        <v>973265.21212094091</v>
      </c>
      <c r="L15" s="388"/>
      <c r="M15" s="389">
        <f t="shared" si="3"/>
        <v>0</v>
      </c>
      <c r="N15" s="390">
        <f t="shared" si="4"/>
        <v>0</v>
      </c>
      <c r="O15" s="390">
        <f t="shared" si="5"/>
        <v>0</v>
      </c>
      <c r="P15" s="379"/>
      <c r="Q15" s="388">
        <f t="shared" si="6"/>
        <v>13001302.85212094</v>
      </c>
      <c r="R15" s="388">
        <f>Bonus!Q15</f>
        <v>12028037.639999999</v>
      </c>
      <c r="S15" s="388">
        <f>Bonus!S15</f>
        <v>973265.21212094033</v>
      </c>
      <c r="T15" s="388"/>
      <c r="U15" s="388">
        <f t="shared" si="7"/>
        <v>13001302.85212094</v>
      </c>
      <c r="V15" s="388">
        <f>GAAP!Q15</f>
        <v>12028037.639999999</v>
      </c>
      <c r="W15" s="388">
        <f>GAAP!S15</f>
        <v>973265.21212094033</v>
      </c>
      <c r="X15" s="388"/>
      <c r="Y15" s="389">
        <f t="shared" si="8"/>
        <v>0</v>
      </c>
      <c r="Z15" s="390">
        <f t="shared" si="9"/>
        <v>0</v>
      </c>
      <c r="AA15" s="391">
        <f t="shared" si="10"/>
        <v>0</v>
      </c>
      <c r="AC15" s="621">
        <f t="shared" si="0"/>
        <v>0</v>
      </c>
    </row>
    <row r="16" spans="1:29" s="240" customFormat="1" ht="15" customHeight="1">
      <c r="A16" s="385">
        <f>Bonus!A16</f>
        <v>51.115299999999998</v>
      </c>
      <c r="B16" s="386" t="str">
        <f>Bonus!B16</f>
        <v>Linda County Water Dist. - Aeration Blower Replacement</v>
      </c>
      <c r="C16" s="468">
        <f>Bonus!G16</f>
        <v>0.7360518997727451</v>
      </c>
      <c r="D16" s="468">
        <f>GAAP!G16</f>
        <v>0.7360518997727451</v>
      </c>
      <c r="E16" s="387">
        <f>Bonus!I16</f>
        <v>414268.17495298735</v>
      </c>
      <c r="F16" s="388">
        <f>Bonus!F16</f>
        <v>334550.81</v>
      </c>
      <c r="G16" s="388">
        <f t="shared" si="1"/>
        <v>79717.364952987351</v>
      </c>
      <c r="H16" s="388"/>
      <c r="I16" s="388">
        <f>GAAP!I16</f>
        <v>414268.17495298735</v>
      </c>
      <c r="J16" s="388">
        <f>GAAP!F16</f>
        <v>334550.81</v>
      </c>
      <c r="K16" s="388">
        <f t="shared" si="2"/>
        <v>79717.364952987351</v>
      </c>
      <c r="L16" s="388"/>
      <c r="M16" s="389">
        <f t="shared" si="3"/>
        <v>0</v>
      </c>
      <c r="N16" s="390">
        <f t="shared" si="4"/>
        <v>0</v>
      </c>
      <c r="O16" s="390">
        <f t="shared" si="5"/>
        <v>0</v>
      </c>
      <c r="P16" s="379"/>
      <c r="Q16" s="388">
        <f t="shared" si="6"/>
        <v>302445.42576981109</v>
      </c>
      <c r="R16" s="388">
        <f>Bonus!Q16</f>
        <v>235587.45</v>
      </c>
      <c r="S16" s="388">
        <f>Bonus!S16</f>
        <v>66857.975769811077</v>
      </c>
      <c r="T16" s="388"/>
      <c r="U16" s="388">
        <f t="shared" si="7"/>
        <v>302445.42576981109</v>
      </c>
      <c r="V16" s="388">
        <f>GAAP!Q16</f>
        <v>235587.45</v>
      </c>
      <c r="W16" s="388">
        <f>GAAP!S16</f>
        <v>66857.975769811077</v>
      </c>
      <c r="X16" s="388"/>
      <c r="Y16" s="389">
        <f t="shared" si="8"/>
        <v>0</v>
      </c>
      <c r="Z16" s="390">
        <f t="shared" si="9"/>
        <v>0</v>
      </c>
      <c r="AA16" s="391">
        <f t="shared" si="10"/>
        <v>0</v>
      </c>
      <c r="AC16" s="621">
        <f t="shared" si="0"/>
        <v>0</v>
      </c>
    </row>
    <row r="17" spans="1:29" s="240" customFormat="1" ht="15" customHeight="1">
      <c r="A17" s="385">
        <f>Bonus!A17</f>
        <v>51.115400000000001</v>
      </c>
      <c r="B17" s="386" t="str">
        <f>Bonus!B17</f>
        <v>Keyes Community Services Dist. - TCP Treatment Impvmts Wells 7,8,9,10</v>
      </c>
      <c r="C17" s="468">
        <f>Bonus!G17</f>
        <v>0.95063651653657044</v>
      </c>
      <c r="D17" s="468">
        <f>GAAP!G17</f>
        <v>0.95063651653657044</v>
      </c>
      <c r="E17" s="387">
        <f>Bonus!I17</f>
        <v>12704149.551969498</v>
      </c>
      <c r="F17" s="388">
        <f>Bonus!F17</f>
        <v>11872342.6</v>
      </c>
      <c r="G17" s="388">
        <f t="shared" si="1"/>
        <v>831806.95196949877</v>
      </c>
      <c r="H17" s="388"/>
      <c r="I17" s="388">
        <f>GAAP!I17</f>
        <v>12704149.551969498</v>
      </c>
      <c r="J17" s="388">
        <f>GAAP!F17</f>
        <v>11872342.6</v>
      </c>
      <c r="K17" s="388">
        <f t="shared" si="2"/>
        <v>831806.95196949877</v>
      </c>
      <c r="L17" s="388"/>
      <c r="M17" s="389">
        <f t="shared" si="3"/>
        <v>0</v>
      </c>
      <c r="N17" s="390">
        <f t="shared" si="4"/>
        <v>0</v>
      </c>
      <c r="O17" s="390">
        <f t="shared" si="5"/>
        <v>0</v>
      </c>
      <c r="P17" s="379"/>
      <c r="Q17" s="388">
        <f t="shared" si="6"/>
        <v>10325590.391969498</v>
      </c>
      <c r="R17" s="388">
        <f>Bonus!Q17</f>
        <v>9493783.4399999995</v>
      </c>
      <c r="S17" s="388">
        <f>Bonus!S17</f>
        <v>831806.95196949912</v>
      </c>
      <c r="T17" s="388"/>
      <c r="U17" s="388">
        <f t="shared" si="7"/>
        <v>10231269.969355069</v>
      </c>
      <c r="V17" s="388">
        <f>GAAP!Q17</f>
        <v>9493783.4399999995</v>
      </c>
      <c r="W17" s="388">
        <f>GAAP!S17</f>
        <v>737486.52935506962</v>
      </c>
      <c r="X17" s="388"/>
      <c r="Y17" s="389">
        <f t="shared" si="8"/>
        <v>94320.422614429146</v>
      </c>
      <c r="Z17" s="390">
        <f t="shared" si="9"/>
        <v>0</v>
      </c>
      <c r="AA17" s="391">
        <f t="shared" si="10"/>
        <v>94320.422614429495</v>
      </c>
      <c r="AC17" s="621">
        <f t="shared" si="0"/>
        <v>-94320.422614429495</v>
      </c>
    </row>
    <row r="18" spans="1:29" s="240" customFormat="1" ht="15" customHeight="1">
      <c r="A18" s="385">
        <f>Bonus!A18</f>
        <v>51.1158</v>
      </c>
      <c r="B18" s="386" t="str">
        <f>Bonus!B18</f>
        <v>Schneider Electric - City of Ceres WWTP Phase 1- Schneider Electric</v>
      </c>
      <c r="C18" s="468">
        <f>Bonus!G18</f>
        <v>0.54536018612488757</v>
      </c>
      <c r="D18" s="468">
        <f>GAAP!G18</f>
        <v>0.54536018612488757</v>
      </c>
      <c r="E18" s="387">
        <f>Bonus!I18</f>
        <v>56960.69</v>
      </c>
      <c r="F18" s="388">
        <f>Bonus!F18</f>
        <v>56960.69</v>
      </c>
      <c r="G18" s="388">
        <f t="shared" si="1"/>
        <v>0</v>
      </c>
      <c r="H18" s="388"/>
      <c r="I18" s="388">
        <f>GAAP!I18</f>
        <v>56960.69</v>
      </c>
      <c r="J18" s="388">
        <f>GAAP!F18</f>
        <v>56960.69</v>
      </c>
      <c r="K18" s="388">
        <f t="shared" si="2"/>
        <v>0</v>
      </c>
      <c r="L18" s="388"/>
      <c r="M18" s="389">
        <f t="shared" si="3"/>
        <v>0</v>
      </c>
      <c r="N18" s="390">
        <f t="shared" si="4"/>
        <v>0</v>
      </c>
      <c r="O18" s="390">
        <f t="shared" si="5"/>
        <v>0</v>
      </c>
      <c r="P18" s="379"/>
      <c r="Q18" s="388">
        <f t="shared" si="6"/>
        <v>56960.69</v>
      </c>
      <c r="R18" s="388">
        <f>Bonus!Q18</f>
        <v>56960.69</v>
      </c>
      <c r="S18" s="388">
        <f>Bonus!S18</f>
        <v>0</v>
      </c>
      <c r="T18" s="388"/>
      <c r="U18" s="388">
        <f t="shared" si="7"/>
        <v>56960.69</v>
      </c>
      <c r="V18" s="388">
        <f>GAAP!Q18</f>
        <v>56960.69</v>
      </c>
      <c r="W18" s="388">
        <f>GAAP!S18</f>
        <v>0</v>
      </c>
      <c r="X18" s="388"/>
      <c r="Y18" s="389">
        <f t="shared" si="8"/>
        <v>0</v>
      </c>
      <c r="Z18" s="390">
        <f t="shared" si="9"/>
        <v>0</v>
      </c>
      <c r="AA18" s="391">
        <f t="shared" si="10"/>
        <v>0</v>
      </c>
      <c r="AC18" s="621">
        <f t="shared" si="0"/>
        <v>0</v>
      </c>
    </row>
    <row r="19" spans="1:29" s="240" customFormat="1" ht="15" customHeight="1">
      <c r="A19" s="385">
        <f>Bonus!A19</f>
        <v>51.115900000000003</v>
      </c>
      <c r="B19" s="386" t="str">
        <f>Bonus!B19</f>
        <v>El Dorado Irrigation Dist. - EID Reservoir A WTP Backwash-to-waste Valve Repalcement</v>
      </c>
      <c r="C19" s="468">
        <f>Bonus!G19</f>
        <v>0.73204395685853008</v>
      </c>
      <c r="D19" s="468">
        <f>GAAP!G19</f>
        <v>0.73204395685853008</v>
      </c>
      <c r="E19" s="387">
        <f>Bonus!I19</f>
        <v>877720.70427337755</v>
      </c>
      <c r="F19" s="388">
        <f>Bonus!F19</f>
        <v>790051.12</v>
      </c>
      <c r="G19" s="388">
        <f t="shared" si="1"/>
        <v>87669.58427337755</v>
      </c>
      <c r="H19" s="388"/>
      <c r="I19" s="388">
        <f>GAAP!I19</f>
        <v>877720.70427337755</v>
      </c>
      <c r="J19" s="388">
        <f>GAAP!F19</f>
        <v>790051.12</v>
      </c>
      <c r="K19" s="388">
        <f t="shared" si="2"/>
        <v>87669.58427337755</v>
      </c>
      <c r="L19" s="388"/>
      <c r="M19" s="389">
        <f t="shared" si="3"/>
        <v>0</v>
      </c>
      <c r="N19" s="390">
        <f t="shared" si="4"/>
        <v>0</v>
      </c>
      <c r="O19" s="390">
        <f t="shared" si="5"/>
        <v>0</v>
      </c>
      <c r="P19" s="379"/>
      <c r="Q19" s="388">
        <f t="shared" si="6"/>
        <v>877720.70427337755</v>
      </c>
      <c r="R19" s="388">
        <f>Bonus!Q19</f>
        <v>790051.12</v>
      </c>
      <c r="S19" s="388">
        <f>Bonus!S19</f>
        <v>87669.584273377564</v>
      </c>
      <c r="T19" s="388"/>
      <c r="U19" s="388">
        <f t="shared" si="7"/>
        <v>877720.70427337755</v>
      </c>
      <c r="V19" s="388">
        <f>GAAP!Q19</f>
        <v>790051.12</v>
      </c>
      <c r="W19" s="388">
        <f>GAAP!S19</f>
        <v>87669.584273377564</v>
      </c>
      <c r="X19" s="388"/>
      <c r="Y19" s="389">
        <f t="shared" si="8"/>
        <v>0</v>
      </c>
      <c r="Z19" s="390">
        <f t="shared" si="9"/>
        <v>0</v>
      </c>
      <c r="AA19" s="391">
        <f t="shared" si="10"/>
        <v>0</v>
      </c>
      <c r="AC19" s="621">
        <f t="shared" si="0"/>
        <v>0</v>
      </c>
    </row>
    <row r="20" spans="1:29" s="240" customFormat="1" ht="15" customHeight="1">
      <c r="A20" s="385">
        <f>Bonus!A20</f>
        <v>51.116</v>
      </c>
      <c r="B20" s="386" t="str">
        <f>Bonus!B20</f>
        <v>City of Galt Public Works - Industrial WWTP Expansion</v>
      </c>
      <c r="C20" s="468">
        <f>Bonus!G20</f>
        <v>0.14823553254437868</v>
      </c>
      <c r="D20" s="468">
        <f>GAAP!G20</f>
        <v>0.14823553254437868</v>
      </c>
      <c r="E20" s="387">
        <f>Bonus!I20</f>
        <v>250518.05</v>
      </c>
      <c r="F20" s="388">
        <f>Bonus!F20</f>
        <v>250518.05</v>
      </c>
      <c r="G20" s="388">
        <f t="shared" si="1"/>
        <v>0</v>
      </c>
      <c r="H20" s="388"/>
      <c r="I20" s="388">
        <f>GAAP!I20</f>
        <v>260449.83068047336</v>
      </c>
      <c r="J20" s="388">
        <f>GAAP!F20</f>
        <v>250518.05</v>
      </c>
      <c r="K20" s="388">
        <f t="shared" si="2"/>
        <v>9931.78068047337</v>
      </c>
      <c r="L20" s="388"/>
      <c r="M20" s="389">
        <f t="shared" si="3"/>
        <v>-9931.78068047337</v>
      </c>
      <c r="N20" s="390">
        <f t="shared" si="4"/>
        <v>0</v>
      </c>
      <c r="O20" s="390">
        <f t="shared" si="5"/>
        <v>-9931.78068047337</v>
      </c>
      <c r="P20" s="379"/>
      <c r="Q20" s="388">
        <f t="shared" si="6"/>
        <v>250518.05</v>
      </c>
      <c r="R20" s="388">
        <f>Bonus!Q20</f>
        <v>250518.05</v>
      </c>
      <c r="S20" s="388">
        <f>Bonus!S20</f>
        <v>0</v>
      </c>
      <c r="T20" s="388"/>
      <c r="U20" s="388">
        <f t="shared" si="7"/>
        <v>260449.83068047336</v>
      </c>
      <c r="V20" s="388">
        <f>GAAP!Q20</f>
        <v>250518.05</v>
      </c>
      <c r="W20" s="388">
        <f>GAAP!S20</f>
        <v>9931.7806804733718</v>
      </c>
      <c r="X20" s="388"/>
      <c r="Y20" s="389">
        <f t="shared" si="8"/>
        <v>-9931.78068047337</v>
      </c>
      <c r="Z20" s="390">
        <f t="shared" si="9"/>
        <v>0</v>
      </c>
      <c r="AA20" s="391">
        <f t="shared" si="10"/>
        <v>-9931.7806804733718</v>
      </c>
      <c r="AC20" s="621">
        <f t="shared" si="0"/>
        <v>0</v>
      </c>
    </row>
    <row r="21" spans="1:29" s="240" customFormat="1" ht="15" customHeight="1">
      <c r="A21" s="385">
        <f>Bonus!A21</f>
        <v>51.116100000000003</v>
      </c>
      <c r="B21" s="386" t="str">
        <f>Bonus!B21</f>
        <v>Sacramento Area Sewer Dist. - SASD Influent Pump Nos. 2 and 5 Installation Project</v>
      </c>
      <c r="C21" s="468">
        <f>Bonus!G21</f>
        <v>5.8652895729117367E-2</v>
      </c>
      <c r="D21" s="468">
        <f>GAAP!G21</f>
        <v>5.8652895729117367E-2</v>
      </c>
      <c r="E21" s="387">
        <f>Bonus!I21</f>
        <v>601852.17000000004</v>
      </c>
      <c r="F21" s="388">
        <f>Bonus!F21</f>
        <v>601852.17000000004</v>
      </c>
      <c r="G21" s="388">
        <f t="shared" si="1"/>
        <v>0</v>
      </c>
      <c r="H21" s="388"/>
      <c r="I21" s="388">
        <f>GAAP!I21</f>
        <v>601852.17000000004</v>
      </c>
      <c r="J21" s="388">
        <f>GAAP!F21</f>
        <v>601852.17000000004</v>
      </c>
      <c r="K21" s="388">
        <f t="shared" si="2"/>
        <v>0</v>
      </c>
      <c r="L21" s="388"/>
      <c r="M21" s="389">
        <f t="shared" si="3"/>
        <v>0</v>
      </c>
      <c r="N21" s="390">
        <f t="shared" si="4"/>
        <v>0</v>
      </c>
      <c r="O21" s="390">
        <f t="shared" si="5"/>
        <v>0</v>
      </c>
      <c r="P21" s="379"/>
      <c r="Q21" s="388">
        <f t="shared" si="6"/>
        <v>601852.17000000004</v>
      </c>
      <c r="R21" s="388">
        <f>Bonus!Q21</f>
        <v>601852.17000000004</v>
      </c>
      <c r="S21" s="388">
        <f>Bonus!S21</f>
        <v>0</v>
      </c>
      <c r="T21" s="388"/>
      <c r="U21" s="388">
        <f t="shared" si="7"/>
        <v>601852.17000000004</v>
      </c>
      <c r="V21" s="388">
        <f>GAAP!Q21</f>
        <v>601852.17000000004</v>
      </c>
      <c r="W21" s="388">
        <f>GAAP!S21</f>
        <v>0</v>
      </c>
      <c r="X21" s="388"/>
      <c r="Y21" s="389">
        <f t="shared" si="8"/>
        <v>0</v>
      </c>
      <c r="Z21" s="390">
        <f t="shared" si="9"/>
        <v>0</v>
      </c>
      <c r="AA21" s="391">
        <f t="shared" si="10"/>
        <v>0</v>
      </c>
      <c r="AC21" s="621">
        <f t="shared" si="0"/>
        <v>0</v>
      </c>
    </row>
    <row r="22" spans="1:29" s="240" customFormat="1" ht="15" customHeight="1">
      <c r="A22" s="385">
        <f>Bonus!A22</f>
        <v>51.116199999999999</v>
      </c>
      <c r="B22" s="386" t="str">
        <f>Bonus!B22</f>
        <v>City of Chico - Chico Primary Clarifiers No. 1-3 Rehabilitation Project</v>
      </c>
      <c r="C22" s="468">
        <f>Bonus!G22</f>
        <v>1.4702739637207087E-2</v>
      </c>
      <c r="D22" s="468">
        <f>GAAP!G22</f>
        <v>1.4702739637207087E-2</v>
      </c>
      <c r="E22" s="387">
        <f>Bonus!I22</f>
        <v>85941.38</v>
      </c>
      <c r="F22" s="388">
        <f>Bonus!F22</f>
        <v>85941.38</v>
      </c>
      <c r="G22" s="388">
        <f t="shared" si="1"/>
        <v>0</v>
      </c>
      <c r="H22" s="388"/>
      <c r="I22" s="388">
        <f>GAAP!I22</f>
        <v>85941.38</v>
      </c>
      <c r="J22" s="388">
        <f>GAAP!F22</f>
        <v>85941.38</v>
      </c>
      <c r="K22" s="388">
        <f t="shared" si="2"/>
        <v>0</v>
      </c>
      <c r="L22" s="388"/>
      <c r="M22" s="389">
        <f t="shared" si="3"/>
        <v>0</v>
      </c>
      <c r="N22" s="390">
        <f t="shared" si="4"/>
        <v>0</v>
      </c>
      <c r="O22" s="390">
        <f t="shared" si="5"/>
        <v>0</v>
      </c>
      <c r="P22" s="379"/>
      <c r="Q22" s="388">
        <f t="shared" si="6"/>
        <v>85941.38</v>
      </c>
      <c r="R22" s="388">
        <f>Bonus!Q22</f>
        <v>85941.38</v>
      </c>
      <c r="S22" s="388">
        <f>Bonus!S22</f>
        <v>0</v>
      </c>
      <c r="T22" s="388"/>
      <c r="U22" s="388">
        <f t="shared" si="7"/>
        <v>85941.38</v>
      </c>
      <c r="V22" s="388">
        <f>GAAP!Q22</f>
        <v>85941.38</v>
      </c>
      <c r="W22" s="388">
        <f>GAAP!S22</f>
        <v>0</v>
      </c>
      <c r="X22" s="388"/>
      <c r="Y22" s="389">
        <f t="shared" si="8"/>
        <v>0</v>
      </c>
      <c r="Z22" s="390">
        <f t="shared" si="9"/>
        <v>0</v>
      </c>
      <c r="AA22" s="391">
        <f t="shared" si="10"/>
        <v>0</v>
      </c>
      <c r="AC22" s="621">
        <f t="shared" si="0"/>
        <v>0</v>
      </c>
    </row>
    <row r="23" spans="1:29" s="240" customFormat="1" ht="15" customHeight="1">
      <c r="A23" s="385">
        <f>Bonus!A23</f>
        <v>51.116399999999999</v>
      </c>
      <c r="B23" s="386" t="str">
        <f>Bonus!B23</f>
        <v>CA Water Service Co. - Stockton Roofing</v>
      </c>
      <c r="C23" s="468">
        <f>Bonus!G23</f>
        <v>1.1380797992628857E-2</v>
      </c>
      <c r="D23" s="468">
        <f>GAAP!G23</f>
        <v>1.1380797992628857E-2</v>
      </c>
      <c r="E23" s="387">
        <f>Bonus!I23</f>
        <v>4363.25</v>
      </c>
      <c r="F23" s="388">
        <f>Bonus!F23</f>
        <v>4363.25</v>
      </c>
      <c r="G23" s="388">
        <f t="shared" si="1"/>
        <v>0</v>
      </c>
      <c r="H23" s="388"/>
      <c r="I23" s="388">
        <f>GAAP!I23</f>
        <v>4363.25</v>
      </c>
      <c r="J23" s="388">
        <f>GAAP!F23</f>
        <v>4363.25</v>
      </c>
      <c r="K23" s="388">
        <f t="shared" si="2"/>
        <v>0</v>
      </c>
      <c r="L23" s="388"/>
      <c r="M23" s="389">
        <f t="shared" si="3"/>
        <v>0</v>
      </c>
      <c r="N23" s="390">
        <f t="shared" si="4"/>
        <v>0</v>
      </c>
      <c r="O23" s="390">
        <f t="shared" si="5"/>
        <v>0</v>
      </c>
      <c r="P23" s="379"/>
      <c r="Q23" s="388">
        <f t="shared" si="6"/>
        <v>4363.25</v>
      </c>
      <c r="R23" s="388">
        <f>Bonus!Q23</f>
        <v>4363.25</v>
      </c>
      <c r="S23" s="388">
        <f>Bonus!S23</f>
        <v>0</v>
      </c>
      <c r="T23" s="388"/>
      <c r="U23" s="388">
        <f t="shared" si="7"/>
        <v>4363.25</v>
      </c>
      <c r="V23" s="388">
        <f>GAAP!Q23</f>
        <v>4363.25</v>
      </c>
      <c r="W23" s="388">
        <f>GAAP!S23</f>
        <v>0</v>
      </c>
      <c r="X23" s="388"/>
      <c r="Y23" s="389">
        <f t="shared" si="8"/>
        <v>0</v>
      </c>
      <c r="Z23" s="390">
        <f t="shared" si="9"/>
        <v>0</v>
      </c>
      <c r="AA23" s="391">
        <f t="shared" si="10"/>
        <v>0</v>
      </c>
      <c r="AC23" s="621">
        <f t="shared" si="0"/>
        <v>0</v>
      </c>
    </row>
    <row r="24" spans="1:29" s="240" customFormat="1" ht="15" customHeight="1">
      <c r="A24" s="385">
        <f>Bonus!A24</f>
        <v>51.116500000000002</v>
      </c>
      <c r="B24" s="386" t="str">
        <f>Bonus!B24</f>
        <v>City of Yuba City - WTP Aquifer Storage and Recovery Well No. 3</v>
      </c>
      <c r="C24" s="468">
        <f>Bonus!G24</f>
        <v>4.7745016160016607E-3</v>
      </c>
      <c r="D24" s="468">
        <f>GAAP!G24</f>
        <v>4.7745016160016607E-3</v>
      </c>
      <c r="E24" s="387">
        <f>Bonus!I24</f>
        <v>23330.33</v>
      </c>
      <c r="F24" s="388">
        <f>Bonus!F24</f>
        <v>23330.33</v>
      </c>
      <c r="G24" s="388">
        <f t="shared" si="1"/>
        <v>0</v>
      </c>
      <c r="H24" s="388"/>
      <c r="I24" s="388">
        <f>GAAP!I24</f>
        <v>23330.33</v>
      </c>
      <c r="J24" s="388">
        <f>GAAP!F24</f>
        <v>23330.33</v>
      </c>
      <c r="K24" s="388">
        <f t="shared" si="2"/>
        <v>0</v>
      </c>
      <c r="L24" s="388"/>
      <c r="M24" s="389">
        <f t="shared" si="3"/>
        <v>0</v>
      </c>
      <c r="N24" s="390">
        <f t="shared" si="4"/>
        <v>0</v>
      </c>
      <c r="O24" s="390">
        <f t="shared" si="5"/>
        <v>0</v>
      </c>
      <c r="P24" s="379"/>
      <c r="Q24" s="388">
        <f t="shared" si="6"/>
        <v>23330.33</v>
      </c>
      <c r="R24" s="388">
        <f>Bonus!Q24</f>
        <v>23330.33</v>
      </c>
      <c r="S24" s="388">
        <f>Bonus!S24</f>
        <v>0</v>
      </c>
      <c r="T24" s="388"/>
      <c r="U24" s="388">
        <f t="shared" si="7"/>
        <v>23330.33</v>
      </c>
      <c r="V24" s="388">
        <f>GAAP!Q24</f>
        <v>23330.33</v>
      </c>
      <c r="W24" s="388">
        <f>GAAP!S24</f>
        <v>0</v>
      </c>
      <c r="X24" s="388"/>
      <c r="Y24" s="389">
        <f t="shared" si="8"/>
        <v>0</v>
      </c>
      <c r="Z24" s="390">
        <f t="shared" si="9"/>
        <v>0</v>
      </c>
      <c r="AA24" s="391">
        <f t="shared" si="10"/>
        <v>0</v>
      </c>
      <c r="AC24" s="621">
        <f t="shared" si="0"/>
        <v>0</v>
      </c>
    </row>
    <row r="25" spans="1:29" s="240" customFormat="1" ht="15" hidden="1" customHeight="1">
      <c r="A25" s="329"/>
      <c r="B25" s="235"/>
      <c r="C25" s="235"/>
      <c r="D25" s="235"/>
      <c r="E25" s="370"/>
      <c r="F25" s="371"/>
      <c r="G25" s="371"/>
      <c r="H25" s="371"/>
      <c r="I25" s="371"/>
      <c r="J25" s="371"/>
      <c r="K25" s="371"/>
      <c r="L25" s="371"/>
      <c r="M25" s="372"/>
      <c r="N25" s="256"/>
      <c r="O25" s="256"/>
      <c r="P25" s="379"/>
      <c r="Q25" s="371">
        <v>0</v>
      </c>
      <c r="R25" s="371"/>
      <c r="S25" s="388">
        <f t="shared" ref="S25" si="11">Q25-R25</f>
        <v>0</v>
      </c>
      <c r="T25" s="371"/>
      <c r="U25" s="371"/>
      <c r="V25" s="371"/>
      <c r="W25" s="371"/>
      <c r="X25" s="371"/>
      <c r="Y25" s="372"/>
      <c r="Z25" s="256"/>
      <c r="AA25" s="373"/>
      <c r="AC25" s="380">
        <f t="shared" si="0"/>
        <v>0</v>
      </c>
    </row>
    <row r="26" spans="1:29" s="240" customFormat="1" ht="15" customHeight="1">
      <c r="A26" s="330" t="s">
        <v>320</v>
      </c>
      <c r="E26" s="372">
        <f>SUM(E9:E25)</f>
        <v>292082959.20719558</v>
      </c>
      <c r="F26" s="256">
        <f>SUM(F9:F25)</f>
        <v>259938607.72999999</v>
      </c>
      <c r="G26" s="256">
        <f>SUM(G9:G25)</f>
        <v>32144351.477195483</v>
      </c>
      <c r="H26" s="256"/>
      <c r="I26" s="256">
        <f>SUM(I9:I25)</f>
        <v>291304038.51961279</v>
      </c>
      <c r="J26" s="256">
        <f>SUM(J9:J25)</f>
        <v>259938607.72999999</v>
      </c>
      <c r="K26" s="256">
        <f>SUM(K9:K25)</f>
        <v>31365430.789612733</v>
      </c>
      <c r="L26" s="256"/>
      <c r="M26" s="372">
        <f>SUM(M9:M25)</f>
        <v>778920.68758275034</v>
      </c>
      <c r="N26" s="256">
        <f>SUM(N9:N25)</f>
        <v>0</v>
      </c>
      <c r="O26" s="256">
        <f>SUM(O9:O25)</f>
        <v>778920.68758275034</v>
      </c>
      <c r="P26" s="380"/>
      <c r="Q26" s="256">
        <f>SUM(Q9:Q25)</f>
        <v>116017606.05799662</v>
      </c>
      <c r="R26" s="256">
        <f>SUM(R9:R25)</f>
        <v>97364759.539999977</v>
      </c>
      <c r="S26" s="256">
        <f>SUM(S9:S25)</f>
        <v>18652846.517996658</v>
      </c>
      <c r="T26" s="256"/>
      <c r="U26" s="256">
        <f>SUM(U9:U25)</f>
        <v>117512195.54779945</v>
      </c>
      <c r="V26" s="256">
        <f>SUM(V9:V25)</f>
        <v>97364759.539999977</v>
      </c>
      <c r="W26" s="256">
        <f>SUM(W9:W25)</f>
        <v>20147436.007799461</v>
      </c>
      <c r="X26" s="256"/>
      <c r="Y26" s="372">
        <f>SUM(Y9:Y25)</f>
        <v>-1494589.4898028108</v>
      </c>
      <c r="Z26" s="256">
        <f>SUM(Z9:Z25)</f>
        <v>0</v>
      </c>
      <c r="AA26" s="373">
        <f>SUM(AA9:AA25)</f>
        <v>-1494589.4898028076</v>
      </c>
      <c r="AC26" s="380">
        <f t="shared" si="0"/>
        <v>2273510.1773855579</v>
      </c>
    </row>
    <row r="27" spans="1:29" s="240" customFormat="1" ht="15" customHeight="1">
      <c r="A27" s="330"/>
      <c r="E27" s="372"/>
      <c r="F27" s="256"/>
      <c r="G27" s="256"/>
      <c r="H27" s="256"/>
      <c r="I27" s="256"/>
      <c r="J27" s="256"/>
      <c r="K27" s="256"/>
      <c r="L27" s="256"/>
      <c r="M27" s="372"/>
      <c r="N27" s="256"/>
      <c r="O27" s="256"/>
      <c r="P27" s="380"/>
      <c r="Q27" s="256"/>
      <c r="R27" s="256"/>
      <c r="S27" s="256"/>
      <c r="T27" s="256"/>
      <c r="U27" s="256"/>
      <c r="V27" s="256"/>
      <c r="W27" s="256"/>
      <c r="X27" s="256"/>
      <c r="Y27" s="372"/>
      <c r="Z27" s="256"/>
      <c r="AA27" s="373"/>
      <c r="AC27" s="380">
        <f t="shared" si="0"/>
        <v>0</v>
      </c>
    </row>
    <row r="28" spans="1:29" s="240" customFormat="1" ht="15" customHeight="1">
      <c r="A28" s="331" t="s">
        <v>321</v>
      </c>
      <c r="B28" s="235"/>
      <c r="C28" s="235"/>
      <c r="D28" s="235"/>
      <c r="E28" s="370"/>
      <c r="F28" s="371"/>
      <c r="G28" s="371"/>
      <c r="H28" s="371"/>
      <c r="I28" s="371"/>
      <c r="J28" s="371"/>
      <c r="K28" s="371"/>
      <c r="L28" s="371"/>
      <c r="M28" s="372"/>
      <c r="N28" s="256"/>
      <c r="O28" s="256"/>
      <c r="P28" s="379"/>
      <c r="Q28" s="371"/>
      <c r="R28" s="371"/>
      <c r="S28" s="371"/>
      <c r="T28" s="371"/>
      <c r="U28" s="371"/>
      <c r="V28" s="371"/>
      <c r="W28" s="371"/>
      <c r="X28" s="371"/>
      <c r="Y28" s="372"/>
      <c r="Z28" s="256"/>
      <c r="AA28" s="373"/>
      <c r="AC28" s="380">
        <f t="shared" si="0"/>
        <v>0</v>
      </c>
    </row>
    <row r="29" spans="1:29" s="240" customFormat="1" ht="15" customHeight="1">
      <c r="A29" s="385">
        <f>Bonus!A29</f>
        <v>51.113300000000002</v>
      </c>
      <c r="B29" s="386" t="str">
        <f>Bonus!B29</f>
        <v>CA Water Service Co. - S. San Francisco St 1-A Pump Replacement</v>
      </c>
      <c r="C29" s="468">
        <f>Bonus!G29</f>
        <v>1</v>
      </c>
      <c r="D29" s="468">
        <f>GAAP!G29</f>
        <v>1</v>
      </c>
      <c r="E29" s="387">
        <f>Bonus!I29</f>
        <v>372738</v>
      </c>
      <c r="F29" s="388">
        <f>Bonus!F29</f>
        <v>331855.28000000003</v>
      </c>
      <c r="G29" s="388">
        <f t="shared" ref="G29" si="12">E29-F29</f>
        <v>40882.719999999972</v>
      </c>
      <c r="H29" s="388"/>
      <c r="I29" s="388">
        <f>GAAP!I29</f>
        <v>372738</v>
      </c>
      <c r="J29" s="388">
        <f>GAAP!F29</f>
        <v>331855.28000000003</v>
      </c>
      <c r="K29" s="388">
        <f t="shared" ref="K29" si="13">I29-J29</f>
        <v>40882.719999999972</v>
      </c>
      <c r="L29" s="388"/>
      <c r="M29" s="389">
        <f t="shared" ref="M29" si="14">E29-I29</f>
        <v>0</v>
      </c>
      <c r="N29" s="390">
        <f t="shared" ref="N29" si="15">F29-J29</f>
        <v>0</v>
      </c>
      <c r="O29" s="390">
        <f t="shared" ref="O29" si="16">G29-K29</f>
        <v>0</v>
      </c>
      <c r="P29" s="379"/>
      <c r="Q29" s="388">
        <f t="shared" ref="Q29" si="17">R29+S29</f>
        <v>52253.009417207984</v>
      </c>
      <c r="R29" s="388">
        <f>Bonus!Q29</f>
        <v>28729.870000000054</v>
      </c>
      <c r="S29" s="388">
        <f>Bonus!S29</f>
        <v>23523.139417207931</v>
      </c>
      <c r="T29" s="388"/>
      <c r="U29" s="388">
        <f t="shared" ref="U29" si="18">V29+W29</f>
        <v>52253.009417207984</v>
      </c>
      <c r="V29" s="388">
        <f>GAAP!Q29</f>
        <v>28729.870000000054</v>
      </c>
      <c r="W29" s="388">
        <f>GAAP!S29</f>
        <v>23523.139417207931</v>
      </c>
      <c r="X29" s="388"/>
      <c r="Y29" s="389">
        <f t="shared" ref="Y29" si="19">Q29-U29</f>
        <v>0</v>
      </c>
      <c r="Z29" s="390">
        <f t="shared" ref="Z29" si="20">R29-V29</f>
        <v>0</v>
      </c>
      <c r="AA29" s="391">
        <f t="shared" ref="AA29" si="21">S29-W29</f>
        <v>0</v>
      </c>
      <c r="AC29" s="621">
        <f t="shared" si="0"/>
        <v>0</v>
      </c>
    </row>
    <row r="30" spans="1:29" s="240" customFormat="1" ht="15" customHeight="1">
      <c r="A30" s="385">
        <f>Bonus!A30</f>
        <v>51.113599999999998</v>
      </c>
      <c r="B30" s="386" t="str">
        <f>Bonus!B30</f>
        <v>Union Sanitary Dist - USD Plant Misc. Improvements</v>
      </c>
      <c r="C30" s="468">
        <f>Bonus!G30</f>
        <v>1</v>
      </c>
      <c r="D30" s="468">
        <f>GAAP!G30</f>
        <v>1</v>
      </c>
      <c r="E30" s="387">
        <f>Bonus!I30</f>
        <v>5483550</v>
      </c>
      <c r="F30" s="388">
        <f>Bonus!F30</f>
        <v>4531817.8600000003</v>
      </c>
      <c r="G30" s="388">
        <f t="shared" ref="G30:G36" si="22">E30-F30</f>
        <v>951732.13999999966</v>
      </c>
      <c r="H30" s="388"/>
      <c r="I30" s="388">
        <f>GAAP!I30</f>
        <v>5483550</v>
      </c>
      <c r="J30" s="388">
        <f>GAAP!F30</f>
        <v>4531817.8600000003</v>
      </c>
      <c r="K30" s="388">
        <f t="shared" ref="K30:K36" si="23">I30-J30</f>
        <v>951732.13999999966</v>
      </c>
      <c r="L30" s="388"/>
      <c r="M30" s="389">
        <f t="shared" ref="M30:M36" si="24">E30-I30</f>
        <v>0</v>
      </c>
      <c r="N30" s="390">
        <f t="shared" ref="N30:N36" si="25">F30-J30</f>
        <v>0</v>
      </c>
      <c r="O30" s="390">
        <f t="shared" ref="O30:O36" si="26">G30-K30</f>
        <v>0</v>
      </c>
      <c r="P30" s="379"/>
      <c r="Q30" s="388">
        <f t="shared" ref="Q30:Q36" si="27">R30+S30</f>
        <v>495311.3739478722</v>
      </c>
      <c r="R30" s="388">
        <f>Bonus!Q30</f>
        <v>302485.02000000048</v>
      </c>
      <c r="S30" s="388">
        <f>Bonus!S30</f>
        <v>192826.35394787171</v>
      </c>
      <c r="T30" s="388"/>
      <c r="U30" s="388">
        <f t="shared" ref="U30:U36" si="28">V30+W30</f>
        <v>495311.3739478722</v>
      </c>
      <c r="V30" s="388">
        <f>GAAP!Q30</f>
        <v>302485.02000000048</v>
      </c>
      <c r="W30" s="388">
        <f>GAAP!S30</f>
        <v>192826.35394787171</v>
      </c>
      <c r="X30" s="388"/>
      <c r="Y30" s="389">
        <f t="shared" ref="Y30:Y36" si="29">Q30-U30</f>
        <v>0</v>
      </c>
      <c r="Z30" s="390">
        <f t="shared" ref="Z30:Z36" si="30">R30-V30</f>
        <v>0</v>
      </c>
      <c r="AA30" s="391">
        <f t="shared" ref="AA30:AA36" si="31">S30-W30</f>
        <v>0</v>
      </c>
      <c r="AC30" s="621">
        <f t="shared" si="0"/>
        <v>0</v>
      </c>
    </row>
    <row r="31" spans="1:29" s="240" customFormat="1" ht="15" customHeight="1">
      <c r="A31" s="385">
        <f>Bonus!A31</f>
        <v>51.113799999999998</v>
      </c>
      <c r="B31" s="386" t="str">
        <f>Bonus!B31</f>
        <v>CA Water Service Co. - Bear Gulch Pump Station 21</v>
      </c>
      <c r="C31" s="468">
        <f>Bonus!G31</f>
        <v>1</v>
      </c>
      <c r="D31" s="468">
        <f>GAAP!G31</f>
        <v>1</v>
      </c>
      <c r="E31" s="387">
        <f>Bonus!I31</f>
        <v>1120182.07</v>
      </c>
      <c r="F31" s="388">
        <f>Bonus!F31</f>
        <v>1167704.1499999999</v>
      </c>
      <c r="G31" s="388">
        <f t="shared" si="22"/>
        <v>-47522.079999999842</v>
      </c>
      <c r="H31" s="388"/>
      <c r="I31" s="388">
        <f>GAAP!I31</f>
        <v>1120182.07</v>
      </c>
      <c r="J31" s="388">
        <f>GAAP!F31</f>
        <v>1167704.1499999999</v>
      </c>
      <c r="K31" s="388">
        <f t="shared" si="23"/>
        <v>-47522.079999999842</v>
      </c>
      <c r="L31" s="388"/>
      <c r="M31" s="389">
        <f t="shared" si="24"/>
        <v>0</v>
      </c>
      <c r="N31" s="390">
        <f t="shared" si="25"/>
        <v>0</v>
      </c>
      <c r="O31" s="390">
        <f t="shared" si="26"/>
        <v>0</v>
      </c>
      <c r="P31" s="379"/>
      <c r="Q31" s="388">
        <f t="shared" si="27"/>
        <v>255501.92092659007</v>
      </c>
      <c r="R31" s="388">
        <f>Bonus!Q31</f>
        <v>380802.09999999986</v>
      </c>
      <c r="S31" s="388">
        <f>Bonus!S31</f>
        <v>-125300.17907340979</v>
      </c>
      <c r="T31" s="388"/>
      <c r="U31" s="388">
        <f t="shared" si="28"/>
        <v>255501.92092659007</v>
      </c>
      <c r="V31" s="388">
        <f>GAAP!Q31</f>
        <v>380802.09999999986</v>
      </c>
      <c r="W31" s="388">
        <f>GAAP!S31</f>
        <v>-125300.17907340979</v>
      </c>
      <c r="X31" s="388"/>
      <c r="Y31" s="389">
        <f t="shared" si="29"/>
        <v>0</v>
      </c>
      <c r="Z31" s="390">
        <f t="shared" si="30"/>
        <v>0</v>
      </c>
      <c r="AA31" s="391">
        <f t="shared" si="31"/>
        <v>0</v>
      </c>
      <c r="AC31" s="621">
        <f t="shared" si="0"/>
        <v>0</v>
      </c>
    </row>
    <row r="32" spans="1:29" s="240" customFormat="1" ht="15" customHeight="1">
      <c r="A32" s="385">
        <f>Bonus!A32</f>
        <v>51.113900000000001</v>
      </c>
      <c r="B32" s="386" t="str">
        <f>Bonus!B32</f>
        <v>CA Water Service Co. - Bear Gulch Pump Station 14/29</v>
      </c>
      <c r="C32" s="468">
        <f>Bonus!G32</f>
        <v>1</v>
      </c>
      <c r="D32" s="468">
        <f>GAAP!G32</f>
        <v>1</v>
      </c>
      <c r="E32" s="387">
        <f>Bonus!I32</f>
        <v>61902</v>
      </c>
      <c r="F32" s="388">
        <f>Bonus!F32</f>
        <v>56994.44</v>
      </c>
      <c r="G32" s="388">
        <f t="shared" si="22"/>
        <v>4907.5599999999977</v>
      </c>
      <c r="H32" s="388"/>
      <c r="I32" s="388">
        <f>GAAP!I32</f>
        <v>61902</v>
      </c>
      <c r="J32" s="388">
        <f>GAAP!F32</f>
        <v>56994.44</v>
      </c>
      <c r="K32" s="388">
        <f t="shared" si="23"/>
        <v>4907.5599999999977</v>
      </c>
      <c r="L32" s="388"/>
      <c r="M32" s="389">
        <f t="shared" si="24"/>
        <v>0</v>
      </c>
      <c r="N32" s="390">
        <f t="shared" si="25"/>
        <v>0</v>
      </c>
      <c r="O32" s="390">
        <f t="shared" si="26"/>
        <v>0</v>
      </c>
      <c r="P32" s="379"/>
      <c r="Q32" s="388">
        <f t="shared" si="27"/>
        <v>481.20100708844984</v>
      </c>
      <c r="R32" s="388">
        <f>Bonus!Q32</f>
        <v>0</v>
      </c>
      <c r="S32" s="388">
        <f>Bonus!S32</f>
        <v>481.20100708844984</v>
      </c>
      <c r="T32" s="388"/>
      <c r="U32" s="388">
        <f t="shared" si="28"/>
        <v>481.20100708844984</v>
      </c>
      <c r="V32" s="388">
        <f>GAAP!Q32</f>
        <v>0</v>
      </c>
      <c r="W32" s="388">
        <f>GAAP!S32</f>
        <v>481.20100708844984</v>
      </c>
      <c r="X32" s="388"/>
      <c r="Y32" s="389">
        <f t="shared" si="29"/>
        <v>0</v>
      </c>
      <c r="Z32" s="390">
        <f t="shared" si="30"/>
        <v>0</v>
      </c>
      <c r="AA32" s="391">
        <f t="shared" si="31"/>
        <v>0</v>
      </c>
      <c r="AC32" s="621">
        <f t="shared" si="0"/>
        <v>0</v>
      </c>
    </row>
    <row r="33" spans="1:29" s="240" customFormat="1" ht="15" customHeight="1">
      <c r="A33" s="385">
        <f>Bonus!A33</f>
        <v>51.114100000000001</v>
      </c>
      <c r="B33" s="386" t="str">
        <f>Bonus!B33</f>
        <v>City of Colfax - WWTP Algae Reduction Project</v>
      </c>
      <c r="C33" s="468">
        <f>Bonus!G33</f>
        <v>1</v>
      </c>
      <c r="D33" s="468">
        <f>GAAP!G33</f>
        <v>1</v>
      </c>
      <c r="E33" s="387">
        <f>Bonus!I33</f>
        <v>3967189.79</v>
      </c>
      <c r="F33" s="388">
        <f>Bonus!F33</f>
        <v>3835094.73</v>
      </c>
      <c r="G33" s="388">
        <f t="shared" si="22"/>
        <v>132095.06000000006</v>
      </c>
      <c r="H33" s="388"/>
      <c r="I33" s="388">
        <f>GAAP!I33</f>
        <v>3967189.79</v>
      </c>
      <c r="J33" s="388">
        <f>GAAP!F33</f>
        <v>3835094.73</v>
      </c>
      <c r="K33" s="388">
        <f t="shared" si="23"/>
        <v>132095.06000000006</v>
      </c>
      <c r="L33" s="388"/>
      <c r="M33" s="389">
        <f t="shared" si="24"/>
        <v>0</v>
      </c>
      <c r="N33" s="390">
        <f t="shared" si="25"/>
        <v>0</v>
      </c>
      <c r="O33" s="390">
        <f t="shared" si="26"/>
        <v>0</v>
      </c>
      <c r="P33" s="379"/>
      <c r="Q33" s="388">
        <f t="shared" si="27"/>
        <v>777363.73132938333</v>
      </c>
      <c r="R33" s="388">
        <f>Bonus!Q33</f>
        <v>725188.9700000002</v>
      </c>
      <c r="S33" s="388">
        <f>Bonus!S33</f>
        <v>52174.76132938308</v>
      </c>
      <c r="T33" s="388"/>
      <c r="U33" s="388">
        <f t="shared" si="28"/>
        <v>777363.73132938333</v>
      </c>
      <c r="V33" s="388">
        <f>GAAP!Q33</f>
        <v>725188.9700000002</v>
      </c>
      <c r="W33" s="388">
        <f>GAAP!S33</f>
        <v>52174.76132938308</v>
      </c>
      <c r="X33" s="388"/>
      <c r="Y33" s="389">
        <f t="shared" si="29"/>
        <v>0</v>
      </c>
      <c r="Z33" s="390">
        <f t="shared" si="30"/>
        <v>0</v>
      </c>
      <c r="AA33" s="391">
        <f t="shared" si="31"/>
        <v>0</v>
      </c>
      <c r="AC33" s="621">
        <f t="shared" si="0"/>
        <v>0</v>
      </c>
    </row>
    <row r="34" spans="1:29" s="240" customFormat="1" ht="15" customHeight="1">
      <c r="A34" s="385">
        <f>Bonus!A34</f>
        <v>51.1143</v>
      </c>
      <c r="B34" s="386" t="str">
        <f>Bonus!B34</f>
        <v>Olivehurst Plumas Lake Manganese Filter Expansion</v>
      </c>
      <c r="C34" s="468">
        <f>Bonus!G34</f>
        <v>1</v>
      </c>
      <c r="D34" s="468">
        <f>GAAP!G34</f>
        <v>1</v>
      </c>
      <c r="E34" s="387">
        <f>Bonus!I34</f>
        <v>1991231.37</v>
      </c>
      <c r="F34" s="388">
        <f>Bonus!F34</f>
        <v>1758132.57</v>
      </c>
      <c r="G34" s="388">
        <f t="shared" si="22"/>
        <v>233098.80000000005</v>
      </c>
      <c r="H34" s="388"/>
      <c r="I34" s="388">
        <f>GAAP!I34</f>
        <v>1991231.37</v>
      </c>
      <c r="J34" s="388">
        <f>GAAP!F34</f>
        <v>1758132.57</v>
      </c>
      <c r="K34" s="388">
        <f t="shared" si="23"/>
        <v>233098.80000000005</v>
      </c>
      <c r="L34" s="388"/>
      <c r="M34" s="389">
        <f t="shared" si="24"/>
        <v>0</v>
      </c>
      <c r="N34" s="390">
        <f t="shared" si="25"/>
        <v>0</v>
      </c>
      <c r="O34" s="390">
        <f t="shared" si="26"/>
        <v>0</v>
      </c>
      <c r="P34" s="379"/>
      <c r="Q34" s="388">
        <f t="shared" si="27"/>
        <v>34528.637147767819</v>
      </c>
      <c r="R34" s="388">
        <f>Bonus!Q34</f>
        <v>27441.600000000093</v>
      </c>
      <c r="S34" s="388">
        <f>Bonus!S34</f>
        <v>7087.0371477677254</v>
      </c>
      <c r="T34" s="388"/>
      <c r="U34" s="388">
        <f t="shared" si="28"/>
        <v>34528.637147767819</v>
      </c>
      <c r="V34" s="388">
        <f>GAAP!Q34</f>
        <v>27441.600000000093</v>
      </c>
      <c r="W34" s="388">
        <f>GAAP!S34</f>
        <v>7087.0371477677254</v>
      </c>
      <c r="X34" s="388"/>
      <c r="Y34" s="389">
        <f t="shared" si="29"/>
        <v>0</v>
      </c>
      <c r="Z34" s="390">
        <f t="shared" si="30"/>
        <v>0</v>
      </c>
      <c r="AA34" s="391">
        <f t="shared" si="31"/>
        <v>0</v>
      </c>
      <c r="AC34" s="621">
        <f t="shared" si="0"/>
        <v>0</v>
      </c>
    </row>
    <row r="35" spans="1:29" s="240" customFormat="1" ht="15" customHeight="1">
      <c r="A35" s="385">
        <f>Bonus!A35</f>
        <v>51.114699999999999</v>
      </c>
      <c r="B35" s="386" t="str">
        <f>Bonus!B35</f>
        <v>City of Lodi-Public Works Dept. - Aeration Diffusers Replacement Project</v>
      </c>
      <c r="C35" s="468">
        <f>Bonus!G35</f>
        <v>1</v>
      </c>
      <c r="D35" s="468">
        <f>GAAP!G35</f>
        <v>1</v>
      </c>
      <c r="E35" s="387">
        <f>Bonus!I35</f>
        <v>2742860.08</v>
      </c>
      <c r="F35" s="388">
        <f>Bonus!F35</f>
        <v>2548724.9200000004</v>
      </c>
      <c r="G35" s="388">
        <f t="shared" si="22"/>
        <v>194135.15999999968</v>
      </c>
      <c r="H35" s="388"/>
      <c r="I35" s="388">
        <f>GAAP!I35</f>
        <v>2742860.08</v>
      </c>
      <c r="J35" s="388">
        <f>GAAP!F35</f>
        <v>2548724.9200000004</v>
      </c>
      <c r="K35" s="388">
        <f t="shared" si="23"/>
        <v>194135.15999999968</v>
      </c>
      <c r="L35" s="388"/>
      <c r="M35" s="389">
        <f t="shared" si="24"/>
        <v>0</v>
      </c>
      <c r="N35" s="390">
        <f t="shared" si="25"/>
        <v>0</v>
      </c>
      <c r="O35" s="390">
        <f t="shared" si="26"/>
        <v>0</v>
      </c>
      <c r="P35" s="379"/>
      <c r="Q35" s="388">
        <f t="shared" si="27"/>
        <v>864663.22484037606</v>
      </c>
      <c r="R35" s="388">
        <f>Bonus!Q35</f>
        <v>798812.60000000033</v>
      </c>
      <c r="S35" s="388">
        <f>Bonus!S35</f>
        <v>65850.624840375705</v>
      </c>
      <c r="T35" s="388"/>
      <c r="U35" s="388">
        <f t="shared" si="28"/>
        <v>864663.22484037606</v>
      </c>
      <c r="V35" s="388">
        <f>GAAP!Q35</f>
        <v>798812.60000000033</v>
      </c>
      <c r="W35" s="388">
        <f>GAAP!S35</f>
        <v>65850.624840375705</v>
      </c>
      <c r="X35" s="388"/>
      <c r="Y35" s="389">
        <f t="shared" si="29"/>
        <v>0</v>
      </c>
      <c r="Z35" s="390">
        <f t="shared" si="30"/>
        <v>0</v>
      </c>
      <c r="AA35" s="391">
        <f t="shared" si="31"/>
        <v>0</v>
      </c>
      <c r="AC35" s="621">
        <f t="shared" si="0"/>
        <v>0</v>
      </c>
    </row>
    <row r="36" spans="1:29" s="240" customFormat="1" ht="15" customHeight="1">
      <c r="A36" s="385">
        <f>Bonus!A36</f>
        <v>51.115000000000002</v>
      </c>
      <c r="B36" s="386" t="str">
        <f>Bonus!B36</f>
        <v>Sacramento Co. Dept. of Water Resources - D49 Metro Air Park Storm Drain Pump Station Phase 2</v>
      </c>
      <c r="C36" s="468">
        <f>Bonus!G36</f>
        <v>1</v>
      </c>
      <c r="D36" s="468">
        <f>GAAP!G36</f>
        <v>1</v>
      </c>
      <c r="E36" s="387">
        <f>Bonus!I36</f>
        <v>2486231.58</v>
      </c>
      <c r="F36" s="388">
        <f>Bonus!F36</f>
        <v>2239435.14</v>
      </c>
      <c r="G36" s="388">
        <f t="shared" si="22"/>
        <v>246796.43999999994</v>
      </c>
      <c r="H36" s="388"/>
      <c r="I36" s="388">
        <f>GAAP!I36</f>
        <v>2486231.58</v>
      </c>
      <c r="J36" s="388">
        <f>GAAP!F36</f>
        <v>2239435.14</v>
      </c>
      <c r="K36" s="388">
        <f t="shared" si="23"/>
        <v>246796.43999999994</v>
      </c>
      <c r="L36" s="388"/>
      <c r="M36" s="389">
        <f t="shared" si="24"/>
        <v>0</v>
      </c>
      <c r="N36" s="390">
        <f t="shared" si="25"/>
        <v>0</v>
      </c>
      <c r="O36" s="390">
        <f t="shared" si="26"/>
        <v>0</v>
      </c>
      <c r="P36" s="379"/>
      <c r="Q36" s="388">
        <f t="shared" si="27"/>
        <v>248682.9505030599</v>
      </c>
      <c r="R36" s="388">
        <f>Bonus!Q36</f>
        <v>168358.34000000008</v>
      </c>
      <c r="S36" s="388">
        <f>Bonus!S36</f>
        <v>80324.610503059812</v>
      </c>
      <c r="T36" s="388"/>
      <c r="U36" s="388">
        <f t="shared" si="28"/>
        <v>248682.9505030599</v>
      </c>
      <c r="V36" s="388">
        <f>GAAP!Q36</f>
        <v>168358.34000000008</v>
      </c>
      <c r="W36" s="388">
        <f>GAAP!S36</f>
        <v>80324.610503059812</v>
      </c>
      <c r="X36" s="388"/>
      <c r="Y36" s="389">
        <f t="shared" si="29"/>
        <v>0</v>
      </c>
      <c r="Z36" s="390">
        <f t="shared" si="30"/>
        <v>0</v>
      </c>
      <c r="AA36" s="391">
        <f t="shared" si="31"/>
        <v>0</v>
      </c>
      <c r="AC36" s="621">
        <f t="shared" si="0"/>
        <v>0</v>
      </c>
    </row>
    <row r="37" spans="1:29" s="240" customFormat="1" ht="15" customHeight="1">
      <c r="A37" s="385">
        <f>Bonus!A37</f>
        <v>51.115600000000001</v>
      </c>
      <c r="B37" s="386" t="str">
        <f>Bonus!B37</f>
        <v>Rocklin Overhead 2025</v>
      </c>
      <c r="C37" s="468">
        <f>Bonus!G37</f>
        <v>1</v>
      </c>
      <c r="D37" s="468">
        <f>GAAP!G37</f>
        <v>1</v>
      </c>
      <c r="E37" s="387">
        <f>Bonus!I37</f>
        <v>0</v>
      </c>
      <c r="F37" s="388">
        <f>Bonus!F37</f>
        <v>1426058.69</v>
      </c>
      <c r="G37" s="388">
        <f t="shared" ref="G37:G38" si="32">E37-F37</f>
        <v>-1426058.69</v>
      </c>
      <c r="H37" s="388"/>
      <c r="I37" s="388">
        <f>GAAP!I37</f>
        <v>0</v>
      </c>
      <c r="J37" s="388">
        <f>GAAP!F37</f>
        <v>1426058.69</v>
      </c>
      <c r="K37" s="388">
        <f t="shared" ref="K37:K38" si="33">I37-J37</f>
        <v>-1426058.69</v>
      </c>
      <c r="L37" s="388"/>
      <c r="M37" s="389">
        <f t="shared" ref="M37:M38" si="34">E37-I37</f>
        <v>0</v>
      </c>
      <c r="N37" s="390">
        <f t="shared" ref="N37:N38" si="35">F37-J37</f>
        <v>0</v>
      </c>
      <c r="O37" s="390">
        <f t="shared" ref="O37:O38" si="36">G37-K37</f>
        <v>0</v>
      </c>
      <c r="P37" s="379"/>
      <c r="Q37" s="388">
        <f t="shared" ref="Q37:Q38" si="37">R37+S37</f>
        <v>0</v>
      </c>
      <c r="R37" s="388">
        <f>Bonus!Q37</f>
        <v>1426058.69</v>
      </c>
      <c r="S37" s="388">
        <f>Bonus!S37</f>
        <v>-1426058.69</v>
      </c>
      <c r="T37" s="388"/>
      <c r="U37" s="388">
        <f t="shared" ref="U37:U38" si="38">V37+W37</f>
        <v>0</v>
      </c>
      <c r="V37" s="388">
        <f>GAAP!Q37</f>
        <v>1426058.69</v>
      </c>
      <c r="W37" s="388">
        <f>GAAP!S37</f>
        <v>-1426058.69</v>
      </c>
      <c r="X37" s="388"/>
      <c r="Y37" s="389">
        <f t="shared" ref="Y37:Y38" si="39">Q37-U37</f>
        <v>0</v>
      </c>
      <c r="Z37" s="390">
        <f t="shared" ref="Z37:Z38" si="40">R37-V37</f>
        <v>0</v>
      </c>
      <c r="AA37" s="391">
        <f t="shared" ref="AA37:AA38" si="41">S37-W37</f>
        <v>0</v>
      </c>
      <c r="AC37" s="621">
        <f t="shared" si="0"/>
        <v>0</v>
      </c>
    </row>
    <row r="38" spans="1:29" s="240" customFormat="1" ht="15" customHeight="1">
      <c r="A38" s="385">
        <f>Bonus!A38</f>
        <v>51.115699999999997</v>
      </c>
      <c r="B38" s="386" t="str">
        <f>Bonus!B38</f>
        <v>Rocklin Estimating 2025</v>
      </c>
      <c r="C38" s="468">
        <f>Bonus!G38</f>
        <v>1</v>
      </c>
      <c r="D38" s="468">
        <f>GAAP!G38</f>
        <v>1</v>
      </c>
      <c r="E38" s="387">
        <f>Bonus!I38</f>
        <v>0</v>
      </c>
      <c r="F38" s="388">
        <f>Bonus!F38</f>
        <v>613546.52</v>
      </c>
      <c r="G38" s="388">
        <f t="shared" si="32"/>
        <v>-613546.52</v>
      </c>
      <c r="H38" s="388"/>
      <c r="I38" s="388">
        <f>GAAP!I38</f>
        <v>0</v>
      </c>
      <c r="J38" s="388">
        <f>GAAP!F38</f>
        <v>613546.52</v>
      </c>
      <c r="K38" s="388">
        <f t="shared" si="33"/>
        <v>-613546.52</v>
      </c>
      <c r="L38" s="388"/>
      <c r="M38" s="389">
        <f t="shared" si="34"/>
        <v>0</v>
      </c>
      <c r="N38" s="390">
        <f t="shared" si="35"/>
        <v>0</v>
      </c>
      <c r="O38" s="390">
        <f t="shared" si="36"/>
        <v>0</v>
      </c>
      <c r="P38" s="379"/>
      <c r="Q38" s="388">
        <f t="shared" si="37"/>
        <v>0</v>
      </c>
      <c r="R38" s="388">
        <f>Bonus!Q38</f>
        <v>613546.52</v>
      </c>
      <c r="S38" s="388">
        <f>Bonus!S38</f>
        <v>-613546.52</v>
      </c>
      <c r="T38" s="388"/>
      <c r="U38" s="388">
        <f t="shared" si="38"/>
        <v>0</v>
      </c>
      <c r="V38" s="388">
        <f>GAAP!Q38</f>
        <v>613546.52</v>
      </c>
      <c r="W38" s="388">
        <f>GAAP!S38</f>
        <v>-613546.52</v>
      </c>
      <c r="X38" s="388"/>
      <c r="Y38" s="389">
        <f t="shared" si="39"/>
        <v>0</v>
      </c>
      <c r="Z38" s="390">
        <f t="shared" si="40"/>
        <v>0</v>
      </c>
      <c r="AA38" s="391">
        <f t="shared" si="41"/>
        <v>0</v>
      </c>
      <c r="AC38" s="621">
        <f t="shared" si="0"/>
        <v>0</v>
      </c>
    </row>
    <row r="39" spans="1:29" s="240" customFormat="1" ht="15" hidden="1" customHeight="1">
      <c r="A39" s="385"/>
      <c r="B39" s="386"/>
      <c r="C39" s="468"/>
      <c r="D39" s="468"/>
      <c r="E39" s="387"/>
      <c r="F39" s="388"/>
      <c r="G39" s="388"/>
      <c r="H39" s="388"/>
      <c r="I39" s="388"/>
      <c r="J39" s="388"/>
      <c r="K39" s="388"/>
      <c r="L39" s="388"/>
      <c r="M39" s="389"/>
      <c r="N39" s="390"/>
      <c r="O39" s="390"/>
      <c r="P39" s="379"/>
      <c r="Q39" s="388"/>
      <c r="R39" s="388"/>
      <c r="S39" s="388"/>
      <c r="T39" s="388"/>
      <c r="U39" s="388"/>
      <c r="V39" s="388"/>
      <c r="W39" s="388"/>
      <c r="X39" s="388"/>
      <c r="Y39" s="389"/>
      <c r="Z39" s="390"/>
      <c r="AA39" s="391"/>
      <c r="AC39" s="621">
        <f t="shared" si="0"/>
        <v>0</v>
      </c>
    </row>
    <row r="40" spans="1:29" s="240" customFormat="1" ht="15" customHeight="1">
      <c r="A40" s="330" t="s">
        <v>322</v>
      </c>
      <c r="E40" s="372">
        <f>SUM(E29:E39)</f>
        <v>18225884.890000001</v>
      </c>
      <c r="F40" s="256">
        <f t="shared" ref="F40:G40" si="42">SUM(F29:F39)</f>
        <v>18509364.300000001</v>
      </c>
      <c r="G40" s="256">
        <f t="shared" si="42"/>
        <v>-283479.41000000038</v>
      </c>
      <c r="H40" s="256"/>
      <c r="I40" s="256">
        <f t="shared" ref="I40:K40" si="43">SUM(I29:I39)</f>
        <v>18225884.890000001</v>
      </c>
      <c r="J40" s="256">
        <f t="shared" si="43"/>
        <v>18509364.300000001</v>
      </c>
      <c r="K40" s="256">
        <f t="shared" si="43"/>
        <v>-283479.41000000038</v>
      </c>
      <c r="L40" s="256"/>
      <c r="M40" s="372">
        <f t="shared" ref="M40:O40" si="44">SUM(M29:M39)</f>
        <v>0</v>
      </c>
      <c r="N40" s="256">
        <f t="shared" si="44"/>
        <v>0</v>
      </c>
      <c r="O40" s="256">
        <f t="shared" si="44"/>
        <v>0</v>
      </c>
      <c r="P40" s="380"/>
      <c r="Q40" s="256">
        <f t="shared" ref="Q40:S40" si="45">SUM(Q29:Q39)</f>
        <v>2728786.0491193458</v>
      </c>
      <c r="R40" s="256">
        <f t="shared" si="45"/>
        <v>4471423.7100000009</v>
      </c>
      <c r="S40" s="256">
        <f t="shared" si="45"/>
        <v>-1742637.6608806555</v>
      </c>
      <c r="T40" s="256"/>
      <c r="U40" s="256">
        <f t="shared" ref="U40:W40" si="46">SUM(U29:U39)</f>
        <v>2728786.0491193458</v>
      </c>
      <c r="V40" s="256">
        <f t="shared" si="46"/>
        <v>4471423.7100000009</v>
      </c>
      <c r="W40" s="256">
        <f t="shared" si="46"/>
        <v>-1742637.6608806555</v>
      </c>
      <c r="X40" s="256"/>
      <c r="Y40" s="372">
        <f t="shared" ref="Y40:AA40" si="47">SUM(Y29:Y39)</f>
        <v>0</v>
      </c>
      <c r="Z40" s="256">
        <f t="shared" si="47"/>
        <v>0</v>
      </c>
      <c r="AA40" s="373">
        <f t="shared" si="47"/>
        <v>0</v>
      </c>
      <c r="AC40" s="380">
        <f t="shared" si="0"/>
        <v>0</v>
      </c>
    </row>
    <row r="41" spans="1:29" s="240" customFormat="1" ht="15" customHeight="1">
      <c r="A41" s="448"/>
      <c r="B41" s="449"/>
      <c r="C41" s="449"/>
      <c r="D41" s="449"/>
      <c r="E41" s="450"/>
      <c r="F41" s="416"/>
      <c r="G41" s="416"/>
      <c r="H41" s="416"/>
      <c r="I41" s="416"/>
      <c r="J41" s="416"/>
      <c r="K41" s="416"/>
      <c r="L41" s="416"/>
      <c r="M41" s="450"/>
      <c r="N41" s="416"/>
      <c r="O41" s="416"/>
      <c r="P41" s="451"/>
      <c r="Q41" s="416"/>
      <c r="R41" s="416"/>
      <c r="S41" s="416"/>
      <c r="T41" s="416"/>
      <c r="U41" s="416"/>
      <c r="V41" s="416"/>
      <c r="W41" s="416"/>
      <c r="X41" s="416"/>
      <c r="Y41" s="450"/>
      <c r="Z41" s="416"/>
      <c r="AA41" s="452"/>
      <c r="AC41" s="451">
        <f t="shared" si="0"/>
        <v>0</v>
      </c>
    </row>
    <row r="42" spans="1:29" s="240" customFormat="1" ht="15" customHeight="1">
      <c r="A42" s="330" t="s">
        <v>323</v>
      </c>
      <c r="E42" s="372">
        <f>E26+E40</f>
        <v>310308844.09719557</v>
      </c>
      <c r="F42" s="256">
        <f>F26+F40</f>
        <v>278447972.02999997</v>
      </c>
      <c r="G42" s="256">
        <f>G26+G40</f>
        <v>31860872.067195483</v>
      </c>
      <c r="H42" s="256"/>
      <c r="I42" s="256">
        <f>I26+I40</f>
        <v>309529923.40961277</v>
      </c>
      <c r="J42" s="256">
        <f>J26+J40</f>
        <v>278447972.02999997</v>
      </c>
      <c r="K42" s="256">
        <f>K26+K40</f>
        <v>31081951.379612733</v>
      </c>
      <c r="L42" s="256"/>
      <c r="M42" s="372">
        <f>M26+M40</f>
        <v>778920.68758275034</v>
      </c>
      <c r="N42" s="256">
        <f>N26+N40</f>
        <v>0</v>
      </c>
      <c r="O42" s="256">
        <f>O26+O40</f>
        <v>778920.68758275034</v>
      </c>
      <c r="P42" s="380"/>
      <c r="Q42" s="256">
        <f>Q26+Q40</f>
        <v>118746392.10711595</v>
      </c>
      <c r="R42" s="256">
        <f>R26+R40</f>
        <v>101836183.24999997</v>
      </c>
      <c r="S42" s="256">
        <f>S26+S40</f>
        <v>16910208.857116003</v>
      </c>
      <c r="T42" s="256"/>
      <c r="U42" s="256">
        <f>U26+U40</f>
        <v>120240981.59691879</v>
      </c>
      <c r="V42" s="256">
        <f>V26+V40</f>
        <v>101836183.24999997</v>
      </c>
      <c r="W42" s="256">
        <f>W26+W40</f>
        <v>18404798.346918806</v>
      </c>
      <c r="X42" s="256"/>
      <c r="Y42" s="372">
        <f>Y26+Y40</f>
        <v>-1494589.4898028108</v>
      </c>
      <c r="Z42" s="256">
        <f>Z26+Z40</f>
        <v>0</v>
      </c>
      <c r="AA42" s="373">
        <f>AA26+AA40</f>
        <v>-1494589.4898028076</v>
      </c>
      <c r="AC42" s="380">
        <f t="shared" si="0"/>
        <v>2273510.1773855579</v>
      </c>
    </row>
    <row r="43" spans="1:29">
      <c r="A43" s="236"/>
      <c r="B43" s="236"/>
      <c r="C43" s="236"/>
      <c r="D43" s="236"/>
      <c r="E43" s="469"/>
      <c r="F43" s="236"/>
      <c r="G43" s="236"/>
      <c r="H43" s="236"/>
      <c r="I43" s="236"/>
      <c r="J43" s="236"/>
      <c r="K43" s="236"/>
      <c r="L43" s="236"/>
      <c r="M43" s="392"/>
      <c r="N43" s="408"/>
      <c r="O43" s="408"/>
      <c r="P43" s="378"/>
      <c r="Q43" s="236"/>
      <c r="R43" s="471"/>
      <c r="S43" s="236"/>
      <c r="U43" s="236"/>
      <c r="V43" s="471"/>
      <c r="W43" s="236"/>
      <c r="X43" s="236"/>
      <c r="Y43" s="392"/>
      <c r="Z43" s="408"/>
      <c r="AA43" s="409"/>
      <c r="AC43" s="622"/>
    </row>
    <row r="44" spans="1:29" ht="15" customHeight="1">
      <c r="A44" s="240" t="s">
        <v>359</v>
      </c>
      <c r="E44" s="370"/>
      <c r="F44" s="371"/>
      <c r="G44" s="371"/>
      <c r="H44" s="371"/>
      <c r="I44" s="371"/>
      <c r="J44" s="371"/>
      <c r="K44" s="371"/>
      <c r="L44" s="371"/>
      <c r="M44" s="372"/>
      <c r="N44" s="256"/>
      <c r="O44" s="256"/>
      <c r="P44" s="379"/>
      <c r="Q44" s="371"/>
      <c r="R44" s="371"/>
      <c r="S44" s="371"/>
      <c r="T44" s="371"/>
      <c r="U44" s="371"/>
      <c r="V44" s="371"/>
      <c r="W44" s="371"/>
      <c r="X44" s="371"/>
      <c r="Y44" s="372"/>
      <c r="Z44" s="256"/>
      <c r="AA44" s="373"/>
      <c r="AC44" s="380"/>
    </row>
    <row r="45" spans="1:29" ht="15" customHeight="1">
      <c r="A45" s="385">
        <f>Bonus!A44</f>
        <v>52.856299999999997</v>
      </c>
      <c r="B45" s="386" t="str">
        <f>Bonus!B44</f>
        <v>City of Santa Cruz - Graham Hill WTP Facility Improvements - Phase 1</v>
      </c>
      <c r="C45" s="468">
        <f>Bonus!G44</f>
        <v>0.97534821292836971</v>
      </c>
      <c r="D45" s="468">
        <f>GAAP!G44</f>
        <v>1</v>
      </c>
      <c r="E45" s="387">
        <f>Bonus!I44</f>
        <v>1152462.29</v>
      </c>
      <c r="F45" s="388">
        <f>Bonus!F44</f>
        <v>859077.05</v>
      </c>
      <c r="G45" s="388">
        <f>E45-F45</f>
        <v>293385.24</v>
      </c>
      <c r="H45" s="388"/>
      <c r="I45" s="388">
        <f>GAAP!I44</f>
        <v>1134038.1299999999</v>
      </c>
      <c r="J45" s="388">
        <f>GAAP!F44</f>
        <v>859077.05</v>
      </c>
      <c r="K45" s="388">
        <f>I45-J45</f>
        <v>274961.07999999984</v>
      </c>
      <c r="L45" s="388"/>
      <c r="M45" s="389">
        <f>E45-I45</f>
        <v>18424.160000000149</v>
      </c>
      <c r="N45" s="390">
        <f>F45-J45</f>
        <v>0</v>
      </c>
      <c r="O45" s="390">
        <f>G45-K45</f>
        <v>18424.160000000149</v>
      </c>
      <c r="P45" s="379"/>
      <c r="Q45" s="388">
        <f t="shared" ref="Q45" si="48">R45+S45</f>
        <v>167405.78000000003</v>
      </c>
      <c r="R45" s="388">
        <f>Bonus!Q44</f>
        <v>138210.30000000005</v>
      </c>
      <c r="S45" s="388">
        <f>Bonus!S44</f>
        <v>29195.479999999981</v>
      </c>
      <c r="T45" s="388"/>
      <c r="U45" s="388">
        <f t="shared" ref="U45" si="49">V45+W45</f>
        <v>218705.6399999999</v>
      </c>
      <c r="V45" s="388">
        <f>GAAP!Q44</f>
        <v>138210.30000000005</v>
      </c>
      <c r="W45" s="388">
        <f>GAAP!S44</f>
        <v>80495.339999999851</v>
      </c>
      <c r="X45" s="388"/>
      <c r="Y45" s="389">
        <f t="shared" ref="Y45" si="50">Q45-U45</f>
        <v>-51299.85999999987</v>
      </c>
      <c r="Z45" s="390">
        <f t="shared" ref="Z45" si="51">R45-V45</f>
        <v>0</v>
      </c>
      <c r="AA45" s="391">
        <f t="shared" ref="AA45" si="52">S45-W45</f>
        <v>-51299.85999999987</v>
      </c>
      <c r="AC45" s="621">
        <f t="shared" si="0"/>
        <v>69724.020000000019</v>
      </c>
    </row>
    <row r="46" spans="1:29" ht="15" customHeight="1">
      <c r="A46" s="385">
        <f>Bonus!A45</f>
        <v>52.8566</v>
      </c>
      <c r="B46" s="386" t="str">
        <f>Bonus!B45</f>
        <v>City of Visalia - Water Reclamation Facility RPGS SCR System</v>
      </c>
      <c r="C46" s="468">
        <f>Bonus!G45</f>
        <v>0.99458231898643679</v>
      </c>
      <c r="D46" s="468">
        <f>GAAP!G45</f>
        <v>0.99458231898643679</v>
      </c>
      <c r="E46" s="387">
        <f>Bonus!I45</f>
        <v>1252574.9833668806</v>
      </c>
      <c r="F46" s="388">
        <f>Bonus!F45</f>
        <v>1023821.05</v>
      </c>
      <c r="G46" s="388">
        <f t="shared" ref="G46:G64" si="53">E46-F46</f>
        <v>228753.93336688052</v>
      </c>
      <c r="H46" s="388"/>
      <c r="I46" s="388">
        <f>GAAP!I45</f>
        <v>1252574.9833668806</v>
      </c>
      <c r="J46" s="388">
        <f>GAAP!F45</f>
        <v>1023821.05</v>
      </c>
      <c r="K46" s="388">
        <f t="shared" ref="K46:K64" si="54">I46-J46</f>
        <v>228753.93336688052</v>
      </c>
      <c r="L46" s="388"/>
      <c r="M46" s="389">
        <f t="shared" ref="M46:M64" si="55">E46-I46</f>
        <v>0</v>
      </c>
      <c r="N46" s="390">
        <f t="shared" ref="N46:N64" si="56">F46-J46</f>
        <v>0</v>
      </c>
      <c r="O46" s="390">
        <f t="shared" ref="O46:O64" si="57">G46-K46</f>
        <v>0</v>
      </c>
      <c r="P46" s="379"/>
      <c r="Q46" s="388">
        <f t="shared" ref="Q46:Q64" si="58">R46+S46</f>
        <v>33809.917100441002</v>
      </c>
      <c r="R46" s="388">
        <f>Bonus!Q45</f>
        <v>29030.489999999991</v>
      </c>
      <c r="S46" s="388">
        <f>Bonus!S45</f>
        <v>4779.4271004410111</v>
      </c>
      <c r="T46" s="388"/>
      <c r="U46" s="388">
        <f t="shared" ref="U46:U64" si="59">V46+W46</f>
        <v>33809.917100441002</v>
      </c>
      <c r="V46" s="388">
        <f>GAAP!Q45</f>
        <v>29030.489999999991</v>
      </c>
      <c r="W46" s="388">
        <f>GAAP!S45</f>
        <v>4779.4271004410111</v>
      </c>
      <c r="X46" s="388"/>
      <c r="Y46" s="389">
        <f t="shared" ref="Y46:Y64" si="60">Q46-U46</f>
        <v>0</v>
      </c>
      <c r="Z46" s="390">
        <f t="shared" ref="Z46:Z64" si="61">R46-V46</f>
        <v>0</v>
      </c>
      <c r="AA46" s="391">
        <f t="shared" ref="AA46:AA64" si="62">S46-W46</f>
        <v>0</v>
      </c>
      <c r="AC46" s="621">
        <f t="shared" si="0"/>
        <v>0</v>
      </c>
    </row>
    <row r="47" spans="1:29" ht="15" customHeight="1">
      <c r="A47" s="385">
        <f>Bonus!A46</f>
        <v>52.858600000000003</v>
      </c>
      <c r="B47" s="386" t="str">
        <f>Bonus!B46</f>
        <v>Tesoro Viejo MMWC- WTP/WWTP/RWSP Phase B Expansion - Phase 1</v>
      </c>
      <c r="C47" s="468">
        <f>Bonus!G46</f>
        <v>0.99100599183086491</v>
      </c>
      <c r="D47" s="468">
        <f>GAAP!G46</f>
        <v>0.99100599183086491</v>
      </c>
      <c r="E47" s="387">
        <f>Bonus!I46</f>
        <v>12497922.424070187</v>
      </c>
      <c r="F47" s="388">
        <f>Bonus!F46</f>
        <v>10565460.74</v>
      </c>
      <c r="G47" s="388">
        <f t="shared" si="53"/>
        <v>1932461.6840701867</v>
      </c>
      <c r="H47" s="388"/>
      <c r="I47" s="388">
        <f>GAAP!I46</f>
        <v>12497922.424070187</v>
      </c>
      <c r="J47" s="388">
        <f>GAAP!F46</f>
        <v>10565460.74</v>
      </c>
      <c r="K47" s="388">
        <f t="shared" si="54"/>
        <v>1932461.6840701867</v>
      </c>
      <c r="L47" s="388"/>
      <c r="M47" s="389">
        <f t="shared" si="55"/>
        <v>0</v>
      </c>
      <c r="N47" s="390">
        <f t="shared" si="56"/>
        <v>0</v>
      </c>
      <c r="O47" s="390">
        <f t="shared" si="57"/>
        <v>0</v>
      </c>
      <c r="P47" s="379"/>
      <c r="Q47" s="388">
        <f t="shared" si="58"/>
        <v>506849.70620234008</v>
      </c>
      <c r="R47" s="388">
        <f>Bonus!Q46</f>
        <v>332168.02999999933</v>
      </c>
      <c r="S47" s="388">
        <f>Bonus!S46</f>
        <v>174681.67620234075</v>
      </c>
      <c r="T47" s="388"/>
      <c r="U47" s="388">
        <f t="shared" si="59"/>
        <v>506849.70620234008</v>
      </c>
      <c r="V47" s="388">
        <f>GAAP!Q46</f>
        <v>332168.02999999933</v>
      </c>
      <c r="W47" s="388">
        <f>GAAP!S46</f>
        <v>174681.67620234075</v>
      </c>
      <c r="X47" s="388"/>
      <c r="Y47" s="389">
        <f t="shared" si="60"/>
        <v>0</v>
      </c>
      <c r="Z47" s="390">
        <f t="shared" si="61"/>
        <v>0</v>
      </c>
      <c r="AA47" s="391">
        <f t="shared" si="62"/>
        <v>0</v>
      </c>
      <c r="AC47" s="621">
        <f t="shared" si="0"/>
        <v>0</v>
      </c>
    </row>
    <row r="48" spans="1:29" ht="15" customHeight="1">
      <c r="A48" s="385">
        <f>Bonus!A47</f>
        <v>52.863399999999999</v>
      </c>
      <c r="B48" s="386" t="str">
        <f>Bonus!B47</f>
        <v>City of Huron - Water Treatment Plant Imp. Phase 2</v>
      </c>
      <c r="C48" s="468">
        <f>Bonus!G47</f>
        <v>0.8875221222336146</v>
      </c>
      <c r="D48" s="468">
        <f>GAAP!G47</f>
        <v>0.8875221222336146</v>
      </c>
      <c r="E48" s="387">
        <f>Bonus!I47</f>
        <v>12330098.769807998</v>
      </c>
      <c r="F48" s="388">
        <f>Bonus!F47</f>
        <v>11707058.24</v>
      </c>
      <c r="G48" s="388">
        <f t="shared" si="53"/>
        <v>623040.52980799787</v>
      </c>
      <c r="H48" s="388"/>
      <c r="I48" s="388">
        <f>GAAP!I47</f>
        <v>12330098.769807998</v>
      </c>
      <c r="J48" s="388">
        <f>GAAP!F47</f>
        <v>11707058.24</v>
      </c>
      <c r="K48" s="388">
        <f t="shared" si="54"/>
        <v>623040.52980799787</v>
      </c>
      <c r="L48" s="388"/>
      <c r="M48" s="389">
        <f t="shared" si="55"/>
        <v>0</v>
      </c>
      <c r="N48" s="390">
        <f t="shared" si="56"/>
        <v>0</v>
      </c>
      <c r="O48" s="390">
        <f t="shared" si="57"/>
        <v>0</v>
      </c>
      <c r="P48" s="379"/>
      <c r="Q48" s="388">
        <f t="shared" si="58"/>
        <v>6838700.1383238481</v>
      </c>
      <c r="R48" s="388">
        <f>Bonus!Q47</f>
        <v>6493631.6200000001</v>
      </c>
      <c r="S48" s="388">
        <f>Bonus!S47</f>
        <v>345068.51832384779</v>
      </c>
      <c r="T48" s="388"/>
      <c r="U48" s="388">
        <f t="shared" si="59"/>
        <v>6838700.1383238481</v>
      </c>
      <c r="V48" s="388">
        <f>GAAP!Q47</f>
        <v>6493631.6200000001</v>
      </c>
      <c r="W48" s="388">
        <f>GAAP!S47</f>
        <v>345068.51832384779</v>
      </c>
      <c r="X48" s="388"/>
      <c r="Y48" s="389">
        <f t="shared" si="60"/>
        <v>0</v>
      </c>
      <c r="Z48" s="390">
        <f t="shared" si="61"/>
        <v>0</v>
      </c>
      <c r="AA48" s="391">
        <f t="shared" si="62"/>
        <v>0</v>
      </c>
      <c r="AC48" s="621">
        <f t="shared" si="0"/>
        <v>0</v>
      </c>
    </row>
    <row r="49" spans="1:29" ht="15" customHeight="1">
      <c r="A49" s="385">
        <f>Bonus!A48</f>
        <v>52.863599999999998</v>
      </c>
      <c r="B49" s="386" t="str">
        <f>Bonus!B48</f>
        <v>Anaergia Technologies, LLC - Anaergia M1W Digester Mixing Project</v>
      </c>
      <c r="C49" s="468">
        <f>Bonus!G48</f>
        <v>0.99995555947573012</v>
      </c>
      <c r="D49" s="468">
        <f>GAAP!G48</f>
        <v>0.99584023244423725</v>
      </c>
      <c r="E49" s="387">
        <f>Bonus!I48</f>
        <v>3642035.1388558256</v>
      </c>
      <c r="F49" s="388">
        <f>Bonus!F48</f>
        <v>3367047.36</v>
      </c>
      <c r="G49" s="388">
        <f t="shared" si="53"/>
        <v>274987.77885582577</v>
      </c>
      <c r="H49" s="388"/>
      <c r="I49" s="388">
        <f>GAAP!I48</f>
        <v>3640903.4239221653</v>
      </c>
      <c r="J49" s="388">
        <f>GAAP!F48</f>
        <v>3367047.36</v>
      </c>
      <c r="K49" s="388">
        <f t="shared" si="54"/>
        <v>273856.06392216543</v>
      </c>
      <c r="L49" s="388"/>
      <c r="M49" s="389">
        <f t="shared" si="55"/>
        <v>1131.714933660347</v>
      </c>
      <c r="N49" s="390">
        <f t="shared" si="56"/>
        <v>0</v>
      </c>
      <c r="O49" s="390">
        <f t="shared" si="57"/>
        <v>1131.714933660347</v>
      </c>
      <c r="P49" s="379"/>
      <c r="Q49" s="388">
        <f t="shared" si="58"/>
        <v>1980915.8877758817</v>
      </c>
      <c r="R49" s="388">
        <f>Bonus!Q48</f>
        <v>1910247.8199999998</v>
      </c>
      <c r="S49" s="388">
        <f>Bonus!S48</f>
        <v>70668.067775881878</v>
      </c>
      <c r="T49" s="388"/>
      <c r="U49" s="388">
        <f t="shared" si="59"/>
        <v>1979784.1728422211</v>
      </c>
      <c r="V49" s="388">
        <f>GAAP!Q48</f>
        <v>1910247.8199999998</v>
      </c>
      <c r="W49" s="388">
        <f>GAAP!S48</f>
        <v>69536.352842221357</v>
      </c>
      <c r="X49" s="388"/>
      <c r="Y49" s="389">
        <f t="shared" si="60"/>
        <v>1131.7149336605798</v>
      </c>
      <c r="Z49" s="390">
        <f t="shared" si="61"/>
        <v>0</v>
      </c>
      <c r="AA49" s="391">
        <f t="shared" si="62"/>
        <v>1131.7149336605216</v>
      </c>
      <c r="AC49" s="621">
        <f t="shared" si="0"/>
        <v>-1.7462298274040222E-10</v>
      </c>
    </row>
    <row r="50" spans="1:29" ht="15" customHeight="1">
      <c r="A50" s="385">
        <f>Bonus!A49</f>
        <v>52.863700000000001</v>
      </c>
      <c r="B50" s="386" t="str">
        <f>Bonus!B49</f>
        <v>Root Creek Water Dist. - Groundwater Blending &amp; Arsenic</v>
      </c>
      <c r="C50" s="468">
        <f>Bonus!G49</f>
        <v>0.99023836104699536</v>
      </c>
      <c r="D50" s="468">
        <f>GAAP!G49</f>
        <v>0.99023836104699536</v>
      </c>
      <c r="E50" s="387">
        <f>Bonus!I49</f>
        <v>26008192.325727545</v>
      </c>
      <c r="F50" s="388">
        <f>Bonus!F49</f>
        <v>24374299.030000001</v>
      </c>
      <c r="G50" s="388">
        <f t="shared" si="53"/>
        <v>1633893.2957275435</v>
      </c>
      <c r="H50" s="388"/>
      <c r="I50" s="388">
        <f>GAAP!I49</f>
        <v>26008192.325727545</v>
      </c>
      <c r="J50" s="388">
        <f>GAAP!F49</f>
        <v>24374299.030000001</v>
      </c>
      <c r="K50" s="388">
        <f t="shared" si="54"/>
        <v>1633893.2957275435</v>
      </c>
      <c r="L50" s="388"/>
      <c r="M50" s="389">
        <f t="shared" si="55"/>
        <v>0</v>
      </c>
      <c r="N50" s="390">
        <f t="shared" si="56"/>
        <v>0</v>
      </c>
      <c r="O50" s="390">
        <f t="shared" si="57"/>
        <v>0</v>
      </c>
      <c r="P50" s="379"/>
      <c r="Q50" s="388">
        <f t="shared" si="58"/>
        <v>5357985.578004878</v>
      </c>
      <c r="R50" s="388">
        <f>Bonus!Q49</f>
        <v>4932484.0400000028</v>
      </c>
      <c r="S50" s="388">
        <f>Bonus!S49</f>
        <v>425501.53800487495</v>
      </c>
      <c r="T50" s="388"/>
      <c r="U50" s="388">
        <f t="shared" si="59"/>
        <v>5357985.578004878</v>
      </c>
      <c r="V50" s="388">
        <f>GAAP!Q49</f>
        <v>4932484.0400000028</v>
      </c>
      <c r="W50" s="388">
        <f>GAAP!S49</f>
        <v>425501.53800487495</v>
      </c>
      <c r="X50" s="388"/>
      <c r="Y50" s="389">
        <f t="shared" si="60"/>
        <v>0</v>
      </c>
      <c r="Z50" s="390">
        <f t="shared" si="61"/>
        <v>0</v>
      </c>
      <c r="AA50" s="391">
        <f t="shared" si="62"/>
        <v>0</v>
      </c>
      <c r="AC50" s="621">
        <f t="shared" si="0"/>
        <v>0</v>
      </c>
    </row>
    <row r="51" spans="1:29" ht="15" customHeight="1">
      <c r="A51" s="385">
        <f>Bonus!A50</f>
        <v>52.863999999999997</v>
      </c>
      <c r="B51" s="386" t="str">
        <f>Bonus!B50</f>
        <v>City of Dos Palos - WTP Replacement Project</v>
      </c>
      <c r="C51" s="468">
        <f>Bonus!G50</f>
        <v>0.87452060912224572</v>
      </c>
      <c r="D51" s="468">
        <f>GAAP!G50</f>
        <v>0.87452060912224572</v>
      </c>
      <c r="E51" s="387">
        <f>Bonus!I50</f>
        <v>33797041.051042713</v>
      </c>
      <c r="F51" s="388">
        <f>Bonus!F50</f>
        <v>32158781.48</v>
      </c>
      <c r="G51" s="388">
        <f t="shared" si="53"/>
        <v>1638259.5710427128</v>
      </c>
      <c r="H51" s="388"/>
      <c r="I51" s="388">
        <f>GAAP!I50</f>
        <v>33797041.051042713</v>
      </c>
      <c r="J51" s="388">
        <f>GAAP!F50</f>
        <v>32158781.48</v>
      </c>
      <c r="K51" s="388">
        <f t="shared" si="54"/>
        <v>1638259.5710427128</v>
      </c>
      <c r="L51" s="388"/>
      <c r="M51" s="389">
        <f t="shared" si="55"/>
        <v>0</v>
      </c>
      <c r="N51" s="390">
        <f t="shared" si="56"/>
        <v>0</v>
      </c>
      <c r="O51" s="390">
        <f t="shared" si="57"/>
        <v>0</v>
      </c>
      <c r="P51" s="379"/>
      <c r="Q51" s="388">
        <f t="shared" si="58"/>
        <v>20058621.472155351</v>
      </c>
      <c r="R51" s="388">
        <f>Bonus!Q50</f>
        <v>19124328.740000002</v>
      </c>
      <c r="S51" s="388">
        <f>Bonus!S50</f>
        <v>934292.73215534771</v>
      </c>
      <c r="T51" s="388"/>
      <c r="U51" s="388">
        <f t="shared" si="59"/>
        <v>20058621.472155351</v>
      </c>
      <c r="V51" s="388">
        <f>GAAP!Q50</f>
        <v>19124328.740000002</v>
      </c>
      <c r="W51" s="388">
        <f>GAAP!S50</f>
        <v>934292.73215534771</v>
      </c>
      <c r="X51" s="388"/>
      <c r="Y51" s="389">
        <f t="shared" si="60"/>
        <v>0</v>
      </c>
      <c r="Z51" s="390">
        <f t="shared" si="61"/>
        <v>0</v>
      </c>
      <c r="AA51" s="391">
        <f t="shared" si="62"/>
        <v>0</v>
      </c>
      <c r="AC51" s="621">
        <f t="shared" si="0"/>
        <v>0</v>
      </c>
    </row>
    <row r="52" spans="1:29" ht="15" customHeight="1">
      <c r="A52" s="385">
        <f>Bonus!A51</f>
        <v>52.866799999999998</v>
      </c>
      <c r="B52" s="386" t="str">
        <f>Bonus!B51</f>
        <v>California Water Service Co. - Cal Water - Salinas Station 57</v>
      </c>
      <c r="C52" s="468">
        <f>Bonus!G51</f>
        <v>0.94884473575316441</v>
      </c>
      <c r="D52" s="468">
        <f>GAAP!G51</f>
        <v>0.94884473575316441</v>
      </c>
      <c r="E52" s="387">
        <f>Bonus!I51</f>
        <v>390782.65326467651</v>
      </c>
      <c r="F52" s="388">
        <f>Bonus!F51</f>
        <v>357710.67</v>
      </c>
      <c r="G52" s="388">
        <f t="shared" si="53"/>
        <v>33071.983264676528</v>
      </c>
      <c r="H52" s="388"/>
      <c r="I52" s="388">
        <f>GAAP!I51</f>
        <v>390782.65326467651</v>
      </c>
      <c r="J52" s="388">
        <f>GAAP!F51</f>
        <v>357710.67</v>
      </c>
      <c r="K52" s="388">
        <f t="shared" si="54"/>
        <v>33071.983264676528</v>
      </c>
      <c r="L52" s="388"/>
      <c r="M52" s="389">
        <f t="shared" si="55"/>
        <v>0</v>
      </c>
      <c r="N52" s="390">
        <f t="shared" si="56"/>
        <v>0</v>
      </c>
      <c r="O52" s="390">
        <f t="shared" si="57"/>
        <v>0</v>
      </c>
      <c r="P52" s="379"/>
      <c r="Q52" s="388">
        <f t="shared" si="58"/>
        <v>341717.65326467651</v>
      </c>
      <c r="R52" s="388">
        <f>Bonus!Q51</f>
        <v>308645.67</v>
      </c>
      <c r="S52" s="388">
        <f>Bonus!S51</f>
        <v>33071.983264676543</v>
      </c>
      <c r="T52" s="388"/>
      <c r="U52" s="388">
        <f t="shared" si="59"/>
        <v>336444.60681535263</v>
      </c>
      <c r="V52" s="388">
        <f>GAAP!Q51</f>
        <v>308645.67</v>
      </c>
      <c r="W52" s="388">
        <f>GAAP!S51</f>
        <v>27798.936815352645</v>
      </c>
      <c r="X52" s="388"/>
      <c r="Y52" s="389">
        <f t="shared" si="60"/>
        <v>5273.0464493238833</v>
      </c>
      <c r="Z52" s="390">
        <f t="shared" si="61"/>
        <v>0</v>
      </c>
      <c r="AA52" s="391">
        <f t="shared" si="62"/>
        <v>5273.0464493238978</v>
      </c>
      <c r="AC52" s="621">
        <f t="shared" si="0"/>
        <v>-5273.0464493238978</v>
      </c>
    </row>
    <row r="53" spans="1:29" ht="15" customHeight="1">
      <c r="A53" s="385">
        <f>Bonus!A52</f>
        <v>52.867800000000003</v>
      </c>
      <c r="B53" s="386" t="str">
        <f>Bonus!B52</f>
        <v>City of Chowcilla - Well 15 &amp; Generator Improvement Projects</v>
      </c>
      <c r="C53" s="468">
        <f>Bonus!G52</f>
        <v>0.79668810079143371</v>
      </c>
      <c r="D53" s="468">
        <f>GAAP!G52</f>
        <v>0.79668810079143371</v>
      </c>
      <c r="E53" s="387">
        <f>Bonus!I52</f>
        <v>988148.98186173185</v>
      </c>
      <c r="F53" s="388">
        <f>Bonus!F52</f>
        <v>926007.31</v>
      </c>
      <c r="G53" s="388">
        <f t="shared" si="53"/>
        <v>62141.671861731797</v>
      </c>
      <c r="H53" s="388"/>
      <c r="I53" s="388">
        <f>GAAP!I52</f>
        <v>988148.98186173185</v>
      </c>
      <c r="J53" s="388">
        <f>GAAP!F52</f>
        <v>926007.31</v>
      </c>
      <c r="K53" s="388">
        <f t="shared" si="54"/>
        <v>62141.671861731797</v>
      </c>
      <c r="L53" s="388"/>
      <c r="M53" s="389">
        <f t="shared" si="55"/>
        <v>0</v>
      </c>
      <c r="N53" s="390">
        <f t="shared" si="56"/>
        <v>0</v>
      </c>
      <c r="O53" s="390">
        <f t="shared" si="57"/>
        <v>0</v>
      </c>
      <c r="P53" s="379"/>
      <c r="Q53" s="388">
        <f t="shared" si="58"/>
        <v>982585.35186173185</v>
      </c>
      <c r="R53" s="388">
        <f>Bonus!Q52</f>
        <v>920443.68</v>
      </c>
      <c r="S53" s="388">
        <f>Bonus!S52</f>
        <v>62141.671861731826</v>
      </c>
      <c r="T53" s="388"/>
      <c r="U53" s="388">
        <f t="shared" si="59"/>
        <v>982585.35186173185</v>
      </c>
      <c r="V53" s="388">
        <f>GAAP!Q52</f>
        <v>920443.68</v>
      </c>
      <c r="W53" s="388">
        <f>GAAP!S52</f>
        <v>62141.671861731826</v>
      </c>
      <c r="X53" s="388"/>
      <c r="Y53" s="389">
        <f t="shared" si="60"/>
        <v>0</v>
      </c>
      <c r="Z53" s="390">
        <f t="shared" si="61"/>
        <v>0</v>
      </c>
      <c r="AA53" s="391">
        <f t="shared" si="62"/>
        <v>0</v>
      </c>
      <c r="AC53" s="621">
        <f t="shared" si="0"/>
        <v>0</v>
      </c>
    </row>
    <row r="54" spans="1:29" ht="15" customHeight="1">
      <c r="A54" s="385">
        <f>Bonus!A53</f>
        <v>52.868699999999997</v>
      </c>
      <c r="B54" s="386" t="str">
        <f>Bonus!B53</f>
        <v>California Water Service Co. - Salinas Station 205</v>
      </c>
      <c r="C54" s="468">
        <f>Bonus!G53</f>
        <v>0.93659097315952766</v>
      </c>
      <c r="D54" s="468">
        <f>GAAP!G53</f>
        <v>0.93659097315952766</v>
      </c>
      <c r="E54" s="387">
        <f>Bonus!I53</f>
        <v>822283.79124929989</v>
      </c>
      <c r="F54" s="388">
        <f>Bonus!F53</f>
        <v>740629.43</v>
      </c>
      <c r="G54" s="388">
        <f t="shared" si="53"/>
        <v>81654.361249299836</v>
      </c>
      <c r="H54" s="388"/>
      <c r="I54" s="388">
        <f>GAAP!I53</f>
        <v>822283.79124929989</v>
      </c>
      <c r="J54" s="388">
        <f>GAAP!F53</f>
        <v>740629.43</v>
      </c>
      <c r="K54" s="388">
        <f t="shared" si="54"/>
        <v>81654.361249299836</v>
      </c>
      <c r="L54" s="388"/>
      <c r="M54" s="389">
        <f t="shared" si="55"/>
        <v>0</v>
      </c>
      <c r="N54" s="390">
        <f t="shared" si="56"/>
        <v>0</v>
      </c>
      <c r="O54" s="390">
        <f t="shared" si="57"/>
        <v>0</v>
      </c>
      <c r="P54" s="379"/>
      <c r="Q54" s="388">
        <f t="shared" si="58"/>
        <v>822283.79124929989</v>
      </c>
      <c r="R54" s="388">
        <f>Bonus!Q53</f>
        <v>740629.43</v>
      </c>
      <c r="S54" s="388">
        <f>Bonus!S53</f>
        <v>81654.361249299895</v>
      </c>
      <c r="T54" s="388"/>
      <c r="U54" s="388">
        <f t="shared" si="59"/>
        <v>822283.79124929989</v>
      </c>
      <c r="V54" s="388">
        <f>GAAP!Q53</f>
        <v>740629.43</v>
      </c>
      <c r="W54" s="388">
        <f>GAAP!S53</f>
        <v>81654.361249299895</v>
      </c>
      <c r="X54" s="388"/>
      <c r="Y54" s="389">
        <f t="shared" si="60"/>
        <v>0</v>
      </c>
      <c r="Z54" s="390">
        <f t="shared" si="61"/>
        <v>0</v>
      </c>
      <c r="AA54" s="391">
        <f t="shared" si="62"/>
        <v>0</v>
      </c>
      <c r="AC54" s="621">
        <f t="shared" si="0"/>
        <v>0</v>
      </c>
    </row>
    <row r="55" spans="1:29" ht="15" customHeight="1">
      <c r="A55" s="385">
        <f>Bonus!A54</f>
        <v>52.869199999999999</v>
      </c>
      <c r="B55" s="386" t="str">
        <f>Bonus!B54</f>
        <v>New England Sheet Metal and Mechanical Co. - Clovis South T&amp;M</v>
      </c>
      <c r="C55" s="468">
        <f>Bonus!G54</f>
        <v>1</v>
      </c>
      <c r="D55" s="468">
        <f>GAAP!G54</f>
        <v>1</v>
      </c>
      <c r="E55" s="387">
        <f>Bonus!I54</f>
        <v>55135.37</v>
      </c>
      <c r="F55" s="388">
        <f>Bonus!F54</f>
        <v>49682.49</v>
      </c>
      <c r="G55" s="388">
        <f t="shared" si="53"/>
        <v>5452.8800000000047</v>
      </c>
      <c r="H55" s="388"/>
      <c r="I55" s="388">
        <f>GAAP!I54</f>
        <v>55135.37</v>
      </c>
      <c r="J55" s="388">
        <f>GAAP!F54</f>
        <v>49682.49</v>
      </c>
      <c r="K55" s="388">
        <f t="shared" si="54"/>
        <v>5452.8800000000047</v>
      </c>
      <c r="L55" s="388"/>
      <c r="M55" s="389">
        <f t="shared" si="55"/>
        <v>0</v>
      </c>
      <c r="N55" s="390">
        <f t="shared" si="56"/>
        <v>0</v>
      </c>
      <c r="O55" s="390">
        <f t="shared" si="57"/>
        <v>0</v>
      </c>
      <c r="P55" s="379"/>
      <c r="Q55" s="388">
        <f t="shared" si="58"/>
        <v>55135.37</v>
      </c>
      <c r="R55" s="388">
        <f>Bonus!Q54</f>
        <v>49682.49</v>
      </c>
      <c r="S55" s="388">
        <f>Bonus!S54</f>
        <v>5452.8800000000047</v>
      </c>
      <c r="T55" s="388"/>
      <c r="U55" s="388">
        <f t="shared" si="59"/>
        <v>55135.37</v>
      </c>
      <c r="V55" s="388">
        <f>GAAP!Q54</f>
        <v>49682.49</v>
      </c>
      <c r="W55" s="388">
        <f>GAAP!S54</f>
        <v>5452.8800000000047</v>
      </c>
      <c r="X55" s="388"/>
      <c r="Y55" s="389">
        <f t="shared" si="60"/>
        <v>0</v>
      </c>
      <c r="Z55" s="390">
        <f t="shared" si="61"/>
        <v>0</v>
      </c>
      <c r="AA55" s="391">
        <f t="shared" si="62"/>
        <v>0</v>
      </c>
      <c r="AC55" s="621">
        <f t="shared" si="0"/>
        <v>0</v>
      </c>
    </row>
    <row r="56" spans="1:29" ht="15" customHeight="1">
      <c r="A56" s="385">
        <f>Bonus!A55</f>
        <v>52.869700000000002</v>
      </c>
      <c r="B56" s="386" t="str">
        <f>Bonus!B55</f>
        <v>City of Tulare - Industrial WWTP Dewatering Improvements Pro</v>
      </c>
      <c r="C56" s="468">
        <f>Bonus!G55</f>
        <v>0.58257126841405615</v>
      </c>
      <c r="D56" s="468">
        <f>GAAP!G55</f>
        <v>0.58257126841405615</v>
      </c>
      <c r="E56" s="387">
        <f>Bonus!I55</f>
        <v>808608.92055870988</v>
      </c>
      <c r="F56" s="388">
        <f>Bonus!F55</f>
        <v>772187.73</v>
      </c>
      <c r="G56" s="388">
        <f t="shared" si="53"/>
        <v>36421.190558709903</v>
      </c>
      <c r="H56" s="388"/>
      <c r="I56" s="388">
        <f>GAAP!I55</f>
        <v>808608.92055870988</v>
      </c>
      <c r="J56" s="388">
        <f>GAAP!F55</f>
        <v>772187.73</v>
      </c>
      <c r="K56" s="388">
        <f t="shared" si="54"/>
        <v>36421.190558709903</v>
      </c>
      <c r="L56" s="388"/>
      <c r="M56" s="389">
        <f t="shared" si="55"/>
        <v>0</v>
      </c>
      <c r="N56" s="390">
        <f t="shared" si="56"/>
        <v>0</v>
      </c>
      <c r="O56" s="390">
        <f t="shared" si="57"/>
        <v>0</v>
      </c>
      <c r="P56" s="379"/>
      <c r="Q56" s="388">
        <f t="shared" si="58"/>
        <v>808608.92055870988</v>
      </c>
      <c r="R56" s="388">
        <f>Bonus!Q55</f>
        <v>772187.73</v>
      </c>
      <c r="S56" s="388">
        <f>Bonus!S55</f>
        <v>36421.190558709961</v>
      </c>
      <c r="T56" s="388"/>
      <c r="U56" s="388">
        <f t="shared" si="59"/>
        <v>808608.92055870988</v>
      </c>
      <c r="V56" s="388">
        <f>GAAP!Q55</f>
        <v>772187.73</v>
      </c>
      <c r="W56" s="388">
        <f>GAAP!S55</f>
        <v>36421.190558709961</v>
      </c>
      <c r="X56" s="388"/>
      <c r="Y56" s="389">
        <f t="shared" si="60"/>
        <v>0</v>
      </c>
      <c r="Z56" s="390">
        <f t="shared" si="61"/>
        <v>0</v>
      </c>
      <c r="AA56" s="391">
        <f t="shared" si="62"/>
        <v>0</v>
      </c>
      <c r="AC56" s="621">
        <f t="shared" si="0"/>
        <v>0</v>
      </c>
    </row>
    <row r="57" spans="1:29" ht="15" customHeight="1">
      <c r="A57" s="385">
        <f>Bonus!A56</f>
        <v>52.869799999999998</v>
      </c>
      <c r="B57" s="386" t="str">
        <f>Bonus!B56</f>
        <v>California Water Service Co. - Tesoro Viejo RWSP Liner Repair</v>
      </c>
      <c r="C57" s="468">
        <f>Bonus!G56</f>
        <v>0.9464285714285714</v>
      </c>
      <c r="D57" s="468">
        <f>GAAP!G56</f>
        <v>0.9464285714285714</v>
      </c>
      <c r="E57" s="387">
        <f>Bonus!I56</f>
        <v>21496.232142857141</v>
      </c>
      <c r="F57" s="388">
        <f>Bonus!F56</f>
        <v>15264</v>
      </c>
      <c r="G57" s="388">
        <f t="shared" si="53"/>
        <v>6232.2321428571413</v>
      </c>
      <c r="H57" s="388"/>
      <c r="I57" s="388">
        <f>GAAP!I56</f>
        <v>21496.232142857141</v>
      </c>
      <c r="J57" s="388">
        <f>GAAP!F56</f>
        <v>15264</v>
      </c>
      <c r="K57" s="388">
        <f t="shared" si="54"/>
        <v>6232.2321428571413</v>
      </c>
      <c r="L57" s="388"/>
      <c r="M57" s="389">
        <f t="shared" si="55"/>
        <v>0</v>
      </c>
      <c r="N57" s="390">
        <f t="shared" si="56"/>
        <v>0</v>
      </c>
      <c r="O57" s="390">
        <f t="shared" si="57"/>
        <v>0</v>
      </c>
      <c r="P57" s="379"/>
      <c r="Q57" s="388">
        <f t="shared" si="58"/>
        <v>21496.232142857141</v>
      </c>
      <c r="R57" s="388">
        <f>Bonus!Q56</f>
        <v>15264</v>
      </c>
      <c r="S57" s="388">
        <f>Bonus!S56</f>
        <v>6232.2321428571422</v>
      </c>
      <c r="T57" s="388"/>
      <c r="U57" s="388">
        <f t="shared" si="59"/>
        <v>21496.232142857141</v>
      </c>
      <c r="V57" s="388">
        <f>GAAP!Q56</f>
        <v>15264</v>
      </c>
      <c r="W57" s="388">
        <f>GAAP!S56</f>
        <v>6232.2321428571422</v>
      </c>
      <c r="X57" s="388"/>
      <c r="Y57" s="389">
        <f t="shared" si="60"/>
        <v>0</v>
      </c>
      <c r="Z57" s="390">
        <f t="shared" si="61"/>
        <v>0</v>
      </c>
      <c r="AA57" s="391">
        <f t="shared" si="62"/>
        <v>0</v>
      </c>
      <c r="AC57" s="621">
        <f t="shared" si="0"/>
        <v>0</v>
      </c>
    </row>
    <row r="58" spans="1:29" ht="15" customHeight="1">
      <c r="A58" s="385">
        <f>Bonus!A57</f>
        <v>52.870399999999997</v>
      </c>
      <c r="B58" s="386" t="str">
        <f>Bonus!B57</f>
        <v>City of Visalia - Solids Handling Improvements Project</v>
      </c>
      <c r="C58" s="468">
        <f>Bonus!G57</f>
        <v>6.0853944966940125E-2</v>
      </c>
      <c r="D58" s="468">
        <f>GAAP!G57</f>
        <v>6.0853944966940125E-2</v>
      </c>
      <c r="E58" s="387">
        <f>Bonus!I57</f>
        <v>820988.3</v>
      </c>
      <c r="F58" s="388">
        <f>Bonus!F57</f>
        <v>820988.3</v>
      </c>
      <c r="G58" s="388">
        <f t="shared" si="53"/>
        <v>0</v>
      </c>
      <c r="H58" s="388"/>
      <c r="I58" s="388">
        <f>GAAP!I57</f>
        <v>820988.3</v>
      </c>
      <c r="J58" s="388">
        <f>GAAP!F57</f>
        <v>820988.3</v>
      </c>
      <c r="K58" s="388">
        <f t="shared" si="54"/>
        <v>0</v>
      </c>
      <c r="L58" s="388"/>
      <c r="M58" s="389">
        <f t="shared" si="55"/>
        <v>0</v>
      </c>
      <c r="N58" s="390">
        <f t="shared" si="56"/>
        <v>0</v>
      </c>
      <c r="O58" s="390">
        <f t="shared" si="57"/>
        <v>0</v>
      </c>
      <c r="P58" s="379"/>
      <c r="Q58" s="388">
        <f t="shared" si="58"/>
        <v>820988.3</v>
      </c>
      <c r="R58" s="388">
        <f>Bonus!Q57</f>
        <v>820988.3</v>
      </c>
      <c r="S58" s="388">
        <f>Bonus!S57</f>
        <v>0</v>
      </c>
      <c r="T58" s="388"/>
      <c r="U58" s="388">
        <f t="shared" si="59"/>
        <v>820988.3</v>
      </c>
      <c r="V58" s="388">
        <f>GAAP!Q57</f>
        <v>820988.3</v>
      </c>
      <c r="W58" s="388">
        <f>GAAP!S57</f>
        <v>0</v>
      </c>
      <c r="X58" s="388"/>
      <c r="Y58" s="389">
        <f t="shared" si="60"/>
        <v>0</v>
      </c>
      <c r="Z58" s="390">
        <f t="shared" si="61"/>
        <v>0</v>
      </c>
      <c r="AA58" s="391">
        <f t="shared" si="62"/>
        <v>0</v>
      </c>
      <c r="AC58" s="621">
        <f t="shared" si="0"/>
        <v>0</v>
      </c>
    </row>
    <row r="59" spans="1:29" ht="15" customHeight="1">
      <c r="A59" s="385">
        <f>Bonus!A58</f>
        <v>52.8705</v>
      </c>
      <c r="B59" s="386" t="str">
        <f>Bonus!B58</f>
        <v>California Water Service Co. - Visalia Station 200 - New Storage Tank &amp; Booster</v>
      </c>
      <c r="C59" s="468">
        <f>Bonus!G58</f>
        <v>0.39683246670188799</v>
      </c>
      <c r="D59" s="468">
        <f>GAAP!G58</f>
        <v>0.39683246670188799</v>
      </c>
      <c r="E59" s="387">
        <f>Bonus!I58</f>
        <v>307545.16169396322</v>
      </c>
      <c r="F59" s="388">
        <f>Bonus!F58</f>
        <v>285425.71999999997</v>
      </c>
      <c r="G59" s="388">
        <f t="shared" si="53"/>
        <v>22119.44169396325</v>
      </c>
      <c r="H59" s="388"/>
      <c r="I59" s="388">
        <f>GAAP!I58</f>
        <v>307545.16169396322</v>
      </c>
      <c r="J59" s="388">
        <f>GAAP!F58</f>
        <v>285425.71999999997</v>
      </c>
      <c r="K59" s="388">
        <f t="shared" si="54"/>
        <v>22119.44169396325</v>
      </c>
      <c r="L59" s="388"/>
      <c r="M59" s="389">
        <f t="shared" si="55"/>
        <v>0</v>
      </c>
      <c r="N59" s="390">
        <f t="shared" si="56"/>
        <v>0</v>
      </c>
      <c r="O59" s="390">
        <f t="shared" si="57"/>
        <v>0</v>
      </c>
      <c r="P59" s="379"/>
      <c r="Q59" s="388">
        <f t="shared" si="58"/>
        <v>307545.16169396322</v>
      </c>
      <c r="R59" s="388">
        <f>Bonus!Q58</f>
        <v>285425.71999999997</v>
      </c>
      <c r="S59" s="388">
        <f>Bonus!S58</f>
        <v>22119.441693963236</v>
      </c>
      <c r="T59" s="388"/>
      <c r="U59" s="388">
        <f t="shared" si="59"/>
        <v>307545.16169396322</v>
      </c>
      <c r="V59" s="388">
        <f>GAAP!Q58</f>
        <v>285425.71999999997</v>
      </c>
      <c r="W59" s="388">
        <f>GAAP!S58</f>
        <v>22119.441693963236</v>
      </c>
      <c r="X59" s="388"/>
      <c r="Y59" s="389">
        <f t="shared" si="60"/>
        <v>0</v>
      </c>
      <c r="Z59" s="390">
        <f t="shared" si="61"/>
        <v>0</v>
      </c>
      <c r="AA59" s="391">
        <f t="shared" si="62"/>
        <v>0</v>
      </c>
      <c r="AC59" s="621">
        <f t="shared" si="0"/>
        <v>0</v>
      </c>
    </row>
    <row r="60" spans="1:29" ht="15" customHeight="1">
      <c r="A60" s="385">
        <f>Bonus!A59</f>
        <v>52.870699999999999</v>
      </c>
      <c r="B60" s="386" t="str">
        <f>Bonus!B59</f>
        <v>County of Fresno - Westside Water Tank and Pump Station</v>
      </c>
      <c r="C60" s="468">
        <f>Bonus!G59</f>
        <v>0.29236880762727507</v>
      </c>
      <c r="D60" s="468">
        <f>GAAP!G59</f>
        <v>0.29236880762727507</v>
      </c>
      <c r="E60" s="387">
        <f>Bonus!I59</f>
        <v>1079776.4803290523</v>
      </c>
      <c r="F60" s="388">
        <f>Bonus!F59</f>
        <v>1012057.14</v>
      </c>
      <c r="G60" s="388">
        <f t="shared" si="53"/>
        <v>67719.340329052298</v>
      </c>
      <c r="H60" s="388"/>
      <c r="I60" s="388">
        <f>GAAP!I59</f>
        <v>1079776.4803290523</v>
      </c>
      <c r="J60" s="388">
        <f>GAAP!F59</f>
        <v>1012057.14</v>
      </c>
      <c r="K60" s="388">
        <f t="shared" si="54"/>
        <v>67719.340329052298</v>
      </c>
      <c r="L60" s="388"/>
      <c r="M60" s="389">
        <f t="shared" si="55"/>
        <v>0</v>
      </c>
      <c r="N60" s="390">
        <f t="shared" si="56"/>
        <v>0</v>
      </c>
      <c r="O60" s="390">
        <f t="shared" si="57"/>
        <v>0</v>
      </c>
      <c r="P60" s="379"/>
      <c r="Q60" s="388">
        <f t="shared" si="58"/>
        <v>1079776.4803290523</v>
      </c>
      <c r="R60" s="388">
        <f>Bonus!Q59</f>
        <v>1012057.14</v>
      </c>
      <c r="S60" s="388">
        <f>Bonus!S59</f>
        <v>67719.340329052327</v>
      </c>
      <c r="T60" s="388"/>
      <c r="U60" s="388">
        <f t="shared" si="59"/>
        <v>1079776.4803290523</v>
      </c>
      <c r="V60" s="388">
        <f>GAAP!Q59</f>
        <v>1012057.14</v>
      </c>
      <c r="W60" s="388">
        <f>GAAP!S59</f>
        <v>67719.340329052327</v>
      </c>
      <c r="X60" s="388"/>
      <c r="Y60" s="389">
        <f t="shared" si="60"/>
        <v>0</v>
      </c>
      <c r="Z60" s="390">
        <f t="shared" si="61"/>
        <v>0</v>
      </c>
      <c r="AA60" s="391">
        <f t="shared" si="62"/>
        <v>0</v>
      </c>
      <c r="AC60" s="621">
        <f t="shared" si="0"/>
        <v>0</v>
      </c>
    </row>
    <row r="61" spans="1:29" ht="15" customHeight="1">
      <c r="A61" s="385">
        <f>Bonus!A60</f>
        <v>52.870800000000003</v>
      </c>
      <c r="B61" s="386" t="str">
        <f>Bonus!B60</f>
        <v>County of Fresno - CSA 44A Wastewater Improvements</v>
      </c>
      <c r="C61" s="468">
        <f>Bonus!G60</f>
        <v>2.3017314992644349E-2</v>
      </c>
      <c r="D61" s="468">
        <f>GAAP!G60</f>
        <v>2.3017314992644349E-2</v>
      </c>
      <c r="E61" s="387">
        <f>Bonus!I60</f>
        <v>7682.19</v>
      </c>
      <c r="F61" s="388">
        <f>Bonus!F60</f>
        <v>7682.19</v>
      </c>
      <c r="G61" s="388">
        <f t="shared" si="53"/>
        <v>0</v>
      </c>
      <c r="H61" s="388"/>
      <c r="I61" s="388">
        <f>GAAP!I60</f>
        <v>7682.19</v>
      </c>
      <c r="J61" s="388">
        <f>GAAP!F60</f>
        <v>7682.19</v>
      </c>
      <c r="K61" s="388">
        <f t="shared" si="54"/>
        <v>0</v>
      </c>
      <c r="L61" s="388"/>
      <c r="M61" s="389">
        <f t="shared" si="55"/>
        <v>0</v>
      </c>
      <c r="N61" s="390">
        <f t="shared" si="56"/>
        <v>0</v>
      </c>
      <c r="O61" s="390">
        <f t="shared" si="57"/>
        <v>0</v>
      </c>
      <c r="P61" s="379"/>
      <c r="Q61" s="388">
        <f t="shared" si="58"/>
        <v>7682.19</v>
      </c>
      <c r="R61" s="388">
        <f>Bonus!Q60</f>
        <v>7682.19</v>
      </c>
      <c r="S61" s="388">
        <f>Bonus!S60</f>
        <v>0</v>
      </c>
      <c r="T61" s="388"/>
      <c r="U61" s="388">
        <f t="shared" si="59"/>
        <v>7682.19</v>
      </c>
      <c r="V61" s="388">
        <f>GAAP!Q60</f>
        <v>7682.19</v>
      </c>
      <c r="W61" s="388">
        <f>GAAP!S60</f>
        <v>0</v>
      </c>
      <c r="X61" s="388"/>
      <c r="Y61" s="389">
        <f t="shared" si="60"/>
        <v>0</v>
      </c>
      <c r="Z61" s="390">
        <f t="shared" si="61"/>
        <v>0</v>
      </c>
      <c r="AA61" s="391">
        <f t="shared" si="62"/>
        <v>0</v>
      </c>
      <c r="AC61" s="621">
        <f t="shared" si="0"/>
        <v>0</v>
      </c>
    </row>
    <row r="62" spans="1:29" ht="15" customHeight="1">
      <c r="A62" s="385">
        <f>Bonus!A61</f>
        <v>52.871099999999998</v>
      </c>
      <c r="B62" s="386" t="str">
        <f>Bonus!B61</f>
        <v>California Water Service Co. - Tesoro Viejo ARV Replacement</v>
      </c>
      <c r="C62" s="468">
        <f>Bonus!G61</f>
        <v>0.72348535233570865</v>
      </c>
      <c r="D62" s="468">
        <f>GAAP!G61</f>
        <v>0.72348535233570865</v>
      </c>
      <c r="E62" s="387">
        <f>Bonus!I61</f>
        <v>4963.1095170229619</v>
      </c>
      <c r="F62" s="388">
        <f>Bonus!F61</f>
        <v>4568.8100000000004</v>
      </c>
      <c r="G62" s="388">
        <f t="shared" si="53"/>
        <v>394.29951702296148</v>
      </c>
      <c r="H62" s="388"/>
      <c r="I62" s="388">
        <f>GAAP!I61</f>
        <v>4963.1095170229619</v>
      </c>
      <c r="J62" s="388">
        <f>GAAP!F61</f>
        <v>4568.8100000000004</v>
      </c>
      <c r="K62" s="388">
        <f t="shared" si="54"/>
        <v>394.29951702296148</v>
      </c>
      <c r="L62" s="388"/>
      <c r="M62" s="389">
        <f t="shared" si="55"/>
        <v>0</v>
      </c>
      <c r="N62" s="390">
        <f t="shared" si="56"/>
        <v>0</v>
      </c>
      <c r="O62" s="390">
        <f t="shared" si="57"/>
        <v>0</v>
      </c>
      <c r="P62" s="379"/>
      <c r="Q62" s="388">
        <f t="shared" si="58"/>
        <v>4963.1095170229619</v>
      </c>
      <c r="R62" s="388">
        <f>Bonus!Q61</f>
        <v>4568.8100000000004</v>
      </c>
      <c r="S62" s="388">
        <f>Bonus!S61</f>
        <v>394.2995170229612</v>
      </c>
      <c r="T62" s="388"/>
      <c r="U62" s="388">
        <f t="shared" si="59"/>
        <v>4963.1095170229619</v>
      </c>
      <c r="V62" s="388">
        <f>GAAP!Q61</f>
        <v>4568.8100000000004</v>
      </c>
      <c r="W62" s="388">
        <f>GAAP!S61</f>
        <v>394.2995170229612</v>
      </c>
      <c r="X62" s="388"/>
      <c r="Y62" s="389">
        <f t="shared" si="60"/>
        <v>0</v>
      </c>
      <c r="Z62" s="390">
        <f t="shared" si="61"/>
        <v>0</v>
      </c>
      <c r="AA62" s="391">
        <f t="shared" si="62"/>
        <v>0</v>
      </c>
      <c r="AC62" s="621">
        <f t="shared" si="0"/>
        <v>0</v>
      </c>
    </row>
    <row r="63" spans="1:29" ht="15" customHeight="1">
      <c r="A63" s="385">
        <f>Bonus!A62</f>
        <v>52.871299999999998</v>
      </c>
      <c r="B63" s="386" t="str">
        <f>Bonus!B62</f>
        <v>City of Visalia - Remove &amp; Replace Chain and Flight Mechanic</v>
      </c>
      <c r="C63" s="468">
        <f>Bonus!G62</f>
        <v>4.8703259311380547E-3</v>
      </c>
      <c r="D63" s="468">
        <f>GAAP!G62</f>
        <v>4.8703259311380547E-3</v>
      </c>
      <c r="E63" s="387">
        <f>Bonus!I62</f>
        <v>927.5</v>
      </c>
      <c r="F63" s="388">
        <f>Bonus!F62</f>
        <v>927.5</v>
      </c>
      <c r="G63" s="388">
        <f t="shared" si="53"/>
        <v>0</v>
      </c>
      <c r="H63" s="388"/>
      <c r="I63" s="388">
        <f>GAAP!I62</f>
        <v>927.5</v>
      </c>
      <c r="J63" s="388">
        <f>GAAP!F62</f>
        <v>927.5</v>
      </c>
      <c r="K63" s="388">
        <f t="shared" si="54"/>
        <v>0</v>
      </c>
      <c r="L63" s="388"/>
      <c r="M63" s="389">
        <f t="shared" si="55"/>
        <v>0</v>
      </c>
      <c r="N63" s="390">
        <f t="shared" si="56"/>
        <v>0</v>
      </c>
      <c r="O63" s="390">
        <f t="shared" si="57"/>
        <v>0</v>
      </c>
      <c r="P63" s="379"/>
      <c r="Q63" s="388">
        <f t="shared" si="58"/>
        <v>927.5</v>
      </c>
      <c r="R63" s="388">
        <f>Bonus!Q62</f>
        <v>927.5</v>
      </c>
      <c r="S63" s="388">
        <f>Bonus!S62</f>
        <v>0</v>
      </c>
      <c r="T63" s="388"/>
      <c r="U63" s="388">
        <f t="shared" si="59"/>
        <v>927.5</v>
      </c>
      <c r="V63" s="388">
        <f>GAAP!Q62</f>
        <v>927.5</v>
      </c>
      <c r="W63" s="388">
        <f>GAAP!S62</f>
        <v>0</v>
      </c>
      <c r="X63" s="388"/>
      <c r="Y63" s="389">
        <f t="shared" si="60"/>
        <v>0</v>
      </c>
      <c r="Z63" s="390">
        <f t="shared" si="61"/>
        <v>0</v>
      </c>
      <c r="AA63" s="391">
        <f t="shared" si="62"/>
        <v>0</v>
      </c>
      <c r="AC63" s="621">
        <f t="shared" si="0"/>
        <v>0</v>
      </c>
    </row>
    <row r="64" spans="1:29" ht="15" customHeight="1">
      <c r="A64" s="385">
        <f>Bonus!A63</f>
        <v>52.871400000000001</v>
      </c>
      <c r="B64" s="386" t="str">
        <f>Bonus!B63</f>
        <v>New England Sheet Metal and Mechanical Co. - VCH Digging Water Line T&amp;M</v>
      </c>
      <c r="C64" s="468">
        <f>Bonus!G63</f>
        <v>1</v>
      </c>
      <c r="D64" s="468">
        <f>GAAP!G63</f>
        <v>1</v>
      </c>
      <c r="E64" s="387">
        <f>Bonus!I63</f>
        <v>5084.9399999999996</v>
      </c>
      <c r="F64" s="388">
        <f>Bonus!F63</f>
        <v>4465.6099999999997</v>
      </c>
      <c r="G64" s="388">
        <f t="shared" si="53"/>
        <v>619.32999999999993</v>
      </c>
      <c r="H64" s="388"/>
      <c r="I64" s="388">
        <f>GAAP!I63</f>
        <v>5084.9399999999996</v>
      </c>
      <c r="J64" s="388">
        <f>GAAP!F63</f>
        <v>4465.6099999999997</v>
      </c>
      <c r="K64" s="388">
        <f t="shared" si="54"/>
        <v>619.32999999999993</v>
      </c>
      <c r="L64" s="388"/>
      <c r="M64" s="389">
        <f t="shared" si="55"/>
        <v>0</v>
      </c>
      <c r="N64" s="390">
        <f t="shared" si="56"/>
        <v>0</v>
      </c>
      <c r="O64" s="390">
        <f t="shared" si="57"/>
        <v>0</v>
      </c>
      <c r="P64" s="379"/>
      <c r="Q64" s="388">
        <f t="shared" si="58"/>
        <v>5084.9399999999996</v>
      </c>
      <c r="R64" s="388">
        <f>Bonus!Q63</f>
        <v>4465.6099999999997</v>
      </c>
      <c r="S64" s="388">
        <f>Bonus!S63</f>
        <v>619.32999999999993</v>
      </c>
      <c r="T64" s="388"/>
      <c r="U64" s="388">
        <f t="shared" si="59"/>
        <v>5084.9399999999996</v>
      </c>
      <c r="V64" s="388">
        <f>GAAP!Q63</f>
        <v>4465.6099999999997</v>
      </c>
      <c r="W64" s="388">
        <f>GAAP!S63</f>
        <v>619.32999999999993</v>
      </c>
      <c r="X64" s="388"/>
      <c r="Y64" s="389">
        <f t="shared" si="60"/>
        <v>0</v>
      </c>
      <c r="Z64" s="390">
        <f t="shared" si="61"/>
        <v>0</v>
      </c>
      <c r="AA64" s="391">
        <f t="shared" si="62"/>
        <v>0</v>
      </c>
      <c r="AC64" s="621">
        <f t="shared" si="0"/>
        <v>0</v>
      </c>
    </row>
    <row r="65" spans="1:29" ht="15" hidden="1" customHeight="1">
      <c r="A65" s="385"/>
      <c r="B65" s="386"/>
      <c r="C65" s="468"/>
      <c r="D65" s="468"/>
      <c r="E65" s="388"/>
      <c r="F65" s="388"/>
      <c r="G65" s="388"/>
      <c r="H65" s="388"/>
      <c r="I65" s="388"/>
      <c r="J65" s="388"/>
      <c r="K65" s="388"/>
      <c r="L65" s="388"/>
      <c r="M65" s="389"/>
      <c r="N65" s="390"/>
      <c r="O65" s="390"/>
      <c r="P65" s="379"/>
      <c r="Q65" s="388"/>
      <c r="R65" s="388">
        <v>0</v>
      </c>
      <c r="S65" s="388"/>
      <c r="T65" s="388"/>
      <c r="U65" s="388"/>
      <c r="V65" s="388"/>
      <c r="W65" s="388"/>
      <c r="X65" s="388"/>
      <c r="Y65" s="389"/>
      <c r="Z65" s="390"/>
      <c r="AA65" s="391"/>
      <c r="AC65" s="621">
        <f t="shared" si="0"/>
        <v>0</v>
      </c>
    </row>
    <row r="66" spans="1:29" ht="15" customHeight="1">
      <c r="A66" s="240" t="s">
        <v>353</v>
      </c>
      <c r="B66" s="393"/>
      <c r="E66" s="372">
        <f>SUM(E45:E65)</f>
        <v>95993750.613488436</v>
      </c>
      <c r="F66" s="396">
        <f>SUM(F45:F65)</f>
        <v>89053141.850000009</v>
      </c>
      <c r="G66" s="396">
        <f>SUM(G45:G65)</f>
        <v>6940608.7634884613</v>
      </c>
      <c r="H66" s="396"/>
      <c r="I66" s="396">
        <f>SUM(I45:I65)</f>
        <v>95974194.738554776</v>
      </c>
      <c r="J66" s="396">
        <f>SUM(J45:J65)</f>
        <v>89053141.850000009</v>
      </c>
      <c r="K66" s="396">
        <f>SUM(K45:K65)</f>
        <v>6921052.8885548003</v>
      </c>
      <c r="L66" s="394"/>
      <c r="M66" s="395">
        <f>SUM(M45:M65)</f>
        <v>19555.874933660496</v>
      </c>
      <c r="N66" s="396">
        <f>SUM(N45:N65)</f>
        <v>0</v>
      </c>
      <c r="O66" s="396">
        <f>SUM(O45:O65)</f>
        <v>19555.874933660496</v>
      </c>
      <c r="P66" s="379"/>
      <c r="Q66" s="396">
        <f>SUM(Q45:Q65)</f>
        <v>40203083.480180047</v>
      </c>
      <c r="R66" s="396">
        <f>SUM(R45:R65)</f>
        <v>37903069.310000002</v>
      </c>
      <c r="S66" s="396">
        <f>SUM(S45:S65)</f>
        <v>2300014.1701800479</v>
      </c>
      <c r="T66" s="394"/>
      <c r="U66" s="396">
        <f>SUM(U45:U65)</f>
        <v>40247978.578797057</v>
      </c>
      <c r="V66" s="396">
        <f>SUM(V45:V65)</f>
        <v>37903069.310000002</v>
      </c>
      <c r="W66" s="396">
        <f>SUM(W45:W65)</f>
        <v>2344909.2687970633</v>
      </c>
      <c r="X66" s="394"/>
      <c r="Y66" s="395">
        <f>SUM(Y45:Y65)</f>
        <v>-44895.098617015406</v>
      </c>
      <c r="Z66" s="396">
        <f>SUM(Z45:Z65)</f>
        <v>0</v>
      </c>
      <c r="AA66" s="447">
        <f>SUM(AA45:AA65)</f>
        <v>-44895.09861701545</v>
      </c>
      <c r="AC66" s="623">
        <f t="shared" si="0"/>
        <v>64450.973550675946</v>
      </c>
    </row>
    <row r="67" spans="1:29" ht="15" customHeight="1">
      <c r="A67" s="329"/>
      <c r="E67" s="370"/>
      <c r="F67" s="371"/>
      <c r="G67" s="371"/>
      <c r="H67" s="371"/>
      <c r="I67" s="371"/>
      <c r="J67" s="371"/>
      <c r="K67" s="371"/>
      <c r="L67" s="371"/>
      <c r="M67" s="372"/>
      <c r="N67" s="256"/>
      <c r="O67" s="256"/>
      <c r="P67" s="370"/>
      <c r="Q67" s="370"/>
      <c r="R67" s="371"/>
      <c r="S67" s="371"/>
      <c r="T67" s="371"/>
      <c r="U67" s="371"/>
      <c r="V67" s="371"/>
      <c r="W67" s="371"/>
      <c r="X67" s="371"/>
      <c r="Y67" s="372"/>
      <c r="Z67" s="256"/>
      <c r="AA67" s="256"/>
      <c r="AB67" s="403"/>
      <c r="AC67" s="380">
        <f t="shared" si="0"/>
        <v>0</v>
      </c>
    </row>
    <row r="68" spans="1:29" ht="15" customHeight="1">
      <c r="A68" s="240" t="s">
        <v>354</v>
      </c>
      <c r="B68" s="442"/>
      <c r="E68" s="372"/>
      <c r="F68" s="414"/>
      <c r="G68" s="414"/>
      <c r="H68" s="414"/>
      <c r="I68" s="414"/>
      <c r="J68" s="414"/>
      <c r="K68" s="414"/>
      <c r="L68" s="444"/>
      <c r="M68" s="445"/>
      <c r="N68" s="414"/>
      <c r="O68" s="414"/>
      <c r="P68" s="370"/>
      <c r="Q68" s="443"/>
      <c r="R68" s="444"/>
      <c r="S68" s="444"/>
      <c r="T68" s="444"/>
      <c r="U68" s="444"/>
      <c r="V68" s="444"/>
      <c r="W68" s="444"/>
      <c r="X68" s="444"/>
      <c r="Y68" s="445"/>
      <c r="Z68" s="414"/>
      <c r="AA68" s="446"/>
      <c r="AB68" s="403"/>
      <c r="AC68" s="624">
        <f t="shared" si="0"/>
        <v>0</v>
      </c>
    </row>
    <row r="69" spans="1:29" ht="15" customHeight="1">
      <c r="A69" s="385">
        <f>Bonus!A68</f>
        <v>52.856699999999996</v>
      </c>
      <c r="B69" s="386" t="str">
        <f>Bonus!B68</f>
        <v>City of Modesto - Grayson Well 69</v>
      </c>
      <c r="C69" s="468">
        <f>Bonus!G68</f>
        <v>1</v>
      </c>
      <c r="D69" s="468">
        <f>GAAP!G68</f>
        <v>1</v>
      </c>
      <c r="E69" s="387">
        <f>Bonus!I68</f>
        <v>3059858.99</v>
      </c>
      <c r="F69" s="388">
        <f>Bonus!F68</f>
        <v>3128023.93</v>
      </c>
      <c r="G69" s="388">
        <f t="shared" ref="G69" si="63">E69-F69</f>
        <v>-68164.939999999944</v>
      </c>
      <c r="H69" s="388"/>
      <c r="I69" s="388">
        <f>GAAP!I68</f>
        <v>3059858.99</v>
      </c>
      <c r="J69" s="388">
        <f>GAAP!F68</f>
        <v>3128023.93</v>
      </c>
      <c r="K69" s="388">
        <f t="shared" ref="K69" si="64">I69-J69</f>
        <v>-68164.939999999944</v>
      </c>
      <c r="L69" s="388"/>
      <c r="M69" s="389">
        <f>E69-I69</f>
        <v>0</v>
      </c>
      <c r="N69" s="390">
        <f t="shared" ref="N69" si="65">F69-J69</f>
        <v>0</v>
      </c>
      <c r="O69" s="390">
        <f t="shared" ref="O69" si="66">G69-K69</f>
        <v>0</v>
      </c>
      <c r="P69" s="370"/>
      <c r="Q69" s="387">
        <f t="shared" ref="Q69" si="67">R69+S69</f>
        <v>49233.730000000447</v>
      </c>
      <c r="R69" s="388">
        <f>Bonus!Q68</f>
        <v>34398.670000000391</v>
      </c>
      <c r="S69" s="388">
        <f>Bonus!S68</f>
        <v>14835.060000000056</v>
      </c>
      <c r="T69" s="388"/>
      <c r="U69" s="388">
        <f t="shared" ref="U69" si="68">V69+W69</f>
        <v>49233.730000000447</v>
      </c>
      <c r="V69" s="388">
        <f>GAAP!Q68</f>
        <v>34398.670000000391</v>
      </c>
      <c r="W69" s="388">
        <f>GAAP!S68</f>
        <v>14835.060000000056</v>
      </c>
      <c r="X69" s="388"/>
      <c r="Y69" s="389">
        <f t="shared" ref="Y69" si="69">Q69-U69</f>
        <v>0</v>
      </c>
      <c r="Z69" s="390">
        <f t="shared" ref="Z69" si="70">R69-V69</f>
        <v>0</v>
      </c>
      <c r="AA69" s="391">
        <f t="shared" ref="AA69" si="71">S69-W69</f>
        <v>0</v>
      </c>
      <c r="AB69" s="403"/>
      <c r="AC69" s="621">
        <f t="shared" ref="AC69:AC132" si="72">O69-AA69</f>
        <v>0</v>
      </c>
    </row>
    <row r="70" spans="1:29" ht="15" customHeight="1">
      <c r="A70" s="385">
        <f>Bonus!A69</f>
        <v>52.860399999999998</v>
      </c>
      <c r="B70" s="386" t="str">
        <f>Bonus!B69</f>
        <v>City of Atwater - Project No. 20-2, Well 20-A TCP Mitigation</v>
      </c>
      <c r="C70" s="468">
        <f>Bonus!G69</f>
        <v>1</v>
      </c>
      <c r="D70" s="468">
        <f>GAAP!G69</f>
        <v>1</v>
      </c>
      <c r="E70" s="387">
        <f>Bonus!I69</f>
        <v>5095690.97</v>
      </c>
      <c r="F70" s="388">
        <f>Bonus!F69</f>
        <v>4572503.2299999995</v>
      </c>
      <c r="G70" s="388">
        <f t="shared" ref="G70:G102" si="73">E70-F70</f>
        <v>523187.74000000022</v>
      </c>
      <c r="H70" s="388"/>
      <c r="I70" s="388">
        <f>GAAP!I69</f>
        <v>5095690.97</v>
      </c>
      <c r="J70" s="388">
        <f>GAAP!F69</f>
        <v>4572503.2299999995</v>
      </c>
      <c r="K70" s="388">
        <f t="shared" ref="K70:K102" si="74">I70-J70</f>
        <v>523187.74000000022</v>
      </c>
      <c r="L70" s="388"/>
      <c r="M70" s="389">
        <f t="shared" ref="M70:M102" si="75">E70-I70</f>
        <v>0</v>
      </c>
      <c r="N70" s="390">
        <f t="shared" ref="N70:N102" si="76">F70-J70</f>
        <v>0</v>
      </c>
      <c r="O70" s="390">
        <f t="shared" ref="O70:O102" si="77">G70-K70</f>
        <v>0</v>
      </c>
      <c r="P70" s="370"/>
      <c r="Q70" s="387">
        <f t="shared" ref="Q70:Q102" si="78">R70+S70</f>
        <v>1102038.347300393</v>
      </c>
      <c r="R70" s="388">
        <f>Bonus!Q69</f>
        <v>908839.73999999929</v>
      </c>
      <c r="S70" s="388">
        <f>Bonus!S69</f>
        <v>193198.60730039363</v>
      </c>
      <c r="T70" s="388"/>
      <c r="U70" s="388">
        <f t="shared" ref="U70:U102" si="79">V70+W70</f>
        <v>1102038.347300393</v>
      </c>
      <c r="V70" s="388">
        <f>GAAP!Q69</f>
        <v>908839.73999999929</v>
      </c>
      <c r="W70" s="388">
        <f>GAAP!S69</f>
        <v>193198.60730039363</v>
      </c>
      <c r="X70" s="388"/>
      <c r="Y70" s="389">
        <f t="shared" ref="Y70:Y102" si="80">Q70-U70</f>
        <v>0</v>
      </c>
      <c r="Z70" s="390">
        <f t="shared" ref="Z70:Z102" si="81">R70-V70</f>
        <v>0</v>
      </c>
      <c r="AA70" s="391">
        <f t="shared" ref="AA70:AA102" si="82">S70-W70</f>
        <v>0</v>
      </c>
      <c r="AB70" s="403"/>
      <c r="AC70" s="621">
        <f t="shared" si="72"/>
        <v>0</v>
      </c>
    </row>
    <row r="71" spans="1:29" ht="15" customHeight="1">
      <c r="A71" s="385">
        <f>Bonus!A70</f>
        <v>52.8628</v>
      </c>
      <c r="B71" s="386" t="str">
        <f>Bonus!B70</f>
        <v>City of Tulare - Well 4-3 Equipping &amp; I Drive Pipeline Proj.</v>
      </c>
      <c r="C71" s="468">
        <f>Bonus!G70</f>
        <v>1</v>
      </c>
      <c r="D71" s="468">
        <f>GAAP!G70</f>
        <v>1</v>
      </c>
      <c r="E71" s="387">
        <f>Bonus!I70</f>
        <v>5213345.5</v>
      </c>
      <c r="F71" s="388">
        <f>Bonus!F70</f>
        <v>4745798.53</v>
      </c>
      <c r="G71" s="388">
        <f t="shared" si="73"/>
        <v>467546.96999999974</v>
      </c>
      <c r="H71" s="388"/>
      <c r="I71" s="388">
        <f>GAAP!I70</f>
        <v>5213345.5</v>
      </c>
      <c r="J71" s="388">
        <f>GAAP!F70</f>
        <v>4745798.53</v>
      </c>
      <c r="K71" s="388">
        <f t="shared" si="74"/>
        <v>467546.96999999974</v>
      </c>
      <c r="L71" s="388"/>
      <c r="M71" s="389">
        <f t="shared" si="75"/>
        <v>0</v>
      </c>
      <c r="N71" s="390">
        <f t="shared" si="76"/>
        <v>0</v>
      </c>
      <c r="O71" s="390">
        <f t="shared" si="77"/>
        <v>0</v>
      </c>
      <c r="P71" s="370"/>
      <c r="Q71" s="387">
        <f t="shared" si="78"/>
        <v>1174192.7562307622</v>
      </c>
      <c r="R71" s="388">
        <f>Bonus!Q70</f>
        <v>903870.54</v>
      </c>
      <c r="S71" s="388">
        <f>Bonus!S70</f>
        <v>270322.21623076213</v>
      </c>
      <c r="T71" s="388"/>
      <c r="U71" s="388">
        <f t="shared" si="79"/>
        <v>1174192.7562307622</v>
      </c>
      <c r="V71" s="388">
        <f>GAAP!Q70</f>
        <v>903870.54</v>
      </c>
      <c r="W71" s="388">
        <f>GAAP!S70</f>
        <v>270322.21623076213</v>
      </c>
      <c r="X71" s="388"/>
      <c r="Y71" s="389">
        <f t="shared" si="80"/>
        <v>0</v>
      </c>
      <c r="Z71" s="390">
        <f t="shared" si="81"/>
        <v>0</v>
      </c>
      <c r="AA71" s="391">
        <f t="shared" si="82"/>
        <v>0</v>
      </c>
      <c r="AB71" s="403"/>
      <c r="AC71" s="621">
        <f t="shared" si="72"/>
        <v>0</v>
      </c>
    </row>
    <row r="72" spans="1:29" ht="15" customHeight="1">
      <c r="A72" s="385">
        <f>Bonus!A71</f>
        <v>52.863100000000003</v>
      </c>
      <c r="B72" s="386" t="str">
        <f>Bonus!B71</f>
        <v>Gunner Ranch, Inc. - Well 1 Equipping and Site Improvements</v>
      </c>
      <c r="C72" s="468">
        <f>Bonus!G71</f>
        <v>1</v>
      </c>
      <c r="D72" s="468">
        <f>GAAP!G71</f>
        <v>1</v>
      </c>
      <c r="E72" s="387">
        <f>Bonus!I71</f>
        <v>2560650.14</v>
      </c>
      <c r="F72" s="388">
        <f>Bonus!F71</f>
        <v>2448658.2599999998</v>
      </c>
      <c r="G72" s="388">
        <f t="shared" si="73"/>
        <v>111991.88000000035</v>
      </c>
      <c r="H72" s="388"/>
      <c r="I72" s="388">
        <f>GAAP!I71</f>
        <v>2560650.14</v>
      </c>
      <c r="J72" s="388">
        <f>GAAP!F71</f>
        <v>2448658.2599999998</v>
      </c>
      <c r="K72" s="388">
        <f t="shared" si="74"/>
        <v>111991.88000000035</v>
      </c>
      <c r="L72" s="388"/>
      <c r="M72" s="389">
        <f t="shared" si="75"/>
        <v>0</v>
      </c>
      <c r="N72" s="390">
        <f t="shared" si="76"/>
        <v>0</v>
      </c>
      <c r="O72" s="390">
        <f t="shared" si="77"/>
        <v>0</v>
      </c>
      <c r="P72" s="370"/>
      <c r="Q72" s="387">
        <f t="shared" si="78"/>
        <v>237953.29946284663</v>
      </c>
      <c r="R72" s="388">
        <f>Bonus!Q71</f>
        <v>198965.11999999965</v>
      </c>
      <c r="S72" s="388">
        <f>Bonus!S71</f>
        <v>38988.17946284698</v>
      </c>
      <c r="T72" s="388"/>
      <c r="U72" s="388">
        <f t="shared" si="79"/>
        <v>237953.29946284663</v>
      </c>
      <c r="V72" s="388">
        <f>GAAP!Q71</f>
        <v>198965.11999999965</v>
      </c>
      <c r="W72" s="388">
        <f>GAAP!S71</f>
        <v>38988.17946284698</v>
      </c>
      <c r="X72" s="388"/>
      <c r="Y72" s="389">
        <f t="shared" si="80"/>
        <v>0</v>
      </c>
      <c r="Z72" s="390">
        <f t="shared" si="81"/>
        <v>0</v>
      </c>
      <c r="AA72" s="391">
        <f t="shared" si="82"/>
        <v>0</v>
      </c>
      <c r="AB72" s="403"/>
      <c r="AC72" s="621">
        <f t="shared" si="72"/>
        <v>0</v>
      </c>
    </row>
    <row r="73" spans="1:29" ht="15" customHeight="1">
      <c r="A73" s="385">
        <f>Bonus!A72</f>
        <v>52.865200000000002</v>
      </c>
      <c r="B73" s="386" t="str">
        <f>Bonus!B72</f>
        <v>California Water Service Co. - Salinas 77 Booster Station</v>
      </c>
      <c r="C73" s="468">
        <f>Bonus!G72</f>
        <v>1</v>
      </c>
      <c r="D73" s="468">
        <f>GAAP!G72</f>
        <v>1</v>
      </c>
      <c r="E73" s="387">
        <f>Bonus!I72</f>
        <v>1290184</v>
      </c>
      <c r="F73" s="388">
        <f>Bonus!F72</f>
        <v>1039376.08</v>
      </c>
      <c r="G73" s="388">
        <f t="shared" si="73"/>
        <v>250807.92000000004</v>
      </c>
      <c r="H73" s="388"/>
      <c r="I73" s="388">
        <f>GAAP!I72</f>
        <v>1290184</v>
      </c>
      <c r="J73" s="388">
        <f>GAAP!F72</f>
        <v>1039376.08</v>
      </c>
      <c r="K73" s="388">
        <f t="shared" si="74"/>
        <v>250807.92000000004</v>
      </c>
      <c r="L73" s="388"/>
      <c r="M73" s="389">
        <f t="shared" si="75"/>
        <v>0</v>
      </c>
      <c r="N73" s="390">
        <f t="shared" si="76"/>
        <v>0</v>
      </c>
      <c r="O73" s="390">
        <f t="shared" si="77"/>
        <v>0</v>
      </c>
      <c r="P73" s="370"/>
      <c r="Q73" s="387">
        <f t="shared" si="78"/>
        <v>133540.67255999972</v>
      </c>
      <c r="R73" s="388">
        <f>Bonus!Q72</f>
        <v>53431.589999999967</v>
      </c>
      <c r="S73" s="388">
        <f>Bonus!S72</f>
        <v>80109.082559999748</v>
      </c>
      <c r="T73" s="388"/>
      <c r="U73" s="388">
        <f t="shared" si="79"/>
        <v>133540.67255999972</v>
      </c>
      <c r="V73" s="388">
        <f>GAAP!Q72</f>
        <v>53431.589999999967</v>
      </c>
      <c r="W73" s="388">
        <f>GAAP!S72</f>
        <v>80109.082559999748</v>
      </c>
      <c r="X73" s="388"/>
      <c r="Y73" s="389">
        <f t="shared" si="80"/>
        <v>0</v>
      </c>
      <c r="Z73" s="390">
        <f t="shared" si="81"/>
        <v>0</v>
      </c>
      <c r="AA73" s="391">
        <f t="shared" si="82"/>
        <v>0</v>
      </c>
      <c r="AB73" s="403"/>
      <c r="AC73" s="621">
        <f t="shared" si="72"/>
        <v>0</v>
      </c>
    </row>
    <row r="74" spans="1:29" ht="15" customHeight="1">
      <c r="A74" s="385">
        <f>Bonus!A73</f>
        <v>52.8658</v>
      </c>
      <c r="B74" s="386" t="str">
        <f>Bonus!B73</f>
        <v>California Water Service Co. - Visalia Station 98 Water Storage Tank &amp; Booster Site</v>
      </c>
      <c r="C74" s="468">
        <f>Bonus!G73</f>
        <v>1</v>
      </c>
      <c r="D74" s="468">
        <f>GAAP!G73</f>
        <v>1</v>
      </c>
      <c r="E74" s="387">
        <f>Bonus!I73</f>
        <v>1870914.99</v>
      </c>
      <c r="F74" s="388">
        <f>Bonus!F73</f>
        <v>1633530.21</v>
      </c>
      <c r="G74" s="388">
        <f t="shared" si="73"/>
        <v>237384.78000000003</v>
      </c>
      <c r="H74" s="388"/>
      <c r="I74" s="388">
        <f>GAAP!I73</f>
        <v>1870914.99</v>
      </c>
      <c r="J74" s="388">
        <f>GAAP!F73</f>
        <v>1633530.21</v>
      </c>
      <c r="K74" s="388">
        <f t="shared" si="74"/>
        <v>237384.78000000003</v>
      </c>
      <c r="L74" s="388"/>
      <c r="M74" s="389">
        <f t="shared" si="75"/>
        <v>0</v>
      </c>
      <c r="N74" s="390">
        <f t="shared" si="76"/>
        <v>0</v>
      </c>
      <c r="O74" s="390">
        <f t="shared" si="77"/>
        <v>0</v>
      </c>
      <c r="P74" s="370"/>
      <c r="Q74" s="387">
        <f t="shared" si="78"/>
        <v>200545.21999999997</v>
      </c>
      <c r="R74" s="388">
        <f>Bonus!Q73</f>
        <v>111911.43999999994</v>
      </c>
      <c r="S74" s="388">
        <f>Bonus!S73</f>
        <v>88633.780000000028</v>
      </c>
      <c r="T74" s="388"/>
      <c r="U74" s="388">
        <f t="shared" si="79"/>
        <v>203409.6146150587</v>
      </c>
      <c r="V74" s="388">
        <f>GAAP!Q73</f>
        <v>111911.43999999994</v>
      </c>
      <c r="W74" s="388">
        <f>GAAP!S73</f>
        <v>91498.174615058757</v>
      </c>
      <c r="X74" s="388"/>
      <c r="Y74" s="389">
        <f t="shared" si="80"/>
        <v>-2864.394615058729</v>
      </c>
      <c r="Z74" s="390">
        <f t="shared" si="81"/>
        <v>0</v>
      </c>
      <c r="AA74" s="391">
        <f t="shared" si="82"/>
        <v>-2864.394615058729</v>
      </c>
      <c r="AB74" s="403"/>
      <c r="AC74" s="621">
        <f t="shared" si="72"/>
        <v>2864.394615058729</v>
      </c>
    </row>
    <row r="75" spans="1:29" ht="15" customHeight="1">
      <c r="A75" s="385">
        <f>Bonus!A74</f>
        <v>52.866300000000003</v>
      </c>
      <c r="B75" s="386" t="str">
        <f>Bonus!B74</f>
        <v>Root Creek Water Dist. - Ag Well 277 Conversion Project</v>
      </c>
      <c r="C75" s="468">
        <f>Bonus!G74</f>
        <v>1</v>
      </c>
      <c r="D75" s="468">
        <f>GAAP!G74</f>
        <v>1</v>
      </c>
      <c r="E75" s="387">
        <f>Bonus!I74</f>
        <v>1641800</v>
      </c>
      <c r="F75" s="388">
        <f>Bonus!F74</f>
        <v>1379688.28</v>
      </c>
      <c r="G75" s="388">
        <f t="shared" si="73"/>
        <v>262111.71999999997</v>
      </c>
      <c r="H75" s="388"/>
      <c r="I75" s="388">
        <f>GAAP!I74</f>
        <v>1641800</v>
      </c>
      <c r="J75" s="388">
        <f>GAAP!F74</f>
        <v>1379688.28</v>
      </c>
      <c r="K75" s="388">
        <f t="shared" si="74"/>
        <v>262111.71999999997</v>
      </c>
      <c r="L75" s="388"/>
      <c r="M75" s="389">
        <f t="shared" si="75"/>
        <v>0</v>
      </c>
      <c r="N75" s="390">
        <f t="shared" si="76"/>
        <v>0</v>
      </c>
      <c r="O75" s="390">
        <f t="shared" si="77"/>
        <v>0</v>
      </c>
      <c r="P75" s="370"/>
      <c r="Q75" s="387">
        <f t="shared" si="78"/>
        <v>1192257.6591726297</v>
      </c>
      <c r="R75" s="388">
        <f>Bonus!Q74</f>
        <v>972822.89</v>
      </c>
      <c r="S75" s="388">
        <f>Bonus!S74</f>
        <v>219434.76917262975</v>
      </c>
      <c r="T75" s="388"/>
      <c r="U75" s="388">
        <f t="shared" si="79"/>
        <v>1192257.6591726297</v>
      </c>
      <c r="V75" s="388">
        <f>GAAP!Q74</f>
        <v>972822.89</v>
      </c>
      <c r="W75" s="388">
        <f>GAAP!S74</f>
        <v>219434.76917262975</v>
      </c>
      <c r="X75" s="388"/>
      <c r="Y75" s="389">
        <f t="shared" si="80"/>
        <v>0</v>
      </c>
      <c r="Z75" s="390">
        <f t="shared" si="81"/>
        <v>0</v>
      </c>
      <c r="AA75" s="391">
        <f t="shared" si="82"/>
        <v>0</v>
      </c>
      <c r="AB75" s="403"/>
      <c r="AC75" s="621">
        <f t="shared" si="72"/>
        <v>0</v>
      </c>
    </row>
    <row r="76" spans="1:29" ht="15" customHeight="1">
      <c r="A76" s="385">
        <f>Bonus!A75</f>
        <v>52.866700000000002</v>
      </c>
      <c r="B76" s="386" t="str">
        <f>Bonus!B75</f>
        <v>California Water Service Co. - Cal Water Salinas Station 33</v>
      </c>
      <c r="C76" s="468">
        <f>Bonus!G75</f>
        <v>1</v>
      </c>
      <c r="D76" s="468">
        <f>GAAP!G75</f>
        <v>1</v>
      </c>
      <c r="E76" s="387">
        <f>Bonus!I75</f>
        <v>314085.77</v>
      </c>
      <c r="F76" s="388">
        <f>Bonus!F75</f>
        <v>290726.11</v>
      </c>
      <c r="G76" s="388">
        <f t="shared" si="73"/>
        <v>23359.660000000033</v>
      </c>
      <c r="H76" s="388"/>
      <c r="I76" s="388">
        <f>GAAP!I75</f>
        <v>314085.77</v>
      </c>
      <c r="J76" s="388">
        <f>GAAP!F75</f>
        <v>290726.11</v>
      </c>
      <c r="K76" s="388">
        <f t="shared" si="74"/>
        <v>23359.660000000033</v>
      </c>
      <c r="L76" s="388"/>
      <c r="M76" s="389">
        <f t="shared" si="75"/>
        <v>0</v>
      </c>
      <c r="N76" s="390">
        <f t="shared" si="76"/>
        <v>0</v>
      </c>
      <c r="O76" s="390">
        <f t="shared" si="77"/>
        <v>0</v>
      </c>
      <c r="P76" s="370"/>
      <c r="Q76" s="387">
        <f t="shared" si="78"/>
        <v>1869.5546516007962</v>
      </c>
      <c r="R76" s="388">
        <f>Bonus!Q75</f>
        <v>5378.7600000000093</v>
      </c>
      <c r="S76" s="388">
        <f>Bonus!S75</f>
        <v>-3509.2053483992131</v>
      </c>
      <c r="T76" s="388"/>
      <c r="U76" s="388">
        <f t="shared" si="79"/>
        <v>1869.5546516007962</v>
      </c>
      <c r="V76" s="388">
        <f>GAAP!Q75</f>
        <v>5378.7600000000093</v>
      </c>
      <c r="W76" s="388">
        <f>GAAP!S75</f>
        <v>-3509.2053483992131</v>
      </c>
      <c r="X76" s="388"/>
      <c r="Y76" s="389">
        <f t="shared" si="80"/>
        <v>0</v>
      </c>
      <c r="Z76" s="390">
        <f t="shared" si="81"/>
        <v>0</v>
      </c>
      <c r="AA76" s="391">
        <f t="shared" si="82"/>
        <v>0</v>
      </c>
      <c r="AC76" s="621">
        <f t="shared" si="72"/>
        <v>0</v>
      </c>
    </row>
    <row r="77" spans="1:29" ht="15" customHeight="1">
      <c r="A77" s="385">
        <f>Bonus!A76</f>
        <v>52.866999999999997</v>
      </c>
      <c r="B77" s="386" t="str">
        <f>Bonus!B76</f>
        <v>California Water Service Co. - Cal Water - King City Station 10</v>
      </c>
      <c r="C77" s="468">
        <f>Bonus!G76</f>
        <v>1</v>
      </c>
      <c r="D77" s="468">
        <f>GAAP!G76</f>
        <v>1</v>
      </c>
      <c r="E77" s="387">
        <f>Bonus!I76</f>
        <v>274166.01</v>
      </c>
      <c r="F77" s="388">
        <f>Bonus!F76</f>
        <v>267282.05</v>
      </c>
      <c r="G77" s="388">
        <f t="shared" si="73"/>
        <v>6883.960000000021</v>
      </c>
      <c r="H77" s="388"/>
      <c r="I77" s="388">
        <f>GAAP!I76</f>
        <v>274166.01</v>
      </c>
      <c r="J77" s="388">
        <f>GAAP!F76</f>
        <v>267282.05</v>
      </c>
      <c r="K77" s="388">
        <f t="shared" si="74"/>
        <v>6883.960000000021</v>
      </c>
      <c r="L77" s="388"/>
      <c r="M77" s="389">
        <f t="shared" si="75"/>
        <v>0</v>
      </c>
      <c r="N77" s="390">
        <f t="shared" si="76"/>
        <v>0</v>
      </c>
      <c r="O77" s="390">
        <f t="shared" si="77"/>
        <v>0</v>
      </c>
      <c r="P77" s="370"/>
      <c r="Q77" s="387">
        <f t="shared" si="78"/>
        <v>142646.06441510079</v>
      </c>
      <c r="R77" s="388">
        <f>Bonus!Q76</f>
        <v>146166.53999999998</v>
      </c>
      <c r="S77" s="388">
        <f>Bonus!S76</f>
        <v>-3520.475584899179</v>
      </c>
      <c r="T77" s="388"/>
      <c r="U77" s="388">
        <f t="shared" si="79"/>
        <v>142646.06441510079</v>
      </c>
      <c r="V77" s="388">
        <f>GAAP!Q76</f>
        <v>146166.53999999998</v>
      </c>
      <c r="W77" s="388">
        <f>GAAP!S76</f>
        <v>-3520.475584899179</v>
      </c>
      <c r="X77" s="388"/>
      <c r="Y77" s="389">
        <f t="shared" si="80"/>
        <v>0</v>
      </c>
      <c r="Z77" s="390">
        <f t="shared" si="81"/>
        <v>0</v>
      </c>
      <c r="AA77" s="391">
        <f t="shared" si="82"/>
        <v>0</v>
      </c>
      <c r="AC77" s="621">
        <f t="shared" si="72"/>
        <v>0</v>
      </c>
    </row>
    <row r="78" spans="1:29" ht="15" customHeight="1">
      <c r="A78" s="385">
        <f>Bonus!A77</f>
        <v>52.867400000000004</v>
      </c>
      <c r="B78" s="386" t="str">
        <f>Bonus!B77</f>
        <v>City of Hanford - WWTP Standby Influent Pump Install</v>
      </c>
      <c r="C78" s="468">
        <f>Bonus!G77</f>
        <v>1</v>
      </c>
      <c r="D78" s="468">
        <f>GAAP!G77</f>
        <v>1</v>
      </c>
      <c r="E78" s="387">
        <f>Bonus!I77</f>
        <v>279244</v>
      </c>
      <c r="F78" s="388">
        <f>Bonus!F77</f>
        <v>251088.2</v>
      </c>
      <c r="G78" s="388">
        <f t="shared" si="73"/>
        <v>28155.799999999988</v>
      </c>
      <c r="H78" s="388"/>
      <c r="I78" s="388">
        <f>GAAP!I77</f>
        <v>279244</v>
      </c>
      <c r="J78" s="388">
        <f>GAAP!F77</f>
        <v>251088.2</v>
      </c>
      <c r="K78" s="388">
        <f t="shared" si="74"/>
        <v>28155.799999999988</v>
      </c>
      <c r="L78" s="388"/>
      <c r="M78" s="389">
        <f t="shared" si="75"/>
        <v>0</v>
      </c>
      <c r="N78" s="390">
        <f t="shared" si="76"/>
        <v>0</v>
      </c>
      <c r="O78" s="390">
        <f t="shared" si="77"/>
        <v>0</v>
      </c>
      <c r="P78" s="370"/>
      <c r="Q78" s="387">
        <f t="shared" si="78"/>
        <v>78969.796449779489</v>
      </c>
      <c r="R78" s="388">
        <f>Bonus!Q77</f>
        <v>66348.580000000016</v>
      </c>
      <c r="S78" s="388">
        <f>Bonus!S77</f>
        <v>12621.216449779478</v>
      </c>
      <c r="T78" s="388"/>
      <c r="U78" s="388">
        <f t="shared" si="79"/>
        <v>78969.796449779489</v>
      </c>
      <c r="V78" s="388">
        <f>GAAP!Q77</f>
        <v>66348.580000000016</v>
      </c>
      <c r="W78" s="388">
        <f>GAAP!S77</f>
        <v>12621.216449779478</v>
      </c>
      <c r="X78" s="388"/>
      <c r="Y78" s="389">
        <f t="shared" si="80"/>
        <v>0</v>
      </c>
      <c r="Z78" s="390">
        <f t="shared" si="81"/>
        <v>0</v>
      </c>
      <c r="AA78" s="391">
        <f t="shared" si="82"/>
        <v>0</v>
      </c>
      <c r="AC78" s="621">
        <f t="shared" si="72"/>
        <v>0</v>
      </c>
    </row>
    <row r="79" spans="1:29" ht="15" customHeight="1">
      <c r="A79" s="385">
        <f>Bonus!A78</f>
        <v>52.867699999999999</v>
      </c>
      <c r="B79" s="386" t="str">
        <f>Bonus!B78</f>
        <v>Gunner Ranch, Inc. - CSA 22C Tank and PW2 Site Improvements</v>
      </c>
      <c r="C79" s="468">
        <f>Bonus!G78</f>
        <v>1</v>
      </c>
      <c r="D79" s="468">
        <f>GAAP!G78</f>
        <v>1</v>
      </c>
      <c r="E79" s="387">
        <f>Bonus!I78</f>
        <v>796055.3</v>
      </c>
      <c r="F79" s="388">
        <f>Bonus!F78</f>
        <v>689831.96</v>
      </c>
      <c r="G79" s="388">
        <f t="shared" si="73"/>
        <v>106223.34000000008</v>
      </c>
      <c r="H79" s="388"/>
      <c r="I79" s="388">
        <f>GAAP!I78</f>
        <v>796055.3</v>
      </c>
      <c r="J79" s="388">
        <f>GAAP!F78</f>
        <v>689831.96</v>
      </c>
      <c r="K79" s="388">
        <f t="shared" si="74"/>
        <v>106223.34000000008</v>
      </c>
      <c r="L79" s="388"/>
      <c r="M79" s="389">
        <f t="shared" si="75"/>
        <v>0</v>
      </c>
      <c r="N79" s="390">
        <f t="shared" si="76"/>
        <v>0</v>
      </c>
      <c r="O79" s="390">
        <f t="shared" si="77"/>
        <v>0</v>
      </c>
      <c r="P79" s="370"/>
      <c r="Q79" s="387">
        <f t="shared" si="78"/>
        <v>762769.27</v>
      </c>
      <c r="R79" s="388">
        <f>Bonus!Q78</f>
        <v>656545.92999999993</v>
      </c>
      <c r="S79" s="388">
        <f>Bonus!S78</f>
        <v>106223.34000000008</v>
      </c>
      <c r="T79" s="388"/>
      <c r="U79" s="388">
        <f t="shared" si="79"/>
        <v>762769.27</v>
      </c>
      <c r="V79" s="388">
        <f>GAAP!Q78</f>
        <v>656545.92999999993</v>
      </c>
      <c r="W79" s="388">
        <f>GAAP!S78</f>
        <v>106223.34000000008</v>
      </c>
      <c r="X79" s="388"/>
      <c r="Y79" s="389">
        <f t="shared" si="80"/>
        <v>0</v>
      </c>
      <c r="Z79" s="390">
        <f t="shared" si="81"/>
        <v>0</v>
      </c>
      <c r="AA79" s="391">
        <f t="shared" si="82"/>
        <v>0</v>
      </c>
      <c r="AC79" s="621">
        <f t="shared" si="72"/>
        <v>0</v>
      </c>
    </row>
    <row r="80" spans="1:29" ht="15" customHeight="1">
      <c r="A80" s="385">
        <f>Bonus!A79</f>
        <v>52.868000000000002</v>
      </c>
      <c r="B80" s="386" t="str">
        <f>Bonus!B79</f>
        <v>City of Orange Cove - Orange Cove West Clarifier T&amp;M</v>
      </c>
      <c r="C80" s="468">
        <f>Bonus!G79</f>
        <v>1</v>
      </c>
      <c r="D80" s="468">
        <f>GAAP!G79</f>
        <v>1</v>
      </c>
      <c r="E80" s="387">
        <f>Bonus!I79</f>
        <v>29838.25</v>
      </c>
      <c r="F80" s="388">
        <f>Bonus!F79</f>
        <v>26088.33</v>
      </c>
      <c r="G80" s="388">
        <f t="shared" si="73"/>
        <v>3749.9199999999983</v>
      </c>
      <c r="H80" s="388"/>
      <c r="I80" s="388">
        <f>GAAP!I79</f>
        <v>29838.25</v>
      </c>
      <c r="J80" s="388">
        <f>GAAP!F79</f>
        <v>26088.33</v>
      </c>
      <c r="K80" s="388">
        <f t="shared" si="74"/>
        <v>3749.9199999999983</v>
      </c>
      <c r="L80" s="388"/>
      <c r="M80" s="389">
        <f t="shared" si="75"/>
        <v>0</v>
      </c>
      <c r="N80" s="390">
        <f t="shared" si="76"/>
        <v>0</v>
      </c>
      <c r="O80" s="390">
        <f t="shared" si="77"/>
        <v>0</v>
      </c>
      <c r="P80" s="370"/>
      <c r="Q80" s="387">
        <f t="shared" si="78"/>
        <v>23324.04</v>
      </c>
      <c r="R80" s="388">
        <f>Bonus!Q79</f>
        <v>19574.120000000003</v>
      </c>
      <c r="S80" s="388">
        <f>Bonus!S79</f>
        <v>3749.9199999999983</v>
      </c>
      <c r="T80" s="388"/>
      <c r="U80" s="388">
        <f t="shared" si="79"/>
        <v>23324.04</v>
      </c>
      <c r="V80" s="388">
        <f>GAAP!Q79</f>
        <v>19574.120000000003</v>
      </c>
      <c r="W80" s="388">
        <f>GAAP!S79</f>
        <v>3749.9199999999983</v>
      </c>
      <c r="X80" s="388"/>
      <c r="Y80" s="389">
        <f t="shared" si="80"/>
        <v>0</v>
      </c>
      <c r="Z80" s="390">
        <f t="shared" si="81"/>
        <v>0</v>
      </c>
      <c r="AA80" s="391">
        <f t="shared" si="82"/>
        <v>0</v>
      </c>
      <c r="AC80" s="621">
        <f t="shared" si="72"/>
        <v>0</v>
      </c>
    </row>
    <row r="81" spans="1:29" ht="15" customHeight="1">
      <c r="A81" s="385">
        <f>Bonus!A80</f>
        <v>52.868200000000002</v>
      </c>
      <c r="B81" s="386" t="str">
        <f>Bonus!B80</f>
        <v>Fresno Overhead 2025</v>
      </c>
      <c r="C81" s="468">
        <f>Bonus!G80</f>
        <v>1</v>
      </c>
      <c r="D81" s="468">
        <f>GAAP!G80</f>
        <v>1</v>
      </c>
      <c r="E81" s="387">
        <f>Bonus!I80</f>
        <v>0</v>
      </c>
      <c r="F81" s="388">
        <f>Bonus!F80</f>
        <v>1121157.1000000001</v>
      </c>
      <c r="G81" s="388">
        <f t="shared" ref="G81:G82" si="83">E81-F81</f>
        <v>-1121157.1000000001</v>
      </c>
      <c r="H81" s="388"/>
      <c r="I81" s="388">
        <f>GAAP!I80</f>
        <v>0</v>
      </c>
      <c r="J81" s="388">
        <f>GAAP!F80</f>
        <v>1121157.1000000001</v>
      </c>
      <c r="K81" s="388">
        <f t="shared" ref="K81:K82" si="84">I81-J81</f>
        <v>-1121157.1000000001</v>
      </c>
      <c r="L81" s="388"/>
      <c r="M81" s="389">
        <f t="shared" ref="M81:M82" si="85">E81-I81</f>
        <v>0</v>
      </c>
      <c r="N81" s="390">
        <f t="shared" ref="N81:N82" si="86">F81-J81</f>
        <v>0</v>
      </c>
      <c r="O81" s="390">
        <f t="shared" ref="O81:O82" si="87">G81-K81</f>
        <v>0</v>
      </c>
      <c r="P81" s="370"/>
      <c r="Q81" s="387">
        <f t="shared" ref="Q81:Q82" si="88">R81+S81</f>
        <v>0</v>
      </c>
      <c r="R81" s="388">
        <f>Bonus!Q80</f>
        <v>1121157.1000000001</v>
      </c>
      <c r="S81" s="388">
        <f>Bonus!S80</f>
        <v>-1121157.1000000001</v>
      </c>
      <c r="T81" s="388"/>
      <c r="U81" s="388">
        <f t="shared" ref="U81:U82" si="89">V81+W81</f>
        <v>0</v>
      </c>
      <c r="V81" s="388">
        <f>GAAP!Q80</f>
        <v>1121157.1000000001</v>
      </c>
      <c r="W81" s="388">
        <f>GAAP!S80</f>
        <v>-1121157.1000000001</v>
      </c>
      <c r="X81" s="388"/>
      <c r="Y81" s="389">
        <f t="shared" ref="Y81:Y82" si="90">Q81-U81</f>
        <v>0</v>
      </c>
      <c r="Z81" s="390">
        <f t="shared" ref="Z81:Z82" si="91">R81-V81</f>
        <v>0</v>
      </c>
      <c r="AA81" s="391">
        <f t="shared" ref="AA81:AA82" si="92">S81-W81</f>
        <v>0</v>
      </c>
      <c r="AC81" s="621">
        <f t="shared" si="72"/>
        <v>0</v>
      </c>
    </row>
    <row r="82" spans="1:29" ht="15" customHeight="1">
      <c r="A82" s="385">
        <f>Bonus!A81</f>
        <v>52.868299999999998</v>
      </c>
      <c r="B82" s="386" t="str">
        <f>Bonus!B81</f>
        <v>Fresno Estimating 2025</v>
      </c>
      <c r="C82" s="468">
        <f>Bonus!G81</f>
        <v>1</v>
      </c>
      <c r="D82" s="468">
        <f>GAAP!G81</f>
        <v>1</v>
      </c>
      <c r="E82" s="387">
        <f>Bonus!I81</f>
        <v>0</v>
      </c>
      <c r="F82" s="388">
        <f>Bonus!F81</f>
        <v>415452.52</v>
      </c>
      <c r="G82" s="388">
        <f t="shared" si="83"/>
        <v>-415452.52</v>
      </c>
      <c r="H82" s="388"/>
      <c r="I82" s="388">
        <f>GAAP!I81</f>
        <v>0</v>
      </c>
      <c r="J82" s="388">
        <f>GAAP!F81</f>
        <v>415452.52</v>
      </c>
      <c r="K82" s="388">
        <f t="shared" si="84"/>
        <v>-415452.52</v>
      </c>
      <c r="L82" s="388"/>
      <c r="M82" s="389">
        <f t="shared" si="85"/>
        <v>0</v>
      </c>
      <c r="N82" s="390">
        <f t="shared" si="86"/>
        <v>0</v>
      </c>
      <c r="O82" s="390">
        <f t="shared" si="87"/>
        <v>0</v>
      </c>
      <c r="P82" s="370"/>
      <c r="Q82" s="387">
        <f t="shared" si="88"/>
        <v>0</v>
      </c>
      <c r="R82" s="388">
        <f>Bonus!Q81</f>
        <v>415452.52</v>
      </c>
      <c r="S82" s="388">
        <f>Bonus!S81</f>
        <v>-415452.52</v>
      </c>
      <c r="T82" s="388"/>
      <c r="U82" s="388">
        <f t="shared" si="89"/>
        <v>0</v>
      </c>
      <c r="V82" s="388">
        <f>GAAP!Q81</f>
        <v>415452.52</v>
      </c>
      <c r="W82" s="388">
        <f>GAAP!S81</f>
        <v>-415452.52</v>
      </c>
      <c r="X82" s="388"/>
      <c r="Y82" s="389">
        <f t="shared" si="90"/>
        <v>0</v>
      </c>
      <c r="Z82" s="390">
        <f t="shared" si="91"/>
        <v>0</v>
      </c>
      <c r="AA82" s="391">
        <f t="shared" si="92"/>
        <v>0</v>
      </c>
      <c r="AC82" s="621">
        <f t="shared" si="72"/>
        <v>0</v>
      </c>
    </row>
    <row r="83" spans="1:29" ht="15" customHeight="1">
      <c r="A83" s="385">
        <f>Bonus!A82</f>
        <v>52.868400000000001</v>
      </c>
      <c r="B83" s="386" t="str">
        <f>Bonus!B82</f>
        <v>Lakeside Ditch Co. - Lakeland Radial Gate Repair (T&amp;M)</v>
      </c>
      <c r="C83" s="468">
        <f>Bonus!G82</f>
        <v>1</v>
      </c>
      <c r="D83" s="468">
        <f>GAAP!G82</f>
        <v>1</v>
      </c>
      <c r="E83" s="387">
        <f>Bonus!I82</f>
        <v>50568.05</v>
      </c>
      <c r="F83" s="388">
        <f>Bonus!F82</f>
        <v>45291.39</v>
      </c>
      <c r="G83" s="388">
        <f t="shared" si="73"/>
        <v>5276.6600000000035</v>
      </c>
      <c r="H83" s="388"/>
      <c r="I83" s="388">
        <f>GAAP!I82</f>
        <v>50568.05</v>
      </c>
      <c r="J83" s="388">
        <f>GAAP!F82</f>
        <v>45291.39</v>
      </c>
      <c r="K83" s="388">
        <f t="shared" si="74"/>
        <v>5276.6600000000035</v>
      </c>
      <c r="L83" s="388"/>
      <c r="M83" s="389">
        <f t="shared" si="75"/>
        <v>0</v>
      </c>
      <c r="N83" s="390">
        <f t="shared" si="76"/>
        <v>0</v>
      </c>
      <c r="O83" s="390">
        <f t="shared" si="77"/>
        <v>0</v>
      </c>
      <c r="P83" s="370"/>
      <c r="Q83" s="387">
        <f t="shared" si="78"/>
        <v>50568.05</v>
      </c>
      <c r="R83" s="388">
        <f>Bonus!Q82</f>
        <v>45291.39</v>
      </c>
      <c r="S83" s="388">
        <f>Bonus!S82</f>
        <v>5276.6600000000035</v>
      </c>
      <c r="T83" s="388"/>
      <c r="U83" s="388">
        <f t="shared" si="79"/>
        <v>50568.05</v>
      </c>
      <c r="V83" s="388">
        <f>GAAP!Q82</f>
        <v>45291.39</v>
      </c>
      <c r="W83" s="388">
        <f>GAAP!S82</f>
        <v>5276.6600000000035</v>
      </c>
      <c r="X83" s="388"/>
      <c r="Y83" s="389">
        <f t="shared" si="80"/>
        <v>0</v>
      </c>
      <c r="Z83" s="390">
        <f t="shared" si="81"/>
        <v>0</v>
      </c>
      <c r="AA83" s="391">
        <f t="shared" si="82"/>
        <v>0</v>
      </c>
      <c r="AC83" s="621">
        <f t="shared" si="72"/>
        <v>0</v>
      </c>
    </row>
    <row r="84" spans="1:29" ht="15" customHeight="1">
      <c r="A84" s="385">
        <f>Bonus!A83</f>
        <v>52.868499999999997</v>
      </c>
      <c r="B84" s="386" t="str">
        <f>Bonus!B83</f>
        <v>Malaga County Water Dist. - Malaga County Water District</v>
      </c>
      <c r="C84" s="468">
        <f>Bonus!G83</f>
        <v>1</v>
      </c>
      <c r="D84" s="468">
        <f>GAAP!G83</f>
        <v>1</v>
      </c>
      <c r="E84" s="387">
        <f>Bonus!I83</f>
        <v>451254</v>
      </c>
      <c r="F84" s="388">
        <f>Bonus!F83</f>
        <v>382067.32</v>
      </c>
      <c r="G84" s="388">
        <f t="shared" si="73"/>
        <v>69186.679999999993</v>
      </c>
      <c r="H84" s="388"/>
      <c r="I84" s="388">
        <f>GAAP!I83</f>
        <v>451254</v>
      </c>
      <c r="J84" s="388">
        <f>GAAP!F83</f>
        <v>382067.32</v>
      </c>
      <c r="K84" s="388">
        <f t="shared" si="74"/>
        <v>69186.679999999993</v>
      </c>
      <c r="L84" s="388"/>
      <c r="M84" s="389">
        <f t="shared" si="75"/>
        <v>0</v>
      </c>
      <c r="N84" s="390">
        <f t="shared" si="76"/>
        <v>0</v>
      </c>
      <c r="O84" s="390">
        <f t="shared" si="77"/>
        <v>0</v>
      </c>
      <c r="P84" s="370"/>
      <c r="Q84" s="387">
        <f t="shared" si="78"/>
        <v>451254</v>
      </c>
      <c r="R84" s="388">
        <f>Bonus!Q83</f>
        <v>382067.32</v>
      </c>
      <c r="S84" s="388">
        <f>Bonus!S83</f>
        <v>69186.679999999993</v>
      </c>
      <c r="T84" s="388"/>
      <c r="U84" s="388">
        <f t="shared" si="79"/>
        <v>451254</v>
      </c>
      <c r="V84" s="388">
        <f>GAAP!Q83</f>
        <v>382067.32</v>
      </c>
      <c r="W84" s="388">
        <f>GAAP!S83</f>
        <v>69186.679999999993</v>
      </c>
      <c r="X84" s="388"/>
      <c r="Y84" s="389">
        <f t="shared" si="80"/>
        <v>0</v>
      </c>
      <c r="Z84" s="390">
        <f t="shared" si="81"/>
        <v>0</v>
      </c>
      <c r="AA84" s="391">
        <f t="shared" si="82"/>
        <v>0</v>
      </c>
      <c r="AC84" s="621">
        <f t="shared" si="72"/>
        <v>0</v>
      </c>
    </row>
    <row r="85" spans="1:29" ht="15" customHeight="1">
      <c r="A85" s="385">
        <f>Bonus!A84</f>
        <v>52.868600000000001</v>
      </c>
      <c r="B85" s="386" t="str">
        <f>Bonus!B84</f>
        <v>Root Creek Water Dist. - Groundwater - 48-Inch RCP Repair</v>
      </c>
      <c r="C85" s="468">
        <f>Bonus!G84</f>
        <v>0.99999999999999978</v>
      </c>
      <c r="D85" s="468">
        <f>GAAP!G84</f>
        <v>0.99999999999999978</v>
      </c>
      <c r="E85" s="387">
        <f>Bonus!I84</f>
        <v>23956.999999999993</v>
      </c>
      <c r="F85" s="388">
        <f>Bonus!F84</f>
        <v>7505.26</v>
      </c>
      <c r="G85" s="388">
        <f t="shared" si="73"/>
        <v>16451.739999999991</v>
      </c>
      <c r="H85" s="388"/>
      <c r="I85" s="388">
        <f>GAAP!I84</f>
        <v>23956.999999999993</v>
      </c>
      <c r="J85" s="388">
        <f>GAAP!F84</f>
        <v>7505.26</v>
      </c>
      <c r="K85" s="388">
        <f t="shared" si="74"/>
        <v>16451.739999999991</v>
      </c>
      <c r="L85" s="388"/>
      <c r="M85" s="389">
        <f t="shared" si="75"/>
        <v>0</v>
      </c>
      <c r="N85" s="390">
        <f t="shared" si="76"/>
        <v>0</v>
      </c>
      <c r="O85" s="390">
        <f t="shared" si="77"/>
        <v>0</v>
      </c>
      <c r="P85" s="370"/>
      <c r="Q85" s="387">
        <f t="shared" si="78"/>
        <v>2293.8732801494834</v>
      </c>
      <c r="R85" s="388">
        <f>Bonus!Q84</f>
        <v>1214.3900000000003</v>
      </c>
      <c r="S85" s="388">
        <f>Bonus!S84</f>
        <v>1079.4832801494831</v>
      </c>
      <c r="T85" s="388"/>
      <c r="U85" s="388">
        <f t="shared" si="79"/>
        <v>2293.8732801494834</v>
      </c>
      <c r="V85" s="388">
        <f>GAAP!Q84</f>
        <v>1214.3900000000003</v>
      </c>
      <c r="W85" s="388">
        <f>GAAP!S84</f>
        <v>1079.4832801494831</v>
      </c>
      <c r="X85" s="388"/>
      <c r="Y85" s="389">
        <f t="shared" si="80"/>
        <v>0</v>
      </c>
      <c r="Z85" s="390">
        <f t="shared" si="81"/>
        <v>0</v>
      </c>
      <c r="AA85" s="391">
        <f t="shared" si="82"/>
        <v>0</v>
      </c>
      <c r="AC85" s="621">
        <f t="shared" si="72"/>
        <v>0</v>
      </c>
    </row>
    <row r="86" spans="1:29" ht="15" customHeight="1">
      <c r="A86" s="385">
        <f>Bonus!A85</f>
        <v>52.8688</v>
      </c>
      <c r="B86" s="386" t="str">
        <f>Bonus!B85</f>
        <v>New England Sheet Metal and Mechanical Co. - Valley Children's Hospital NESM Trench Limits</v>
      </c>
      <c r="C86" s="468">
        <f>Bonus!G85</f>
        <v>1</v>
      </c>
      <c r="D86" s="468">
        <f>GAAP!G85</f>
        <v>1</v>
      </c>
      <c r="E86" s="387">
        <f>Bonus!I85</f>
        <v>132492.20000000001</v>
      </c>
      <c r="F86" s="388">
        <f>Bonus!F85</f>
        <v>116972.75</v>
      </c>
      <c r="G86" s="388">
        <f t="shared" si="73"/>
        <v>15519.450000000012</v>
      </c>
      <c r="H86" s="388"/>
      <c r="I86" s="388">
        <f>GAAP!I85</f>
        <v>132492.20000000001</v>
      </c>
      <c r="J86" s="388">
        <f>GAAP!F85</f>
        <v>116972.75</v>
      </c>
      <c r="K86" s="388">
        <f t="shared" si="74"/>
        <v>15519.450000000012</v>
      </c>
      <c r="L86" s="388"/>
      <c r="M86" s="389">
        <f t="shared" si="75"/>
        <v>0</v>
      </c>
      <c r="N86" s="390">
        <f t="shared" si="76"/>
        <v>0</v>
      </c>
      <c r="O86" s="390">
        <f t="shared" si="77"/>
        <v>0</v>
      </c>
      <c r="P86" s="370"/>
      <c r="Q86" s="387">
        <f t="shared" si="78"/>
        <v>132492.20000000001</v>
      </c>
      <c r="R86" s="388">
        <f>Bonus!Q85</f>
        <v>116972.75</v>
      </c>
      <c r="S86" s="388">
        <f>Bonus!S85</f>
        <v>15519.450000000012</v>
      </c>
      <c r="T86" s="388"/>
      <c r="U86" s="388">
        <f t="shared" si="79"/>
        <v>132492.20000000001</v>
      </c>
      <c r="V86" s="388">
        <f>GAAP!Q85</f>
        <v>116972.75</v>
      </c>
      <c r="W86" s="388">
        <f>GAAP!S85</f>
        <v>15519.450000000012</v>
      </c>
      <c r="X86" s="388"/>
      <c r="Y86" s="389">
        <f t="shared" si="80"/>
        <v>0</v>
      </c>
      <c r="Z86" s="390">
        <f t="shared" si="81"/>
        <v>0</v>
      </c>
      <c r="AA86" s="391">
        <f t="shared" si="82"/>
        <v>0</v>
      </c>
      <c r="AC86" s="621">
        <f t="shared" si="72"/>
        <v>0</v>
      </c>
    </row>
    <row r="87" spans="1:29" ht="15" customHeight="1">
      <c r="A87" s="385">
        <f>Bonus!A86</f>
        <v>52.868899999999996</v>
      </c>
      <c r="B87" s="386" t="str">
        <f>Bonus!B86</f>
        <v>City of Sanger - Public Works Dept. - City of Sanger WWTP- Remove and Install Valves T&amp;M</v>
      </c>
      <c r="C87" s="468">
        <f>Bonus!G86</f>
        <v>1</v>
      </c>
      <c r="D87" s="468">
        <f>GAAP!G86</f>
        <v>1</v>
      </c>
      <c r="E87" s="387">
        <f>Bonus!I86</f>
        <v>16665.830000000002</v>
      </c>
      <c r="F87" s="388">
        <f>Bonus!F86</f>
        <v>16095.58</v>
      </c>
      <c r="G87" s="388">
        <f t="shared" si="73"/>
        <v>570.25000000000182</v>
      </c>
      <c r="H87" s="388"/>
      <c r="I87" s="388">
        <f>GAAP!I86</f>
        <v>16665.830000000002</v>
      </c>
      <c r="J87" s="388">
        <f>GAAP!F86</f>
        <v>16095.58</v>
      </c>
      <c r="K87" s="388">
        <f t="shared" si="74"/>
        <v>570.25000000000182</v>
      </c>
      <c r="L87" s="388"/>
      <c r="M87" s="389">
        <f t="shared" si="75"/>
        <v>0</v>
      </c>
      <c r="N87" s="390">
        <f t="shared" si="76"/>
        <v>0</v>
      </c>
      <c r="O87" s="390">
        <f t="shared" si="77"/>
        <v>0</v>
      </c>
      <c r="P87" s="370"/>
      <c r="Q87" s="387">
        <f t="shared" si="78"/>
        <v>16665.830000000002</v>
      </c>
      <c r="R87" s="388">
        <f>Bonus!Q86</f>
        <v>16095.58</v>
      </c>
      <c r="S87" s="388">
        <f>Bonus!S86</f>
        <v>570.25000000000182</v>
      </c>
      <c r="T87" s="388"/>
      <c r="U87" s="388">
        <f t="shared" si="79"/>
        <v>16665.830000000002</v>
      </c>
      <c r="V87" s="388">
        <f>GAAP!Q86</f>
        <v>16095.58</v>
      </c>
      <c r="W87" s="388">
        <f>GAAP!S86</f>
        <v>570.25000000000182</v>
      </c>
      <c r="X87" s="388"/>
      <c r="Y87" s="389">
        <f t="shared" si="80"/>
        <v>0</v>
      </c>
      <c r="Z87" s="390">
        <f t="shared" si="81"/>
        <v>0</v>
      </c>
      <c r="AA87" s="391">
        <f t="shared" si="82"/>
        <v>0</v>
      </c>
      <c r="AC87" s="621">
        <f t="shared" si="72"/>
        <v>0</v>
      </c>
    </row>
    <row r="88" spans="1:29" ht="15" customHeight="1">
      <c r="A88" s="385">
        <f>Bonus!A87</f>
        <v>52.869</v>
      </c>
      <c r="B88" s="386" t="str">
        <f>Bonus!B87</f>
        <v>City of Dinuba - WWTP Rake Replacement</v>
      </c>
      <c r="C88" s="468">
        <f>Bonus!G87</f>
        <v>1</v>
      </c>
      <c r="D88" s="468">
        <f>GAAP!G87</f>
        <v>1</v>
      </c>
      <c r="E88" s="387">
        <f>Bonus!I87</f>
        <v>14151.97</v>
      </c>
      <c r="F88" s="388">
        <f>Bonus!F87</f>
        <v>13155.83</v>
      </c>
      <c r="G88" s="388">
        <f t="shared" si="73"/>
        <v>996.13999999999942</v>
      </c>
      <c r="H88" s="388"/>
      <c r="I88" s="388">
        <f>GAAP!I87</f>
        <v>14151.97</v>
      </c>
      <c r="J88" s="388">
        <f>GAAP!F87</f>
        <v>13155.83</v>
      </c>
      <c r="K88" s="388">
        <f t="shared" si="74"/>
        <v>996.13999999999942</v>
      </c>
      <c r="L88" s="388"/>
      <c r="M88" s="389">
        <f t="shared" si="75"/>
        <v>0</v>
      </c>
      <c r="N88" s="390">
        <f t="shared" si="76"/>
        <v>0</v>
      </c>
      <c r="O88" s="390">
        <f t="shared" si="77"/>
        <v>0</v>
      </c>
      <c r="P88" s="370"/>
      <c r="Q88" s="387">
        <f t="shared" si="78"/>
        <v>14151.97</v>
      </c>
      <c r="R88" s="388">
        <f>Bonus!Q87</f>
        <v>13155.83</v>
      </c>
      <c r="S88" s="388">
        <f>Bonus!S87</f>
        <v>996.13999999999942</v>
      </c>
      <c r="T88" s="388"/>
      <c r="U88" s="388">
        <f t="shared" si="79"/>
        <v>14151.97</v>
      </c>
      <c r="V88" s="388">
        <f>GAAP!Q87</f>
        <v>13155.83</v>
      </c>
      <c r="W88" s="388">
        <f>GAAP!S87</f>
        <v>996.13999999999942</v>
      </c>
      <c r="X88" s="388"/>
      <c r="Y88" s="389">
        <f t="shared" si="80"/>
        <v>0</v>
      </c>
      <c r="Z88" s="390">
        <f t="shared" si="81"/>
        <v>0</v>
      </c>
      <c r="AA88" s="391">
        <f t="shared" si="82"/>
        <v>0</v>
      </c>
      <c r="AC88" s="621">
        <f t="shared" si="72"/>
        <v>0</v>
      </c>
    </row>
    <row r="89" spans="1:29" ht="15" customHeight="1">
      <c r="A89" s="385">
        <f>Bonus!A88</f>
        <v>52.869100000000003</v>
      </c>
      <c r="B89" s="386" t="str">
        <f>Bonus!B88</f>
        <v>County of Fresno - Quail Lakes Repair at Bodega Bay Rd</v>
      </c>
      <c r="C89" s="468">
        <f>Bonus!G88</f>
        <v>1</v>
      </c>
      <c r="D89" s="468">
        <f>GAAP!G88</f>
        <v>1</v>
      </c>
      <c r="E89" s="387">
        <f>Bonus!I88</f>
        <v>11302.84</v>
      </c>
      <c r="F89" s="388">
        <f>Bonus!F88</f>
        <v>8287.82</v>
      </c>
      <c r="G89" s="388">
        <f t="shared" si="73"/>
        <v>3015.0200000000004</v>
      </c>
      <c r="H89" s="388"/>
      <c r="I89" s="388">
        <f>GAAP!I88</f>
        <v>11302.84</v>
      </c>
      <c r="J89" s="388">
        <f>GAAP!F88</f>
        <v>8287.82</v>
      </c>
      <c r="K89" s="388">
        <f t="shared" si="74"/>
        <v>3015.0200000000004</v>
      </c>
      <c r="L89" s="388"/>
      <c r="M89" s="389">
        <f t="shared" si="75"/>
        <v>0</v>
      </c>
      <c r="N89" s="390">
        <f t="shared" si="76"/>
        <v>0</v>
      </c>
      <c r="O89" s="390">
        <f t="shared" si="77"/>
        <v>0</v>
      </c>
      <c r="P89" s="370"/>
      <c r="Q89" s="387">
        <f t="shared" si="78"/>
        <v>11302.84</v>
      </c>
      <c r="R89" s="388">
        <f>Bonus!Q88</f>
        <v>8287.82</v>
      </c>
      <c r="S89" s="388">
        <f>Bonus!S88</f>
        <v>3015.0200000000004</v>
      </c>
      <c r="T89" s="388"/>
      <c r="U89" s="388">
        <f t="shared" si="79"/>
        <v>11302.84</v>
      </c>
      <c r="V89" s="388">
        <f>GAAP!Q88</f>
        <v>8287.82</v>
      </c>
      <c r="W89" s="388">
        <f>GAAP!S88</f>
        <v>3015.0200000000004</v>
      </c>
      <c r="X89" s="388"/>
      <c r="Y89" s="389">
        <f t="shared" si="80"/>
        <v>0</v>
      </c>
      <c r="Z89" s="390">
        <f t="shared" si="81"/>
        <v>0</v>
      </c>
      <c r="AA89" s="391">
        <f t="shared" si="82"/>
        <v>0</v>
      </c>
      <c r="AC89" s="621">
        <f t="shared" si="72"/>
        <v>0</v>
      </c>
    </row>
    <row r="90" spans="1:29" ht="15" customHeight="1">
      <c r="A90" s="385">
        <f>Bonus!A89</f>
        <v>52.869300000000003</v>
      </c>
      <c r="B90" s="386" t="str">
        <f>Bonus!B89</f>
        <v>New England Sheet Metal and Mechanical Co. - VCH Service Meter Connections</v>
      </c>
      <c r="C90" s="468">
        <f>Bonus!G89</f>
        <v>1</v>
      </c>
      <c r="D90" s="468">
        <f>GAAP!G89</f>
        <v>1</v>
      </c>
      <c r="E90" s="387">
        <f>Bonus!I89</f>
        <v>1120704.2</v>
      </c>
      <c r="F90" s="388">
        <f>Bonus!F89</f>
        <v>663140.99</v>
      </c>
      <c r="G90" s="388">
        <f t="shared" si="73"/>
        <v>457563.20999999996</v>
      </c>
      <c r="H90" s="388"/>
      <c r="I90" s="388">
        <f>GAAP!I89</f>
        <v>1120704.2</v>
      </c>
      <c r="J90" s="388">
        <f>GAAP!F89</f>
        <v>663140.99</v>
      </c>
      <c r="K90" s="388">
        <f t="shared" si="74"/>
        <v>457563.20999999996</v>
      </c>
      <c r="L90" s="388"/>
      <c r="M90" s="389">
        <f t="shared" si="75"/>
        <v>0</v>
      </c>
      <c r="N90" s="390">
        <f t="shared" si="76"/>
        <v>0</v>
      </c>
      <c r="O90" s="390">
        <f t="shared" si="77"/>
        <v>0</v>
      </c>
      <c r="P90" s="370"/>
      <c r="Q90" s="387">
        <f t="shared" si="78"/>
        <v>1120704.2</v>
      </c>
      <c r="R90" s="388">
        <f>Bonus!Q89</f>
        <v>663140.99</v>
      </c>
      <c r="S90" s="388">
        <f>Bonus!S89</f>
        <v>457563.20999999996</v>
      </c>
      <c r="T90" s="388"/>
      <c r="U90" s="388">
        <f t="shared" si="79"/>
        <v>1120704.2</v>
      </c>
      <c r="V90" s="388">
        <f>GAAP!Q89</f>
        <v>663140.99</v>
      </c>
      <c r="W90" s="388">
        <f>GAAP!S89</f>
        <v>457563.20999999996</v>
      </c>
      <c r="X90" s="388"/>
      <c r="Y90" s="389">
        <f t="shared" si="80"/>
        <v>0</v>
      </c>
      <c r="Z90" s="390">
        <f t="shared" si="81"/>
        <v>0</v>
      </c>
      <c r="AA90" s="391">
        <f t="shared" si="82"/>
        <v>0</v>
      </c>
      <c r="AC90" s="621">
        <f t="shared" si="72"/>
        <v>0</v>
      </c>
    </row>
    <row r="91" spans="1:29" ht="15" customHeight="1">
      <c r="A91" s="385">
        <f>Bonus!A90</f>
        <v>52.869399999999999</v>
      </c>
      <c r="B91" s="386" t="str">
        <f>Bonus!B90</f>
        <v>Pixley Public Utility District - Pixley WWTF - STM-Aerotor Repair</v>
      </c>
      <c r="C91" s="468">
        <f>Bonus!G90</f>
        <v>1</v>
      </c>
      <c r="D91" s="468">
        <f>GAAP!G90</f>
        <v>1</v>
      </c>
      <c r="E91" s="387">
        <f>Bonus!I90</f>
        <v>43047.45</v>
      </c>
      <c r="F91" s="388">
        <f>Bonus!F90</f>
        <v>38541.99</v>
      </c>
      <c r="G91" s="388">
        <f t="shared" si="73"/>
        <v>4505.4599999999991</v>
      </c>
      <c r="H91" s="388"/>
      <c r="I91" s="388">
        <f>GAAP!I90</f>
        <v>43047.45</v>
      </c>
      <c r="J91" s="388">
        <f>GAAP!F90</f>
        <v>38541.99</v>
      </c>
      <c r="K91" s="388">
        <f t="shared" si="74"/>
        <v>4505.4599999999991</v>
      </c>
      <c r="L91" s="388"/>
      <c r="M91" s="389">
        <f t="shared" si="75"/>
        <v>0</v>
      </c>
      <c r="N91" s="390">
        <f t="shared" si="76"/>
        <v>0</v>
      </c>
      <c r="O91" s="390">
        <f t="shared" si="77"/>
        <v>0</v>
      </c>
      <c r="P91" s="370"/>
      <c r="Q91" s="387">
        <f t="shared" si="78"/>
        <v>43047.45</v>
      </c>
      <c r="R91" s="388">
        <f>Bonus!Q90</f>
        <v>38541.99</v>
      </c>
      <c r="S91" s="388">
        <f>Bonus!S90</f>
        <v>4505.4599999999991</v>
      </c>
      <c r="T91" s="388"/>
      <c r="U91" s="388">
        <f t="shared" si="79"/>
        <v>43047.45</v>
      </c>
      <c r="V91" s="388">
        <f>GAAP!Q90</f>
        <v>38541.99</v>
      </c>
      <c r="W91" s="388">
        <f>GAAP!S90</f>
        <v>4505.4599999999991</v>
      </c>
      <c r="X91" s="388"/>
      <c r="Y91" s="389">
        <f t="shared" si="80"/>
        <v>0</v>
      </c>
      <c r="Z91" s="390">
        <f t="shared" si="81"/>
        <v>0</v>
      </c>
      <c r="AA91" s="391">
        <f t="shared" si="82"/>
        <v>0</v>
      </c>
      <c r="AC91" s="621">
        <f t="shared" si="72"/>
        <v>0</v>
      </c>
    </row>
    <row r="92" spans="1:29" ht="15" customHeight="1">
      <c r="A92" s="385">
        <f>Bonus!A91</f>
        <v>52.869500000000002</v>
      </c>
      <c r="B92" s="386" t="str">
        <f>Bonus!B91</f>
        <v>Lyles Services Co. - LSC GO Trash Enclosure</v>
      </c>
      <c r="C92" s="468">
        <f>Bonus!G91</f>
        <v>1</v>
      </c>
      <c r="D92" s="468">
        <f>GAAP!G91</f>
        <v>1</v>
      </c>
      <c r="E92" s="387">
        <f>Bonus!I91</f>
        <v>13769</v>
      </c>
      <c r="F92" s="388">
        <f>Bonus!F91</f>
        <v>13024.37</v>
      </c>
      <c r="G92" s="388">
        <f t="shared" si="73"/>
        <v>744.6299999999992</v>
      </c>
      <c r="H92" s="388"/>
      <c r="I92" s="388">
        <f>GAAP!I91</f>
        <v>13769</v>
      </c>
      <c r="J92" s="388">
        <f>GAAP!F91</f>
        <v>13024.37</v>
      </c>
      <c r="K92" s="388">
        <f t="shared" si="74"/>
        <v>744.6299999999992</v>
      </c>
      <c r="L92" s="388"/>
      <c r="M92" s="389">
        <f t="shared" si="75"/>
        <v>0</v>
      </c>
      <c r="N92" s="390">
        <f t="shared" si="76"/>
        <v>0</v>
      </c>
      <c r="O92" s="390">
        <f t="shared" si="77"/>
        <v>0</v>
      </c>
      <c r="P92" s="370"/>
      <c r="Q92" s="387">
        <f t="shared" si="78"/>
        <v>13769</v>
      </c>
      <c r="R92" s="388">
        <f>Bonus!Q91</f>
        <v>13024.37</v>
      </c>
      <c r="S92" s="388">
        <f>Bonus!S91</f>
        <v>744.6299999999992</v>
      </c>
      <c r="T92" s="388"/>
      <c r="U92" s="388">
        <f t="shared" si="79"/>
        <v>13769</v>
      </c>
      <c r="V92" s="388">
        <f>GAAP!Q91</f>
        <v>13024.37</v>
      </c>
      <c r="W92" s="388">
        <f>GAAP!S91</f>
        <v>744.6299999999992</v>
      </c>
      <c r="X92" s="388"/>
      <c r="Y92" s="389">
        <f t="shared" si="80"/>
        <v>0</v>
      </c>
      <c r="Z92" s="390">
        <f t="shared" si="81"/>
        <v>0</v>
      </c>
      <c r="AA92" s="391">
        <f t="shared" si="82"/>
        <v>0</v>
      </c>
      <c r="AC92" s="621">
        <f t="shared" si="72"/>
        <v>0</v>
      </c>
    </row>
    <row r="93" spans="1:29" ht="15" customHeight="1">
      <c r="A93" s="385">
        <f>Bonus!A92</f>
        <v>52.869599999999998</v>
      </c>
      <c r="B93" s="386" t="str">
        <f>Bonus!B92</f>
        <v>American Paving Co. - Hot Tap for APC- Tule River Parkway</v>
      </c>
      <c r="C93" s="468">
        <f>Bonus!G92</f>
        <v>1</v>
      </c>
      <c r="D93" s="468">
        <f>GAAP!G92</f>
        <v>1</v>
      </c>
      <c r="E93" s="387">
        <f>Bonus!I92</f>
        <v>1059.22</v>
      </c>
      <c r="F93" s="388">
        <f>Bonus!F92</f>
        <v>887.65</v>
      </c>
      <c r="G93" s="388">
        <f t="shared" si="73"/>
        <v>171.57000000000005</v>
      </c>
      <c r="H93" s="388"/>
      <c r="I93" s="388">
        <f>GAAP!I92</f>
        <v>1059.22</v>
      </c>
      <c r="J93" s="388">
        <f>GAAP!F92</f>
        <v>887.65</v>
      </c>
      <c r="K93" s="388">
        <f t="shared" si="74"/>
        <v>171.57000000000005</v>
      </c>
      <c r="L93" s="388"/>
      <c r="M93" s="389">
        <f t="shared" si="75"/>
        <v>0</v>
      </c>
      <c r="N93" s="390">
        <f t="shared" si="76"/>
        <v>0</v>
      </c>
      <c r="O93" s="390">
        <f t="shared" si="77"/>
        <v>0</v>
      </c>
      <c r="P93" s="370"/>
      <c r="Q93" s="387">
        <f t="shared" si="78"/>
        <v>1059.22</v>
      </c>
      <c r="R93" s="388">
        <f>Bonus!Q92</f>
        <v>887.65</v>
      </c>
      <c r="S93" s="388">
        <f>Bonus!S92</f>
        <v>171.57000000000005</v>
      </c>
      <c r="T93" s="388"/>
      <c r="U93" s="388">
        <f t="shared" si="79"/>
        <v>1059.22</v>
      </c>
      <c r="V93" s="388">
        <f>GAAP!Q92</f>
        <v>887.65</v>
      </c>
      <c r="W93" s="388">
        <f>GAAP!S92</f>
        <v>171.57000000000005</v>
      </c>
      <c r="X93" s="388"/>
      <c r="Y93" s="389">
        <f t="shared" si="80"/>
        <v>0</v>
      </c>
      <c r="Z93" s="390">
        <f t="shared" si="81"/>
        <v>0</v>
      </c>
      <c r="AA93" s="391">
        <f t="shared" si="82"/>
        <v>0</v>
      </c>
      <c r="AC93" s="621">
        <f t="shared" si="72"/>
        <v>0</v>
      </c>
    </row>
    <row r="94" spans="1:29" ht="15" customHeight="1">
      <c r="A94" s="385">
        <f>Bonus!A93</f>
        <v>52.869900000000001</v>
      </c>
      <c r="B94" s="386" t="str">
        <f>Bonus!B93</f>
        <v>City of Hanford - WWTP Repair T&amp;M</v>
      </c>
      <c r="C94" s="468">
        <f>Bonus!G93</f>
        <v>1</v>
      </c>
      <c r="D94" s="468">
        <f>GAAP!G93</f>
        <v>1</v>
      </c>
      <c r="E94" s="387">
        <f>Bonus!I93</f>
        <v>3001.12</v>
      </c>
      <c r="F94" s="388">
        <f>Bonus!F93</f>
        <v>2948.91</v>
      </c>
      <c r="G94" s="388">
        <f t="shared" si="73"/>
        <v>52.210000000000036</v>
      </c>
      <c r="H94" s="388"/>
      <c r="I94" s="388">
        <f>GAAP!I93</f>
        <v>3001.12</v>
      </c>
      <c r="J94" s="388">
        <f>GAAP!F93</f>
        <v>2948.91</v>
      </c>
      <c r="K94" s="388">
        <f t="shared" si="74"/>
        <v>52.210000000000036</v>
      </c>
      <c r="L94" s="388"/>
      <c r="M94" s="389">
        <f t="shared" si="75"/>
        <v>0</v>
      </c>
      <c r="N94" s="390">
        <f t="shared" si="76"/>
        <v>0</v>
      </c>
      <c r="O94" s="390">
        <f t="shared" si="77"/>
        <v>0</v>
      </c>
      <c r="P94" s="370"/>
      <c r="Q94" s="387">
        <f t="shared" si="78"/>
        <v>3001.12</v>
      </c>
      <c r="R94" s="388">
        <f>Bonus!Q93</f>
        <v>2948.91</v>
      </c>
      <c r="S94" s="388">
        <f>Bonus!S93</f>
        <v>52.210000000000036</v>
      </c>
      <c r="T94" s="388"/>
      <c r="U94" s="388">
        <f t="shared" si="79"/>
        <v>3001.12</v>
      </c>
      <c r="V94" s="388">
        <f>GAAP!Q93</f>
        <v>2948.91</v>
      </c>
      <c r="W94" s="388">
        <f>GAAP!S93</f>
        <v>52.210000000000036</v>
      </c>
      <c r="X94" s="388"/>
      <c r="Y94" s="389">
        <f t="shared" si="80"/>
        <v>0</v>
      </c>
      <c r="Z94" s="390">
        <f t="shared" si="81"/>
        <v>0</v>
      </c>
      <c r="AA94" s="391">
        <f t="shared" si="82"/>
        <v>0</v>
      </c>
      <c r="AC94" s="621">
        <f t="shared" si="72"/>
        <v>0</v>
      </c>
    </row>
    <row r="95" spans="1:29" ht="15" customHeight="1">
      <c r="A95" s="385">
        <f>Bonus!A94</f>
        <v>52.87</v>
      </c>
      <c r="B95" s="386" t="str">
        <f>Bonus!B94</f>
        <v>Lyles Services Co. - LSC GO Misc. Work</v>
      </c>
      <c r="C95" s="468">
        <f>Bonus!G94</f>
        <v>1</v>
      </c>
      <c r="D95" s="468">
        <f>GAAP!G94</f>
        <v>1</v>
      </c>
      <c r="E95" s="387">
        <f>Bonus!I94</f>
        <v>5297</v>
      </c>
      <c r="F95" s="388">
        <f>Bonus!F94</f>
        <v>4446.13</v>
      </c>
      <c r="G95" s="388">
        <f t="shared" si="73"/>
        <v>850.86999999999989</v>
      </c>
      <c r="H95" s="388"/>
      <c r="I95" s="388">
        <f>GAAP!I94</f>
        <v>5297</v>
      </c>
      <c r="J95" s="388">
        <f>GAAP!F94</f>
        <v>4446.13</v>
      </c>
      <c r="K95" s="388">
        <f t="shared" si="74"/>
        <v>850.86999999999989</v>
      </c>
      <c r="L95" s="388"/>
      <c r="M95" s="389">
        <f t="shared" si="75"/>
        <v>0</v>
      </c>
      <c r="N95" s="390">
        <f t="shared" si="76"/>
        <v>0</v>
      </c>
      <c r="O95" s="390">
        <f t="shared" si="77"/>
        <v>0</v>
      </c>
      <c r="P95" s="370"/>
      <c r="Q95" s="387">
        <f t="shared" si="78"/>
        <v>5297</v>
      </c>
      <c r="R95" s="388">
        <f>Bonus!Q94</f>
        <v>4446.13</v>
      </c>
      <c r="S95" s="388">
        <f>Bonus!S94</f>
        <v>850.86999999999989</v>
      </c>
      <c r="T95" s="388"/>
      <c r="U95" s="388">
        <f t="shared" si="79"/>
        <v>5297</v>
      </c>
      <c r="V95" s="388">
        <f>GAAP!Q94</f>
        <v>4446.13</v>
      </c>
      <c r="W95" s="388">
        <f>GAAP!S94</f>
        <v>850.86999999999989</v>
      </c>
      <c r="X95" s="388"/>
      <c r="Y95" s="389">
        <f t="shared" si="80"/>
        <v>0</v>
      </c>
      <c r="Z95" s="390">
        <f t="shared" si="81"/>
        <v>0</v>
      </c>
      <c r="AA95" s="391">
        <f t="shared" si="82"/>
        <v>0</v>
      </c>
      <c r="AC95" s="621">
        <f t="shared" si="72"/>
        <v>0</v>
      </c>
    </row>
    <row r="96" spans="1:29" ht="15" customHeight="1">
      <c r="A96" s="385">
        <f>Bonus!A95</f>
        <v>52.870100000000001</v>
      </c>
      <c r="B96" s="386" t="str">
        <f>Bonus!B95</f>
        <v>County of Fresno - 47 Water</v>
      </c>
      <c r="C96" s="468">
        <f>Bonus!G95</f>
        <v>1</v>
      </c>
      <c r="D96" s="468">
        <f>GAAP!G95</f>
        <v>1</v>
      </c>
      <c r="E96" s="387">
        <f>Bonus!I95</f>
        <v>13433.85</v>
      </c>
      <c r="F96" s="388">
        <f>Bonus!F95</f>
        <v>12421.08</v>
      </c>
      <c r="G96" s="388">
        <f t="shared" si="73"/>
        <v>1012.7700000000004</v>
      </c>
      <c r="H96" s="388"/>
      <c r="I96" s="388">
        <f>GAAP!I95</f>
        <v>13433.85</v>
      </c>
      <c r="J96" s="388">
        <f>GAAP!F95</f>
        <v>12421.08</v>
      </c>
      <c r="K96" s="388">
        <f t="shared" si="74"/>
        <v>1012.7700000000004</v>
      </c>
      <c r="L96" s="388"/>
      <c r="M96" s="389">
        <f t="shared" si="75"/>
        <v>0</v>
      </c>
      <c r="N96" s="390">
        <f t="shared" si="76"/>
        <v>0</v>
      </c>
      <c r="O96" s="390">
        <f t="shared" si="77"/>
        <v>0</v>
      </c>
      <c r="P96" s="370"/>
      <c r="Q96" s="387">
        <f t="shared" si="78"/>
        <v>13433.85</v>
      </c>
      <c r="R96" s="388">
        <f>Bonus!Q95</f>
        <v>12421.08</v>
      </c>
      <c r="S96" s="388">
        <f>Bonus!S95</f>
        <v>1012.7700000000004</v>
      </c>
      <c r="T96" s="388"/>
      <c r="U96" s="388">
        <f t="shared" si="79"/>
        <v>13433.85</v>
      </c>
      <c r="V96" s="388">
        <f>GAAP!Q95</f>
        <v>12421.08</v>
      </c>
      <c r="W96" s="388">
        <f>GAAP!S95</f>
        <v>1012.7700000000004</v>
      </c>
      <c r="X96" s="388"/>
      <c r="Y96" s="389">
        <f t="shared" si="80"/>
        <v>0</v>
      </c>
      <c r="Z96" s="390">
        <f t="shared" si="81"/>
        <v>0</v>
      </c>
      <c r="AA96" s="391">
        <f t="shared" si="82"/>
        <v>0</v>
      </c>
      <c r="AC96" s="621">
        <f t="shared" si="72"/>
        <v>0</v>
      </c>
    </row>
    <row r="97" spans="1:29" ht="15" customHeight="1">
      <c r="A97" s="385">
        <f>Bonus!A96</f>
        <v>52.870199999999997</v>
      </c>
      <c r="B97" s="386" t="str">
        <f>Bonus!B96</f>
        <v>New England Sheet Metal and Mechanical Co. - FUSD Wilson Elementary T&amp;M</v>
      </c>
      <c r="C97" s="468">
        <f>Bonus!G96</f>
        <v>1</v>
      </c>
      <c r="D97" s="468">
        <f>GAAP!G96</f>
        <v>1</v>
      </c>
      <c r="E97" s="387">
        <f>Bonus!I96</f>
        <v>5626.78</v>
      </c>
      <c r="F97" s="388">
        <f>Bonus!F96</f>
        <v>4725.28</v>
      </c>
      <c r="G97" s="388">
        <f t="shared" si="73"/>
        <v>901.5</v>
      </c>
      <c r="H97" s="388"/>
      <c r="I97" s="388">
        <f>GAAP!I96</f>
        <v>5626.78</v>
      </c>
      <c r="J97" s="388">
        <f>GAAP!F96</f>
        <v>4725.28</v>
      </c>
      <c r="K97" s="388">
        <f t="shared" si="74"/>
        <v>901.5</v>
      </c>
      <c r="L97" s="388"/>
      <c r="M97" s="389">
        <f t="shared" si="75"/>
        <v>0</v>
      </c>
      <c r="N97" s="390">
        <f t="shared" si="76"/>
        <v>0</v>
      </c>
      <c r="O97" s="390">
        <f t="shared" si="77"/>
        <v>0</v>
      </c>
      <c r="P97" s="370"/>
      <c r="Q97" s="387">
        <f t="shared" si="78"/>
        <v>5626.78</v>
      </c>
      <c r="R97" s="388">
        <f>Bonus!Q96</f>
        <v>4725.28</v>
      </c>
      <c r="S97" s="388">
        <f>Bonus!S96</f>
        <v>901.5</v>
      </c>
      <c r="T97" s="388"/>
      <c r="U97" s="388">
        <f t="shared" si="79"/>
        <v>5626.78</v>
      </c>
      <c r="V97" s="388">
        <f>GAAP!Q96</f>
        <v>4725.28</v>
      </c>
      <c r="W97" s="388">
        <f>GAAP!S96</f>
        <v>901.5</v>
      </c>
      <c r="X97" s="388"/>
      <c r="Y97" s="389">
        <f t="shared" si="80"/>
        <v>0</v>
      </c>
      <c r="Z97" s="390">
        <f t="shared" si="81"/>
        <v>0</v>
      </c>
      <c r="AA97" s="391">
        <f t="shared" si="82"/>
        <v>0</v>
      </c>
      <c r="AC97" s="621">
        <f t="shared" si="72"/>
        <v>0</v>
      </c>
    </row>
    <row r="98" spans="1:29" ht="15" customHeight="1">
      <c r="A98" s="385">
        <f>Bonus!A97</f>
        <v>52.8703</v>
      </c>
      <c r="B98" s="386" t="str">
        <f>Bonus!B97</f>
        <v>County of Fresno - CSA 47 Egret Point Water Line Repair</v>
      </c>
      <c r="C98" s="468">
        <f>Bonus!G97</f>
        <v>1</v>
      </c>
      <c r="D98" s="468">
        <f>GAAP!G97</f>
        <v>1</v>
      </c>
      <c r="E98" s="387">
        <f>Bonus!I97</f>
        <v>14402.18</v>
      </c>
      <c r="F98" s="388">
        <f>Bonus!F97</f>
        <v>12571.54</v>
      </c>
      <c r="G98" s="388">
        <f t="shared" si="73"/>
        <v>1830.6399999999994</v>
      </c>
      <c r="H98" s="388"/>
      <c r="I98" s="388">
        <f>GAAP!I97</f>
        <v>14402.18</v>
      </c>
      <c r="J98" s="388">
        <f>GAAP!F97</f>
        <v>12571.54</v>
      </c>
      <c r="K98" s="388">
        <f t="shared" si="74"/>
        <v>1830.6399999999994</v>
      </c>
      <c r="L98" s="388"/>
      <c r="M98" s="389">
        <f t="shared" si="75"/>
        <v>0</v>
      </c>
      <c r="N98" s="390">
        <f t="shared" si="76"/>
        <v>0</v>
      </c>
      <c r="O98" s="390">
        <f t="shared" si="77"/>
        <v>0</v>
      </c>
      <c r="P98" s="370"/>
      <c r="Q98" s="387">
        <f t="shared" si="78"/>
        <v>14402.18</v>
      </c>
      <c r="R98" s="388">
        <f>Bonus!Q97</f>
        <v>12571.54</v>
      </c>
      <c r="S98" s="388">
        <f>Bonus!S97</f>
        <v>1830.6399999999994</v>
      </c>
      <c r="T98" s="388"/>
      <c r="U98" s="388">
        <f t="shared" si="79"/>
        <v>14402.18</v>
      </c>
      <c r="V98" s="388">
        <f>GAAP!Q97</f>
        <v>12571.54</v>
      </c>
      <c r="W98" s="388">
        <f>GAAP!S97</f>
        <v>1830.6399999999994</v>
      </c>
      <c r="X98" s="388"/>
      <c r="Y98" s="389">
        <f t="shared" si="80"/>
        <v>0</v>
      </c>
      <c r="Z98" s="390">
        <f t="shared" si="81"/>
        <v>0</v>
      </c>
      <c r="AA98" s="391">
        <f t="shared" si="82"/>
        <v>0</v>
      </c>
      <c r="AC98" s="621">
        <f t="shared" si="72"/>
        <v>0</v>
      </c>
    </row>
    <row r="99" spans="1:29" ht="15" customHeight="1">
      <c r="A99" s="385">
        <f>Bonus!A98</f>
        <v>52.870600000000003</v>
      </c>
      <c r="B99" s="386" t="str">
        <f>Bonus!B98</f>
        <v>City of Hanford - WWTP Weld Repair T&amp;M 2</v>
      </c>
      <c r="C99" s="468">
        <f>Bonus!G98</f>
        <v>1</v>
      </c>
      <c r="D99" s="468">
        <f>GAAP!G98</f>
        <v>1</v>
      </c>
      <c r="E99" s="387">
        <f>Bonus!I98</f>
        <v>2868.6</v>
      </c>
      <c r="F99" s="388">
        <f>Bonus!F98</f>
        <v>2435.7800000000002</v>
      </c>
      <c r="G99" s="388">
        <f t="shared" si="73"/>
        <v>432.81999999999971</v>
      </c>
      <c r="H99" s="388"/>
      <c r="I99" s="388">
        <f>GAAP!I98</f>
        <v>2868.6</v>
      </c>
      <c r="J99" s="388">
        <f>GAAP!F98</f>
        <v>2435.7800000000002</v>
      </c>
      <c r="K99" s="388">
        <f t="shared" si="74"/>
        <v>432.81999999999971</v>
      </c>
      <c r="L99" s="388"/>
      <c r="M99" s="389">
        <f t="shared" si="75"/>
        <v>0</v>
      </c>
      <c r="N99" s="390">
        <f t="shared" si="76"/>
        <v>0</v>
      </c>
      <c r="O99" s="390">
        <f t="shared" si="77"/>
        <v>0</v>
      </c>
      <c r="P99" s="370"/>
      <c r="Q99" s="387">
        <f t="shared" si="78"/>
        <v>2868.6</v>
      </c>
      <c r="R99" s="388">
        <f>Bonus!Q98</f>
        <v>2435.7800000000002</v>
      </c>
      <c r="S99" s="388">
        <f>Bonus!S98</f>
        <v>432.81999999999971</v>
      </c>
      <c r="T99" s="388"/>
      <c r="U99" s="388">
        <f t="shared" si="79"/>
        <v>2868.6</v>
      </c>
      <c r="V99" s="388">
        <f>GAAP!Q98</f>
        <v>2435.7800000000002</v>
      </c>
      <c r="W99" s="388">
        <f>GAAP!S98</f>
        <v>432.81999999999971</v>
      </c>
      <c r="X99" s="388"/>
      <c r="Y99" s="389">
        <f t="shared" si="80"/>
        <v>0</v>
      </c>
      <c r="Z99" s="390">
        <f t="shared" si="81"/>
        <v>0</v>
      </c>
      <c r="AA99" s="391">
        <f t="shared" si="82"/>
        <v>0</v>
      </c>
      <c r="AC99" s="621">
        <f t="shared" si="72"/>
        <v>0</v>
      </c>
    </row>
    <row r="100" spans="1:29" ht="15" customHeight="1">
      <c r="A100" s="385">
        <f>Bonus!A99</f>
        <v>52.870899999999999</v>
      </c>
      <c r="B100" s="386" t="str">
        <f>Bonus!B99</f>
        <v>County of Fresno - 47.1 Water</v>
      </c>
      <c r="C100" s="468">
        <f>Bonus!G99</f>
        <v>1</v>
      </c>
      <c r="D100" s="468">
        <f>GAAP!G99</f>
        <v>1</v>
      </c>
      <c r="E100" s="387">
        <f>Bonus!I99</f>
        <v>17765.14</v>
      </c>
      <c r="F100" s="388">
        <f>Bonus!F99</f>
        <v>14874.36</v>
      </c>
      <c r="G100" s="388">
        <f t="shared" si="73"/>
        <v>2890.7799999999988</v>
      </c>
      <c r="H100" s="388"/>
      <c r="I100" s="388">
        <f>GAAP!I99</f>
        <v>17765.14</v>
      </c>
      <c r="J100" s="388">
        <f>GAAP!F99</f>
        <v>14874.36</v>
      </c>
      <c r="K100" s="388">
        <f t="shared" si="74"/>
        <v>2890.7799999999988</v>
      </c>
      <c r="L100" s="388"/>
      <c r="M100" s="389">
        <f t="shared" si="75"/>
        <v>0</v>
      </c>
      <c r="N100" s="390">
        <f t="shared" si="76"/>
        <v>0</v>
      </c>
      <c r="O100" s="390">
        <f t="shared" si="77"/>
        <v>0</v>
      </c>
      <c r="P100" s="370"/>
      <c r="Q100" s="387">
        <f t="shared" si="78"/>
        <v>17765.14</v>
      </c>
      <c r="R100" s="388">
        <f>Bonus!Q99</f>
        <v>14874.36</v>
      </c>
      <c r="S100" s="388">
        <f>Bonus!S99</f>
        <v>2890.7799999999988</v>
      </c>
      <c r="T100" s="388"/>
      <c r="U100" s="388">
        <f t="shared" si="79"/>
        <v>17765.14</v>
      </c>
      <c r="V100" s="388">
        <f>GAAP!Q99</f>
        <v>14874.36</v>
      </c>
      <c r="W100" s="388">
        <f>GAAP!S99</f>
        <v>2890.7799999999988</v>
      </c>
      <c r="X100" s="388"/>
      <c r="Y100" s="389">
        <f t="shared" si="80"/>
        <v>0</v>
      </c>
      <c r="Z100" s="390">
        <f t="shared" si="81"/>
        <v>0</v>
      </c>
      <c r="AA100" s="391">
        <f t="shared" si="82"/>
        <v>0</v>
      </c>
      <c r="AC100" s="621">
        <f t="shared" si="72"/>
        <v>0</v>
      </c>
    </row>
    <row r="101" spans="1:29" ht="15" customHeight="1">
      <c r="A101" s="385">
        <f>Bonus!A100</f>
        <v>52.871000000000002</v>
      </c>
      <c r="B101" s="386" t="str">
        <f>Bonus!B100</f>
        <v>City of Dinuba - WWTP Bar Screen Motor Bracket Repair</v>
      </c>
      <c r="C101" s="468">
        <f>Bonus!G100</f>
        <v>1</v>
      </c>
      <c r="D101" s="468">
        <f>GAAP!G100</f>
        <v>1</v>
      </c>
      <c r="E101" s="387">
        <f>Bonus!I100</f>
        <v>4064.54</v>
      </c>
      <c r="F101" s="388">
        <f>Bonus!F100</f>
        <v>3514.84</v>
      </c>
      <c r="G101" s="388">
        <f t="shared" si="73"/>
        <v>549.69999999999982</v>
      </c>
      <c r="H101" s="388"/>
      <c r="I101" s="388">
        <f>GAAP!I100</f>
        <v>4064.54</v>
      </c>
      <c r="J101" s="388">
        <f>GAAP!F100</f>
        <v>3514.84</v>
      </c>
      <c r="K101" s="388">
        <f t="shared" si="74"/>
        <v>549.69999999999982</v>
      </c>
      <c r="L101" s="388"/>
      <c r="M101" s="389">
        <f t="shared" si="75"/>
        <v>0</v>
      </c>
      <c r="N101" s="390">
        <f t="shared" si="76"/>
        <v>0</v>
      </c>
      <c r="O101" s="390">
        <f t="shared" si="77"/>
        <v>0</v>
      </c>
      <c r="P101" s="370"/>
      <c r="Q101" s="387">
        <f t="shared" si="78"/>
        <v>4064.54</v>
      </c>
      <c r="R101" s="388">
        <f>Bonus!Q100</f>
        <v>3514.84</v>
      </c>
      <c r="S101" s="388">
        <f>Bonus!S100</f>
        <v>549.69999999999982</v>
      </c>
      <c r="T101" s="388"/>
      <c r="U101" s="388">
        <f t="shared" si="79"/>
        <v>4064.54</v>
      </c>
      <c r="V101" s="388">
        <f>GAAP!Q100</f>
        <v>3514.84</v>
      </c>
      <c r="W101" s="388">
        <f>GAAP!S100</f>
        <v>549.69999999999982</v>
      </c>
      <c r="X101" s="388"/>
      <c r="Y101" s="389">
        <f t="shared" si="80"/>
        <v>0</v>
      </c>
      <c r="Z101" s="390">
        <f t="shared" si="81"/>
        <v>0</v>
      </c>
      <c r="AA101" s="391">
        <f t="shared" si="82"/>
        <v>0</v>
      </c>
      <c r="AC101" s="621">
        <f t="shared" si="72"/>
        <v>0</v>
      </c>
    </row>
    <row r="102" spans="1:29" ht="15" customHeight="1">
      <c r="A102" s="385">
        <f>Bonus!A101</f>
        <v>52.871499999999997</v>
      </c>
      <c r="B102" s="386" t="str">
        <f>Bonus!B101</f>
        <v>New England Sheet Metal and Mechanical Co. - Vitro Glass Plant Concrete Pad T&amp;M</v>
      </c>
      <c r="C102" s="468">
        <f>Bonus!G101</f>
        <v>1</v>
      </c>
      <c r="D102" s="468">
        <f>GAAP!G101</f>
        <v>1</v>
      </c>
      <c r="E102" s="387">
        <f>Bonus!I101</f>
        <v>10001.43</v>
      </c>
      <c r="F102" s="388">
        <f>Bonus!F101</f>
        <v>8585.44</v>
      </c>
      <c r="G102" s="388">
        <f t="shared" si="73"/>
        <v>1415.9899999999998</v>
      </c>
      <c r="H102" s="388"/>
      <c r="I102" s="388">
        <f>GAAP!I101</f>
        <v>10001.43</v>
      </c>
      <c r="J102" s="388">
        <f>GAAP!F101</f>
        <v>8585.44</v>
      </c>
      <c r="K102" s="388">
        <f t="shared" si="74"/>
        <v>1415.9899999999998</v>
      </c>
      <c r="L102" s="388"/>
      <c r="M102" s="389">
        <f t="shared" si="75"/>
        <v>0</v>
      </c>
      <c r="N102" s="390">
        <f t="shared" si="76"/>
        <v>0</v>
      </c>
      <c r="O102" s="390">
        <f t="shared" si="77"/>
        <v>0</v>
      </c>
      <c r="P102" s="370"/>
      <c r="Q102" s="387">
        <f t="shared" si="78"/>
        <v>10001.43</v>
      </c>
      <c r="R102" s="388">
        <f>Bonus!Q101</f>
        <v>8585.44</v>
      </c>
      <c r="S102" s="388">
        <f>Bonus!S101</f>
        <v>1415.9899999999998</v>
      </c>
      <c r="T102" s="388"/>
      <c r="U102" s="388">
        <f t="shared" si="79"/>
        <v>10001.43</v>
      </c>
      <c r="V102" s="388">
        <f>GAAP!Q101</f>
        <v>8585.44</v>
      </c>
      <c r="W102" s="388">
        <f>GAAP!S101</f>
        <v>1415.9899999999998</v>
      </c>
      <c r="X102" s="388"/>
      <c r="Y102" s="389">
        <f t="shared" si="80"/>
        <v>0</v>
      </c>
      <c r="Z102" s="390">
        <f t="shared" si="81"/>
        <v>0</v>
      </c>
      <c r="AA102" s="391">
        <f t="shared" si="82"/>
        <v>0</v>
      </c>
      <c r="AC102" s="621">
        <f t="shared" si="72"/>
        <v>0</v>
      </c>
    </row>
    <row r="103" spans="1:29" ht="15" hidden="1" customHeight="1">
      <c r="A103" s="385"/>
      <c r="B103" s="386"/>
      <c r="C103" s="468"/>
      <c r="D103" s="468"/>
      <c r="E103" s="387"/>
      <c r="F103" s="388"/>
      <c r="G103" s="388"/>
      <c r="H103" s="388"/>
      <c r="I103" s="388"/>
      <c r="J103" s="388"/>
      <c r="K103" s="388"/>
      <c r="L103" s="388"/>
      <c r="M103" s="389"/>
      <c r="N103" s="390"/>
      <c r="O103" s="390"/>
      <c r="P103" s="379"/>
      <c r="Q103" s="388"/>
      <c r="R103" s="388"/>
      <c r="S103" s="444"/>
      <c r="T103" s="388"/>
      <c r="U103" s="388"/>
      <c r="V103" s="388"/>
      <c r="W103" s="444"/>
      <c r="X103" s="388"/>
      <c r="Y103" s="389"/>
      <c r="Z103" s="390"/>
      <c r="AA103" s="391"/>
      <c r="AC103" s="621">
        <f t="shared" si="72"/>
        <v>0</v>
      </c>
    </row>
    <row r="104" spans="1:29" ht="15" customHeight="1">
      <c r="A104" s="240" t="s">
        <v>355</v>
      </c>
      <c r="B104" s="393"/>
      <c r="C104" s="393"/>
      <c r="D104" s="393"/>
      <c r="E104" s="395">
        <f>SUM(E69:E103)</f>
        <v>24381266.32</v>
      </c>
      <c r="F104" s="396">
        <f>SUM(F69:F103)</f>
        <v>23380699.099999998</v>
      </c>
      <c r="G104" s="396">
        <f>SUM(G69:G103)</f>
        <v>1000567.2200000002</v>
      </c>
      <c r="H104" s="394"/>
      <c r="I104" s="396">
        <f>SUM(I69:I103)</f>
        <v>24381266.32</v>
      </c>
      <c r="J104" s="396">
        <f>SUM(J69:J103)</f>
        <v>23380699.099999998</v>
      </c>
      <c r="K104" s="396">
        <f>SUM(K69:K103)</f>
        <v>1000567.2200000002</v>
      </c>
      <c r="L104" s="394"/>
      <c r="M104" s="395">
        <f>SUM(M69:M103)</f>
        <v>0</v>
      </c>
      <c r="N104" s="396">
        <f>SUM(N69:N103)</f>
        <v>0</v>
      </c>
      <c r="O104" s="396">
        <f>SUM(O69:O103)</f>
        <v>0</v>
      </c>
      <c r="P104" s="379"/>
      <c r="Q104" s="396">
        <f>SUM(Q69:Q103)</f>
        <v>7033109.6835232619</v>
      </c>
      <c r="R104" s="396">
        <f>SUM(R69:R103)</f>
        <v>6980066.9800000014</v>
      </c>
      <c r="S104" s="396">
        <f>SUM(S69:S103)</f>
        <v>53042.703523262971</v>
      </c>
      <c r="T104" s="396"/>
      <c r="U104" s="396">
        <f>SUM(U69:U103)</f>
        <v>7035974.0781383198</v>
      </c>
      <c r="V104" s="396">
        <f>SUM(V69:V103)</f>
        <v>6980066.9800000014</v>
      </c>
      <c r="W104" s="396">
        <f>SUM(W69:W103)</f>
        <v>55907.098138321759</v>
      </c>
      <c r="X104" s="394"/>
      <c r="Y104" s="395">
        <f>SUM(Y69:Y103)</f>
        <v>-2864.394615058729</v>
      </c>
      <c r="Z104" s="396">
        <f>SUM(Z69:Z103)</f>
        <v>0</v>
      </c>
      <c r="AA104" s="447">
        <f>SUM(AA69:AA103)</f>
        <v>-2864.394615058729</v>
      </c>
      <c r="AC104" s="623">
        <f t="shared" si="72"/>
        <v>2864.394615058729</v>
      </c>
    </row>
    <row r="105" spans="1:29" ht="15" customHeight="1">
      <c r="A105" s="453"/>
      <c r="B105" s="239"/>
      <c r="C105" s="239"/>
      <c r="D105" s="239"/>
      <c r="E105" s="454"/>
      <c r="F105" s="455"/>
      <c r="G105" s="455"/>
      <c r="H105" s="455"/>
      <c r="I105" s="455"/>
      <c r="J105" s="455"/>
      <c r="K105" s="455"/>
      <c r="L105" s="455"/>
      <c r="M105" s="450"/>
      <c r="N105" s="416"/>
      <c r="O105" s="416"/>
      <c r="P105" s="456"/>
      <c r="Q105" s="455"/>
      <c r="R105" s="455"/>
      <c r="S105" s="455"/>
      <c r="T105" s="455"/>
      <c r="U105" s="455"/>
      <c r="V105" s="455"/>
      <c r="W105" s="455"/>
      <c r="X105" s="455"/>
      <c r="Y105" s="450"/>
      <c r="Z105" s="416"/>
      <c r="AA105" s="452"/>
      <c r="AC105" s="451"/>
    </row>
    <row r="106" spans="1:29" ht="15" customHeight="1">
      <c r="A106" s="240" t="s">
        <v>356</v>
      </c>
      <c r="E106" s="372">
        <f>E66+E104</f>
        <v>120375016.93348843</v>
      </c>
      <c r="F106" s="256">
        <f>F66+F104</f>
        <v>112433840.95</v>
      </c>
      <c r="G106" s="256">
        <f>G66+G104</f>
        <v>7941175.983488461</v>
      </c>
      <c r="H106" s="256"/>
      <c r="I106" s="256">
        <f>I66+I104</f>
        <v>120355461.05855477</v>
      </c>
      <c r="J106" s="256">
        <f>J66+J104</f>
        <v>112433840.95</v>
      </c>
      <c r="K106" s="256">
        <f>K66+K104</f>
        <v>7921620.108554801</v>
      </c>
      <c r="L106" s="371"/>
      <c r="M106" s="372">
        <f>M66+M104</f>
        <v>19555.874933660496</v>
      </c>
      <c r="N106" s="256">
        <f>N66+N104</f>
        <v>0</v>
      </c>
      <c r="O106" s="256">
        <f>O66+O104</f>
        <v>19555.874933660496</v>
      </c>
      <c r="P106" s="379"/>
      <c r="Q106" s="396">
        <f>Q66+Q104</f>
        <v>47236193.163703308</v>
      </c>
      <c r="R106" s="396">
        <f>R66+R104</f>
        <v>44883136.290000007</v>
      </c>
      <c r="S106" s="396">
        <f>S66+S104</f>
        <v>2353056.8737033107</v>
      </c>
      <c r="T106" s="394"/>
      <c r="U106" s="396">
        <f>U66+U104</f>
        <v>47283952.656935379</v>
      </c>
      <c r="V106" s="396">
        <f>V66+V104</f>
        <v>44883136.290000007</v>
      </c>
      <c r="W106" s="396">
        <f>W66+W104</f>
        <v>2400816.3669353849</v>
      </c>
      <c r="X106" s="371"/>
      <c r="Y106" s="372">
        <f>Y66+Y104</f>
        <v>-47759.493232074135</v>
      </c>
      <c r="Z106" s="256">
        <f>Z66+Z104</f>
        <v>0</v>
      </c>
      <c r="AA106" s="373">
        <f>AA66+AA104</f>
        <v>-47759.493232074179</v>
      </c>
      <c r="AC106" s="380">
        <f t="shared" si="72"/>
        <v>67315.368165734675</v>
      </c>
    </row>
    <row r="107" spans="1:29" ht="15" customHeight="1">
      <c r="A107" s="240"/>
      <c r="E107" s="372"/>
      <c r="F107" s="256"/>
      <c r="G107" s="256"/>
      <c r="H107" s="256"/>
      <c r="I107" s="256"/>
      <c r="J107" s="256"/>
      <c r="K107" s="256"/>
      <c r="L107" s="371"/>
      <c r="M107" s="372"/>
      <c r="N107" s="256"/>
      <c r="O107" s="256"/>
      <c r="P107" s="379"/>
      <c r="Q107" s="371"/>
      <c r="R107" s="371"/>
      <c r="S107" s="371"/>
      <c r="T107" s="371"/>
      <c r="U107" s="371"/>
      <c r="V107" s="371"/>
      <c r="W107" s="371"/>
      <c r="X107" s="371"/>
      <c r="Y107" s="372"/>
      <c r="Z107" s="256"/>
      <c r="AA107" s="373"/>
      <c r="AC107" s="380"/>
    </row>
    <row r="108" spans="1:29" s="240" customFormat="1" ht="15" customHeight="1">
      <c r="A108" s="330" t="s">
        <v>288</v>
      </c>
      <c r="B108" s="235"/>
      <c r="C108" s="235"/>
      <c r="D108" s="235"/>
      <c r="E108" s="370"/>
      <c r="F108" s="371"/>
      <c r="G108" s="371"/>
      <c r="H108" s="371"/>
      <c r="I108" s="371"/>
      <c r="J108" s="371"/>
      <c r="K108" s="371"/>
      <c r="L108" s="371"/>
      <c r="M108" s="372"/>
      <c r="N108" s="256"/>
      <c r="O108" s="256"/>
      <c r="P108" s="379"/>
      <c r="Q108" s="371"/>
      <c r="R108" s="371"/>
      <c r="S108" s="371"/>
      <c r="T108" s="371"/>
      <c r="U108" s="371"/>
      <c r="V108" s="371"/>
      <c r="W108" s="371"/>
      <c r="X108" s="371"/>
      <c r="Y108" s="372"/>
      <c r="Z108" s="256"/>
      <c r="AA108" s="373"/>
      <c r="AC108" s="380"/>
    </row>
    <row r="109" spans="1:29" s="240" customFormat="1" ht="15" customHeight="1">
      <c r="A109" s="385">
        <f>Bonus!A107</f>
        <v>53.200699999999998</v>
      </c>
      <c r="B109" s="386" t="str">
        <f>Bonus!B107</f>
        <v>Union Sanitary Dist. - Phase 1B Secondary Clarifiers</v>
      </c>
      <c r="C109" s="468">
        <f>Bonus!G107</f>
        <v>1.38871462255082E-3</v>
      </c>
      <c r="D109" s="468">
        <f>GAAP!G107</f>
        <v>1.38871462255082E-3</v>
      </c>
      <c r="E109" s="387">
        <f>Bonus!I107</f>
        <v>404852.16</v>
      </c>
      <c r="F109" s="388">
        <f>Bonus!F107</f>
        <v>404852.16</v>
      </c>
      <c r="G109" s="388">
        <f t="shared" ref="G109" si="93">E109-F109</f>
        <v>0</v>
      </c>
      <c r="H109" s="388"/>
      <c r="I109" s="388">
        <f>GAAP!I107</f>
        <v>404852.16</v>
      </c>
      <c r="J109" s="388">
        <f>GAAP!F107</f>
        <v>404852.16</v>
      </c>
      <c r="K109" s="388">
        <f t="shared" ref="K109" si="94">I109-J109</f>
        <v>0</v>
      </c>
      <c r="L109" s="388"/>
      <c r="M109" s="389">
        <f t="shared" ref="M109" si="95">E109-I109</f>
        <v>0</v>
      </c>
      <c r="N109" s="390">
        <f t="shared" ref="N109" si="96">F109-J109</f>
        <v>0</v>
      </c>
      <c r="O109" s="390">
        <f t="shared" ref="O109" si="97">G109-K109</f>
        <v>0</v>
      </c>
      <c r="P109" s="379"/>
      <c r="Q109" s="387">
        <f t="shared" ref="Q109" si="98">R109+S109</f>
        <v>404852.16</v>
      </c>
      <c r="R109" s="388">
        <f>Bonus!Q107</f>
        <v>404852.16</v>
      </c>
      <c r="S109" s="388">
        <f>Bonus!S107</f>
        <v>0</v>
      </c>
      <c r="T109" s="388"/>
      <c r="U109" s="388">
        <f t="shared" ref="U109" si="99">V109+W109</f>
        <v>404852.16</v>
      </c>
      <c r="V109" s="388">
        <f>GAAP!Q107</f>
        <v>404852.16</v>
      </c>
      <c r="W109" s="388">
        <f>GAAP!S107</f>
        <v>0</v>
      </c>
      <c r="X109" s="388"/>
      <c r="Y109" s="389">
        <f t="shared" ref="Y109" si="100">Q109-U109</f>
        <v>0</v>
      </c>
      <c r="Z109" s="390">
        <f t="shared" ref="Z109" si="101">R109-V109</f>
        <v>0</v>
      </c>
      <c r="AA109" s="391">
        <f t="shared" ref="AA109" si="102">S109-W109</f>
        <v>0</v>
      </c>
      <c r="AC109" s="621">
        <f t="shared" si="72"/>
        <v>0</v>
      </c>
    </row>
    <row r="110" spans="1:29" s="240" customFormat="1" ht="15" hidden="1" customHeight="1">
      <c r="A110" s="329"/>
      <c r="B110" s="235"/>
      <c r="C110" s="477"/>
      <c r="D110" s="477"/>
      <c r="E110" s="370"/>
      <c r="F110" s="371"/>
      <c r="G110" s="371"/>
      <c r="H110" s="371"/>
      <c r="I110" s="371"/>
      <c r="J110" s="371"/>
      <c r="K110" s="371"/>
      <c r="L110" s="371"/>
      <c r="M110" s="372"/>
      <c r="N110" s="256"/>
      <c r="O110" s="256"/>
      <c r="P110" s="379"/>
      <c r="Q110" s="371"/>
      <c r="R110" s="371"/>
      <c r="S110" s="371"/>
      <c r="T110" s="371"/>
      <c r="U110" s="371"/>
      <c r="V110" s="371"/>
      <c r="W110" s="371"/>
      <c r="X110" s="371"/>
      <c r="Y110" s="372"/>
      <c r="Z110" s="256"/>
      <c r="AA110" s="373"/>
      <c r="AC110" s="380">
        <f t="shared" si="72"/>
        <v>0</v>
      </c>
    </row>
    <row r="111" spans="1:29" s="240" customFormat="1" ht="15" customHeight="1">
      <c r="A111" s="330" t="s">
        <v>289</v>
      </c>
      <c r="E111" s="372">
        <f>SUM(E109:E110)</f>
        <v>404852.16</v>
      </c>
      <c r="F111" s="256">
        <f>SUM(F109:F110)</f>
        <v>404852.16</v>
      </c>
      <c r="G111" s="256">
        <f>SUM(G109:G110)</f>
        <v>0</v>
      </c>
      <c r="H111" s="256"/>
      <c r="I111" s="256">
        <f>SUM(I109:I110)</f>
        <v>404852.16</v>
      </c>
      <c r="J111" s="256">
        <f>SUM(J109:J110)</f>
        <v>404852.16</v>
      </c>
      <c r="K111" s="256">
        <f>SUM(K109:K110)</f>
        <v>0</v>
      </c>
      <c r="L111" s="256"/>
      <c r="M111" s="372">
        <f>SUM(M109:M110)</f>
        <v>0</v>
      </c>
      <c r="N111" s="256">
        <f>SUM(N109:N110)</f>
        <v>0</v>
      </c>
      <c r="O111" s="256">
        <f>SUM(O109:O110)</f>
        <v>0</v>
      </c>
      <c r="P111" s="380"/>
      <c r="Q111" s="256">
        <f>SUM(Q109:Q110)</f>
        <v>404852.16</v>
      </c>
      <c r="R111" s="256">
        <f>SUM(R109:R110)</f>
        <v>404852.16</v>
      </c>
      <c r="S111" s="256">
        <f>SUM(S109:S110)</f>
        <v>0</v>
      </c>
      <c r="T111" s="256"/>
      <c r="U111" s="256">
        <f>SUM(U109:U110)</f>
        <v>404852.16</v>
      </c>
      <c r="V111" s="256">
        <f>SUM(V109:V110)</f>
        <v>404852.16</v>
      </c>
      <c r="W111" s="256">
        <f>SUM(W109:W110)</f>
        <v>0</v>
      </c>
      <c r="X111" s="256"/>
      <c r="Y111" s="372">
        <f>SUM(Y109:Y110)</f>
        <v>0</v>
      </c>
      <c r="Z111" s="256">
        <f>SUM(Z109:Z110)</f>
        <v>0</v>
      </c>
      <c r="AA111" s="373">
        <f>SUM(AA109:AA110)</f>
        <v>0</v>
      </c>
      <c r="AC111" s="380">
        <f t="shared" si="72"/>
        <v>0</v>
      </c>
    </row>
    <row r="112" spans="1:29" s="240" customFormat="1" ht="15" customHeight="1">
      <c r="A112" s="330"/>
      <c r="E112" s="372"/>
      <c r="F112" s="256"/>
      <c r="G112" s="256"/>
      <c r="H112" s="256"/>
      <c r="I112" s="256"/>
      <c r="J112" s="256"/>
      <c r="K112" s="256"/>
      <c r="L112" s="256"/>
      <c r="M112" s="372"/>
      <c r="N112" s="256"/>
      <c r="O112" s="256"/>
      <c r="P112" s="380"/>
      <c r="Q112" s="256"/>
      <c r="R112" s="256"/>
      <c r="S112" s="256"/>
      <c r="T112" s="256"/>
      <c r="U112" s="256"/>
      <c r="V112" s="256"/>
      <c r="W112" s="256"/>
      <c r="X112" s="256"/>
      <c r="Y112" s="372"/>
      <c r="Z112" s="256"/>
      <c r="AA112" s="373"/>
      <c r="AC112" s="380"/>
    </row>
    <row r="113" spans="1:29" s="240" customFormat="1" ht="15" customHeight="1">
      <c r="A113" s="331" t="s">
        <v>290</v>
      </c>
      <c r="B113" s="235"/>
      <c r="C113" s="235"/>
      <c r="D113" s="235"/>
      <c r="E113" s="370"/>
      <c r="F113" s="371"/>
      <c r="G113" s="371"/>
      <c r="H113" s="371"/>
      <c r="I113" s="371"/>
      <c r="J113" s="371"/>
      <c r="K113" s="371"/>
      <c r="L113" s="371"/>
      <c r="M113" s="372"/>
      <c r="N113" s="256"/>
      <c r="O113" s="256"/>
      <c r="P113" s="379"/>
      <c r="Q113" s="371"/>
      <c r="R113" s="371"/>
      <c r="S113" s="371"/>
      <c r="T113" s="371"/>
      <c r="U113" s="371"/>
      <c r="V113" s="371"/>
      <c r="W113" s="371"/>
      <c r="X113" s="371"/>
      <c r="Y113" s="372"/>
      <c r="Z113" s="256"/>
      <c r="AA113" s="373"/>
      <c r="AC113" s="380"/>
    </row>
    <row r="114" spans="1:29" s="240" customFormat="1" ht="15" customHeight="1">
      <c r="A114" s="385">
        <f>Bonus!A112</f>
        <v>53.200400000000002</v>
      </c>
      <c r="B114" s="386" t="str">
        <f>Bonus!B112</f>
        <v>City of Millbrae - Millbrae Sludge Thickener &amp;  Digester No. 2 Rehab Project</v>
      </c>
      <c r="C114" s="468">
        <f>Bonus!G112</f>
        <v>1</v>
      </c>
      <c r="D114" s="468">
        <f>GAAP!G112</f>
        <v>1</v>
      </c>
      <c r="E114" s="387">
        <f>Bonus!I112</f>
        <v>1173753.47</v>
      </c>
      <c r="F114" s="388">
        <f>Bonus!F112</f>
        <v>980791.05</v>
      </c>
      <c r="G114" s="388">
        <f t="shared" ref="G114" si="103">E114-F114</f>
        <v>192962.41999999993</v>
      </c>
      <c r="H114" s="388"/>
      <c r="I114" s="388">
        <f>GAAP!I112</f>
        <v>1173753.47</v>
      </c>
      <c r="J114" s="388">
        <f>GAAP!F112</f>
        <v>980791.05</v>
      </c>
      <c r="K114" s="388">
        <f t="shared" ref="K114" si="104">I114-J114</f>
        <v>192962.41999999993</v>
      </c>
      <c r="L114" s="388"/>
      <c r="M114" s="389">
        <f t="shared" ref="M114" si="105">E114-I114</f>
        <v>0</v>
      </c>
      <c r="N114" s="390">
        <f t="shared" ref="N114" si="106">F114-J114</f>
        <v>0</v>
      </c>
      <c r="O114" s="390">
        <f t="shared" ref="O114" si="107">G114-K114</f>
        <v>0</v>
      </c>
      <c r="P114" s="379"/>
      <c r="Q114" s="387">
        <f t="shared" ref="Q114" si="108">R114+S114</f>
        <v>1151824.99</v>
      </c>
      <c r="R114" s="388">
        <f>Bonus!Q112</f>
        <v>958862.57000000007</v>
      </c>
      <c r="S114" s="388">
        <f>Bonus!S112</f>
        <v>192962.41999999993</v>
      </c>
      <c r="T114" s="388"/>
      <c r="U114" s="388">
        <f t="shared" ref="U114" si="109">V114+W114</f>
        <v>1151824.99</v>
      </c>
      <c r="V114" s="388">
        <f>GAAP!Q112</f>
        <v>958862.57000000007</v>
      </c>
      <c r="W114" s="388">
        <f>GAAP!S112</f>
        <v>192962.41999999993</v>
      </c>
      <c r="X114" s="388"/>
      <c r="Y114" s="389">
        <f t="shared" ref="Y114" si="110">Q114-U114</f>
        <v>0</v>
      </c>
      <c r="Z114" s="390">
        <f t="shared" ref="Z114" si="111">R114-V114</f>
        <v>0</v>
      </c>
      <c r="AA114" s="391">
        <f t="shared" ref="AA114" si="112">S114-W114</f>
        <v>0</v>
      </c>
      <c r="AC114" s="621">
        <f t="shared" si="72"/>
        <v>0</v>
      </c>
    </row>
    <row r="115" spans="1:29" s="240" customFormat="1" ht="15" customHeight="1">
      <c r="A115" s="385">
        <f>Bonus!A113</f>
        <v>53.200499999999998</v>
      </c>
      <c r="B115" s="386" t="str">
        <f>Bonus!B113</f>
        <v>East Bay Overhead 2025</v>
      </c>
      <c r="C115" s="468">
        <f>Bonus!G113</f>
        <v>1</v>
      </c>
      <c r="D115" s="468">
        <f>GAAP!G113</f>
        <v>1</v>
      </c>
      <c r="E115" s="387">
        <f>Bonus!I113</f>
        <v>0</v>
      </c>
      <c r="F115" s="388">
        <f>Bonus!F113</f>
        <v>279281.96000000002</v>
      </c>
      <c r="G115" s="388">
        <f t="shared" ref="G115:G116" si="113">E115-F115</f>
        <v>-279281.96000000002</v>
      </c>
      <c r="H115" s="388"/>
      <c r="I115" s="388">
        <f>GAAP!I113</f>
        <v>0</v>
      </c>
      <c r="J115" s="388">
        <f>GAAP!F113</f>
        <v>279281.96000000002</v>
      </c>
      <c r="K115" s="388">
        <f t="shared" ref="K115:K116" si="114">I115-J115</f>
        <v>-279281.96000000002</v>
      </c>
      <c r="L115" s="388"/>
      <c r="M115" s="389">
        <f t="shared" ref="M115:M116" si="115">E115-I115</f>
        <v>0</v>
      </c>
      <c r="N115" s="390">
        <f t="shared" ref="N115:N116" si="116">F115-J115</f>
        <v>0</v>
      </c>
      <c r="O115" s="390">
        <f t="shared" ref="O115:O116" si="117">G115-K115</f>
        <v>0</v>
      </c>
      <c r="P115" s="379"/>
      <c r="Q115" s="387">
        <f t="shared" ref="Q115:Q116" si="118">R115+S115</f>
        <v>0</v>
      </c>
      <c r="R115" s="388">
        <f>Bonus!Q113</f>
        <v>279281.96000000002</v>
      </c>
      <c r="S115" s="388">
        <f>Bonus!S113</f>
        <v>-279281.96000000002</v>
      </c>
      <c r="T115" s="388"/>
      <c r="U115" s="388">
        <f t="shared" ref="U115:U116" si="119">V115+W115</f>
        <v>0</v>
      </c>
      <c r="V115" s="388">
        <f>GAAP!Q113</f>
        <v>279281.96000000002</v>
      </c>
      <c r="W115" s="388">
        <f>GAAP!S113</f>
        <v>-279281.96000000002</v>
      </c>
      <c r="X115" s="388"/>
      <c r="Y115" s="389">
        <f t="shared" ref="Y115:Y116" si="120">Q115-U115</f>
        <v>0</v>
      </c>
      <c r="Z115" s="390">
        <f t="shared" ref="Z115:Z116" si="121">R115-V115</f>
        <v>0</v>
      </c>
      <c r="AA115" s="391">
        <f t="shared" ref="AA115:AA116" si="122">S115-W115</f>
        <v>0</v>
      </c>
      <c r="AC115" s="621">
        <f t="shared" si="72"/>
        <v>0</v>
      </c>
    </row>
    <row r="116" spans="1:29" s="240" customFormat="1" ht="15" customHeight="1">
      <c r="A116" s="385">
        <f>Bonus!A114</f>
        <v>53.200600000000001</v>
      </c>
      <c r="B116" s="386" t="str">
        <f>Bonus!B114</f>
        <v>East Bay Estimating 2026</v>
      </c>
      <c r="C116" s="468">
        <f>Bonus!G114</f>
        <v>1</v>
      </c>
      <c r="D116" s="468">
        <f>GAAP!G114</f>
        <v>1</v>
      </c>
      <c r="E116" s="387">
        <f>Bonus!I114</f>
        <v>0</v>
      </c>
      <c r="F116" s="388">
        <f>Bonus!F114</f>
        <v>304986.32</v>
      </c>
      <c r="G116" s="388">
        <f t="shared" si="113"/>
        <v>-304986.32</v>
      </c>
      <c r="H116" s="388"/>
      <c r="I116" s="388">
        <f>GAAP!I114</f>
        <v>0</v>
      </c>
      <c r="J116" s="388">
        <f>GAAP!F114</f>
        <v>304986.32</v>
      </c>
      <c r="K116" s="388">
        <f t="shared" si="114"/>
        <v>-304986.32</v>
      </c>
      <c r="L116" s="388"/>
      <c r="M116" s="389">
        <f t="shared" si="115"/>
        <v>0</v>
      </c>
      <c r="N116" s="390">
        <f t="shared" si="116"/>
        <v>0</v>
      </c>
      <c r="O116" s="390">
        <f t="shared" si="117"/>
        <v>0</v>
      </c>
      <c r="P116" s="379"/>
      <c r="Q116" s="387">
        <f t="shared" si="118"/>
        <v>0</v>
      </c>
      <c r="R116" s="388">
        <f>Bonus!Q114</f>
        <v>304986.32</v>
      </c>
      <c r="S116" s="388">
        <f>Bonus!S114</f>
        <v>-304986.32</v>
      </c>
      <c r="T116" s="388"/>
      <c r="U116" s="388">
        <f t="shared" si="119"/>
        <v>0</v>
      </c>
      <c r="V116" s="388">
        <f>GAAP!Q114</f>
        <v>304986.32</v>
      </c>
      <c r="W116" s="388">
        <f>GAAP!S114</f>
        <v>-304986.32</v>
      </c>
      <c r="X116" s="388"/>
      <c r="Y116" s="389">
        <f t="shared" si="120"/>
        <v>0</v>
      </c>
      <c r="Z116" s="390">
        <f t="shared" si="121"/>
        <v>0</v>
      </c>
      <c r="AA116" s="391">
        <f t="shared" si="122"/>
        <v>0</v>
      </c>
      <c r="AC116" s="621">
        <f t="shared" si="72"/>
        <v>0</v>
      </c>
    </row>
    <row r="117" spans="1:29" s="240" customFormat="1" ht="15" hidden="1" customHeight="1">
      <c r="A117" s="385"/>
      <c r="B117" s="386"/>
      <c r="C117" s="468"/>
      <c r="D117" s="468"/>
      <c r="E117" s="387"/>
      <c r="F117" s="388"/>
      <c r="G117" s="388"/>
      <c r="H117" s="388"/>
      <c r="I117" s="388"/>
      <c r="J117" s="388"/>
      <c r="K117" s="388"/>
      <c r="L117" s="388"/>
      <c r="M117" s="389"/>
      <c r="N117" s="390"/>
      <c r="O117" s="390"/>
      <c r="P117" s="379"/>
      <c r="Q117" s="388"/>
      <c r="R117" s="388"/>
      <c r="S117" s="444"/>
      <c r="T117" s="388"/>
      <c r="U117" s="388"/>
      <c r="V117" s="388"/>
      <c r="W117" s="444"/>
      <c r="X117" s="388"/>
      <c r="Y117" s="389"/>
      <c r="Z117" s="390"/>
      <c r="AA117" s="391"/>
      <c r="AC117" s="621">
        <f t="shared" si="72"/>
        <v>0</v>
      </c>
    </row>
    <row r="118" spans="1:29" s="240" customFormat="1" ht="15" customHeight="1">
      <c r="A118" s="330" t="s">
        <v>291</v>
      </c>
      <c r="E118" s="372">
        <f>SUM(E113:E117)</f>
        <v>1173753.47</v>
      </c>
      <c r="F118" s="256">
        <f>SUM(F113:F117)</f>
        <v>1565059.33</v>
      </c>
      <c r="G118" s="256">
        <f>SUM(G113:G117)</f>
        <v>-391305.8600000001</v>
      </c>
      <c r="H118" s="256"/>
      <c r="I118" s="256">
        <f>SUM(I113:I117)</f>
        <v>1173753.47</v>
      </c>
      <c r="J118" s="256">
        <f>SUM(J113:J117)</f>
        <v>1565059.33</v>
      </c>
      <c r="K118" s="256">
        <f>SUM(K113:K117)</f>
        <v>-391305.8600000001</v>
      </c>
      <c r="L118" s="256"/>
      <c r="M118" s="372">
        <f>SUM(M113:M117)</f>
        <v>0</v>
      </c>
      <c r="N118" s="256">
        <f>SUM(N113:N117)</f>
        <v>0</v>
      </c>
      <c r="O118" s="256">
        <f>SUM(O113:O117)</f>
        <v>0</v>
      </c>
      <c r="P118" s="380"/>
      <c r="Q118" s="256">
        <f>SUM(Q113:Q117)</f>
        <v>1151824.99</v>
      </c>
      <c r="R118" s="256">
        <f>SUM(R113:R117)</f>
        <v>1543130.85</v>
      </c>
      <c r="S118" s="256">
        <f>SUM(S113:S117)</f>
        <v>-391305.8600000001</v>
      </c>
      <c r="T118" s="256"/>
      <c r="U118" s="256">
        <f>SUM(U113:U117)</f>
        <v>1151824.99</v>
      </c>
      <c r="V118" s="256">
        <f>SUM(V113:V117)</f>
        <v>1543130.85</v>
      </c>
      <c r="W118" s="256">
        <f>SUM(W113:W117)</f>
        <v>-391305.8600000001</v>
      </c>
      <c r="X118" s="256"/>
      <c r="Y118" s="372">
        <f>SUM(Y113:Y117)</f>
        <v>0</v>
      </c>
      <c r="Z118" s="256">
        <f>SUM(Z113:Z117)</f>
        <v>0</v>
      </c>
      <c r="AA118" s="373">
        <f>SUM(AA113:AA117)</f>
        <v>0</v>
      </c>
      <c r="AC118" s="380">
        <f t="shared" si="72"/>
        <v>0</v>
      </c>
    </row>
    <row r="119" spans="1:29" s="240" customFormat="1" ht="15" customHeight="1">
      <c r="A119" s="448"/>
      <c r="B119" s="449"/>
      <c r="C119" s="449"/>
      <c r="D119" s="449"/>
      <c r="E119" s="450"/>
      <c r="F119" s="416"/>
      <c r="G119" s="416"/>
      <c r="H119" s="416"/>
      <c r="I119" s="416"/>
      <c r="J119" s="416"/>
      <c r="K119" s="416"/>
      <c r="L119" s="416"/>
      <c r="M119" s="450"/>
      <c r="N119" s="416"/>
      <c r="O119" s="416"/>
      <c r="P119" s="451"/>
      <c r="Q119" s="416"/>
      <c r="R119" s="416"/>
      <c r="S119" s="416"/>
      <c r="T119" s="416"/>
      <c r="U119" s="416"/>
      <c r="V119" s="416"/>
      <c r="W119" s="416"/>
      <c r="X119" s="416"/>
      <c r="Y119" s="450"/>
      <c r="Z119" s="416"/>
      <c r="AA119" s="452"/>
      <c r="AC119" s="451"/>
    </row>
    <row r="120" spans="1:29" s="240" customFormat="1" ht="15" customHeight="1">
      <c r="A120" s="330" t="s">
        <v>281</v>
      </c>
      <c r="E120" s="372">
        <f>E111+E118</f>
        <v>1578605.63</v>
      </c>
      <c r="F120" s="256">
        <f>F111+F118</f>
        <v>1969911.49</v>
      </c>
      <c r="G120" s="256">
        <f>G111+G118</f>
        <v>-391305.8600000001</v>
      </c>
      <c r="H120" s="256"/>
      <c r="I120" s="256">
        <f>I111+I118</f>
        <v>1578605.63</v>
      </c>
      <c r="J120" s="256">
        <f>J111+J118</f>
        <v>1969911.49</v>
      </c>
      <c r="K120" s="256">
        <f>K111+K118</f>
        <v>-391305.8600000001</v>
      </c>
      <c r="L120" s="256"/>
      <c r="M120" s="372">
        <f>M111+M118</f>
        <v>0</v>
      </c>
      <c r="N120" s="256">
        <f>N111+N118</f>
        <v>0</v>
      </c>
      <c r="O120" s="256">
        <f>O111+O118</f>
        <v>0</v>
      </c>
      <c r="P120" s="380"/>
      <c r="Q120" s="256">
        <f>Q111+Q118</f>
        <v>1556677.15</v>
      </c>
      <c r="R120" s="256">
        <f>R111+R118</f>
        <v>1947983.01</v>
      </c>
      <c r="S120" s="256">
        <f>S111+S118</f>
        <v>-391305.8600000001</v>
      </c>
      <c r="T120" s="256"/>
      <c r="U120" s="256">
        <f>U111+U118</f>
        <v>1556677.15</v>
      </c>
      <c r="V120" s="256">
        <f>V111+V118</f>
        <v>1947983.01</v>
      </c>
      <c r="W120" s="256">
        <f>W111+W118</f>
        <v>-391305.8600000001</v>
      </c>
      <c r="X120" s="256"/>
      <c r="Y120" s="372">
        <f>Y111+Y118</f>
        <v>0</v>
      </c>
      <c r="Z120" s="256">
        <f>Z111+Z118</f>
        <v>0</v>
      </c>
      <c r="AA120" s="373">
        <f>AA111+AA118</f>
        <v>0</v>
      </c>
      <c r="AC120" s="380">
        <f t="shared" si="72"/>
        <v>0</v>
      </c>
    </row>
    <row r="121" spans="1:29" ht="15" customHeight="1">
      <c r="A121" s="240"/>
      <c r="E121" s="372"/>
      <c r="F121" s="256"/>
      <c r="G121" s="256"/>
      <c r="H121" s="256"/>
      <c r="I121" s="256"/>
      <c r="J121" s="256"/>
      <c r="K121" s="256"/>
      <c r="L121" s="371"/>
      <c r="M121" s="372"/>
      <c r="N121" s="256"/>
      <c r="O121" s="256"/>
      <c r="P121" s="379"/>
      <c r="Q121" s="371"/>
      <c r="R121" s="371"/>
      <c r="S121" s="371"/>
      <c r="T121" s="371"/>
      <c r="U121" s="371"/>
      <c r="V121" s="371"/>
      <c r="W121" s="371"/>
      <c r="X121" s="371"/>
      <c r="Y121" s="372"/>
      <c r="Z121" s="256"/>
      <c r="AA121" s="373"/>
      <c r="AC121" s="380"/>
    </row>
    <row r="122" spans="1:29" ht="15" customHeight="1">
      <c r="A122" s="240" t="s">
        <v>357</v>
      </c>
      <c r="B122" s="442"/>
      <c r="C122" s="442"/>
      <c r="D122" s="442"/>
      <c r="E122" s="443"/>
      <c r="F122" s="444"/>
      <c r="G122" s="444"/>
      <c r="H122" s="444"/>
      <c r="I122" s="444"/>
      <c r="J122" s="444"/>
      <c r="K122" s="444"/>
      <c r="L122" s="444"/>
      <c r="M122" s="445"/>
      <c r="N122" s="414"/>
      <c r="O122" s="414"/>
      <c r="P122" s="379"/>
      <c r="Q122" s="444"/>
      <c r="R122" s="444"/>
      <c r="S122" s="444"/>
      <c r="T122" s="444"/>
      <c r="U122" s="444"/>
      <c r="V122" s="444"/>
      <c r="W122" s="444"/>
      <c r="X122" s="444"/>
      <c r="Y122" s="445"/>
      <c r="Z122" s="414"/>
      <c r="AA122" s="446"/>
      <c r="AC122" s="624"/>
    </row>
    <row r="123" spans="1:29" ht="15" customHeight="1">
      <c r="A123" s="385">
        <f>Bonus!A120</f>
        <v>54.903300000000002</v>
      </c>
      <c r="B123" s="386" t="str">
        <f>Bonus!B120</f>
        <v>Semitropic WSD - Stored Water Recovery Unit Phase 2A, Amendment 8</v>
      </c>
      <c r="C123" s="468">
        <f>Bonus!G120</f>
        <v>1</v>
      </c>
      <c r="D123" s="468">
        <f>GAAP!G120</f>
        <v>1</v>
      </c>
      <c r="E123" s="387">
        <f>Bonus!I120</f>
        <v>118278.58</v>
      </c>
      <c r="F123" s="388">
        <f>Bonus!F120</f>
        <v>104550.27</v>
      </c>
      <c r="G123" s="388">
        <f t="shared" ref="G123" si="123">E123-F123</f>
        <v>13728.309999999998</v>
      </c>
      <c r="H123" s="388"/>
      <c r="I123" s="388">
        <f>GAAP!I120</f>
        <v>118278.58</v>
      </c>
      <c r="J123" s="388">
        <f>GAAP!F120</f>
        <v>104550.27</v>
      </c>
      <c r="K123" s="388">
        <f t="shared" ref="K123" si="124">I123-J123</f>
        <v>13728.309999999998</v>
      </c>
      <c r="L123" s="388"/>
      <c r="M123" s="389">
        <f>E123-I123</f>
        <v>0</v>
      </c>
      <c r="N123" s="390">
        <f>F123-J123</f>
        <v>0</v>
      </c>
      <c r="O123" s="390">
        <f t="shared" ref="O123" si="125">G123-K123</f>
        <v>0</v>
      </c>
      <c r="P123" s="379"/>
      <c r="Q123" s="387">
        <f t="shared" ref="Q123" si="126">R123+S123</f>
        <v>24368.78</v>
      </c>
      <c r="R123" s="388">
        <f>Bonus!Q120</f>
        <v>21607.340000000011</v>
      </c>
      <c r="S123" s="388">
        <f>Bonus!S120</f>
        <v>2761.4399999999878</v>
      </c>
      <c r="T123" s="388"/>
      <c r="U123" s="388">
        <f t="shared" ref="U123" si="127">V123+W123</f>
        <v>24368.78</v>
      </c>
      <c r="V123" s="388">
        <f>GAAP!Q120</f>
        <v>21607.340000000011</v>
      </c>
      <c r="W123" s="388">
        <f>GAAP!S120</f>
        <v>2761.4399999999878</v>
      </c>
      <c r="X123" s="388"/>
      <c r="Y123" s="389">
        <f t="shared" ref="Y123" si="128">Q123-U123</f>
        <v>0</v>
      </c>
      <c r="Z123" s="390">
        <f t="shared" ref="Z123" si="129">R123-V123</f>
        <v>0</v>
      </c>
      <c r="AA123" s="391">
        <f t="shared" ref="AA123" si="130">S123-W123</f>
        <v>0</v>
      </c>
      <c r="AC123" s="621">
        <f t="shared" si="72"/>
        <v>0</v>
      </c>
    </row>
    <row r="124" spans="1:29" ht="15" customHeight="1">
      <c r="A124" s="385">
        <f>Bonus!A121</f>
        <v>54.913499999999999</v>
      </c>
      <c r="B124" s="386" t="str">
        <f>Bonus!B121</f>
        <v>Calif. Rail Bldrs LLC - North Kern WSD Canal 9-22 Relocation Project</v>
      </c>
      <c r="C124" s="468">
        <f>Bonus!G121</f>
        <v>1</v>
      </c>
      <c r="D124" s="468">
        <f>GAAP!G121</f>
        <v>1</v>
      </c>
      <c r="E124" s="387">
        <f>Bonus!I121</f>
        <v>9470658.6199999992</v>
      </c>
      <c r="F124" s="388">
        <f>Bonus!F121</f>
        <v>9050951.8599999994</v>
      </c>
      <c r="G124" s="388">
        <f t="shared" ref="G124:G155" si="131">E124-F124</f>
        <v>419706.75999999978</v>
      </c>
      <c r="H124" s="388"/>
      <c r="I124" s="388">
        <f>GAAP!I121</f>
        <v>9470658.6199999992</v>
      </c>
      <c r="J124" s="388">
        <f>GAAP!F121</f>
        <v>9050951.8599999994</v>
      </c>
      <c r="K124" s="388">
        <f t="shared" ref="K124:K155" si="132">I124-J124</f>
        <v>419706.75999999978</v>
      </c>
      <c r="L124" s="388"/>
      <c r="M124" s="389">
        <f t="shared" ref="M124:M155" si="133">E124-I124</f>
        <v>0</v>
      </c>
      <c r="N124" s="390">
        <f t="shared" ref="N124:N155" si="134">F124-J124</f>
        <v>0</v>
      </c>
      <c r="O124" s="390">
        <f t="shared" ref="O124:O155" si="135">G124-K124</f>
        <v>0</v>
      </c>
      <c r="P124" s="379"/>
      <c r="Q124" s="387">
        <f t="shared" ref="Q124:Q155" si="136">R124+S124</f>
        <v>1547627.9249427849</v>
      </c>
      <c r="R124" s="388">
        <f>Bonus!Q121</f>
        <v>1679915.5299999993</v>
      </c>
      <c r="S124" s="388">
        <f>Bonus!S121</f>
        <v>-132287.60505721427</v>
      </c>
      <c r="T124" s="388"/>
      <c r="U124" s="388">
        <f t="shared" ref="U124:U155" si="137">V124+W124</f>
        <v>2099622.2899999991</v>
      </c>
      <c r="V124" s="388">
        <f>GAAP!Q121</f>
        <v>1679915.5299999993</v>
      </c>
      <c r="W124" s="388">
        <f>GAAP!S121</f>
        <v>419706.75999999978</v>
      </c>
      <c r="X124" s="388"/>
      <c r="Y124" s="389">
        <f t="shared" ref="Y124:Y155" si="138">Q124-U124</f>
        <v>-551994.36505721416</v>
      </c>
      <c r="Z124" s="390">
        <f t="shared" ref="Z124:Z155" si="139">R124-V124</f>
        <v>0</v>
      </c>
      <c r="AA124" s="391">
        <f t="shared" ref="AA124:AA155" si="140">S124-W124</f>
        <v>-551994.36505721405</v>
      </c>
      <c r="AC124" s="621">
        <f t="shared" si="72"/>
        <v>551994.36505721405</v>
      </c>
    </row>
    <row r="125" spans="1:29" ht="15" customHeight="1">
      <c r="A125" s="385">
        <f>Bonus!A122</f>
        <v>54.925699999999999</v>
      </c>
      <c r="B125" s="386" t="str">
        <f>Bonus!B122</f>
        <v>City of Guadalupe - Highway 1 Lift Station</v>
      </c>
      <c r="C125" s="468">
        <f>Bonus!G122</f>
        <v>0.5343869362446787</v>
      </c>
      <c r="D125" s="468">
        <f>GAAP!G122</f>
        <v>0.5343869362446787</v>
      </c>
      <c r="E125" s="387">
        <f>Bonus!I122</f>
        <v>786258.4621310106</v>
      </c>
      <c r="F125" s="388">
        <f>Bonus!F122</f>
        <v>762211.05</v>
      </c>
      <c r="G125" s="388">
        <f t="shared" si="131"/>
        <v>24047.412131010555</v>
      </c>
      <c r="H125" s="388"/>
      <c r="I125" s="388">
        <f>GAAP!I122</f>
        <v>786258.4621310106</v>
      </c>
      <c r="J125" s="388">
        <f>GAAP!F122</f>
        <v>762211.05</v>
      </c>
      <c r="K125" s="388">
        <f t="shared" si="132"/>
        <v>24047.412131010555</v>
      </c>
      <c r="L125" s="388"/>
      <c r="M125" s="389">
        <f t="shared" si="133"/>
        <v>0</v>
      </c>
      <c r="N125" s="390">
        <f t="shared" si="134"/>
        <v>0</v>
      </c>
      <c r="O125" s="390">
        <f t="shared" si="135"/>
        <v>0</v>
      </c>
      <c r="P125" s="379"/>
      <c r="Q125" s="387">
        <f t="shared" si="136"/>
        <v>772222.63213101064</v>
      </c>
      <c r="R125" s="388">
        <f>Bonus!Q122</f>
        <v>748175.22000000009</v>
      </c>
      <c r="S125" s="388">
        <f>Bonus!S122</f>
        <v>24047.41213101054</v>
      </c>
      <c r="T125" s="388"/>
      <c r="U125" s="388">
        <f t="shared" si="137"/>
        <v>772222.63213101064</v>
      </c>
      <c r="V125" s="388">
        <f>GAAP!Q122</f>
        <v>748175.22000000009</v>
      </c>
      <c r="W125" s="388">
        <f>GAAP!S122</f>
        <v>24047.41213101054</v>
      </c>
      <c r="X125" s="388"/>
      <c r="Y125" s="389">
        <f t="shared" si="138"/>
        <v>0</v>
      </c>
      <c r="Z125" s="390">
        <f t="shared" si="139"/>
        <v>0</v>
      </c>
      <c r="AA125" s="391">
        <f t="shared" si="140"/>
        <v>0</v>
      </c>
      <c r="AC125" s="621">
        <f t="shared" si="72"/>
        <v>0</v>
      </c>
    </row>
    <row r="126" spans="1:29" ht="15.75" customHeight="1">
      <c r="A126" s="385">
        <f>Bonus!A123</f>
        <v>54.9268</v>
      </c>
      <c r="B126" s="386" t="str">
        <f>Bonus!B123</f>
        <v>Semitropic Water Storage Dist. - Amendment No. 23 Raw Water Processing Plant Pipeline Replacement</v>
      </c>
      <c r="C126" s="468">
        <f>Bonus!G123</f>
        <v>0.95487095344700412</v>
      </c>
      <c r="D126" s="468">
        <f>GAAP!G123</f>
        <v>0.95487095344700412</v>
      </c>
      <c r="E126" s="387">
        <f>Bonus!I123</f>
        <v>909648.28</v>
      </c>
      <c r="F126" s="388">
        <f>Bonus!F123</f>
        <v>844648.28</v>
      </c>
      <c r="G126" s="388">
        <f t="shared" si="131"/>
        <v>65000</v>
      </c>
      <c r="H126" s="388"/>
      <c r="I126" s="388">
        <f>GAAP!I123</f>
        <v>906714.89197405532</v>
      </c>
      <c r="J126" s="388">
        <f>GAAP!F123</f>
        <v>844648.28</v>
      </c>
      <c r="K126" s="388">
        <f t="shared" si="132"/>
        <v>62066.611974055297</v>
      </c>
      <c r="L126" s="388"/>
      <c r="M126" s="389">
        <f t="shared" si="133"/>
        <v>2933.3880259447033</v>
      </c>
      <c r="N126" s="390">
        <f t="shared" si="134"/>
        <v>0</v>
      </c>
      <c r="O126" s="390">
        <f t="shared" si="135"/>
        <v>2933.3880259447033</v>
      </c>
      <c r="P126" s="379"/>
      <c r="Q126" s="387">
        <f t="shared" si="136"/>
        <v>50581.443213667866</v>
      </c>
      <c r="R126" s="388">
        <f>Bonus!Q123</f>
        <v>56594.510000000009</v>
      </c>
      <c r="S126" s="388">
        <f>Bonus!S123</f>
        <v>-6013.0667863321432</v>
      </c>
      <c r="T126" s="388"/>
      <c r="U126" s="388">
        <f t="shared" si="137"/>
        <v>47648.055187723134</v>
      </c>
      <c r="V126" s="388">
        <f>GAAP!Q123</f>
        <v>56594.510000000009</v>
      </c>
      <c r="W126" s="388">
        <f>GAAP!S123</f>
        <v>-8946.4548122768756</v>
      </c>
      <c r="X126" s="388"/>
      <c r="Y126" s="389">
        <f t="shared" si="138"/>
        <v>2933.3880259447324</v>
      </c>
      <c r="Z126" s="390">
        <f t="shared" si="139"/>
        <v>0</v>
      </c>
      <c r="AA126" s="391">
        <f t="shared" si="140"/>
        <v>2933.3880259447324</v>
      </c>
      <c r="AC126" s="621">
        <f t="shared" si="72"/>
        <v>-2.9103830456733704E-11</v>
      </c>
    </row>
    <row r="127" spans="1:29" ht="15" customHeight="1">
      <c r="A127" s="385">
        <f>Bonus!A124</f>
        <v>54.926900000000003</v>
      </c>
      <c r="B127" s="386" t="str">
        <f>Bonus!B124</f>
        <v>Semitropic Water Storage Dist. - Design &amp; Construction of the Central TCP Facility-Phase 1</v>
      </c>
      <c r="C127" s="468">
        <f>Bonus!G124</f>
        <v>0.92942108029391346</v>
      </c>
      <c r="D127" s="468">
        <f>GAAP!G124</f>
        <v>1</v>
      </c>
      <c r="E127" s="387">
        <f>Bonus!I124</f>
        <v>584066.79</v>
      </c>
      <c r="F127" s="388">
        <f>Bonus!F124</f>
        <v>549817.74</v>
      </c>
      <c r="G127" s="388">
        <f t="shared" si="131"/>
        <v>34249.050000000047</v>
      </c>
      <c r="H127" s="388"/>
      <c r="I127" s="388">
        <f>GAAP!I124</f>
        <v>625819.17000000004</v>
      </c>
      <c r="J127" s="388">
        <f>GAAP!F124</f>
        <v>549817.74</v>
      </c>
      <c r="K127" s="388">
        <f t="shared" si="132"/>
        <v>76001.430000000051</v>
      </c>
      <c r="L127" s="388"/>
      <c r="M127" s="389">
        <f t="shared" si="133"/>
        <v>-41752.380000000005</v>
      </c>
      <c r="N127" s="390">
        <f t="shared" si="134"/>
        <v>0</v>
      </c>
      <c r="O127" s="390">
        <f t="shared" si="135"/>
        <v>-41752.380000000005</v>
      </c>
      <c r="P127" s="379"/>
      <c r="Q127" s="387">
        <f t="shared" si="136"/>
        <v>243796.33000000002</v>
      </c>
      <c r="R127" s="388">
        <f>Bonus!Q124</f>
        <v>243796.33000000002</v>
      </c>
      <c r="S127" s="388">
        <f>Bonus!S124</f>
        <v>0</v>
      </c>
      <c r="T127" s="388"/>
      <c r="U127" s="388">
        <f t="shared" si="137"/>
        <v>285548.71000000002</v>
      </c>
      <c r="V127" s="388">
        <f>GAAP!Q124</f>
        <v>243796.33000000002</v>
      </c>
      <c r="W127" s="388">
        <f>GAAP!S124</f>
        <v>41752.380000000005</v>
      </c>
      <c r="X127" s="388"/>
      <c r="Y127" s="389">
        <f t="shared" si="138"/>
        <v>-41752.380000000005</v>
      </c>
      <c r="Z127" s="390">
        <f t="shared" si="139"/>
        <v>0</v>
      </c>
      <c r="AA127" s="391">
        <f t="shared" si="140"/>
        <v>-41752.380000000005</v>
      </c>
      <c r="AC127" s="621">
        <f t="shared" si="72"/>
        <v>0</v>
      </c>
    </row>
    <row r="128" spans="1:29" ht="15" customHeight="1">
      <c r="A128" s="385">
        <f>Bonus!A125</f>
        <v>54.9285</v>
      </c>
      <c r="B128" s="386" t="str">
        <f>Bonus!B125</f>
        <v>Semitropic Water Storage Dist. - Emergency Radial Arm Gate Removal and Replacement</v>
      </c>
      <c r="C128" s="468">
        <f>Bonus!G125</f>
        <v>0.80858393062926659</v>
      </c>
      <c r="D128" s="468">
        <f>GAAP!G125</f>
        <v>0.80858393062926659</v>
      </c>
      <c r="E128" s="387">
        <f>Bonus!I125</f>
        <v>373583.56479719502</v>
      </c>
      <c r="F128" s="388">
        <f>Bonus!F125</f>
        <v>312939.77</v>
      </c>
      <c r="G128" s="388">
        <f t="shared" si="131"/>
        <v>60643.794797195005</v>
      </c>
      <c r="H128" s="388"/>
      <c r="I128" s="388">
        <f>GAAP!I125</f>
        <v>373583.56479719502</v>
      </c>
      <c r="J128" s="388">
        <f>GAAP!F125</f>
        <v>312939.77</v>
      </c>
      <c r="K128" s="388">
        <f t="shared" si="132"/>
        <v>60643.794797195005</v>
      </c>
      <c r="L128" s="388"/>
      <c r="M128" s="389">
        <f t="shared" si="133"/>
        <v>0</v>
      </c>
      <c r="N128" s="390">
        <f t="shared" si="134"/>
        <v>0</v>
      </c>
      <c r="O128" s="390">
        <f t="shared" si="135"/>
        <v>0</v>
      </c>
      <c r="P128" s="379"/>
      <c r="Q128" s="387">
        <f t="shared" si="136"/>
        <v>151844.57695639489</v>
      </c>
      <c r="R128" s="388">
        <f>Bonus!Q125</f>
        <v>126887.02000000002</v>
      </c>
      <c r="S128" s="388">
        <f>Bonus!S125</f>
        <v>24957.556956394881</v>
      </c>
      <c r="T128" s="388"/>
      <c r="U128" s="388">
        <f t="shared" si="137"/>
        <v>151844.57695639489</v>
      </c>
      <c r="V128" s="388">
        <f>GAAP!Q125</f>
        <v>126887.02000000002</v>
      </c>
      <c r="W128" s="388">
        <f>GAAP!S125</f>
        <v>24957.556956394881</v>
      </c>
      <c r="X128" s="388"/>
      <c r="Y128" s="389">
        <f t="shared" si="138"/>
        <v>0</v>
      </c>
      <c r="Z128" s="390">
        <f t="shared" si="139"/>
        <v>0</v>
      </c>
      <c r="AA128" s="391">
        <f t="shared" si="140"/>
        <v>0</v>
      </c>
      <c r="AC128" s="621">
        <f t="shared" si="72"/>
        <v>0</v>
      </c>
    </row>
    <row r="129" spans="1:29" ht="15" customHeight="1">
      <c r="A129" s="385">
        <f>Bonus!A126</f>
        <v>54.9313</v>
      </c>
      <c r="B129" s="386" t="str">
        <f>Bonus!B126</f>
        <v>Granite Construction Co. - Granite Chumash Camp 4 Infrastructure Project</v>
      </c>
      <c r="C129" s="468">
        <f>Bonus!G126</f>
        <v>0.93780907816367975</v>
      </c>
      <c r="D129" s="468">
        <f>GAAP!G126</f>
        <v>0.93780907816367975</v>
      </c>
      <c r="E129" s="387">
        <f>Bonus!I126</f>
        <v>7396392.388945316</v>
      </c>
      <c r="F129" s="388">
        <f>Bonus!F126</f>
        <v>6449205.2199999997</v>
      </c>
      <c r="G129" s="388">
        <f t="shared" si="131"/>
        <v>947187.16894531623</v>
      </c>
      <c r="H129" s="388"/>
      <c r="I129" s="388">
        <f>GAAP!I126</f>
        <v>7396392.388945316</v>
      </c>
      <c r="J129" s="388">
        <f>GAAP!F126</f>
        <v>6449205.2199999997</v>
      </c>
      <c r="K129" s="388">
        <f t="shared" si="132"/>
        <v>947187.16894531623</v>
      </c>
      <c r="L129" s="388"/>
      <c r="M129" s="389">
        <f t="shared" si="133"/>
        <v>0</v>
      </c>
      <c r="N129" s="390">
        <f t="shared" si="134"/>
        <v>0</v>
      </c>
      <c r="O129" s="390">
        <f t="shared" si="135"/>
        <v>0</v>
      </c>
      <c r="P129" s="379"/>
      <c r="Q129" s="387">
        <f t="shared" si="136"/>
        <v>5277538.7678208146</v>
      </c>
      <c r="R129" s="388">
        <f>Bonus!Q126</f>
        <v>4528066.1099999994</v>
      </c>
      <c r="S129" s="388">
        <f>Bonus!S126</f>
        <v>749472.65782081569</v>
      </c>
      <c r="T129" s="388"/>
      <c r="U129" s="388">
        <f t="shared" si="137"/>
        <v>5277538.7678208146</v>
      </c>
      <c r="V129" s="388">
        <f>GAAP!Q126</f>
        <v>4528066.1099999994</v>
      </c>
      <c r="W129" s="388">
        <f>GAAP!S126</f>
        <v>749472.65782081569</v>
      </c>
      <c r="X129" s="388"/>
      <c r="Y129" s="389">
        <f t="shared" si="138"/>
        <v>0</v>
      </c>
      <c r="Z129" s="390">
        <f t="shared" si="139"/>
        <v>0</v>
      </c>
      <c r="AA129" s="391">
        <f t="shared" si="140"/>
        <v>0</v>
      </c>
      <c r="AC129" s="621">
        <f t="shared" si="72"/>
        <v>0</v>
      </c>
    </row>
    <row r="130" spans="1:29" ht="15" customHeight="1">
      <c r="A130" s="385">
        <f>Bonus!A127</f>
        <v>54.933</v>
      </c>
      <c r="B130" s="386" t="str">
        <f>Bonus!B127</f>
        <v>City of Bakersfield Public Works - Wastewater Treatment Plant No. 3 Septage Processing Unit Rep</v>
      </c>
      <c r="C130" s="468">
        <f>Bonus!G127</f>
        <v>0.99538556304263726</v>
      </c>
      <c r="D130" s="468">
        <f>GAAP!G127</f>
        <v>0.99538556304263726</v>
      </c>
      <c r="E130" s="387">
        <f>Bonus!I127</f>
        <v>323400.76943255286</v>
      </c>
      <c r="F130" s="388">
        <f>Bonus!F127</f>
        <v>306221.40999999997</v>
      </c>
      <c r="G130" s="388">
        <f t="shared" si="131"/>
        <v>17179.359432552883</v>
      </c>
      <c r="H130" s="388"/>
      <c r="I130" s="388">
        <f>GAAP!I127</f>
        <v>323400.76943255286</v>
      </c>
      <c r="J130" s="388">
        <f>GAAP!F127</f>
        <v>306221.40999999997</v>
      </c>
      <c r="K130" s="388">
        <f t="shared" si="132"/>
        <v>17179.359432552883</v>
      </c>
      <c r="L130" s="388"/>
      <c r="M130" s="389">
        <f t="shared" si="133"/>
        <v>0</v>
      </c>
      <c r="N130" s="390">
        <f t="shared" si="134"/>
        <v>0</v>
      </c>
      <c r="O130" s="390">
        <f t="shared" si="135"/>
        <v>0</v>
      </c>
      <c r="P130" s="379"/>
      <c r="Q130" s="387">
        <f t="shared" si="136"/>
        <v>131310.37215982558</v>
      </c>
      <c r="R130" s="388">
        <f>Bonus!Q127</f>
        <v>124773.13999999998</v>
      </c>
      <c r="S130" s="388">
        <f>Bonus!S127</f>
        <v>6537.2321598256021</v>
      </c>
      <c r="T130" s="388"/>
      <c r="U130" s="388">
        <f t="shared" si="137"/>
        <v>131310.37215982558</v>
      </c>
      <c r="V130" s="388">
        <f>GAAP!Q127</f>
        <v>124773.13999999998</v>
      </c>
      <c r="W130" s="388">
        <f>GAAP!S127</f>
        <v>6537.2321598256021</v>
      </c>
      <c r="X130" s="388"/>
      <c r="Y130" s="389">
        <f t="shared" si="138"/>
        <v>0</v>
      </c>
      <c r="Z130" s="390">
        <f t="shared" si="139"/>
        <v>0</v>
      </c>
      <c r="AA130" s="391">
        <f t="shared" si="140"/>
        <v>0</v>
      </c>
      <c r="AC130" s="621">
        <f t="shared" si="72"/>
        <v>0</v>
      </c>
    </row>
    <row r="131" spans="1:29" ht="15" customHeight="1">
      <c r="A131" s="385">
        <f>Bonus!A128</f>
        <v>54.933599999999998</v>
      </c>
      <c r="B131" s="386" t="str">
        <f>Bonus!B128</f>
        <v>Palmdale Water Dist. - Pure Water AV - Demonstration Facility</v>
      </c>
      <c r="C131" s="468">
        <f>Bonus!G128</f>
        <v>0.53030684528378014</v>
      </c>
      <c r="D131" s="468">
        <f>GAAP!G128</f>
        <v>0.53030684528378014</v>
      </c>
      <c r="E131" s="387">
        <f>Bonus!I128</f>
        <v>13359053.412944857</v>
      </c>
      <c r="F131" s="388">
        <f>Bonus!F128</f>
        <v>12340864.27</v>
      </c>
      <c r="G131" s="388">
        <f t="shared" si="131"/>
        <v>1018189.1429448575</v>
      </c>
      <c r="H131" s="388"/>
      <c r="I131" s="388">
        <f>GAAP!I128</f>
        <v>13359053.412944857</v>
      </c>
      <c r="J131" s="388">
        <f>GAAP!F128</f>
        <v>12340864.27</v>
      </c>
      <c r="K131" s="388">
        <f t="shared" si="132"/>
        <v>1018189.1429448575</v>
      </c>
      <c r="L131" s="388"/>
      <c r="M131" s="389">
        <f t="shared" si="133"/>
        <v>0</v>
      </c>
      <c r="N131" s="390">
        <f t="shared" si="134"/>
        <v>0</v>
      </c>
      <c r="O131" s="390">
        <f t="shared" si="135"/>
        <v>0</v>
      </c>
      <c r="P131" s="379"/>
      <c r="Q131" s="387">
        <f t="shared" si="136"/>
        <v>11238995.862944856</v>
      </c>
      <c r="R131" s="388">
        <f>Bonus!Q128</f>
        <v>10220806.719999999</v>
      </c>
      <c r="S131" s="388">
        <f>Bonus!S128</f>
        <v>1018189.1429448578</v>
      </c>
      <c r="T131" s="388"/>
      <c r="U131" s="388">
        <f t="shared" si="137"/>
        <v>11238995.862944856</v>
      </c>
      <c r="V131" s="388">
        <f>GAAP!Q128</f>
        <v>10220806.719999999</v>
      </c>
      <c r="W131" s="388">
        <f>GAAP!S128</f>
        <v>1018189.1429448578</v>
      </c>
      <c r="X131" s="388"/>
      <c r="Y131" s="389">
        <f t="shared" si="138"/>
        <v>0</v>
      </c>
      <c r="Z131" s="390">
        <f t="shared" si="139"/>
        <v>0</v>
      </c>
      <c r="AA131" s="391">
        <f t="shared" si="140"/>
        <v>0</v>
      </c>
      <c r="AC131" s="621">
        <f t="shared" si="72"/>
        <v>0</v>
      </c>
    </row>
    <row r="132" spans="1:29" ht="15" customHeight="1">
      <c r="A132" s="385">
        <f>Bonus!A129</f>
        <v>54.933700000000002</v>
      </c>
      <c r="B132" s="386" t="str">
        <f>Bonus!B129</f>
        <v>City of Bakersfield Public Works - WWTP 3 Digester Gas Booster Blower Replacement Project</v>
      </c>
      <c r="C132" s="468">
        <f>Bonus!G129</f>
        <v>0.38254116001427685</v>
      </c>
      <c r="D132" s="468">
        <f>GAAP!G129</f>
        <v>0.38254116001427685</v>
      </c>
      <c r="E132" s="387">
        <f>Bonus!I129</f>
        <v>1570273.3156022844</v>
      </c>
      <c r="F132" s="388">
        <f>Bonus!F129</f>
        <v>1509066.73</v>
      </c>
      <c r="G132" s="388">
        <f t="shared" si="131"/>
        <v>61206.585602284409</v>
      </c>
      <c r="H132" s="388"/>
      <c r="I132" s="388">
        <f>GAAP!I129</f>
        <v>1570273.3156022844</v>
      </c>
      <c r="J132" s="388">
        <f>GAAP!F129</f>
        <v>1509066.73</v>
      </c>
      <c r="K132" s="388">
        <f t="shared" si="132"/>
        <v>61206.585602284409</v>
      </c>
      <c r="L132" s="388"/>
      <c r="M132" s="389">
        <f t="shared" si="133"/>
        <v>0</v>
      </c>
      <c r="N132" s="390">
        <f t="shared" si="134"/>
        <v>0</v>
      </c>
      <c r="O132" s="390">
        <f t="shared" si="135"/>
        <v>0</v>
      </c>
      <c r="P132" s="379"/>
      <c r="Q132" s="387">
        <f t="shared" si="136"/>
        <v>1417261.6056022844</v>
      </c>
      <c r="R132" s="388">
        <f>Bonus!Q129</f>
        <v>1356055.02</v>
      </c>
      <c r="S132" s="388">
        <f>Bonus!S129</f>
        <v>61206.585602284293</v>
      </c>
      <c r="T132" s="388"/>
      <c r="U132" s="388">
        <f t="shared" si="137"/>
        <v>1417261.6056022844</v>
      </c>
      <c r="V132" s="388">
        <f>GAAP!Q129</f>
        <v>1356055.02</v>
      </c>
      <c r="W132" s="388">
        <f>GAAP!S129</f>
        <v>61206.585602284293</v>
      </c>
      <c r="X132" s="388"/>
      <c r="Y132" s="389">
        <f t="shared" si="138"/>
        <v>0</v>
      </c>
      <c r="Z132" s="390">
        <f t="shared" si="139"/>
        <v>0</v>
      </c>
      <c r="AA132" s="391">
        <f t="shared" si="140"/>
        <v>0</v>
      </c>
      <c r="AC132" s="621">
        <f t="shared" si="72"/>
        <v>0</v>
      </c>
    </row>
    <row r="133" spans="1:29" ht="15" customHeight="1">
      <c r="A133" s="385">
        <f>Bonus!A130</f>
        <v>54.9343</v>
      </c>
      <c r="B133" s="386" t="str">
        <f>Bonus!B130</f>
        <v>Tehachapi-Cummings County  Water District - DB – Replace Diesel Engines PP2 and PP3</v>
      </c>
      <c r="C133" s="468">
        <f>Bonus!G130</f>
        <v>0.57100364134887061</v>
      </c>
      <c r="D133" s="468">
        <f>GAAP!G130</f>
        <v>0.57100364134887061</v>
      </c>
      <c r="E133" s="387">
        <f>Bonus!I130</f>
        <v>3929247.3572139838</v>
      </c>
      <c r="F133" s="388">
        <f>Bonus!F130</f>
        <v>3415344.08</v>
      </c>
      <c r="G133" s="388">
        <f t="shared" si="131"/>
        <v>513903.2772139837</v>
      </c>
      <c r="H133" s="388"/>
      <c r="I133" s="388">
        <f>GAAP!I130</f>
        <v>3929247.3572139838</v>
      </c>
      <c r="J133" s="388">
        <f>GAAP!F130</f>
        <v>3415344.08</v>
      </c>
      <c r="K133" s="388">
        <f t="shared" si="132"/>
        <v>513903.2772139837</v>
      </c>
      <c r="L133" s="388"/>
      <c r="M133" s="389">
        <f t="shared" si="133"/>
        <v>0</v>
      </c>
      <c r="N133" s="390">
        <f t="shared" si="134"/>
        <v>0</v>
      </c>
      <c r="O133" s="390">
        <f t="shared" si="135"/>
        <v>0</v>
      </c>
      <c r="P133" s="379"/>
      <c r="Q133" s="387">
        <f t="shared" si="136"/>
        <v>3329055.5672139837</v>
      </c>
      <c r="R133" s="388">
        <f>Bonus!Q130</f>
        <v>2815152.29</v>
      </c>
      <c r="S133" s="388">
        <f>Bonus!S130</f>
        <v>513903.27721398353</v>
      </c>
      <c r="T133" s="388"/>
      <c r="U133" s="388">
        <f t="shared" si="137"/>
        <v>3329055.5672139837</v>
      </c>
      <c r="V133" s="388">
        <f>GAAP!Q130</f>
        <v>2815152.29</v>
      </c>
      <c r="W133" s="388">
        <f>GAAP!S130</f>
        <v>513903.27721398353</v>
      </c>
      <c r="X133" s="388"/>
      <c r="Y133" s="389">
        <f t="shared" si="138"/>
        <v>0</v>
      </c>
      <c r="Z133" s="390">
        <f t="shared" si="139"/>
        <v>0</v>
      </c>
      <c r="AA133" s="391">
        <f t="shared" si="140"/>
        <v>0</v>
      </c>
      <c r="AC133" s="621">
        <f t="shared" ref="AC133:AC196" si="141">O133-AA133</f>
        <v>0</v>
      </c>
    </row>
    <row r="134" spans="1:29" ht="15" customHeight="1">
      <c r="A134" s="385">
        <f>Bonus!A131</f>
        <v>54.935600000000001</v>
      </c>
      <c r="B134" s="386" t="str">
        <f>Bonus!B131</f>
        <v>North of River Sanitary Dist. No. 1 - WWTP Digester Gas Scrubber Vessel and Effluent Storage Pond</v>
      </c>
      <c r="C134" s="468">
        <f>Bonus!G131</f>
        <v>0.8493980817448239</v>
      </c>
      <c r="D134" s="468">
        <f>GAAP!G131</f>
        <v>0.8493980817448239</v>
      </c>
      <c r="E134" s="387">
        <f>Bonus!I131</f>
        <v>1102799.0114717572</v>
      </c>
      <c r="F134" s="388">
        <f>Bonus!F131</f>
        <v>775780.75</v>
      </c>
      <c r="G134" s="388">
        <f t="shared" si="131"/>
        <v>327018.2614717572</v>
      </c>
      <c r="H134" s="388"/>
      <c r="I134" s="388">
        <f>GAAP!I131</f>
        <v>1102799.0114717572</v>
      </c>
      <c r="J134" s="388">
        <f>GAAP!F131</f>
        <v>775780.75</v>
      </c>
      <c r="K134" s="388">
        <f t="shared" si="132"/>
        <v>327018.2614717572</v>
      </c>
      <c r="L134" s="388"/>
      <c r="M134" s="389">
        <f t="shared" si="133"/>
        <v>0</v>
      </c>
      <c r="N134" s="390">
        <f t="shared" si="134"/>
        <v>0</v>
      </c>
      <c r="O134" s="390">
        <f t="shared" si="135"/>
        <v>0</v>
      </c>
      <c r="P134" s="379"/>
      <c r="Q134" s="387">
        <f t="shared" si="136"/>
        <v>1039914.2514717572</v>
      </c>
      <c r="R134" s="388">
        <f>Bonus!Q131</f>
        <v>712895.99</v>
      </c>
      <c r="S134" s="388">
        <f>Bonus!S131</f>
        <v>327018.2614717572</v>
      </c>
      <c r="T134" s="388"/>
      <c r="U134" s="388">
        <f t="shared" si="137"/>
        <v>1039914.2514717572</v>
      </c>
      <c r="V134" s="388">
        <f>GAAP!Q131</f>
        <v>712895.99</v>
      </c>
      <c r="W134" s="388">
        <f>GAAP!S131</f>
        <v>327018.2614717572</v>
      </c>
      <c r="X134" s="388"/>
      <c r="Y134" s="389">
        <f t="shared" si="138"/>
        <v>0</v>
      </c>
      <c r="Z134" s="390">
        <f t="shared" si="139"/>
        <v>0</v>
      </c>
      <c r="AA134" s="391">
        <f t="shared" si="140"/>
        <v>0</v>
      </c>
      <c r="AC134" s="621">
        <f t="shared" si="141"/>
        <v>0</v>
      </c>
    </row>
    <row r="135" spans="1:29" ht="15" customHeight="1">
      <c r="A135" s="385">
        <f>Bonus!A132</f>
        <v>54.936599999999999</v>
      </c>
      <c r="B135" s="386" t="str">
        <f>Bonus!B132</f>
        <v>City of Pismo Beach Community Development Dept. - WWTP Clarifier Equipment Replacement</v>
      </c>
      <c r="C135" s="468">
        <f>Bonus!G132</f>
        <v>0.85473012069832266</v>
      </c>
      <c r="D135" s="468">
        <f>GAAP!G132</f>
        <v>0.85473012069832266</v>
      </c>
      <c r="E135" s="387">
        <f>Bonus!I132</f>
        <v>1051430.0181047483</v>
      </c>
      <c r="F135" s="388">
        <f>Bonus!F132</f>
        <v>923220.5</v>
      </c>
      <c r="G135" s="388">
        <f t="shared" si="131"/>
        <v>128209.51810474833</v>
      </c>
      <c r="H135" s="388"/>
      <c r="I135" s="388">
        <f>GAAP!I132</f>
        <v>1051430.0181047483</v>
      </c>
      <c r="J135" s="388">
        <f>GAAP!F132</f>
        <v>923220.5</v>
      </c>
      <c r="K135" s="388">
        <f t="shared" si="132"/>
        <v>128209.51810474833</v>
      </c>
      <c r="L135" s="388"/>
      <c r="M135" s="389">
        <f t="shared" si="133"/>
        <v>0</v>
      </c>
      <c r="N135" s="390">
        <f t="shared" si="134"/>
        <v>0</v>
      </c>
      <c r="O135" s="390">
        <f t="shared" si="135"/>
        <v>0</v>
      </c>
      <c r="P135" s="379"/>
      <c r="Q135" s="387">
        <f t="shared" si="136"/>
        <v>1045916.9581047483</v>
      </c>
      <c r="R135" s="388">
        <f>Bonus!Q132</f>
        <v>917707.44</v>
      </c>
      <c r="S135" s="388">
        <f>Bonus!S132</f>
        <v>128209.51810474839</v>
      </c>
      <c r="T135" s="388"/>
      <c r="U135" s="388">
        <f t="shared" si="137"/>
        <v>1045916.9581047483</v>
      </c>
      <c r="V135" s="388">
        <f>GAAP!Q132</f>
        <v>917707.44</v>
      </c>
      <c r="W135" s="388">
        <f>GAAP!S132</f>
        <v>128209.51810474839</v>
      </c>
      <c r="X135" s="388"/>
      <c r="Y135" s="389">
        <f t="shared" si="138"/>
        <v>0</v>
      </c>
      <c r="Z135" s="390">
        <f t="shared" si="139"/>
        <v>0</v>
      </c>
      <c r="AA135" s="391">
        <f t="shared" si="140"/>
        <v>0</v>
      </c>
      <c r="AC135" s="621">
        <f t="shared" si="141"/>
        <v>0</v>
      </c>
    </row>
    <row r="136" spans="1:29" ht="15" customHeight="1">
      <c r="A136" s="385">
        <f>Bonus!A133</f>
        <v>54.936900000000001</v>
      </c>
      <c r="B136" s="386" t="str">
        <f>Bonus!B133</f>
        <v>California Water Service Co. - PFAS Treatment Program Project</v>
      </c>
      <c r="C136" s="468">
        <f>Bonus!G133</f>
        <v>0.106474022279567</v>
      </c>
      <c r="D136" s="468">
        <f>GAAP!G133</f>
        <v>0.106474022279567</v>
      </c>
      <c r="E136" s="387">
        <f>Bonus!I133</f>
        <v>2787466.66</v>
      </c>
      <c r="F136" s="388">
        <f>Bonus!F133</f>
        <v>2787466.66</v>
      </c>
      <c r="G136" s="388">
        <f t="shared" si="131"/>
        <v>0</v>
      </c>
      <c r="H136" s="388"/>
      <c r="I136" s="388">
        <f>GAAP!I133</f>
        <v>3039899.8504033554</v>
      </c>
      <c r="J136" s="388">
        <f>GAAP!F133</f>
        <v>2787466.66</v>
      </c>
      <c r="K136" s="388">
        <f t="shared" si="132"/>
        <v>252433.19040335529</v>
      </c>
      <c r="L136" s="388"/>
      <c r="M136" s="389">
        <f t="shared" si="133"/>
        <v>-252433.19040335529</v>
      </c>
      <c r="N136" s="390">
        <f t="shared" si="134"/>
        <v>0</v>
      </c>
      <c r="O136" s="390">
        <f t="shared" si="135"/>
        <v>-252433.19040335529</v>
      </c>
      <c r="P136" s="379"/>
      <c r="Q136" s="387">
        <f t="shared" si="136"/>
        <v>2786224.21</v>
      </c>
      <c r="R136" s="388">
        <f>Bonus!Q133</f>
        <v>2786224.21</v>
      </c>
      <c r="S136" s="388">
        <f>Bonus!S133</f>
        <v>0</v>
      </c>
      <c r="T136" s="388"/>
      <c r="U136" s="388">
        <f t="shared" si="137"/>
        <v>3038657.4004033552</v>
      </c>
      <c r="V136" s="388">
        <f>GAAP!Q133</f>
        <v>2786224.21</v>
      </c>
      <c r="W136" s="388">
        <f>GAAP!S133</f>
        <v>252433.19040335546</v>
      </c>
      <c r="X136" s="388"/>
      <c r="Y136" s="389">
        <f t="shared" si="138"/>
        <v>-252433.19040335529</v>
      </c>
      <c r="Z136" s="390">
        <f t="shared" si="139"/>
        <v>0</v>
      </c>
      <c r="AA136" s="391">
        <f t="shared" si="140"/>
        <v>-252433.19040335546</v>
      </c>
      <c r="AC136" s="621">
        <f t="shared" si="141"/>
        <v>0</v>
      </c>
    </row>
    <row r="137" spans="1:29" ht="15" customHeight="1">
      <c r="A137" s="385">
        <f>Bonus!A134</f>
        <v>54.9373</v>
      </c>
      <c r="B137" s="386" t="str">
        <f>Bonus!B134</f>
        <v>City of Guadalupe - Guadalupe Pioneer Lift Station Replacement</v>
      </c>
      <c r="C137" s="468">
        <f>Bonus!G134</f>
        <v>3.6103517769710748E-2</v>
      </c>
      <c r="D137" s="468">
        <f>GAAP!G134</f>
        <v>3.6103517769710748E-2</v>
      </c>
      <c r="E137" s="387">
        <f>Bonus!I134</f>
        <v>50303.97</v>
      </c>
      <c r="F137" s="388">
        <f>Bonus!F134</f>
        <v>50303.97</v>
      </c>
      <c r="G137" s="388">
        <f t="shared" si="131"/>
        <v>0</v>
      </c>
      <c r="H137" s="388"/>
      <c r="I137" s="388">
        <f>GAAP!I134</f>
        <v>50303.97</v>
      </c>
      <c r="J137" s="388">
        <f>GAAP!F134</f>
        <v>50303.97</v>
      </c>
      <c r="K137" s="388">
        <f t="shared" si="132"/>
        <v>0</v>
      </c>
      <c r="L137" s="388"/>
      <c r="M137" s="389">
        <f t="shared" si="133"/>
        <v>0</v>
      </c>
      <c r="N137" s="390">
        <f t="shared" si="134"/>
        <v>0</v>
      </c>
      <c r="O137" s="390">
        <f t="shared" si="135"/>
        <v>0</v>
      </c>
      <c r="P137" s="379"/>
      <c r="Q137" s="387">
        <f t="shared" si="136"/>
        <v>50303.97</v>
      </c>
      <c r="R137" s="388">
        <f>Bonus!Q134</f>
        <v>50303.97</v>
      </c>
      <c r="S137" s="388">
        <f>Bonus!S134</f>
        <v>0</v>
      </c>
      <c r="T137" s="388"/>
      <c r="U137" s="388">
        <f t="shared" si="137"/>
        <v>50303.97</v>
      </c>
      <c r="V137" s="388">
        <f>GAAP!Q134</f>
        <v>50303.97</v>
      </c>
      <c r="W137" s="388">
        <f>GAAP!S134</f>
        <v>0</v>
      </c>
      <c r="X137" s="388"/>
      <c r="Y137" s="389">
        <f t="shared" si="138"/>
        <v>0</v>
      </c>
      <c r="Z137" s="390">
        <f t="shared" si="139"/>
        <v>0</v>
      </c>
      <c r="AA137" s="391">
        <f t="shared" si="140"/>
        <v>0</v>
      </c>
      <c r="AC137" s="621">
        <f t="shared" si="141"/>
        <v>0</v>
      </c>
    </row>
    <row r="138" spans="1:29" ht="15" customHeight="1">
      <c r="A138" s="385">
        <f>Bonus!A135</f>
        <v>54.938899999999997</v>
      </c>
      <c r="B138" s="386" t="str">
        <f>Bonus!B135</f>
        <v>City of Atascadero - Atascadero Lift Stations 4 &amp; 11 Rehab Project</v>
      </c>
      <c r="C138" s="468">
        <f>Bonus!G135</f>
        <v>0.99082486180824692</v>
      </c>
      <c r="D138" s="468">
        <f>GAAP!G135</f>
        <v>0.99082486180824692</v>
      </c>
      <c r="E138" s="387">
        <f>Bonus!I135</f>
        <v>296891.84999999998</v>
      </c>
      <c r="F138" s="388">
        <f>Bonus!F135</f>
        <v>311891.84999999998</v>
      </c>
      <c r="G138" s="388">
        <f t="shared" si="131"/>
        <v>-15000</v>
      </c>
      <c r="H138" s="388"/>
      <c r="I138" s="388">
        <f>GAAP!I135</f>
        <v>296891.84999999998</v>
      </c>
      <c r="J138" s="388">
        <f>GAAP!F135</f>
        <v>311891.84999999998</v>
      </c>
      <c r="K138" s="388">
        <f t="shared" si="132"/>
        <v>-15000</v>
      </c>
      <c r="L138" s="388"/>
      <c r="M138" s="389">
        <f t="shared" si="133"/>
        <v>0</v>
      </c>
      <c r="N138" s="390">
        <f t="shared" si="134"/>
        <v>0</v>
      </c>
      <c r="O138" s="390">
        <f t="shared" si="135"/>
        <v>0</v>
      </c>
      <c r="P138" s="379"/>
      <c r="Q138" s="387">
        <f t="shared" si="136"/>
        <v>296891.84999999998</v>
      </c>
      <c r="R138" s="388">
        <f>Bonus!Q135</f>
        <v>311891.84999999998</v>
      </c>
      <c r="S138" s="388">
        <f>Bonus!S135</f>
        <v>-15000</v>
      </c>
      <c r="T138" s="388"/>
      <c r="U138" s="388">
        <f t="shared" si="137"/>
        <v>296891.84999999998</v>
      </c>
      <c r="V138" s="388">
        <f>GAAP!Q135</f>
        <v>311891.84999999998</v>
      </c>
      <c r="W138" s="388">
        <f>GAAP!S135</f>
        <v>-15000</v>
      </c>
      <c r="X138" s="388"/>
      <c r="Y138" s="389">
        <f t="shared" si="138"/>
        <v>0</v>
      </c>
      <c r="Z138" s="390">
        <f t="shared" si="139"/>
        <v>0</v>
      </c>
      <c r="AA138" s="391">
        <f t="shared" si="140"/>
        <v>0</v>
      </c>
      <c r="AC138" s="621">
        <f t="shared" si="141"/>
        <v>0</v>
      </c>
    </row>
    <row r="139" spans="1:29" ht="15" customHeight="1">
      <c r="A139" s="385">
        <f>Bonus!A136</f>
        <v>54.939100000000003</v>
      </c>
      <c r="B139" s="386" t="str">
        <f>Bonus!B136</f>
        <v>Arvin Edison Water Storage Dist. - HQ Concrete R&amp;R</v>
      </c>
      <c r="C139" s="468">
        <f>Bonus!G136</f>
        <v>1</v>
      </c>
      <c r="D139" s="468">
        <f>GAAP!G136</f>
        <v>1</v>
      </c>
      <c r="E139" s="387">
        <f>Bonus!I136</f>
        <v>532604.56999999995</v>
      </c>
      <c r="F139" s="388">
        <f>Bonus!F136</f>
        <v>512057.34</v>
      </c>
      <c r="G139" s="388">
        <f t="shared" si="131"/>
        <v>20547.229999999923</v>
      </c>
      <c r="H139" s="388"/>
      <c r="I139" s="388">
        <f>GAAP!I136</f>
        <v>532604.56999999995</v>
      </c>
      <c r="J139" s="388">
        <f>GAAP!F136</f>
        <v>512057.34</v>
      </c>
      <c r="K139" s="388">
        <f t="shared" si="132"/>
        <v>20547.229999999923</v>
      </c>
      <c r="L139" s="388"/>
      <c r="M139" s="389">
        <f t="shared" si="133"/>
        <v>0</v>
      </c>
      <c r="N139" s="390">
        <f t="shared" si="134"/>
        <v>0</v>
      </c>
      <c r="O139" s="390">
        <f t="shared" si="135"/>
        <v>0</v>
      </c>
      <c r="P139" s="379"/>
      <c r="Q139" s="387">
        <f t="shared" si="136"/>
        <v>532604.56999999995</v>
      </c>
      <c r="R139" s="388">
        <f>Bonus!Q136</f>
        <v>512057.34</v>
      </c>
      <c r="S139" s="388">
        <f>Bonus!S136</f>
        <v>20547.229999999923</v>
      </c>
      <c r="T139" s="388"/>
      <c r="U139" s="388">
        <f t="shared" si="137"/>
        <v>532604.56999999995</v>
      </c>
      <c r="V139" s="388">
        <f>GAAP!Q136</f>
        <v>512057.34</v>
      </c>
      <c r="W139" s="388">
        <f>GAAP!S136</f>
        <v>20547.229999999923</v>
      </c>
      <c r="X139" s="388"/>
      <c r="Y139" s="389">
        <f t="shared" si="138"/>
        <v>0</v>
      </c>
      <c r="Z139" s="390">
        <f t="shared" si="139"/>
        <v>0</v>
      </c>
      <c r="AA139" s="391">
        <f t="shared" si="140"/>
        <v>0</v>
      </c>
      <c r="AC139" s="621">
        <f t="shared" si="141"/>
        <v>0</v>
      </c>
    </row>
    <row r="140" spans="1:29" ht="15" customHeight="1">
      <c r="A140" s="385">
        <f>Bonus!A137</f>
        <v>54.939500000000002</v>
      </c>
      <c r="B140" s="386" t="str">
        <f>Bonus!B137</f>
        <v>Semitropic Water Storage Dist. - Pond Poso Pumping Plant Siphon Pipe Replacement Project</v>
      </c>
      <c r="C140" s="468">
        <f>Bonus!G137</f>
        <v>0.79685873725726031</v>
      </c>
      <c r="D140" s="468">
        <f>GAAP!G137</f>
        <v>0.79685873725726031</v>
      </c>
      <c r="E140" s="387">
        <f>Bonus!I137</f>
        <v>1430881.5112002406</v>
      </c>
      <c r="F140" s="388">
        <f>Bonus!F137</f>
        <v>1349601.92</v>
      </c>
      <c r="G140" s="388">
        <f t="shared" si="131"/>
        <v>81279.591200240655</v>
      </c>
      <c r="H140" s="388"/>
      <c r="I140" s="388">
        <f>GAAP!I137</f>
        <v>1430881.5112002406</v>
      </c>
      <c r="J140" s="388">
        <f>GAAP!F137</f>
        <v>1349601.92</v>
      </c>
      <c r="K140" s="388">
        <f t="shared" si="132"/>
        <v>81279.591200240655</v>
      </c>
      <c r="L140" s="388"/>
      <c r="M140" s="389">
        <f t="shared" si="133"/>
        <v>0</v>
      </c>
      <c r="N140" s="390">
        <f t="shared" si="134"/>
        <v>0</v>
      </c>
      <c r="O140" s="390">
        <f t="shared" si="135"/>
        <v>0</v>
      </c>
      <c r="P140" s="379"/>
      <c r="Q140" s="387">
        <f t="shared" si="136"/>
        <v>1430881.5112002406</v>
      </c>
      <c r="R140" s="388">
        <f>Bonus!Q137</f>
        <v>1349601.92</v>
      </c>
      <c r="S140" s="388">
        <f>Bonus!S137</f>
        <v>81279.591200240553</v>
      </c>
      <c r="T140" s="388"/>
      <c r="U140" s="388">
        <f t="shared" si="137"/>
        <v>1430881.5112002406</v>
      </c>
      <c r="V140" s="388">
        <f>GAAP!Q137</f>
        <v>1349601.92</v>
      </c>
      <c r="W140" s="388">
        <f>GAAP!S137</f>
        <v>81279.591200240553</v>
      </c>
      <c r="X140" s="388"/>
      <c r="Y140" s="389">
        <f t="shared" si="138"/>
        <v>0</v>
      </c>
      <c r="Z140" s="390">
        <f t="shared" si="139"/>
        <v>0</v>
      </c>
      <c r="AA140" s="391">
        <f t="shared" si="140"/>
        <v>0</v>
      </c>
      <c r="AC140" s="621">
        <f t="shared" si="141"/>
        <v>0</v>
      </c>
    </row>
    <row r="141" spans="1:29" ht="15" customHeight="1">
      <c r="A141" s="385">
        <f>Bonus!A138</f>
        <v>54.939599999999999</v>
      </c>
      <c r="B141" s="386" t="str">
        <f>Bonus!B138</f>
        <v>Mojave Groundwater Storage LLC - Mojave Water Bank Northern Pipeline Facilities Construction</v>
      </c>
      <c r="C141" s="468">
        <f>Bonus!G138</f>
        <v>1</v>
      </c>
      <c r="D141" s="468">
        <f>GAAP!G138</f>
        <v>1</v>
      </c>
      <c r="E141" s="387">
        <f>Bonus!I138</f>
        <v>157746.09</v>
      </c>
      <c r="F141" s="388">
        <f>Bonus!F138</f>
        <v>157746.09</v>
      </c>
      <c r="G141" s="388">
        <f t="shared" si="131"/>
        <v>0</v>
      </c>
      <c r="H141" s="388"/>
      <c r="I141" s="388">
        <f>GAAP!I138</f>
        <v>157746.09</v>
      </c>
      <c r="J141" s="388">
        <f>GAAP!F138</f>
        <v>157746.09</v>
      </c>
      <c r="K141" s="388">
        <f t="shared" si="132"/>
        <v>0</v>
      </c>
      <c r="L141" s="388"/>
      <c r="M141" s="389">
        <f t="shared" si="133"/>
        <v>0</v>
      </c>
      <c r="N141" s="390">
        <f t="shared" si="134"/>
        <v>0</v>
      </c>
      <c r="O141" s="390">
        <f t="shared" si="135"/>
        <v>0</v>
      </c>
      <c r="P141" s="379"/>
      <c r="Q141" s="387">
        <f t="shared" si="136"/>
        <v>157746.09</v>
      </c>
      <c r="R141" s="388">
        <f>Bonus!Q138</f>
        <v>157746.09</v>
      </c>
      <c r="S141" s="388">
        <f>Bonus!S138</f>
        <v>0</v>
      </c>
      <c r="T141" s="388"/>
      <c r="U141" s="388">
        <f t="shared" si="137"/>
        <v>157746.09</v>
      </c>
      <c r="V141" s="388">
        <f>GAAP!Q138</f>
        <v>157746.09</v>
      </c>
      <c r="W141" s="388">
        <f>GAAP!S138</f>
        <v>0</v>
      </c>
      <c r="X141" s="388"/>
      <c r="Y141" s="389">
        <f t="shared" si="138"/>
        <v>0</v>
      </c>
      <c r="Z141" s="390">
        <f t="shared" si="139"/>
        <v>0</v>
      </c>
      <c r="AA141" s="391">
        <f t="shared" si="140"/>
        <v>0</v>
      </c>
      <c r="AC141" s="621">
        <f t="shared" si="141"/>
        <v>0</v>
      </c>
    </row>
    <row r="142" spans="1:29" ht="15" customHeight="1">
      <c r="A142" s="385">
        <f>Bonus!A139</f>
        <v>54.939700000000002</v>
      </c>
      <c r="B142" s="386" t="str">
        <f>Bonus!B139</f>
        <v>Cawelo Water Dist. - Friant-Kern Canal Pump Station</v>
      </c>
      <c r="C142" s="468">
        <f>Bonus!G139</f>
        <v>0.305270946973216</v>
      </c>
      <c r="D142" s="468">
        <f>GAAP!G139</f>
        <v>0.305270946973216</v>
      </c>
      <c r="E142" s="387">
        <f>Bonus!I139</f>
        <v>1126646.6940919647</v>
      </c>
      <c r="F142" s="388">
        <f>Bonus!F139</f>
        <v>1035065.41</v>
      </c>
      <c r="G142" s="388">
        <f t="shared" si="131"/>
        <v>91581.284091964713</v>
      </c>
      <c r="H142" s="388"/>
      <c r="I142" s="388">
        <f>GAAP!I139</f>
        <v>1126646.6940919647</v>
      </c>
      <c r="J142" s="388">
        <f>GAAP!F139</f>
        <v>1035065.41</v>
      </c>
      <c r="K142" s="388">
        <f t="shared" si="132"/>
        <v>91581.284091964713</v>
      </c>
      <c r="L142" s="388"/>
      <c r="M142" s="389">
        <f t="shared" si="133"/>
        <v>0</v>
      </c>
      <c r="N142" s="390">
        <f t="shared" si="134"/>
        <v>0</v>
      </c>
      <c r="O142" s="390">
        <f t="shared" si="135"/>
        <v>0</v>
      </c>
      <c r="P142" s="379"/>
      <c r="Q142" s="387">
        <f t="shared" si="136"/>
        <v>1126646.6940919647</v>
      </c>
      <c r="R142" s="388">
        <f>Bonus!Q139</f>
        <v>1035065.41</v>
      </c>
      <c r="S142" s="388">
        <f>Bonus!S139</f>
        <v>91581.284091964801</v>
      </c>
      <c r="T142" s="388"/>
      <c r="U142" s="388">
        <f t="shared" si="137"/>
        <v>1126646.6940919647</v>
      </c>
      <c r="V142" s="388">
        <f>GAAP!Q139</f>
        <v>1035065.41</v>
      </c>
      <c r="W142" s="388">
        <f>GAAP!S139</f>
        <v>91581.284091964801</v>
      </c>
      <c r="X142" s="388"/>
      <c r="Y142" s="389">
        <f t="shared" si="138"/>
        <v>0</v>
      </c>
      <c r="Z142" s="390">
        <f t="shared" si="139"/>
        <v>0</v>
      </c>
      <c r="AA142" s="391">
        <f t="shared" si="140"/>
        <v>0</v>
      </c>
      <c r="AC142" s="621">
        <f t="shared" si="141"/>
        <v>0</v>
      </c>
    </row>
    <row r="143" spans="1:29" ht="15" customHeight="1">
      <c r="A143" s="385">
        <f>Bonus!A140</f>
        <v>54.940300000000001</v>
      </c>
      <c r="B143" s="386" t="str">
        <f>Bonus!B140</f>
        <v>Lost Hills Utility Dist. - WTP Improvements</v>
      </c>
      <c r="C143" s="468">
        <f>Bonus!G140</f>
        <v>0.38155725655943046</v>
      </c>
      <c r="D143" s="468">
        <f>GAAP!G140</f>
        <v>0.38155725655943046</v>
      </c>
      <c r="E143" s="387">
        <f>Bonus!I140</f>
        <v>145602.24910307868</v>
      </c>
      <c r="F143" s="388">
        <f>Bonus!F140</f>
        <v>129004.89</v>
      </c>
      <c r="G143" s="388">
        <f t="shared" si="131"/>
        <v>16597.359103078677</v>
      </c>
      <c r="H143" s="388"/>
      <c r="I143" s="388">
        <f>GAAP!I140</f>
        <v>145602.24910307868</v>
      </c>
      <c r="J143" s="388">
        <f>GAAP!F140</f>
        <v>129004.89</v>
      </c>
      <c r="K143" s="388">
        <f t="shared" si="132"/>
        <v>16597.359103078677</v>
      </c>
      <c r="L143" s="388"/>
      <c r="M143" s="389">
        <f t="shared" si="133"/>
        <v>0</v>
      </c>
      <c r="N143" s="390">
        <f t="shared" si="134"/>
        <v>0</v>
      </c>
      <c r="O143" s="390">
        <f t="shared" si="135"/>
        <v>0</v>
      </c>
      <c r="P143" s="379"/>
      <c r="Q143" s="387">
        <f t="shared" si="136"/>
        <v>145602.24910307868</v>
      </c>
      <c r="R143" s="388">
        <f>Bonus!Q140</f>
        <v>129004.89</v>
      </c>
      <c r="S143" s="388">
        <f>Bonus!S140</f>
        <v>16597.359103078667</v>
      </c>
      <c r="T143" s="388"/>
      <c r="U143" s="388">
        <f t="shared" si="137"/>
        <v>145602.24910307868</v>
      </c>
      <c r="V143" s="388">
        <f>GAAP!Q140</f>
        <v>129004.89</v>
      </c>
      <c r="W143" s="388">
        <f>GAAP!S140</f>
        <v>16597.359103078667</v>
      </c>
      <c r="X143" s="388"/>
      <c r="Y143" s="389">
        <f t="shared" si="138"/>
        <v>0</v>
      </c>
      <c r="Z143" s="390">
        <f t="shared" si="139"/>
        <v>0</v>
      </c>
      <c r="AA143" s="391">
        <f t="shared" si="140"/>
        <v>0</v>
      </c>
      <c r="AC143" s="621">
        <f t="shared" si="141"/>
        <v>0</v>
      </c>
    </row>
    <row r="144" spans="1:29" ht="15" customHeight="1">
      <c r="A144" s="385">
        <f>Bonus!A141</f>
        <v>54.940399999999997</v>
      </c>
      <c r="B144" s="386" t="str">
        <f>Bonus!B141</f>
        <v>Cawelo Water Dist. - Reuse of Produced Water</v>
      </c>
      <c r="C144" s="468">
        <f>Bonus!G141</f>
        <v>0.54081244951737495</v>
      </c>
      <c r="D144" s="468">
        <f>GAAP!G141</f>
        <v>0.54081244951737495</v>
      </c>
      <c r="E144" s="387">
        <f>Bonus!I141</f>
        <v>2011822.3122046348</v>
      </c>
      <c r="F144" s="388">
        <f>Bonus!F141</f>
        <v>1939024.63</v>
      </c>
      <c r="G144" s="388">
        <f t="shared" si="131"/>
        <v>72797.682204634883</v>
      </c>
      <c r="H144" s="388"/>
      <c r="I144" s="388">
        <f>GAAP!I141</f>
        <v>2011822.3122046348</v>
      </c>
      <c r="J144" s="388">
        <f>GAAP!F141</f>
        <v>1939024.63</v>
      </c>
      <c r="K144" s="388">
        <f t="shared" si="132"/>
        <v>72797.682204634883</v>
      </c>
      <c r="L144" s="388"/>
      <c r="M144" s="389">
        <f t="shared" si="133"/>
        <v>0</v>
      </c>
      <c r="N144" s="390">
        <f t="shared" si="134"/>
        <v>0</v>
      </c>
      <c r="O144" s="390">
        <f t="shared" si="135"/>
        <v>0</v>
      </c>
      <c r="P144" s="379"/>
      <c r="Q144" s="387">
        <f t="shared" si="136"/>
        <v>2011822.3122046348</v>
      </c>
      <c r="R144" s="388">
        <f>Bonus!Q141</f>
        <v>1939024.63</v>
      </c>
      <c r="S144" s="388">
        <f>Bonus!S141</f>
        <v>72797.68220463481</v>
      </c>
      <c r="T144" s="388"/>
      <c r="U144" s="388">
        <f t="shared" si="137"/>
        <v>2011822.3122046348</v>
      </c>
      <c r="V144" s="388">
        <f>GAAP!Q141</f>
        <v>1939024.63</v>
      </c>
      <c r="W144" s="388">
        <f>GAAP!S141</f>
        <v>72797.68220463481</v>
      </c>
      <c r="X144" s="388"/>
      <c r="Y144" s="389">
        <f t="shared" si="138"/>
        <v>0</v>
      </c>
      <c r="Z144" s="390">
        <f t="shared" si="139"/>
        <v>0</v>
      </c>
      <c r="AA144" s="391">
        <f t="shared" si="140"/>
        <v>0</v>
      </c>
      <c r="AC144" s="621">
        <f t="shared" si="141"/>
        <v>0</v>
      </c>
    </row>
    <row r="145" spans="1:29" ht="15" customHeight="1">
      <c r="A145" s="385">
        <f>Bonus!A142</f>
        <v>54.9405</v>
      </c>
      <c r="B145" s="386" t="str">
        <f>Bonus!B142</f>
        <v>Semitropic Water Storage Dist. - Pump Platform Replacement Project</v>
      </c>
      <c r="C145" s="468">
        <f>Bonus!G142</f>
        <v>0.71157162561576359</v>
      </c>
      <c r="D145" s="468">
        <f>GAAP!G142</f>
        <v>0.71157162561576359</v>
      </c>
      <c r="E145" s="387">
        <f>Bonus!I142</f>
        <v>670300.47133004933</v>
      </c>
      <c r="F145" s="388">
        <f>Bonus!F142</f>
        <v>577796.16</v>
      </c>
      <c r="G145" s="388">
        <f t="shared" si="131"/>
        <v>92504.311330049299</v>
      </c>
      <c r="H145" s="388"/>
      <c r="I145" s="388">
        <f>GAAP!I142</f>
        <v>670300.47133004933</v>
      </c>
      <c r="J145" s="388">
        <f>GAAP!F142</f>
        <v>577796.16</v>
      </c>
      <c r="K145" s="388">
        <f t="shared" si="132"/>
        <v>92504.311330049299</v>
      </c>
      <c r="L145" s="388"/>
      <c r="M145" s="389">
        <f t="shared" si="133"/>
        <v>0</v>
      </c>
      <c r="N145" s="390">
        <f t="shared" si="134"/>
        <v>0</v>
      </c>
      <c r="O145" s="390">
        <f t="shared" si="135"/>
        <v>0</v>
      </c>
      <c r="P145" s="379"/>
      <c r="Q145" s="387">
        <f t="shared" si="136"/>
        <v>670300.47133004933</v>
      </c>
      <c r="R145" s="388">
        <f>Bonus!Q142</f>
        <v>577796.16</v>
      </c>
      <c r="S145" s="388">
        <f>Bonus!S142</f>
        <v>92504.31133004927</v>
      </c>
      <c r="T145" s="388"/>
      <c r="U145" s="388">
        <f t="shared" si="137"/>
        <v>670300.47133004933</v>
      </c>
      <c r="V145" s="388">
        <f>GAAP!Q142</f>
        <v>577796.16</v>
      </c>
      <c r="W145" s="388">
        <f>GAAP!S142</f>
        <v>92504.31133004927</v>
      </c>
      <c r="X145" s="388"/>
      <c r="Y145" s="389">
        <f t="shared" si="138"/>
        <v>0</v>
      </c>
      <c r="Z145" s="390">
        <f t="shared" si="139"/>
        <v>0</v>
      </c>
      <c r="AA145" s="391">
        <f t="shared" si="140"/>
        <v>0</v>
      </c>
      <c r="AC145" s="621">
        <f t="shared" si="141"/>
        <v>0</v>
      </c>
    </row>
    <row r="146" spans="1:29" ht="15" customHeight="1">
      <c r="A146" s="385">
        <f>Bonus!A143</f>
        <v>54.940600000000003</v>
      </c>
      <c r="B146" s="386" t="str">
        <f>Bonus!B143</f>
        <v>California Water Service Co. - Emergency PACL leak repair</v>
      </c>
      <c r="C146" s="468">
        <f>Bonus!G143</f>
        <v>1</v>
      </c>
      <c r="D146" s="468">
        <f>GAAP!G143</f>
        <v>1</v>
      </c>
      <c r="E146" s="387">
        <f>Bonus!I143</f>
        <v>1120.6500000000001</v>
      </c>
      <c r="F146" s="388">
        <f>Bonus!F143</f>
        <v>1120.6500000000001</v>
      </c>
      <c r="G146" s="388">
        <f t="shared" si="131"/>
        <v>0</v>
      </c>
      <c r="H146" s="388"/>
      <c r="I146" s="388">
        <f>GAAP!I143</f>
        <v>1120.6500000000001</v>
      </c>
      <c r="J146" s="388">
        <f>GAAP!F143</f>
        <v>1120.6500000000001</v>
      </c>
      <c r="K146" s="388">
        <f t="shared" si="132"/>
        <v>0</v>
      </c>
      <c r="L146" s="388"/>
      <c r="M146" s="389">
        <f t="shared" si="133"/>
        <v>0</v>
      </c>
      <c r="N146" s="390">
        <f t="shared" si="134"/>
        <v>0</v>
      </c>
      <c r="O146" s="390">
        <f t="shared" si="135"/>
        <v>0</v>
      </c>
      <c r="P146" s="379"/>
      <c r="Q146" s="387">
        <f t="shared" si="136"/>
        <v>1120.6500000000001</v>
      </c>
      <c r="R146" s="388">
        <f>Bonus!Q143</f>
        <v>1120.6500000000001</v>
      </c>
      <c r="S146" s="388">
        <f>Bonus!S143</f>
        <v>0</v>
      </c>
      <c r="T146" s="388"/>
      <c r="U146" s="388">
        <f t="shared" si="137"/>
        <v>1120.6500000000001</v>
      </c>
      <c r="V146" s="388">
        <f>GAAP!Q143</f>
        <v>1120.6500000000001</v>
      </c>
      <c r="W146" s="388">
        <f>GAAP!S143</f>
        <v>0</v>
      </c>
      <c r="X146" s="388"/>
      <c r="Y146" s="389">
        <f t="shared" si="138"/>
        <v>0</v>
      </c>
      <c r="Z146" s="390">
        <f t="shared" si="139"/>
        <v>0</v>
      </c>
      <c r="AA146" s="391">
        <f t="shared" si="140"/>
        <v>0</v>
      </c>
      <c r="AC146" s="621">
        <f t="shared" si="141"/>
        <v>0</v>
      </c>
    </row>
    <row r="147" spans="1:29" ht="15" customHeight="1">
      <c r="A147" s="385">
        <f>Bonus!A144</f>
        <v>54.940800000000003</v>
      </c>
      <c r="B147" s="386" t="str">
        <f>Bonus!B144</f>
        <v>Nipomo Community Service Dist. - Frontage Road Sewer Trunk Line</v>
      </c>
      <c r="C147" s="468">
        <f>Bonus!G144</f>
        <v>1.1775587084079572E-2</v>
      </c>
      <c r="D147" s="468">
        <f>GAAP!G144</f>
        <v>1.1775587084079572E-2</v>
      </c>
      <c r="E147" s="387">
        <f>Bonus!I144</f>
        <v>41652.43</v>
      </c>
      <c r="F147" s="388">
        <f>Bonus!F144</f>
        <v>41652.43</v>
      </c>
      <c r="G147" s="388">
        <f t="shared" si="131"/>
        <v>0</v>
      </c>
      <c r="H147" s="388"/>
      <c r="I147" s="388">
        <f>GAAP!I144</f>
        <v>41652.43</v>
      </c>
      <c r="J147" s="388">
        <f>GAAP!F144</f>
        <v>41652.43</v>
      </c>
      <c r="K147" s="388">
        <f t="shared" si="132"/>
        <v>0</v>
      </c>
      <c r="L147" s="388"/>
      <c r="M147" s="389">
        <f t="shared" si="133"/>
        <v>0</v>
      </c>
      <c r="N147" s="390">
        <f t="shared" si="134"/>
        <v>0</v>
      </c>
      <c r="O147" s="390">
        <f t="shared" si="135"/>
        <v>0</v>
      </c>
      <c r="P147" s="379"/>
      <c r="Q147" s="387">
        <f t="shared" si="136"/>
        <v>41652.43</v>
      </c>
      <c r="R147" s="388">
        <f>Bonus!Q144</f>
        <v>41652.43</v>
      </c>
      <c r="S147" s="388">
        <f>Bonus!S144</f>
        <v>0</v>
      </c>
      <c r="T147" s="388"/>
      <c r="U147" s="388">
        <f t="shared" si="137"/>
        <v>41652.43</v>
      </c>
      <c r="V147" s="388">
        <f>GAAP!Q144</f>
        <v>41652.43</v>
      </c>
      <c r="W147" s="388">
        <f>GAAP!S144</f>
        <v>0</v>
      </c>
      <c r="X147" s="388"/>
      <c r="Y147" s="389">
        <f t="shared" si="138"/>
        <v>0</v>
      </c>
      <c r="Z147" s="390">
        <f t="shared" si="139"/>
        <v>0</v>
      </c>
      <c r="AA147" s="391">
        <f t="shared" si="140"/>
        <v>0</v>
      </c>
      <c r="AC147" s="621">
        <f t="shared" si="141"/>
        <v>0</v>
      </c>
    </row>
    <row r="148" spans="1:29" ht="15" customHeight="1">
      <c r="A148" s="385">
        <f>Bonus!A145</f>
        <v>54.941099999999999</v>
      </c>
      <c r="B148" s="386" t="str">
        <f>Bonus!B145</f>
        <v>Moorefield Construction Inc. - Hard Rock Tejon AEWSD Line Relocation</v>
      </c>
      <c r="C148" s="468">
        <f>Bonus!G145</f>
        <v>0.91150510855683275</v>
      </c>
      <c r="D148" s="468">
        <f>GAAP!G145</f>
        <v>0.91150510855683275</v>
      </c>
      <c r="E148" s="387">
        <f>Bonus!I145</f>
        <v>94158.477713920816</v>
      </c>
      <c r="F148" s="388">
        <f>Bonus!F145</f>
        <v>71370.850000000006</v>
      </c>
      <c r="G148" s="388">
        <f t="shared" si="131"/>
        <v>22787.62771392081</v>
      </c>
      <c r="H148" s="388"/>
      <c r="I148" s="388">
        <f>GAAP!I145</f>
        <v>94158.477713920816</v>
      </c>
      <c r="J148" s="388">
        <f>GAAP!F145</f>
        <v>71370.850000000006</v>
      </c>
      <c r="K148" s="388">
        <f t="shared" si="132"/>
        <v>22787.62771392081</v>
      </c>
      <c r="L148" s="388"/>
      <c r="M148" s="389">
        <f t="shared" si="133"/>
        <v>0</v>
      </c>
      <c r="N148" s="390">
        <f t="shared" si="134"/>
        <v>0</v>
      </c>
      <c r="O148" s="390">
        <f t="shared" si="135"/>
        <v>0</v>
      </c>
      <c r="P148" s="379"/>
      <c r="Q148" s="387">
        <f t="shared" si="136"/>
        <v>94158.477713920816</v>
      </c>
      <c r="R148" s="388">
        <f>Bonus!Q145</f>
        <v>71370.850000000006</v>
      </c>
      <c r="S148" s="388">
        <f>Bonus!S145</f>
        <v>22787.627713920818</v>
      </c>
      <c r="T148" s="388"/>
      <c r="U148" s="388">
        <f t="shared" si="137"/>
        <v>94158.477713920816</v>
      </c>
      <c r="V148" s="388">
        <f>GAAP!Q145</f>
        <v>71370.850000000006</v>
      </c>
      <c r="W148" s="388">
        <f>GAAP!S145</f>
        <v>22787.627713920818</v>
      </c>
      <c r="X148" s="388"/>
      <c r="Y148" s="389">
        <f t="shared" si="138"/>
        <v>0</v>
      </c>
      <c r="Z148" s="390">
        <f t="shared" si="139"/>
        <v>0</v>
      </c>
      <c r="AA148" s="391">
        <f t="shared" si="140"/>
        <v>0</v>
      </c>
      <c r="AC148" s="621">
        <f t="shared" si="141"/>
        <v>0</v>
      </c>
    </row>
    <row r="149" spans="1:29" ht="15" customHeight="1">
      <c r="A149" s="385">
        <f>Bonus!A146</f>
        <v>54.941200000000002</v>
      </c>
      <c r="B149" s="386" t="str">
        <f>Bonus!B146</f>
        <v>Arvin Edison Water Storage Dist. - Sycamore Well 39 Earthwork</v>
      </c>
      <c r="C149" s="468">
        <f>Bonus!G146</f>
        <v>1</v>
      </c>
      <c r="D149" s="468">
        <f>GAAP!G146</f>
        <v>1</v>
      </c>
      <c r="E149" s="387">
        <f>Bonus!I146</f>
        <v>116752.04</v>
      </c>
      <c r="F149" s="388">
        <f>Bonus!F146</f>
        <v>115708.88</v>
      </c>
      <c r="G149" s="388">
        <f t="shared" si="131"/>
        <v>1043.1599999999889</v>
      </c>
      <c r="H149" s="388"/>
      <c r="I149" s="388">
        <f>GAAP!I146</f>
        <v>116752.04</v>
      </c>
      <c r="J149" s="388">
        <f>GAAP!F146</f>
        <v>115708.88</v>
      </c>
      <c r="K149" s="388">
        <f t="shared" si="132"/>
        <v>1043.1599999999889</v>
      </c>
      <c r="L149" s="388"/>
      <c r="M149" s="389">
        <f t="shared" si="133"/>
        <v>0</v>
      </c>
      <c r="N149" s="390">
        <f t="shared" si="134"/>
        <v>0</v>
      </c>
      <c r="O149" s="390">
        <f t="shared" si="135"/>
        <v>0</v>
      </c>
      <c r="P149" s="379"/>
      <c r="Q149" s="387">
        <f t="shared" si="136"/>
        <v>116752.04</v>
      </c>
      <c r="R149" s="388">
        <f>Bonus!Q146</f>
        <v>115708.88</v>
      </c>
      <c r="S149" s="388">
        <f>Bonus!S146</f>
        <v>1043.1599999999889</v>
      </c>
      <c r="T149" s="388"/>
      <c r="U149" s="388">
        <f t="shared" si="137"/>
        <v>116752.04</v>
      </c>
      <c r="V149" s="388">
        <f>GAAP!Q146</f>
        <v>115708.88</v>
      </c>
      <c r="W149" s="388">
        <f>GAAP!S146</f>
        <v>1043.1599999999889</v>
      </c>
      <c r="X149" s="388"/>
      <c r="Y149" s="389">
        <f t="shared" si="138"/>
        <v>0</v>
      </c>
      <c r="Z149" s="390">
        <f t="shared" si="139"/>
        <v>0</v>
      </c>
      <c r="AA149" s="391">
        <f t="shared" si="140"/>
        <v>0</v>
      </c>
      <c r="AC149" s="621">
        <f t="shared" si="141"/>
        <v>0</v>
      </c>
    </row>
    <row r="150" spans="1:29" ht="15" customHeight="1">
      <c r="A150" s="385">
        <f>Bonus!A147</f>
        <v>54.941299999999998</v>
      </c>
      <c r="B150" s="386" t="str">
        <f>Bonus!B147</f>
        <v>Arvin Edison Water Storage Dist. - Tejon Well 102 Earthwork</v>
      </c>
      <c r="C150" s="468">
        <f>Bonus!G147</f>
        <v>1</v>
      </c>
      <c r="D150" s="468">
        <f>GAAP!G147</f>
        <v>1</v>
      </c>
      <c r="E150" s="387">
        <f>Bonus!I147</f>
        <v>149366.82999999999</v>
      </c>
      <c r="F150" s="388">
        <f>Bonus!F147</f>
        <v>132138.74</v>
      </c>
      <c r="G150" s="388">
        <f t="shared" si="131"/>
        <v>17228.089999999997</v>
      </c>
      <c r="H150" s="388"/>
      <c r="I150" s="388">
        <f>GAAP!I147</f>
        <v>149366.82999999999</v>
      </c>
      <c r="J150" s="388">
        <f>GAAP!F147</f>
        <v>132138.74</v>
      </c>
      <c r="K150" s="388">
        <f t="shared" si="132"/>
        <v>17228.089999999997</v>
      </c>
      <c r="L150" s="388"/>
      <c r="M150" s="389">
        <f t="shared" si="133"/>
        <v>0</v>
      </c>
      <c r="N150" s="390">
        <f t="shared" si="134"/>
        <v>0</v>
      </c>
      <c r="O150" s="390">
        <f t="shared" si="135"/>
        <v>0</v>
      </c>
      <c r="P150" s="379"/>
      <c r="Q150" s="387">
        <f t="shared" si="136"/>
        <v>149366.82999999999</v>
      </c>
      <c r="R150" s="388">
        <f>Bonus!Q147</f>
        <v>132138.74</v>
      </c>
      <c r="S150" s="388">
        <f>Bonus!S147</f>
        <v>17228.089999999997</v>
      </c>
      <c r="T150" s="388"/>
      <c r="U150" s="388">
        <f t="shared" si="137"/>
        <v>149366.82999999999</v>
      </c>
      <c r="V150" s="388">
        <f>GAAP!Q147</f>
        <v>132138.74</v>
      </c>
      <c r="W150" s="388">
        <f>GAAP!S147</f>
        <v>17228.089999999997</v>
      </c>
      <c r="X150" s="388"/>
      <c r="Y150" s="389">
        <f t="shared" si="138"/>
        <v>0</v>
      </c>
      <c r="Z150" s="390">
        <f t="shared" si="139"/>
        <v>0</v>
      </c>
      <c r="AA150" s="391">
        <f t="shared" si="140"/>
        <v>0</v>
      </c>
      <c r="AC150" s="621">
        <f t="shared" si="141"/>
        <v>0</v>
      </c>
    </row>
    <row r="151" spans="1:29" ht="15" customHeight="1">
      <c r="A151" s="385">
        <f>Bonus!A148</f>
        <v>54.941400000000002</v>
      </c>
      <c r="B151" s="386" t="str">
        <f>Bonus!B148</f>
        <v>Cawelo Water Dist. - Cawelo Diversion Structure Rehab</v>
      </c>
      <c r="C151" s="468">
        <f>Bonus!G148</f>
        <v>0.99648881494972619</v>
      </c>
      <c r="D151" s="468">
        <f>GAAP!G148</f>
        <v>1</v>
      </c>
      <c r="E151" s="387">
        <f>Bonus!I148</f>
        <v>357415.45629899454</v>
      </c>
      <c r="F151" s="388">
        <f>Bonus!F148</f>
        <v>337485.68</v>
      </c>
      <c r="G151" s="388">
        <f t="shared" si="131"/>
        <v>19929.776298994548</v>
      </c>
      <c r="H151" s="388"/>
      <c r="I151" s="388">
        <f>GAAP!I148</f>
        <v>337485.68</v>
      </c>
      <c r="J151" s="388">
        <f>GAAP!F148</f>
        <v>337485.68</v>
      </c>
      <c r="K151" s="388">
        <f t="shared" si="132"/>
        <v>0</v>
      </c>
      <c r="L151" s="388"/>
      <c r="M151" s="389">
        <f t="shared" si="133"/>
        <v>19929.776298994548</v>
      </c>
      <c r="N151" s="390">
        <f t="shared" si="134"/>
        <v>0</v>
      </c>
      <c r="O151" s="390">
        <f t="shared" si="135"/>
        <v>19929.776298994548</v>
      </c>
      <c r="P151" s="379"/>
      <c r="Q151" s="387">
        <f t="shared" si="136"/>
        <v>357415.45629899454</v>
      </c>
      <c r="R151" s="388">
        <f>Bonus!Q148</f>
        <v>337485.68</v>
      </c>
      <c r="S151" s="388">
        <f>Bonus!S148</f>
        <v>19929.776298994522</v>
      </c>
      <c r="T151" s="388"/>
      <c r="U151" s="388">
        <f t="shared" si="137"/>
        <v>337485.68</v>
      </c>
      <c r="V151" s="388">
        <f>GAAP!Q148</f>
        <v>337485.68</v>
      </c>
      <c r="W151" s="388">
        <f>GAAP!S148</f>
        <v>0</v>
      </c>
      <c r="X151" s="388"/>
      <c r="Y151" s="389">
        <f t="shared" si="138"/>
        <v>19929.776298994548</v>
      </c>
      <c r="Z151" s="390">
        <f t="shared" si="139"/>
        <v>0</v>
      </c>
      <c r="AA151" s="391">
        <f t="shared" si="140"/>
        <v>19929.776298994522</v>
      </c>
      <c r="AC151" s="621">
        <f t="shared" si="141"/>
        <v>0</v>
      </c>
    </row>
    <row r="152" spans="1:29" ht="15" customHeight="1">
      <c r="A152" s="385">
        <f>Bonus!A149</f>
        <v>54.941600000000001</v>
      </c>
      <c r="B152" s="386" t="str">
        <f>Bonus!B149</f>
        <v>California Water Service Co. - BK 147 Station Improvements</v>
      </c>
      <c r="C152" s="468">
        <f>Bonus!G149</f>
        <v>6.4092483384816995E-3</v>
      </c>
      <c r="D152" s="468">
        <f>GAAP!G149</f>
        <v>6.4092483384816995E-3</v>
      </c>
      <c r="E152" s="387">
        <f>Bonus!I149</f>
        <v>7257.82</v>
      </c>
      <c r="F152" s="388">
        <f>Bonus!F149</f>
        <v>7257.82</v>
      </c>
      <c r="G152" s="388">
        <f t="shared" si="131"/>
        <v>0</v>
      </c>
      <c r="H152" s="388"/>
      <c r="I152" s="388">
        <f>GAAP!I149</f>
        <v>7257.82</v>
      </c>
      <c r="J152" s="388">
        <f>GAAP!F149</f>
        <v>7257.82</v>
      </c>
      <c r="K152" s="388">
        <f t="shared" si="132"/>
        <v>0</v>
      </c>
      <c r="L152" s="388"/>
      <c r="M152" s="389">
        <f t="shared" si="133"/>
        <v>0</v>
      </c>
      <c r="N152" s="390">
        <f t="shared" si="134"/>
        <v>0</v>
      </c>
      <c r="O152" s="390">
        <f t="shared" si="135"/>
        <v>0</v>
      </c>
      <c r="P152" s="379"/>
      <c r="Q152" s="387">
        <f t="shared" si="136"/>
        <v>7257.82</v>
      </c>
      <c r="R152" s="388">
        <f>Bonus!Q149</f>
        <v>7257.82</v>
      </c>
      <c r="S152" s="388">
        <f>Bonus!S149</f>
        <v>0</v>
      </c>
      <c r="T152" s="388"/>
      <c r="U152" s="388">
        <f t="shared" si="137"/>
        <v>7257.82</v>
      </c>
      <c r="V152" s="388">
        <f>GAAP!Q149</f>
        <v>7257.82</v>
      </c>
      <c r="W152" s="388">
        <f>GAAP!S149</f>
        <v>0</v>
      </c>
      <c r="X152" s="388"/>
      <c r="Y152" s="389">
        <f t="shared" si="138"/>
        <v>0</v>
      </c>
      <c r="Z152" s="390">
        <f t="shared" si="139"/>
        <v>0</v>
      </c>
      <c r="AA152" s="391">
        <f t="shared" si="140"/>
        <v>0</v>
      </c>
      <c r="AC152" s="621">
        <f t="shared" si="141"/>
        <v>0</v>
      </c>
    </row>
    <row r="153" spans="1:29" ht="15" customHeight="1">
      <c r="A153" s="385">
        <f>Bonus!A150</f>
        <v>54.941699999999997</v>
      </c>
      <c r="B153" s="386" t="str">
        <f>Bonus!B150</f>
        <v>County of Santa Barbara-Public Works - Laguna WWTP WAS Pipe Modifications</v>
      </c>
      <c r="C153" s="468">
        <f>Bonus!G150</f>
        <v>5.3608047933229194E-2</v>
      </c>
      <c r="D153" s="468">
        <f>GAAP!G150</f>
        <v>5.3608047933229194E-2</v>
      </c>
      <c r="E153" s="387">
        <f>Bonus!I150</f>
        <v>2299.41</v>
      </c>
      <c r="F153" s="388">
        <f>Bonus!F150</f>
        <v>2299.41</v>
      </c>
      <c r="G153" s="388">
        <f t="shared" si="131"/>
        <v>0</v>
      </c>
      <c r="H153" s="388"/>
      <c r="I153" s="388">
        <f>GAAP!I150</f>
        <v>2299.41</v>
      </c>
      <c r="J153" s="388">
        <f>GAAP!F150</f>
        <v>2299.41</v>
      </c>
      <c r="K153" s="388">
        <f t="shared" si="132"/>
        <v>0</v>
      </c>
      <c r="L153" s="388"/>
      <c r="M153" s="389">
        <f t="shared" si="133"/>
        <v>0</v>
      </c>
      <c r="N153" s="390">
        <f t="shared" si="134"/>
        <v>0</v>
      </c>
      <c r="O153" s="390">
        <f t="shared" si="135"/>
        <v>0</v>
      </c>
      <c r="P153" s="379"/>
      <c r="Q153" s="387">
        <f t="shared" si="136"/>
        <v>2299.41</v>
      </c>
      <c r="R153" s="388">
        <f>Bonus!Q150</f>
        <v>2299.41</v>
      </c>
      <c r="S153" s="388">
        <f>Bonus!S150</f>
        <v>0</v>
      </c>
      <c r="T153" s="388"/>
      <c r="U153" s="388">
        <f t="shared" si="137"/>
        <v>2299.41</v>
      </c>
      <c r="V153" s="388">
        <f>GAAP!Q150</f>
        <v>2299.41</v>
      </c>
      <c r="W153" s="388">
        <f>GAAP!S150</f>
        <v>0</v>
      </c>
      <c r="X153" s="388"/>
      <c r="Y153" s="389">
        <f t="shared" si="138"/>
        <v>0</v>
      </c>
      <c r="Z153" s="390">
        <f t="shared" si="139"/>
        <v>0</v>
      </c>
      <c r="AA153" s="391">
        <f t="shared" si="140"/>
        <v>0</v>
      </c>
      <c r="AC153" s="621">
        <f t="shared" si="141"/>
        <v>0</v>
      </c>
    </row>
    <row r="154" spans="1:29" ht="15" customHeight="1">
      <c r="A154" s="385">
        <f>Bonus!A151</f>
        <v>54.941800000000001</v>
      </c>
      <c r="B154" s="386" t="str">
        <f>Bonus!B151</f>
        <v>GenerateUpcycle - Organics Waste Processing Facility</v>
      </c>
      <c r="C154" s="468">
        <f>Bonus!G151</f>
        <v>1</v>
      </c>
      <c r="D154" s="468">
        <f>GAAP!G151</f>
        <v>1</v>
      </c>
      <c r="E154" s="387">
        <f>Bonus!I151</f>
        <v>15739</v>
      </c>
      <c r="F154" s="388">
        <f>Bonus!F151</f>
        <v>15739</v>
      </c>
      <c r="G154" s="388">
        <f t="shared" si="131"/>
        <v>0</v>
      </c>
      <c r="H154" s="388"/>
      <c r="I154" s="388">
        <f>GAAP!I151</f>
        <v>15739</v>
      </c>
      <c r="J154" s="388">
        <f>GAAP!F151</f>
        <v>15739</v>
      </c>
      <c r="K154" s="388">
        <f t="shared" si="132"/>
        <v>0</v>
      </c>
      <c r="L154" s="388"/>
      <c r="M154" s="389">
        <f t="shared" si="133"/>
        <v>0</v>
      </c>
      <c r="N154" s="390">
        <f t="shared" si="134"/>
        <v>0</v>
      </c>
      <c r="O154" s="390">
        <f t="shared" si="135"/>
        <v>0</v>
      </c>
      <c r="P154" s="379"/>
      <c r="Q154" s="387">
        <f t="shared" si="136"/>
        <v>15739</v>
      </c>
      <c r="R154" s="388">
        <f>Bonus!Q151</f>
        <v>15739</v>
      </c>
      <c r="S154" s="388">
        <f>Bonus!S151</f>
        <v>0</v>
      </c>
      <c r="T154" s="388"/>
      <c r="U154" s="388">
        <f t="shared" si="137"/>
        <v>15739</v>
      </c>
      <c r="V154" s="388">
        <f>GAAP!Q151</f>
        <v>15739</v>
      </c>
      <c r="W154" s="388">
        <f>GAAP!S151</f>
        <v>0</v>
      </c>
      <c r="X154" s="388"/>
      <c r="Y154" s="389">
        <f t="shared" si="138"/>
        <v>0</v>
      </c>
      <c r="Z154" s="390">
        <f t="shared" si="139"/>
        <v>0</v>
      </c>
      <c r="AA154" s="391">
        <f t="shared" si="140"/>
        <v>0</v>
      </c>
      <c r="AC154" s="621">
        <f t="shared" si="141"/>
        <v>0</v>
      </c>
    </row>
    <row r="155" spans="1:29" ht="15" customHeight="1">
      <c r="A155" s="385">
        <f>Bonus!A152</f>
        <v>54.942100000000003</v>
      </c>
      <c r="B155" s="386" t="str">
        <f>Bonus!B152</f>
        <v>Nipomo Community Service Dist. - Tefft Emergency Pipe Repair</v>
      </c>
      <c r="C155" s="468">
        <f>Bonus!G152</f>
        <v>1</v>
      </c>
      <c r="D155" s="468">
        <f>GAAP!G152</f>
        <v>1</v>
      </c>
      <c r="E155" s="387">
        <f>Bonus!I152</f>
        <v>3703.18</v>
      </c>
      <c r="F155" s="388">
        <f>Bonus!F152</f>
        <v>3703.18</v>
      </c>
      <c r="G155" s="388">
        <f t="shared" si="131"/>
        <v>0</v>
      </c>
      <c r="H155" s="388"/>
      <c r="I155" s="388">
        <f>GAAP!I152</f>
        <v>3703.18</v>
      </c>
      <c r="J155" s="388">
        <f>GAAP!F152</f>
        <v>3703.18</v>
      </c>
      <c r="K155" s="388">
        <f t="shared" si="132"/>
        <v>0</v>
      </c>
      <c r="L155" s="388"/>
      <c r="M155" s="389">
        <f t="shared" si="133"/>
        <v>0</v>
      </c>
      <c r="N155" s="390">
        <f t="shared" si="134"/>
        <v>0</v>
      </c>
      <c r="O155" s="390">
        <f t="shared" si="135"/>
        <v>0</v>
      </c>
      <c r="P155" s="379"/>
      <c r="Q155" s="387">
        <f t="shared" si="136"/>
        <v>3703.18</v>
      </c>
      <c r="R155" s="388">
        <f>Bonus!Q152</f>
        <v>3703.18</v>
      </c>
      <c r="S155" s="388">
        <f>Bonus!S152</f>
        <v>0</v>
      </c>
      <c r="T155" s="388"/>
      <c r="U155" s="388">
        <f t="shared" si="137"/>
        <v>3703.18</v>
      </c>
      <c r="V155" s="388">
        <f>GAAP!Q152</f>
        <v>3703.18</v>
      </c>
      <c r="W155" s="388">
        <f>GAAP!S152</f>
        <v>0</v>
      </c>
      <c r="X155" s="388"/>
      <c r="Y155" s="389">
        <f t="shared" si="138"/>
        <v>0</v>
      </c>
      <c r="Z155" s="390">
        <f t="shared" si="139"/>
        <v>0</v>
      </c>
      <c r="AA155" s="391">
        <f t="shared" si="140"/>
        <v>0</v>
      </c>
      <c r="AC155" s="621">
        <f t="shared" si="141"/>
        <v>0</v>
      </c>
    </row>
    <row r="156" spans="1:29" ht="15" hidden="1" customHeight="1">
      <c r="A156" s="329"/>
      <c r="E156" s="370"/>
      <c r="F156" s="371"/>
      <c r="G156" s="371"/>
      <c r="H156" s="371"/>
      <c r="I156" s="371"/>
      <c r="J156" s="371"/>
      <c r="K156" s="371"/>
      <c r="L156" s="371"/>
      <c r="M156" s="372"/>
      <c r="N156" s="256"/>
      <c r="O156" s="256"/>
      <c r="P156" s="379"/>
      <c r="Q156" s="371"/>
      <c r="R156" s="371"/>
      <c r="S156" s="371"/>
      <c r="T156" s="371"/>
      <c r="U156" s="371"/>
      <c r="V156" s="371"/>
      <c r="W156" s="371"/>
      <c r="X156" s="371"/>
      <c r="Y156" s="372"/>
      <c r="Z156" s="256"/>
      <c r="AA156" s="391">
        <f t="shared" ref="AA156" si="142">S156-W156</f>
        <v>0</v>
      </c>
      <c r="AC156" s="380">
        <f t="shared" si="141"/>
        <v>0</v>
      </c>
    </row>
    <row r="157" spans="1:29" s="240" customFormat="1" ht="13.5" customHeight="1">
      <c r="A157" s="240" t="s">
        <v>349</v>
      </c>
      <c r="E157" s="372">
        <f>SUM(E123:E156)</f>
        <v>50974822.242586583</v>
      </c>
      <c r="F157" s="256">
        <f>SUM(F123:F156)</f>
        <v>46923257.49000001</v>
      </c>
      <c r="G157" s="256">
        <f>SUM(G123:G156)</f>
        <v>4051564.7525865892</v>
      </c>
      <c r="H157" s="256"/>
      <c r="I157" s="256">
        <f>SUM(I123:I156)</f>
        <v>51246144.648664996</v>
      </c>
      <c r="J157" s="256">
        <f>SUM(J123:J156)</f>
        <v>46923257.49000001</v>
      </c>
      <c r="K157" s="256">
        <f>SUM(K123:K156)</f>
        <v>4322887.1586650051</v>
      </c>
      <c r="L157" s="256"/>
      <c r="M157" s="372">
        <f>SUM(M123:M156)</f>
        <v>-271322.40607841604</v>
      </c>
      <c r="N157" s="256">
        <f>SUM(N123:N156)</f>
        <v>0</v>
      </c>
      <c r="O157" s="256">
        <f>SUM(O123:O156)</f>
        <v>-271322.40607841604</v>
      </c>
      <c r="P157" s="380"/>
      <c r="Q157" s="256">
        <f>SUM(Q123:Q156)</f>
        <v>36268924.294505</v>
      </c>
      <c r="R157" s="256">
        <f>SUM(R123:R156)</f>
        <v>33129625.769999992</v>
      </c>
      <c r="S157" s="256">
        <f>SUM(S123:S156)</f>
        <v>3139298.5245050155</v>
      </c>
      <c r="T157" s="256"/>
      <c r="U157" s="256">
        <f>SUM(U123:U156)</f>
        <v>37092241.065640628</v>
      </c>
      <c r="V157" s="256">
        <f>SUM(V123:V156)</f>
        <v>33129625.769999992</v>
      </c>
      <c r="W157" s="256">
        <f>SUM(W123:W156)</f>
        <v>3962615.2956406451</v>
      </c>
      <c r="X157" s="256"/>
      <c r="Y157" s="372">
        <f>SUM(Y123:Y156)</f>
        <v>-823316.7711356302</v>
      </c>
      <c r="Z157" s="256">
        <f>SUM(Z123:Z156)</f>
        <v>0</v>
      </c>
      <c r="AA157" s="373">
        <f>SUM(AA123:AA156)</f>
        <v>-823316.7711356302</v>
      </c>
      <c r="AC157" s="380">
        <f t="shared" si="141"/>
        <v>551994.36505721416</v>
      </c>
    </row>
    <row r="158" spans="1:29" s="240" customFormat="1" ht="15" customHeight="1">
      <c r="E158" s="372"/>
      <c r="F158" s="256"/>
      <c r="G158" s="256"/>
      <c r="H158" s="256"/>
      <c r="I158" s="256"/>
      <c r="J158" s="256"/>
      <c r="K158" s="256"/>
      <c r="L158" s="256"/>
      <c r="M158" s="372"/>
      <c r="N158" s="256"/>
      <c r="O158" s="256"/>
      <c r="P158" s="380"/>
      <c r="Q158" s="256"/>
      <c r="R158" s="256"/>
      <c r="S158" s="256"/>
      <c r="T158" s="256"/>
      <c r="U158" s="256"/>
      <c r="V158" s="371"/>
      <c r="W158" s="256"/>
      <c r="X158" s="256"/>
      <c r="Y158" s="372"/>
      <c r="Z158" s="256"/>
      <c r="AA158" s="373"/>
      <c r="AC158" s="380"/>
    </row>
    <row r="159" spans="1:29" s="240" customFormat="1" ht="15" customHeight="1">
      <c r="A159" s="240" t="s">
        <v>350</v>
      </c>
      <c r="E159" s="372"/>
      <c r="F159" s="256"/>
      <c r="G159" s="256"/>
      <c r="H159" s="256"/>
      <c r="I159" s="256"/>
      <c r="J159" s="256"/>
      <c r="K159" s="256"/>
      <c r="L159" s="256"/>
      <c r="M159" s="372"/>
      <c r="N159" s="256"/>
      <c r="O159" s="256"/>
      <c r="P159" s="380"/>
      <c r="Q159" s="256"/>
      <c r="R159" s="256"/>
      <c r="S159" s="256"/>
      <c r="T159" s="256"/>
      <c r="U159" s="256"/>
      <c r="V159" s="256"/>
      <c r="W159" s="256"/>
      <c r="X159" s="256"/>
      <c r="Y159" s="372"/>
      <c r="Z159" s="256"/>
      <c r="AA159" s="373"/>
      <c r="AC159" s="380"/>
    </row>
    <row r="160" spans="1:29" s="240" customFormat="1" ht="15" customHeight="1">
      <c r="A160" s="385">
        <f>Bonus!A157</f>
        <v>54.9099</v>
      </c>
      <c r="B160" s="386" t="str">
        <f>Bonus!B157</f>
        <v>Laguna County Sanitation Dist. - Phase 1 Plant Upgrade</v>
      </c>
      <c r="C160" s="468">
        <f>Bonus!G157</f>
        <v>1</v>
      </c>
      <c r="D160" s="468">
        <f>GAAP!G157</f>
        <v>1</v>
      </c>
      <c r="E160" s="387">
        <f>Bonus!I157</f>
        <v>55712110</v>
      </c>
      <c r="F160" s="388">
        <f>Bonus!F157</f>
        <v>45328892.68</v>
      </c>
      <c r="G160" s="388">
        <f t="shared" ref="G160" si="143">E160-F160</f>
        <v>10383217.32</v>
      </c>
      <c r="H160" s="388"/>
      <c r="I160" s="388">
        <f>GAAP!I157</f>
        <v>55712110</v>
      </c>
      <c r="J160" s="388">
        <f>GAAP!F157</f>
        <v>45328892.68</v>
      </c>
      <c r="K160" s="388">
        <f t="shared" ref="K160" si="144">I160-J160</f>
        <v>10383217.32</v>
      </c>
      <c r="L160" s="388"/>
      <c r="M160" s="389">
        <f t="shared" ref="M160" si="145">E160-I160</f>
        <v>0</v>
      </c>
      <c r="N160" s="390">
        <f t="shared" ref="N160" si="146">F160-J160</f>
        <v>0</v>
      </c>
      <c r="O160" s="390">
        <f t="shared" ref="O160" si="147">G160-K160</f>
        <v>0</v>
      </c>
      <c r="P160" s="379"/>
      <c r="Q160" s="387">
        <f t="shared" ref="Q160" si="148">R160+S160</f>
        <v>276297.12854142301</v>
      </c>
      <c r="R160" s="388">
        <f>Bonus!Q157</f>
        <v>265831.3900000006</v>
      </c>
      <c r="S160" s="388">
        <f>Bonus!S157</f>
        <v>10465.738541422412</v>
      </c>
      <c r="T160" s="388"/>
      <c r="U160" s="388">
        <f t="shared" ref="U160" si="149">V160+W160</f>
        <v>276297.12854142301</v>
      </c>
      <c r="V160" s="388">
        <f>GAAP!Q157</f>
        <v>265831.3900000006</v>
      </c>
      <c r="W160" s="388">
        <f>GAAP!S157</f>
        <v>10465.738541422412</v>
      </c>
      <c r="X160" s="388"/>
      <c r="Y160" s="389">
        <f t="shared" ref="Y160" si="150">Q160-U160</f>
        <v>0</v>
      </c>
      <c r="Z160" s="390">
        <f t="shared" ref="Z160" si="151">R160-V160</f>
        <v>0</v>
      </c>
      <c r="AA160" s="391">
        <f t="shared" ref="AA160" si="152">S160-W160</f>
        <v>0</v>
      </c>
      <c r="AC160" s="621">
        <f t="shared" si="141"/>
        <v>0</v>
      </c>
    </row>
    <row r="161" spans="1:29" s="240" customFormat="1" ht="15" customHeight="1">
      <c r="A161" s="385">
        <f>Bonus!A158</f>
        <v>54.917200000000001</v>
      </c>
      <c r="B161" s="386" t="str">
        <f>Bonus!B158</f>
        <v>Calif. Rail Bldrs LLC - SWSD Distribution System Conflict</v>
      </c>
      <c r="C161" s="468">
        <f>Bonus!G158</f>
        <v>1</v>
      </c>
      <c r="D161" s="468">
        <f>GAAP!G158</f>
        <v>1</v>
      </c>
      <c r="E161" s="387">
        <f>Bonus!I158</f>
        <v>24160002.440000001</v>
      </c>
      <c r="F161" s="388">
        <f>Bonus!F158</f>
        <v>21018432.220000003</v>
      </c>
      <c r="G161" s="388">
        <f t="shared" ref="G161" si="153">E161-F161</f>
        <v>3141570.2199999988</v>
      </c>
      <c r="H161" s="388"/>
      <c r="I161" s="388">
        <f>GAAP!I158</f>
        <v>24160002.440000001</v>
      </c>
      <c r="J161" s="388">
        <f>GAAP!F158</f>
        <v>21018432.220000003</v>
      </c>
      <c r="K161" s="388">
        <f t="shared" ref="K161" si="154">I161-J161</f>
        <v>3141570.2199999988</v>
      </c>
      <c r="L161" s="388"/>
      <c r="M161" s="389">
        <f t="shared" ref="M161" si="155">E161-I161</f>
        <v>0</v>
      </c>
      <c r="N161" s="390">
        <f t="shared" ref="N161" si="156">F161-J161</f>
        <v>0</v>
      </c>
      <c r="O161" s="390">
        <f t="shared" ref="O161" si="157">G161-K161</f>
        <v>0</v>
      </c>
      <c r="P161" s="379"/>
      <c r="Q161" s="387">
        <f t="shared" ref="Q161" si="158">R161+S161</f>
        <v>37421.740845544729</v>
      </c>
      <c r="R161" s="388">
        <f>Bonus!Q158</f>
        <v>-27797.029999997467</v>
      </c>
      <c r="S161" s="388">
        <f>Bonus!S158</f>
        <v>65218.770845542196</v>
      </c>
      <c r="T161" s="388"/>
      <c r="U161" s="388">
        <f t="shared" ref="U161" si="159">V161+W161</f>
        <v>5871.3700000010431</v>
      </c>
      <c r="V161" s="388">
        <f>GAAP!Q158</f>
        <v>-27797.029999997467</v>
      </c>
      <c r="W161" s="388">
        <f>GAAP!S158</f>
        <v>33668.39999999851</v>
      </c>
      <c r="X161" s="388"/>
      <c r="Y161" s="389">
        <f t="shared" ref="Y161" si="160">Q161-U161</f>
        <v>31550.370845543686</v>
      </c>
      <c r="Z161" s="390">
        <f t="shared" ref="Z161" si="161">R161-V161</f>
        <v>0</v>
      </c>
      <c r="AA161" s="391">
        <f t="shared" ref="AA161" si="162">S161-W161</f>
        <v>31550.370845543686</v>
      </c>
      <c r="AC161" s="621">
        <f t="shared" si="141"/>
        <v>-31550.370845543686</v>
      </c>
    </row>
    <row r="162" spans="1:29" s="240" customFormat="1" ht="15" customHeight="1">
      <c r="A162" s="385">
        <f>Bonus!A159</f>
        <v>54.921599999999998</v>
      </c>
      <c r="B162" s="386" t="str">
        <f>Bonus!B159</f>
        <v>CA Dept. of Corr. - Water Treatment Improvements</v>
      </c>
      <c r="C162" s="468">
        <f>Bonus!G159</f>
        <v>1</v>
      </c>
      <c r="D162" s="468">
        <f>GAAP!G159</f>
        <v>1</v>
      </c>
      <c r="E162" s="387">
        <f>Bonus!I159</f>
        <v>2472164.0499999998</v>
      </c>
      <c r="F162" s="388">
        <f>Bonus!F159</f>
        <v>2286264.4300000002</v>
      </c>
      <c r="G162" s="388">
        <f t="shared" ref="G162:G216" si="163">E162-F162</f>
        <v>185899.61999999965</v>
      </c>
      <c r="H162" s="388"/>
      <c r="I162" s="388">
        <f>GAAP!I159</f>
        <v>2472164.0499999998</v>
      </c>
      <c r="J162" s="388">
        <f>GAAP!F159</f>
        <v>2286264.4300000002</v>
      </c>
      <c r="K162" s="388">
        <f t="shared" ref="K162:K216" si="164">I162-J162</f>
        <v>185899.61999999965</v>
      </c>
      <c r="L162" s="388"/>
      <c r="M162" s="389">
        <f t="shared" ref="M162:M216" si="165">E162-I162</f>
        <v>0</v>
      </c>
      <c r="N162" s="390">
        <f t="shared" ref="N162:N216" si="166">F162-J162</f>
        <v>0</v>
      </c>
      <c r="O162" s="390">
        <f t="shared" ref="O162:O216" si="167">G162-K162</f>
        <v>0</v>
      </c>
      <c r="P162" s="379"/>
      <c r="Q162" s="387">
        <f t="shared" ref="Q162:Q216" si="168">R162+S162</f>
        <v>277016.24645267788</v>
      </c>
      <c r="R162" s="388">
        <f>Bonus!Q159</f>
        <v>231966.38000000012</v>
      </c>
      <c r="S162" s="388">
        <f>Bonus!S159</f>
        <v>45049.866452677787</v>
      </c>
      <c r="T162" s="388"/>
      <c r="U162" s="388">
        <f t="shared" ref="U162:U216" si="169">V162+W162</f>
        <v>277016.24645267788</v>
      </c>
      <c r="V162" s="388">
        <f>GAAP!Q159</f>
        <v>231966.38000000012</v>
      </c>
      <c r="W162" s="388">
        <f>GAAP!S159</f>
        <v>45049.866452677787</v>
      </c>
      <c r="X162" s="388"/>
      <c r="Y162" s="389">
        <f t="shared" ref="Y162:Y216" si="170">Q162-U162</f>
        <v>0</v>
      </c>
      <c r="Z162" s="390">
        <f t="shared" ref="Z162:Z216" si="171">R162-V162</f>
        <v>0</v>
      </c>
      <c r="AA162" s="391">
        <f t="shared" ref="AA162:AA216" si="172">S162-W162</f>
        <v>0</v>
      </c>
      <c r="AC162" s="621">
        <f t="shared" si="141"/>
        <v>0</v>
      </c>
    </row>
    <row r="163" spans="1:29" s="240" customFormat="1" ht="15" customHeight="1">
      <c r="A163" s="385">
        <f>Bonus!A160</f>
        <v>54.924599999999998</v>
      </c>
      <c r="B163" s="386" t="str">
        <f>Bonus!B160</f>
        <v>Kern County Water Agency - Well 38 &amp; 39 Well Equiping Project</v>
      </c>
      <c r="C163" s="468">
        <f>Bonus!G160</f>
        <v>1</v>
      </c>
      <c r="D163" s="468">
        <f>GAAP!G160</f>
        <v>1</v>
      </c>
      <c r="E163" s="387">
        <f>Bonus!I160</f>
        <v>1777852</v>
      </c>
      <c r="F163" s="388">
        <f>Bonus!F160</f>
        <v>1708475.32</v>
      </c>
      <c r="G163" s="388">
        <f t="shared" si="163"/>
        <v>69376.679999999935</v>
      </c>
      <c r="H163" s="388"/>
      <c r="I163" s="388">
        <f>GAAP!I160</f>
        <v>1777852</v>
      </c>
      <c r="J163" s="388">
        <f>GAAP!F160</f>
        <v>1708475.32</v>
      </c>
      <c r="K163" s="388">
        <f t="shared" si="164"/>
        <v>69376.679999999935</v>
      </c>
      <c r="L163" s="388"/>
      <c r="M163" s="389">
        <f t="shared" si="165"/>
        <v>0</v>
      </c>
      <c r="N163" s="390">
        <f t="shared" si="166"/>
        <v>0</v>
      </c>
      <c r="O163" s="390">
        <f t="shared" si="167"/>
        <v>0</v>
      </c>
      <c r="P163" s="379"/>
      <c r="Q163" s="387">
        <f t="shared" si="168"/>
        <v>358127.99572415411</v>
      </c>
      <c r="R163" s="388">
        <f>Bonus!Q160</f>
        <v>357947.77</v>
      </c>
      <c r="S163" s="388">
        <f>Bonus!S160</f>
        <v>180.22572415407922</v>
      </c>
      <c r="T163" s="388"/>
      <c r="U163" s="388">
        <f t="shared" si="169"/>
        <v>358127.99572415411</v>
      </c>
      <c r="V163" s="388">
        <f>GAAP!Q160</f>
        <v>357947.77</v>
      </c>
      <c r="W163" s="388">
        <f>GAAP!S160</f>
        <v>180.22572415407922</v>
      </c>
      <c r="X163" s="388"/>
      <c r="Y163" s="389">
        <f t="shared" si="170"/>
        <v>0</v>
      </c>
      <c r="Z163" s="390">
        <f t="shared" si="171"/>
        <v>0</v>
      </c>
      <c r="AA163" s="391">
        <f t="shared" si="172"/>
        <v>0</v>
      </c>
      <c r="AC163" s="621">
        <f t="shared" si="141"/>
        <v>0</v>
      </c>
    </row>
    <row r="164" spans="1:29" s="240" customFormat="1" ht="15" customHeight="1">
      <c r="A164" s="385">
        <f>Bonus!A161</f>
        <v>54.926499999999997</v>
      </c>
      <c r="B164" s="386" t="str">
        <f>Bonus!B161</f>
        <v>Semitropic Water Storage Dist. - Amendment No. 22 JPP Valve Control Modification</v>
      </c>
      <c r="C164" s="468">
        <f>Bonus!G161</f>
        <v>1</v>
      </c>
      <c r="D164" s="468">
        <f>GAAP!G161</f>
        <v>1</v>
      </c>
      <c r="E164" s="387">
        <f>Bonus!I161</f>
        <v>223896.47</v>
      </c>
      <c r="F164" s="388">
        <f>Bonus!F161</f>
        <v>220754.51</v>
      </c>
      <c r="G164" s="388">
        <f t="shared" si="163"/>
        <v>3141.9599999999919</v>
      </c>
      <c r="H164" s="388"/>
      <c r="I164" s="388">
        <f>GAAP!I161</f>
        <v>223896.47</v>
      </c>
      <c r="J164" s="388">
        <f>GAAP!F161</f>
        <v>220754.51</v>
      </c>
      <c r="K164" s="388">
        <f t="shared" si="164"/>
        <v>3141.9599999999919</v>
      </c>
      <c r="L164" s="388"/>
      <c r="M164" s="389">
        <f t="shared" si="165"/>
        <v>0</v>
      </c>
      <c r="N164" s="390">
        <f t="shared" si="166"/>
        <v>0</v>
      </c>
      <c r="O164" s="390">
        <f t="shared" si="167"/>
        <v>0</v>
      </c>
      <c r="P164" s="379"/>
      <c r="Q164" s="387">
        <f t="shared" si="168"/>
        <v>20651.959999999992</v>
      </c>
      <c r="R164" s="388">
        <f>Bonus!Q161</f>
        <v>17510</v>
      </c>
      <c r="S164" s="388">
        <f>Bonus!S161</f>
        <v>3141.9599999999919</v>
      </c>
      <c r="T164" s="388"/>
      <c r="U164" s="388">
        <f t="shared" si="169"/>
        <v>20651.959999999992</v>
      </c>
      <c r="V164" s="388">
        <f>GAAP!Q161</f>
        <v>17510</v>
      </c>
      <c r="W164" s="388">
        <f>GAAP!S161</f>
        <v>3141.9599999999919</v>
      </c>
      <c r="X164" s="388"/>
      <c r="Y164" s="389">
        <f t="shared" si="170"/>
        <v>0</v>
      </c>
      <c r="Z164" s="390">
        <f t="shared" si="171"/>
        <v>0</v>
      </c>
      <c r="AA164" s="391">
        <f t="shared" si="172"/>
        <v>0</v>
      </c>
      <c r="AC164" s="621">
        <f t="shared" si="141"/>
        <v>0</v>
      </c>
    </row>
    <row r="165" spans="1:29" s="240" customFormat="1" ht="15" customHeight="1">
      <c r="A165" s="385">
        <f>Bonus!A162</f>
        <v>54.927900000000001</v>
      </c>
      <c r="B165" s="386" t="str">
        <f>Bonus!B162</f>
        <v>City of Bakersfield Public Works - Sewer Lift Station Rehabilitation</v>
      </c>
      <c r="C165" s="468">
        <f>Bonus!G162</f>
        <v>1</v>
      </c>
      <c r="D165" s="468">
        <f>GAAP!G162</f>
        <v>1</v>
      </c>
      <c r="E165" s="387">
        <f>Bonus!I162</f>
        <v>3216240.01</v>
      </c>
      <c r="F165" s="388">
        <f>Bonus!F162</f>
        <v>3153237.4</v>
      </c>
      <c r="G165" s="388">
        <f t="shared" si="163"/>
        <v>63002.60999999987</v>
      </c>
      <c r="H165" s="388"/>
      <c r="I165" s="388">
        <f>GAAP!I162</f>
        <v>3216240.01</v>
      </c>
      <c r="J165" s="388">
        <f>GAAP!F162</f>
        <v>3153237.4</v>
      </c>
      <c r="K165" s="388">
        <f t="shared" si="164"/>
        <v>63002.60999999987</v>
      </c>
      <c r="L165" s="388"/>
      <c r="M165" s="389">
        <f t="shared" si="165"/>
        <v>0</v>
      </c>
      <c r="N165" s="390">
        <f t="shared" si="166"/>
        <v>0</v>
      </c>
      <c r="O165" s="390">
        <f t="shared" si="167"/>
        <v>0</v>
      </c>
      <c r="P165" s="379"/>
      <c r="Q165" s="387">
        <f t="shared" si="168"/>
        <v>477072.50999999978</v>
      </c>
      <c r="R165" s="388">
        <f>Bonus!Q162</f>
        <v>399069.89999999991</v>
      </c>
      <c r="S165" s="388">
        <f>Bonus!S162</f>
        <v>78002.60999999987</v>
      </c>
      <c r="T165" s="388"/>
      <c r="U165" s="388">
        <f t="shared" si="169"/>
        <v>477072.50999999978</v>
      </c>
      <c r="V165" s="388">
        <f>GAAP!Q162</f>
        <v>399069.89999999991</v>
      </c>
      <c r="W165" s="388">
        <f>GAAP!S162</f>
        <v>78002.60999999987</v>
      </c>
      <c r="X165" s="388"/>
      <c r="Y165" s="389">
        <f t="shared" si="170"/>
        <v>0</v>
      </c>
      <c r="Z165" s="390">
        <f t="shared" si="171"/>
        <v>0</v>
      </c>
      <c r="AA165" s="391">
        <f t="shared" si="172"/>
        <v>0</v>
      </c>
      <c r="AC165" s="621">
        <f t="shared" si="141"/>
        <v>0</v>
      </c>
    </row>
    <row r="166" spans="1:29" s="240" customFormat="1" ht="15" customHeight="1">
      <c r="A166" s="385">
        <f>Bonus!A163</f>
        <v>54.928899999999999</v>
      </c>
      <c r="B166" s="386" t="str">
        <f>Bonus!B163</f>
        <v>Michael K. Nunley &amp; Assoc., Inc. - AMWC Sycamore &amp; NWT Budgeting</v>
      </c>
      <c r="C166" s="468">
        <f>Bonus!G163</f>
        <v>1</v>
      </c>
      <c r="D166" s="468">
        <f>GAAP!G163</f>
        <v>1</v>
      </c>
      <c r="E166" s="387">
        <f>Bonus!I163</f>
        <v>44560</v>
      </c>
      <c r="F166" s="388">
        <f>Bonus!F163</f>
        <v>25097.25</v>
      </c>
      <c r="G166" s="388">
        <f t="shared" si="163"/>
        <v>19462.75</v>
      </c>
      <c r="H166" s="388"/>
      <c r="I166" s="388">
        <f>GAAP!I163</f>
        <v>44560</v>
      </c>
      <c r="J166" s="388">
        <f>GAAP!F163</f>
        <v>25097.25</v>
      </c>
      <c r="K166" s="388">
        <f t="shared" si="164"/>
        <v>19462.75</v>
      </c>
      <c r="L166" s="388"/>
      <c r="M166" s="389">
        <f t="shared" si="165"/>
        <v>0</v>
      </c>
      <c r="N166" s="390">
        <f t="shared" si="166"/>
        <v>0</v>
      </c>
      <c r="O166" s="390">
        <f t="shared" si="167"/>
        <v>0</v>
      </c>
      <c r="P166" s="379"/>
      <c r="Q166" s="387">
        <f t="shared" si="168"/>
        <v>30384</v>
      </c>
      <c r="R166" s="388">
        <f>Bonus!Q163</f>
        <v>11591.06</v>
      </c>
      <c r="S166" s="388">
        <f>Bonus!S163</f>
        <v>18792.940000000002</v>
      </c>
      <c r="T166" s="388"/>
      <c r="U166" s="388">
        <f t="shared" si="169"/>
        <v>30384</v>
      </c>
      <c r="V166" s="388">
        <f>GAAP!Q163</f>
        <v>11591.06</v>
      </c>
      <c r="W166" s="388">
        <f>GAAP!S163</f>
        <v>18792.940000000002</v>
      </c>
      <c r="X166" s="388"/>
      <c r="Y166" s="389">
        <f t="shared" si="170"/>
        <v>0</v>
      </c>
      <c r="Z166" s="390">
        <f t="shared" si="171"/>
        <v>0</v>
      </c>
      <c r="AA166" s="391">
        <f t="shared" si="172"/>
        <v>0</v>
      </c>
      <c r="AC166" s="621">
        <f t="shared" si="141"/>
        <v>0</v>
      </c>
    </row>
    <row r="167" spans="1:29" s="240" customFormat="1" ht="15" customHeight="1">
      <c r="A167" s="385">
        <f>Bonus!A164</f>
        <v>54.929200000000002</v>
      </c>
      <c r="B167" s="386" t="str">
        <f>Bonus!B164</f>
        <v>Michael K. Nunley &amp; Assoc., Inc. - Waterton WTP Budgeting</v>
      </c>
      <c r="C167" s="468">
        <f>Bonus!G164</f>
        <v>1.0000000000000002</v>
      </c>
      <c r="D167" s="468">
        <f>GAAP!G164</f>
        <v>1.0000000000000002</v>
      </c>
      <c r="E167" s="387">
        <f>Bonus!I164</f>
        <v>4300.0000000000009</v>
      </c>
      <c r="F167" s="388">
        <f>Bonus!F164</f>
        <v>1313.45</v>
      </c>
      <c r="G167" s="388">
        <f t="shared" si="163"/>
        <v>2986.5500000000011</v>
      </c>
      <c r="H167" s="388"/>
      <c r="I167" s="388">
        <f>GAAP!I164</f>
        <v>4300.0000000000009</v>
      </c>
      <c r="J167" s="388">
        <f>GAAP!F164</f>
        <v>1313.45</v>
      </c>
      <c r="K167" s="388">
        <f t="shared" si="164"/>
        <v>2986.5500000000011</v>
      </c>
      <c r="L167" s="388"/>
      <c r="M167" s="389">
        <f t="shared" si="165"/>
        <v>0</v>
      </c>
      <c r="N167" s="390">
        <f t="shared" si="166"/>
        <v>0</v>
      </c>
      <c r="O167" s="390">
        <f t="shared" si="167"/>
        <v>0</v>
      </c>
      <c r="P167" s="379"/>
      <c r="Q167" s="387">
        <f t="shared" si="168"/>
        <v>0</v>
      </c>
      <c r="R167" s="388">
        <f>Bonus!Q164</f>
        <v>0</v>
      </c>
      <c r="S167" s="388">
        <f>Bonus!S164</f>
        <v>0</v>
      </c>
      <c r="T167" s="388"/>
      <c r="U167" s="388">
        <f t="shared" si="169"/>
        <v>0</v>
      </c>
      <c r="V167" s="388">
        <f>GAAP!Q164</f>
        <v>0</v>
      </c>
      <c r="W167" s="388">
        <f>GAAP!S164</f>
        <v>0</v>
      </c>
      <c r="X167" s="388"/>
      <c r="Y167" s="389">
        <f t="shared" si="170"/>
        <v>0</v>
      </c>
      <c r="Z167" s="390">
        <f t="shared" si="171"/>
        <v>0</v>
      </c>
      <c r="AA167" s="391">
        <f t="shared" si="172"/>
        <v>0</v>
      </c>
      <c r="AC167" s="621">
        <f t="shared" si="141"/>
        <v>0</v>
      </c>
    </row>
    <row r="168" spans="1:29" s="240" customFormat="1" ht="15" customHeight="1">
      <c r="A168" s="385">
        <f>Bonus!A165</f>
        <v>54.930900000000001</v>
      </c>
      <c r="B168" s="386" t="str">
        <f>Bonus!B165</f>
        <v>Teviston Community Services Dist. - Teviston Drought Resilience Water System Impr</v>
      </c>
      <c r="C168" s="468">
        <f>Bonus!G165</f>
        <v>1</v>
      </c>
      <c r="D168" s="468">
        <f>GAAP!G165</f>
        <v>1</v>
      </c>
      <c r="E168" s="387">
        <f>Bonus!I165</f>
        <v>3968668.9</v>
      </c>
      <c r="F168" s="388">
        <f>Bonus!F165</f>
        <v>3790858.34</v>
      </c>
      <c r="G168" s="388">
        <f t="shared" si="163"/>
        <v>177810.56000000006</v>
      </c>
      <c r="H168" s="388"/>
      <c r="I168" s="388">
        <f>GAAP!I165</f>
        <v>3968668.9</v>
      </c>
      <c r="J168" s="388">
        <f>GAAP!F165</f>
        <v>3790858.34</v>
      </c>
      <c r="K168" s="388">
        <f t="shared" si="164"/>
        <v>177810.56000000006</v>
      </c>
      <c r="L168" s="388"/>
      <c r="M168" s="389">
        <f t="shared" si="165"/>
        <v>0</v>
      </c>
      <c r="N168" s="390">
        <f t="shared" si="166"/>
        <v>0</v>
      </c>
      <c r="O168" s="390">
        <f t="shared" si="167"/>
        <v>0</v>
      </c>
      <c r="P168" s="379"/>
      <c r="Q168" s="387">
        <f t="shared" si="168"/>
        <v>1964416.3141587279</v>
      </c>
      <c r="R168" s="388">
        <f>Bonus!Q165</f>
        <v>1849459.17</v>
      </c>
      <c r="S168" s="388">
        <f>Bonus!S165</f>
        <v>114957.14415872793</v>
      </c>
      <c r="T168" s="388"/>
      <c r="U168" s="388">
        <f t="shared" si="169"/>
        <v>1964416.3141587279</v>
      </c>
      <c r="V168" s="388">
        <f>GAAP!Q165</f>
        <v>1849459.17</v>
      </c>
      <c r="W168" s="388">
        <f>GAAP!S165</f>
        <v>114957.14415872793</v>
      </c>
      <c r="X168" s="388"/>
      <c r="Y168" s="389">
        <f t="shared" si="170"/>
        <v>0</v>
      </c>
      <c r="Z168" s="390">
        <f t="shared" si="171"/>
        <v>0</v>
      </c>
      <c r="AA168" s="391">
        <f t="shared" si="172"/>
        <v>0</v>
      </c>
      <c r="AC168" s="621">
        <f t="shared" si="141"/>
        <v>0</v>
      </c>
    </row>
    <row r="169" spans="1:29" s="240" customFormat="1" ht="15" customHeight="1">
      <c r="A169" s="385">
        <f>Bonus!A166</f>
        <v>54.932299999999998</v>
      </c>
      <c r="B169" s="386" t="str">
        <f>Bonus!B166</f>
        <v>Semitropic Water Storage Dist. - Buena Vista Water Storage District Turnout Valve Repair</v>
      </c>
      <c r="C169" s="468">
        <f>Bonus!G166</f>
        <v>1</v>
      </c>
      <c r="D169" s="468">
        <f>GAAP!G166</f>
        <v>1</v>
      </c>
      <c r="E169" s="387">
        <f>Bonus!I166</f>
        <v>110661.47</v>
      </c>
      <c r="F169" s="388">
        <f>Bonus!F166</f>
        <v>94483.21</v>
      </c>
      <c r="G169" s="388">
        <f t="shared" si="163"/>
        <v>16178.259999999995</v>
      </c>
      <c r="H169" s="388"/>
      <c r="I169" s="388">
        <f>GAAP!I166</f>
        <v>110661.47</v>
      </c>
      <c r="J169" s="388">
        <f>GAAP!F166</f>
        <v>94483.21</v>
      </c>
      <c r="K169" s="388">
        <f t="shared" si="164"/>
        <v>16178.259999999995</v>
      </c>
      <c r="L169" s="388"/>
      <c r="M169" s="389">
        <f t="shared" si="165"/>
        <v>0</v>
      </c>
      <c r="N169" s="390">
        <f t="shared" si="166"/>
        <v>0</v>
      </c>
      <c r="O169" s="390">
        <f t="shared" si="167"/>
        <v>0</v>
      </c>
      <c r="P169" s="379"/>
      <c r="Q169" s="387">
        <f t="shared" si="168"/>
        <v>25596.839999999997</v>
      </c>
      <c r="R169" s="388">
        <f>Bonus!Q166</f>
        <v>9418.5800000000017</v>
      </c>
      <c r="S169" s="388">
        <f>Bonus!S166</f>
        <v>16178.259999999995</v>
      </c>
      <c r="T169" s="388"/>
      <c r="U169" s="388">
        <f t="shared" si="169"/>
        <v>25596.839999999997</v>
      </c>
      <c r="V169" s="388">
        <f>GAAP!Q166</f>
        <v>9418.5800000000017</v>
      </c>
      <c r="W169" s="388">
        <f>GAAP!S166</f>
        <v>16178.259999999995</v>
      </c>
      <c r="X169" s="388"/>
      <c r="Y169" s="389">
        <f t="shared" si="170"/>
        <v>0</v>
      </c>
      <c r="Z169" s="390">
        <f t="shared" si="171"/>
        <v>0</v>
      </c>
      <c r="AA169" s="391">
        <f t="shared" si="172"/>
        <v>0</v>
      </c>
      <c r="AC169" s="621">
        <f t="shared" si="141"/>
        <v>0</v>
      </c>
    </row>
    <row r="170" spans="1:29" s="240" customFormat="1" ht="15" customHeight="1">
      <c r="A170" s="385">
        <f>Bonus!A167</f>
        <v>54.932899999999997</v>
      </c>
      <c r="B170" s="386" t="str">
        <f>Bonus!B167</f>
        <v>Kern Water Bank Authority - Valve Replacement Parts</v>
      </c>
      <c r="C170" s="468">
        <f>Bonus!G167</f>
        <v>1</v>
      </c>
      <c r="D170" s="468">
        <f>GAAP!G167</f>
        <v>1</v>
      </c>
      <c r="E170" s="387">
        <f>Bonus!I167</f>
        <v>18201.12</v>
      </c>
      <c r="F170" s="388">
        <f>Bonus!F167</f>
        <v>16466.72</v>
      </c>
      <c r="G170" s="388">
        <f t="shared" si="163"/>
        <v>1734.3999999999978</v>
      </c>
      <c r="H170" s="388"/>
      <c r="I170" s="388">
        <f>GAAP!I167</f>
        <v>18201.12</v>
      </c>
      <c r="J170" s="388">
        <f>GAAP!F167</f>
        <v>16466.72</v>
      </c>
      <c r="K170" s="388">
        <f t="shared" si="164"/>
        <v>1734.3999999999978</v>
      </c>
      <c r="L170" s="388"/>
      <c r="M170" s="389">
        <f t="shared" si="165"/>
        <v>0</v>
      </c>
      <c r="N170" s="390">
        <f t="shared" si="166"/>
        <v>0</v>
      </c>
      <c r="O170" s="390">
        <f t="shared" si="167"/>
        <v>0</v>
      </c>
      <c r="P170" s="379"/>
      <c r="Q170" s="387">
        <f t="shared" si="168"/>
        <v>18201.12</v>
      </c>
      <c r="R170" s="388">
        <f>Bonus!Q167</f>
        <v>16466.72</v>
      </c>
      <c r="S170" s="388">
        <f>Bonus!S167</f>
        <v>1734.3999999999978</v>
      </c>
      <c r="T170" s="388"/>
      <c r="U170" s="388">
        <f t="shared" si="169"/>
        <v>18201.12</v>
      </c>
      <c r="V170" s="388">
        <f>GAAP!Q167</f>
        <v>16466.72</v>
      </c>
      <c r="W170" s="388">
        <f>GAAP!S167</f>
        <v>1734.3999999999978</v>
      </c>
      <c r="X170" s="388"/>
      <c r="Y170" s="389">
        <f t="shared" si="170"/>
        <v>0</v>
      </c>
      <c r="Z170" s="390">
        <f t="shared" si="171"/>
        <v>0</v>
      </c>
      <c r="AA170" s="391">
        <f t="shared" si="172"/>
        <v>0</v>
      </c>
      <c r="AC170" s="621">
        <f t="shared" si="141"/>
        <v>0</v>
      </c>
    </row>
    <row r="171" spans="1:29" s="240" customFormat="1" ht="15" customHeight="1">
      <c r="A171" s="385">
        <f>Bonus!A168</f>
        <v>54.933300000000003</v>
      </c>
      <c r="B171" s="386" t="str">
        <f>Bonus!B168</f>
        <v>Semitropic Water Storage Dist. - SWSD 2 Hydro Turbine Repair Project</v>
      </c>
      <c r="C171" s="468">
        <f>Bonus!G168</f>
        <v>1</v>
      </c>
      <c r="D171" s="468">
        <f>GAAP!G168</f>
        <v>1</v>
      </c>
      <c r="E171" s="387">
        <f>Bonus!I168</f>
        <v>427464.77</v>
      </c>
      <c r="F171" s="388">
        <f>Bonus!F168</f>
        <v>371915.25999999995</v>
      </c>
      <c r="G171" s="388">
        <f t="shared" si="163"/>
        <v>55549.510000000068</v>
      </c>
      <c r="H171" s="388"/>
      <c r="I171" s="388">
        <f>GAAP!I168</f>
        <v>427464.77</v>
      </c>
      <c r="J171" s="388">
        <f>GAAP!F168</f>
        <v>371915.25999999995</v>
      </c>
      <c r="K171" s="388">
        <f t="shared" si="164"/>
        <v>55549.510000000068</v>
      </c>
      <c r="L171" s="388"/>
      <c r="M171" s="389">
        <f t="shared" si="165"/>
        <v>0</v>
      </c>
      <c r="N171" s="390">
        <f t="shared" si="166"/>
        <v>0</v>
      </c>
      <c r="O171" s="390">
        <f t="shared" si="167"/>
        <v>0</v>
      </c>
      <c r="P171" s="379"/>
      <c r="Q171" s="387">
        <f t="shared" si="168"/>
        <v>260484.33000000002</v>
      </c>
      <c r="R171" s="388">
        <f>Bonus!Q168</f>
        <v>219823.49999999994</v>
      </c>
      <c r="S171" s="388">
        <f>Bonus!S168</f>
        <v>40660.830000000075</v>
      </c>
      <c r="T171" s="388"/>
      <c r="U171" s="388">
        <f t="shared" si="169"/>
        <v>260484.33000000002</v>
      </c>
      <c r="V171" s="388">
        <f>GAAP!Q168</f>
        <v>219823.49999999994</v>
      </c>
      <c r="W171" s="388">
        <f>GAAP!S168</f>
        <v>40660.830000000075</v>
      </c>
      <c r="X171" s="388"/>
      <c r="Y171" s="389">
        <f t="shared" si="170"/>
        <v>0</v>
      </c>
      <c r="Z171" s="390">
        <f t="shared" si="171"/>
        <v>0</v>
      </c>
      <c r="AA171" s="391">
        <f t="shared" si="172"/>
        <v>0</v>
      </c>
      <c r="AC171" s="621">
        <f t="shared" si="141"/>
        <v>0</v>
      </c>
    </row>
    <row r="172" spans="1:29" s="240" customFormat="1" ht="15" customHeight="1">
      <c r="A172" s="385">
        <f>Bonus!A169</f>
        <v>54.933799999999998</v>
      </c>
      <c r="B172" s="386" t="str">
        <f>Bonus!B169</f>
        <v>Laguna County Sanitation Dist. - WWTP Storage Pond Slide Gates Replacement</v>
      </c>
      <c r="C172" s="468">
        <f>Bonus!G169</f>
        <v>1</v>
      </c>
      <c r="D172" s="468">
        <f>GAAP!G169</f>
        <v>1</v>
      </c>
      <c r="E172" s="387">
        <f>Bonus!I169</f>
        <v>175884.64</v>
      </c>
      <c r="F172" s="388">
        <f>Bonus!F169</f>
        <v>119186.11</v>
      </c>
      <c r="G172" s="388">
        <f t="shared" si="163"/>
        <v>56698.530000000013</v>
      </c>
      <c r="H172" s="388"/>
      <c r="I172" s="388">
        <f>GAAP!I169</f>
        <v>175884.64</v>
      </c>
      <c r="J172" s="388">
        <f>GAAP!F169</f>
        <v>119186.11</v>
      </c>
      <c r="K172" s="388">
        <f t="shared" si="164"/>
        <v>56698.530000000013</v>
      </c>
      <c r="L172" s="388"/>
      <c r="M172" s="389">
        <f t="shared" si="165"/>
        <v>0</v>
      </c>
      <c r="N172" s="390">
        <f t="shared" si="166"/>
        <v>0</v>
      </c>
      <c r="O172" s="390">
        <f t="shared" si="167"/>
        <v>0</v>
      </c>
      <c r="P172" s="379"/>
      <c r="Q172" s="387">
        <f t="shared" si="168"/>
        <v>15890.712297609301</v>
      </c>
      <c r="R172" s="388">
        <f>Bonus!Q169</f>
        <v>13371.979999999996</v>
      </c>
      <c r="S172" s="388">
        <f>Bonus!S169</f>
        <v>2518.7322976093055</v>
      </c>
      <c r="T172" s="388"/>
      <c r="U172" s="388">
        <f t="shared" si="169"/>
        <v>15890.712297609301</v>
      </c>
      <c r="V172" s="388">
        <f>GAAP!Q169</f>
        <v>13371.979999999996</v>
      </c>
      <c r="W172" s="388">
        <f>GAAP!S169</f>
        <v>2518.7322976093055</v>
      </c>
      <c r="X172" s="388"/>
      <c r="Y172" s="389">
        <f t="shared" si="170"/>
        <v>0</v>
      </c>
      <c r="Z172" s="390">
        <f t="shared" si="171"/>
        <v>0</v>
      </c>
      <c r="AA172" s="391">
        <f t="shared" si="172"/>
        <v>0</v>
      </c>
      <c r="AC172" s="621">
        <f t="shared" si="141"/>
        <v>0</v>
      </c>
    </row>
    <row r="173" spans="1:29" s="240" customFormat="1" ht="15" customHeight="1">
      <c r="A173" s="385">
        <f>Bonus!A170</f>
        <v>54.934100000000001</v>
      </c>
      <c r="B173" s="386" t="str">
        <f>Bonus!B170</f>
        <v>Nipomo Community Service Dist. - Water Project Interconnection Improvements</v>
      </c>
      <c r="C173" s="468">
        <f>Bonus!G170</f>
        <v>1</v>
      </c>
      <c r="D173" s="468">
        <f>GAAP!G170</f>
        <v>1</v>
      </c>
      <c r="E173" s="387">
        <f>Bonus!I170</f>
        <v>1251279</v>
      </c>
      <c r="F173" s="388">
        <f>Bonus!F170</f>
        <v>1063532.3999999999</v>
      </c>
      <c r="G173" s="388">
        <f t="shared" si="163"/>
        <v>187746.60000000009</v>
      </c>
      <c r="H173" s="388"/>
      <c r="I173" s="388">
        <f>GAAP!I170</f>
        <v>1251279</v>
      </c>
      <c r="J173" s="388">
        <f>GAAP!F170</f>
        <v>1063532.3999999999</v>
      </c>
      <c r="K173" s="388">
        <f t="shared" si="164"/>
        <v>187746.60000000009</v>
      </c>
      <c r="L173" s="388"/>
      <c r="M173" s="389">
        <f t="shared" si="165"/>
        <v>0</v>
      </c>
      <c r="N173" s="390">
        <f t="shared" si="166"/>
        <v>0</v>
      </c>
      <c r="O173" s="390">
        <f t="shared" si="167"/>
        <v>0</v>
      </c>
      <c r="P173" s="379"/>
      <c r="Q173" s="387">
        <f t="shared" si="168"/>
        <v>1053706.26</v>
      </c>
      <c r="R173" s="388">
        <f>Bonus!Q170</f>
        <v>865959.65999999992</v>
      </c>
      <c r="S173" s="388">
        <f>Bonus!S170</f>
        <v>187746.60000000009</v>
      </c>
      <c r="T173" s="388"/>
      <c r="U173" s="388">
        <f t="shared" si="169"/>
        <v>1044408.8740516731</v>
      </c>
      <c r="V173" s="388">
        <f>GAAP!Q170</f>
        <v>865959.65999999992</v>
      </c>
      <c r="W173" s="388">
        <f>GAAP!S170</f>
        <v>178449.21405167319</v>
      </c>
      <c r="X173" s="388"/>
      <c r="Y173" s="389">
        <f t="shared" si="170"/>
        <v>9297.3859483269043</v>
      </c>
      <c r="Z173" s="390">
        <f t="shared" si="171"/>
        <v>0</v>
      </c>
      <c r="AA173" s="391">
        <f t="shared" si="172"/>
        <v>9297.3859483269043</v>
      </c>
      <c r="AC173" s="621">
        <f t="shared" si="141"/>
        <v>-9297.3859483269043</v>
      </c>
    </row>
    <row r="174" spans="1:29" s="240" customFormat="1" ht="15" customHeight="1">
      <c r="A174" s="385">
        <f>Bonus!A171</f>
        <v>54.934199999999997</v>
      </c>
      <c r="B174" s="386" t="str">
        <f>Bonus!B171</f>
        <v>North of River Sanitary Dist. No. 1 - Sanitary Sewer Rehab Package 21 Remove and Replace</v>
      </c>
      <c r="C174" s="468">
        <f>Bonus!G171</f>
        <v>1</v>
      </c>
      <c r="D174" s="468">
        <f>GAAP!G171</f>
        <v>1</v>
      </c>
      <c r="E174" s="387">
        <f>Bonus!I171</f>
        <v>199161.5</v>
      </c>
      <c r="F174" s="388">
        <f>Bonus!F171</f>
        <v>124146.3</v>
      </c>
      <c r="G174" s="388">
        <f t="shared" si="163"/>
        <v>75015.199999999997</v>
      </c>
      <c r="H174" s="388"/>
      <c r="I174" s="388">
        <f>GAAP!I171</f>
        <v>199161.5</v>
      </c>
      <c r="J174" s="388">
        <f>GAAP!F171</f>
        <v>124146.3</v>
      </c>
      <c r="K174" s="388">
        <f t="shared" si="164"/>
        <v>75015.199999999997</v>
      </c>
      <c r="L174" s="388"/>
      <c r="M174" s="389">
        <f t="shared" si="165"/>
        <v>0</v>
      </c>
      <c r="N174" s="390">
        <f t="shared" si="166"/>
        <v>0</v>
      </c>
      <c r="O174" s="390">
        <f t="shared" si="167"/>
        <v>0</v>
      </c>
      <c r="P174" s="379"/>
      <c r="Q174" s="387">
        <f t="shared" si="168"/>
        <v>38308.577267547073</v>
      </c>
      <c r="R174" s="388">
        <f>Bonus!Q171</f>
        <v>4687.4900000000052</v>
      </c>
      <c r="S174" s="388">
        <f>Bonus!S171</f>
        <v>33621.087267547067</v>
      </c>
      <c r="T174" s="388"/>
      <c r="U174" s="388">
        <f t="shared" si="169"/>
        <v>38308.577267547073</v>
      </c>
      <c r="V174" s="388">
        <f>GAAP!Q171</f>
        <v>4687.4900000000052</v>
      </c>
      <c r="W174" s="388">
        <f>GAAP!S171</f>
        <v>33621.087267547067</v>
      </c>
      <c r="X174" s="388"/>
      <c r="Y174" s="389">
        <f t="shared" si="170"/>
        <v>0</v>
      </c>
      <c r="Z174" s="390">
        <f t="shared" si="171"/>
        <v>0</v>
      </c>
      <c r="AA174" s="391">
        <f t="shared" si="172"/>
        <v>0</v>
      </c>
      <c r="AC174" s="621">
        <f t="shared" si="141"/>
        <v>0</v>
      </c>
    </row>
    <row r="175" spans="1:29" s="240" customFormat="1" ht="15" customHeight="1">
      <c r="A175" s="385">
        <f>Bonus!A172</f>
        <v>54.934699999999999</v>
      </c>
      <c r="B175" s="386" t="str">
        <f>Bonus!B172</f>
        <v>City of Guadalupe - Effluent Pump Station Flow Meter Installation</v>
      </c>
      <c r="C175" s="468">
        <f>Bonus!G172</f>
        <v>1</v>
      </c>
      <c r="D175" s="468">
        <f>GAAP!G172</f>
        <v>1</v>
      </c>
      <c r="E175" s="387">
        <f>Bonus!I172</f>
        <v>7100</v>
      </c>
      <c r="F175" s="388">
        <f>Bonus!F172</f>
        <v>3227.7</v>
      </c>
      <c r="G175" s="388">
        <f t="shared" si="163"/>
        <v>3872.3</v>
      </c>
      <c r="H175" s="388"/>
      <c r="I175" s="388">
        <f>GAAP!I172</f>
        <v>7100</v>
      </c>
      <c r="J175" s="388">
        <f>GAAP!F172</f>
        <v>3227.7</v>
      </c>
      <c r="K175" s="388">
        <f t="shared" si="164"/>
        <v>3872.3</v>
      </c>
      <c r="L175" s="388"/>
      <c r="M175" s="389">
        <f t="shared" si="165"/>
        <v>0</v>
      </c>
      <c r="N175" s="390">
        <f t="shared" si="166"/>
        <v>0</v>
      </c>
      <c r="O175" s="390">
        <f t="shared" si="167"/>
        <v>0</v>
      </c>
      <c r="P175" s="379"/>
      <c r="Q175" s="387">
        <f t="shared" si="168"/>
        <v>7100</v>
      </c>
      <c r="R175" s="388">
        <f>Bonus!Q172</f>
        <v>3227.7</v>
      </c>
      <c r="S175" s="388">
        <f>Bonus!S172</f>
        <v>3872.3</v>
      </c>
      <c r="T175" s="388"/>
      <c r="U175" s="388">
        <f t="shared" si="169"/>
        <v>7100</v>
      </c>
      <c r="V175" s="388">
        <f>GAAP!Q172</f>
        <v>3227.7</v>
      </c>
      <c r="W175" s="388">
        <f>GAAP!S172</f>
        <v>3872.3</v>
      </c>
      <c r="X175" s="388"/>
      <c r="Y175" s="389">
        <f t="shared" si="170"/>
        <v>0</v>
      </c>
      <c r="Z175" s="390">
        <f t="shared" si="171"/>
        <v>0</v>
      </c>
      <c r="AA175" s="391">
        <f t="shared" si="172"/>
        <v>0</v>
      </c>
      <c r="AC175" s="621">
        <f t="shared" si="141"/>
        <v>0</v>
      </c>
    </row>
    <row r="176" spans="1:29" s="240" customFormat="1" ht="15" customHeight="1">
      <c r="A176" s="385">
        <f>Bonus!A173</f>
        <v>54.934899999999999</v>
      </c>
      <c r="B176" s="386" t="str">
        <f>Bonus!B173</f>
        <v>North of River Sanitary Dist. No. 1 - Sanitary Sewer Rehabilitation Package A</v>
      </c>
      <c r="C176" s="468">
        <f>Bonus!G173</f>
        <v>1</v>
      </c>
      <c r="D176" s="468">
        <f>GAAP!G173</f>
        <v>1</v>
      </c>
      <c r="E176" s="387">
        <f>Bonus!I173</f>
        <v>290129</v>
      </c>
      <c r="F176" s="388">
        <f>Bonus!F173</f>
        <v>197889.31</v>
      </c>
      <c r="G176" s="388">
        <f t="shared" si="163"/>
        <v>92239.69</v>
      </c>
      <c r="H176" s="388"/>
      <c r="I176" s="388">
        <f>GAAP!I173</f>
        <v>290129</v>
      </c>
      <c r="J176" s="388">
        <f>GAAP!F173</f>
        <v>197889.31</v>
      </c>
      <c r="K176" s="388">
        <f t="shared" si="164"/>
        <v>92239.69</v>
      </c>
      <c r="L176" s="388"/>
      <c r="M176" s="389">
        <f t="shared" si="165"/>
        <v>0</v>
      </c>
      <c r="N176" s="390">
        <f t="shared" si="166"/>
        <v>0</v>
      </c>
      <c r="O176" s="390">
        <f t="shared" si="167"/>
        <v>0</v>
      </c>
      <c r="P176" s="379"/>
      <c r="Q176" s="387">
        <f t="shared" si="168"/>
        <v>179170.76634819532</v>
      </c>
      <c r="R176" s="388">
        <f>Bonus!Q173</f>
        <v>91450.76</v>
      </c>
      <c r="S176" s="388">
        <f>Bonus!S173</f>
        <v>87720.006348195326</v>
      </c>
      <c r="T176" s="388"/>
      <c r="U176" s="388">
        <f t="shared" si="169"/>
        <v>179170.76634819532</v>
      </c>
      <c r="V176" s="388">
        <f>GAAP!Q173</f>
        <v>91450.76</v>
      </c>
      <c r="W176" s="388">
        <f>GAAP!S173</f>
        <v>87720.006348195326</v>
      </c>
      <c r="X176" s="388"/>
      <c r="Y176" s="389">
        <f t="shared" si="170"/>
        <v>0</v>
      </c>
      <c r="Z176" s="390">
        <f t="shared" si="171"/>
        <v>0</v>
      </c>
      <c r="AA176" s="391">
        <f t="shared" si="172"/>
        <v>0</v>
      </c>
      <c r="AC176" s="621">
        <f t="shared" si="141"/>
        <v>0</v>
      </c>
    </row>
    <row r="177" spans="1:29" s="240" customFormat="1" ht="15" customHeight="1">
      <c r="A177" s="385">
        <f>Bonus!A174</f>
        <v>54.935000000000002</v>
      </c>
      <c r="B177" s="386" t="str">
        <f>Bonus!B174</f>
        <v>Kern Water Bank Authority - Construct New Well 18P01</v>
      </c>
      <c r="C177" s="468">
        <f>Bonus!G174</f>
        <v>1</v>
      </c>
      <c r="D177" s="468">
        <f>GAAP!G174</f>
        <v>1</v>
      </c>
      <c r="E177" s="387">
        <f>Bonus!I174</f>
        <v>129965.06</v>
      </c>
      <c r="F177" s="388">
        <f>Bonus!F174</f>
        <v>120318.68</v>
      </c>
      <c r="G177" s="388">
        <f t="shared" si="163"/>
        <v>9646.3800000000047</v>
      </c>
      <c r="H177" s="388"/>
      <c r="I177" s="388">
        <f>GAAP!I174</f>
        <v>129965.06</v>
      </c>
      <c r="J177" s="388">
        <f>GAAP!F174</f>
        <v>120318.68</v>
      </c>
      <c r="K177" s="388">
        <f t="shared" si="164"/>
        <v>9646.3800000000047</v>
      </c>
      <c r="L177" s="388"/>
      <c r="M177" s="389">
        <f t="shared" si="165"/>
        <v>0</v>
      </c>
      <c r="N177" s="390">
        <f t="shared" si="166"/>
        <v>0</v>
      </c>
      <c r="O177" s="390">
        <f t="shared" si="167"/>
        <v>0</v>
      </c>
      <c r="P177" s="379"/>
      <c r="Q177" s="387">
        <f t="shared" si="168"/>
        <v>119854.45999999999</v>
      </c>
      <c r="R177" s="388">
        <f>Bonus!Q174</f>
        <v>110208.07999999999</v>
      </c>
      <c r="S177" s="388">
        <f>Bonus!S174</f>
        <v>9646.3800000000047</v>
      </c>
      <c r="T177" s="388"/>
      <c r="U177" s="388">
        <f t="shared" si="169"/>
        <v>119854.45999999999</v>
      </c>
      <c r="V177" s="388">
        <f>GAAP!Q174</f>
        <v>110208.07999999999</v>
      </c>
      <c r="W177" s="388">
        <f>GAAP!S174</f>
        <v>9646.3800000000047</v>
      </c>
      <c r="X177" s="388"/>
      <c r="Y177" s="389">
        <f t="shared" si="170"/>
        <v>0</v>
      </c>
      <c r="Z177" s="390">
        <f t="shared" si="171"/>
        <v>0</v>
      </c>
      <c r="AA177" s="391">
        <f t="shared" si="172"/>
        <v>0</v>
      </c>
      <c r="AC177" s="621">
        <f t="shared" si="141"/>
        <v>0</v>
      </c>
    </row>
    <row r="178" spans="1:29" s="240" customFormat="1" ht="15" customHeight="1">
      <c r="A178" s="385">
        <f>Bonus!A175</f>
        <v>54.935099999999998</v>
      </c>
      <c r="B178" s="386" t="str">
        <f>Bonus!B175</f>
        <v>Arvin Edison Water Storage Dist. - Forrest Frick Valve Replacement</v>
      </c>
      <c r="C178" s="468">
        <f>Bonus!G175</f>
        <v>1</v>
      </c>
      <c r="D178" s="468">
        <f>GAAP!G175</f>
        <v>1</v>
      </c>
      <c r="E178" s="387">
        <f>Bonus!I175</f>
        <v>153298.79</v>
      </c>
      <c r="F178" s="388">
        <f>Bonus!F175</f>
        <v>136808.29999999999</v>
      </c>
      <c r="G178" s="388">
        <f t="shared" si="163"/>
        <v>16490.49000000002</v>
      </c>
      <c r="H178" s="388"/>
      <c r="I178" s="388">
        <f>GAAP!I175</f>
        <v>153298.79</v>
      </c>
      <c r="J178" s="388">
        <f>GAAP!F175</f>
        <v>136808.29999999999</v>
      </c>
      <c r="K178" s="388">
        <f t="shared" si="164"/>
        <v>16490.49000000002</v>
      </c>
      <c r="L178" s="388"/>
      <c r="M178" s="389">
        <f t="shared" si="165"/>
        <v>0</v>
      </c>
      <c r="N178" s="390">
        <f t="shared" si="166"/>
        <v>0</v>
      </c>
      <c r="O178" s="390">
        <f t="shared" si="167"/>
        <v>0</v>
      </c>
      <c r="P178" s="379"/>
      <c r="Q178" s="387">
        <f t="shared" si="168"/>
        <v>5395.2228965219165</v>
      </c>
      <c r="R178" s="388">
        <f>Bonus!Q175</f>
        <v>0</v>
      </c>
      <c r="S178" s="388">
        <f>Bonus!S175</f>
        <v>5395.2228965219165</v>
      </c>
      <c r="T178" s="388"/>
      <c r="U178" s="388">
        <f t="shared" si="169"/>
        <v>16490.49000000002</v>
      </c>
      <c r="V178" s="388">
        <f>GAAP!Q175</f>
        <v>0</v>
      </c>
      <c r="W178" s="388">
        <f>GAAP!S175</f>
        <v>16490.49000000002</v>
      </c>
      <c r="X178" s="388"/>
      <c r="Y178" s="389">
        <f t="shared" si="170"/>
        <v>-11095.267103478103</v>
      </c>
      <c r="Z178" s="390">
        <f t="shared" si="171"/>
        <v>0</v>
      </c>
      <c r="AA178" s="391">
        <f t="shared" si="172"/>
        <v>-11095.267103478103</v>
      </c>
      <c r="AC178" s="621">
        <f t="shared" si="141"/>
        <v>11095.267103478103</v>
      </c>
    </row>
    <row r="179" spans="1:29" s="240" customFormat="1" ht="15" customHeight="1">
      <c r="A179" s="385">
        <f>Bonus!A176</f>
        <v>54.935299999999998</v>
      </c>
      <c r="B179" s="386" t="str">
        <f>Bonus!B176</f>
        <v>Kern Water Bank Authority - Cut In Valve at Well 18R01</v>
      </c>
      <c r="C179" s="468">
        <f>Bonus!G176</f>
        <v>1</v>
      </c>
      <c r="D179" s="468">
        <f>GAAP!G176</f>
        <v>1</v>
      </c>
      <c r="E179" s="387">
        <f>Bonus!I176</f>
        <v>2008.42</v>
      </c>
      <c r="F179" s="388">
        <f>Bonus!F176</f>
        <v>1117.5</v>
      </c>
      <c r="G179" s="388">
        <f t="shared" si="163"/>
        <v>890.92000000000007</v>
      </c>
      <c r="H179" s="388"/>
      <c r="I179" s="388">
        <f>GAAP!I176</f>
        <v>2008.42</v>
      </c>
      <c r="J179" s="388">
        <f>GAAP!F176</f>
        <v>1117.5</v>
      </c>
      <c r="K179" s="388">
        <f t="shared" si="164"/>
        <v>890.92000000000007</v>
      </c>
      <c r="L179" s="388"/>
      <c r="M179" s="389">
        <f t="shared" si="165"/>
        <v>0</v>
      </c>
      <c r="N179" s="390">
        <f t="shared" si="166"/>
        <v>0</v>
      </c>
      <c r="O179" s="390">
        <f t="shared" si="167"/>
        <v>0</v>
      </c>
      <c r="P179" s="379"/>
      <c r="Q179" s="387">
        <f t="shared" si="168"/>
        <v>890.92000000000007</v>
      </c>
      <c r="R179" s="388">
        <f>Bonus!Q176</f>
        <v>0</v>
      </c>
      <c r="S179" s="388">
        <f>Bonus!S176</f>
        <v>890.92000000000007</v>
      </c>
      <c r="T179" s="388"/>
      <c r="U179" s="388">
        <f t="shared" si="169"/>
        <v>890.92000000000007</v>
      </c>
      <c r="V179" s="388">
        <f>GAAP!Q176</f>
        <v>0</v>
      </c>
      <c r="W179" s="388">
        <f>GAAP!S176</f>
        <v>890.92000000000007</v>
      </c>
      <c r="X179" s="388"/>
      <c r="Y179" s="389">
        <f t="shared" si="170"/>
        <v>0</v>
      </c>
      <c r="Z179" s="390">
        <f t="shared" si="171"/>
        <v>0</v>
      </c>
      <c r="AA179" s="391">
        <f t="shared" si="172"/>
        <v>0</v>
      </c>
      <c r="AC179" s="621">
        <f t="shared" si="141"/>
        <v>0</v>
      </c>
    </row>
    <row r="180" spans="1:29" s="240" customFormat="1" ht="15" customHeight="1">
      <c r="A180" s="385">
        <f>Bonus!A177</f>
        <v>54.935400000000001</v>
      </c>
      <c r="B180" s="386" t="str">
        <f>Bonus!B177</f>
        <v>California Water Service Co. - Northeast Plant Lift Station Pipe Repair</v>
      </c>
      <c r="C180" s="468">
        <f>Bonus!G177</f>
        <v>1</v>
      </c>
      <c r="D180" s="468">
        <f>GAAP!G177</f>
        <v>1</v>
      </c>
      <c r="E180" s="387">
        <f>Bonus!I177</f>
        <v>9571.2000000000007</v>
      </c>
      <c r="F180" s="388">
        <f>Bonus!F177</f>
        <v>8230.8300000000017</v>
      </c>
      <c r="G180" s="388">
        <f t="shared" si="163"/>
        <v>1340.369999999999</v>
      </c>
      <c r="H180" s="388"/>
      <c r="I180" s="388">
        <f>GAAP!I177</f>
        <v>9571.2000000000007</v>
      </c>
      <c r="J180" s="388">
        <f>GAAP!F177</f>
        <v>8230.8300000000017</v>
      </c>
      <c r="K180" s="388">
        <f t="shared" si="164"/>
        <v>1340.369999999999</v>
      </c>
      <c r="L180" s="388"/>
      <c r="M180" s="389">
        <f t="shared" si="165"/>
        <v>0</v>
      </c>
      <c r="N180" s="390">
        <f t="shared" si="166"/>
        <v>0</v>
      </c>
      <c r="O180" s="390">
        <f t="shared" si="167"/>
        <v>0</v>
      </c>
      <c r="P180" s="379"/>
      <c r="Q180" s="387">
        <f t="shared" si="168"/>
        <v>-4703.34</v>
      </c>
      <c r="R180" s="388">
        <f>Bonus!Q177</f>
        <v>-4120.2799999999988</v>
      </c>
      <c r="S180" s="388">
        <f>Bonus!S177</f>
        <v>-583.06000000000131</v>
      </c>
      <c r="T180" s="388"/>
      <c r="U180" s="388">
        <f t="shared" si="169"/>
        <v>-4703.34</v>
      </c>
      <c r="V180" s="388">
        <f>GAAP!Q177</f>
        <v>-4120.2799999999988</v>
      </c>
      <c r="W180" s="388">
        <f>GAAP!S177</f>
        <v>-583.06000000000131</v>
      </c>
      <c r="X180" s="388"/>
      <c r="Y180" s="389">
        <f t="shared" si="170"/>
        <v>0</v>
      </c>
      <c r="Z180" s="390">
        <f t="shared" si="171"/>
        <v>0</v>
      </c>
      <c r="AA180" s="391">
        <f t="shared" si="172"/>
        <v>0</v>
      </c>
      <c r="AC180" s="621">
        <f t="shared" si="141"/>
        <v>0</v>
      </c>
    </row>
    <row r="181" spans="1:29" s="240" customFormat="1" ht="15" customHeight="1">
      <c r="A181" s="385">
        <f>Bonus!A178</f>
        <v>54.935499999999998</v>
      </c>
      <c r="B181" s="386" t="str">
        <f>Bonus!B178</f>
        <v>Kern Water Bank Authority - Install Canal Valve at Well 17P01</v>
      </c>
      <c r="C181" s="468">
        <f>Bonus!G178</f>
        <v>1</v>
      </c>
      <c r="D181" s="468">
        <f>GAAP!G178</f>
        <v>1</v>
      </c>
      <c r="E181" s="387">
        <f>Bonus!I178</f>
        <v>2806.42</v>
      </c>
      <c r="F181" s="388">
        <f>Bonus!F178</f>
        <v>1815.23</v>
      </c>
      <c r="G181" s="388">
        <f t="shared" si="163"/>
        <v>991.19</v>
      </c>
      <c r="H181" s="388"/>
      <c r="I181" s="388">
        <f>GAAP!I178</f>
        <v>2806.42</v>
      </c>
      <c r="J181" s="388">
        <f>GAAP!F178</f>
        <v>1815.23</v>
      </c>
      <c r="K181" s="388">
        <f t="shared" si="164"/>
        <v>991.19</v>
      </c>
      <c r="L181" s="388"/>
      <c r="M181" s="389">
        <f t="shared" si="165"/>
        <v>0</v>
      </c>
      <c r="N181" s="390">
        <f t="shared" si="166"/>
        <v>0</v>
      </c>
      <c r="O181" s="390">
        <f t="shared" si="167"/>
        <v>0</v>
      </c>
      <c r="P181" s="379"/>
      <c r="Q181" s="387">
        <f t="shared" si="168"/>
        <v>991.19</v>
      </c>
      <c r="R181" s="388">
        <f>Bonus!Q178</f>
        <v>0</v>
      </c>
      <c r="S181" s="388">
        <f>Bonus!S178</f>
        <v>991.19</v>
      </c>
      <c r="T181" s="388"/>
      <c r="U181" s="388">
        <f t="shared" si="169"/>
        <v>991.19</v>
      </c>
      <c r="V181" s="388">
        <f>GAAP!Q178</f>
        <v>0</v>
      </c>
      <c r="W181" s="388">
        <f>GAAP!S178</f>
        <v>991.19</v>
      </c>
      <c r="X181" s="388"/>
      <c r="Y181" s="389">
        <f t="shared" si="170"/>
        <v>0</v>
      </c>
      <c r="Z181" s="390">
        <f t="shared" si="171"/>
        <v>0</v>
      </c>
      <c r="AA181" s="391">
        <f t="shared" si="172"/>
        <v>0</v>
      </c>
      <c r="AC181" s="621">
        <f t="shared" si="141"/>
        <v>0</v>
      </c>
    </row>
    <row r="182" spans="1:29" s="240" customFormat="1" ht="15" customHeight="1">
      <c r="A182" s="385">
        <f>Bonus!A179</f>
        <v>54.935699999999997</v>
      </c>
      <c r="B182" s="386" t="str">
        <f>Bonus!B179</f>
        <v>Kern Water Bank Authority - Install Canal Valve at Well 20A01</v>
      </c>
      <c r="C182" s="468">
        <f>Bonus!G179</f>
        <v>1</v>
      </c>
      <c r="D182" s="468">
        <f>GAAP!G179</f>
        <v>1</v>
      </c>
      <c r="E182" s="387">
        <f>Bonus!I179</f>
        <v>1760.42</v>
      </c>
      <c r="F182" s="388">
        <f>Bonus!F179</f>
        <v>889.66</v>
      </c>
      <c r="G182" s="388">
        <f t="shared" si="163"/>
        <v>870.7600000000001</v>
      </c>
      <c r="H182" s="388"/>
      <c r="I182" s="388">
        <f>GAAP!I179</f>
        <v>1760.42</v>
      </c>
      <c r="J182" s="388">
        <f>GAAP!F179</f>
        <v>889.66</v>
      </c>
      <c r="K182" s="388">
        <f t="shared" si="164"/>
        <v>870.7600000000001</v>
      </c>
      <c r="L182" s="388"/>
      <c r="M182" s="389">
        <f t="shared" si="165"/>
        <v>0</v>
      </c>
      <c r="N182" s="390">
        <f t="shared" si="166"/>
        <v>0</v>
      </c>
      <c r="O182" s="390">
        <f t="shared" si="167"/>
        <v>0</v>
      </c>
      <c r="P182" s="379"/>
      <c r="Q182" s="387">
        <f t="shared" si="168"/>
        <v>870.7600000000001</v>
      </c>
      <c r="R182" s="388">
        <f>Bonus!Q179</f>
        <v>0</v>
      </c>
      <c r="S182" s="388">
        <f>Bonus!S179</f>
        <v>870.7600000000001</v>
      </c>
      <c r="T182" s="388"/>
      <c r="U182" s="388">
        <f t="shared" si="169"/>
        <v>870.7600000000001</v>
      </c>
      <c r="V182" s="388">
        <f>GAAP!Q179</f>
        <v>0</v>
      </c>
      <c r="W182" s="388">
        <f>GAAP!S179</f>
        <v>870.7600000000001</v>
      </c>
      <c r="X182" s="388"/>
      <c r="Y182" s="389">
        <f t="shared" si="170"/>
        <v>0</v>
      </c>
      <c r="Z182" s="390">
        <f t="shared" si="171"/>
        <v>0</v>
      </c>
      <c r="AA182" s="391">
        <f t="shared" si="172"/>
        <v>0</v>
      </c>
      <c r="AC182" s="621">
        <f t="shared" si="141"/>
        <v>0</v>
      </c>
    </row>
    <row r="183" spans="1:29" s="240" customFormat="1" ht="15" customHeight="1">
      <c r="A183" s="385">
        <f>Bonus!A180</f>
        <v>54.9358</v>
      </c>
      <c r="B183" s="386" t="str">
        <f>Bonus!B180</f>
        <v>Arvin Edison Water Storage Dist. - Frick Unit - Phase I Turnout</v>
      </c>
      <c r="C183" s="468">
        <f>Bonus!G180</f>
        <v>1</v>
      </c>
      <c r="D183" s="468">
        <f>GAAP!G180</f>
        <v>1</v>
      </c>
      <c r="E183" s="387">
        <f>Bonus!I180</f>
        <v>1147640</v>
      </c>
      <c r="F183" s="388">
        <f>Bonus!F180</f>
        <v>1125399.83</v>
      </c>
      <c r="G183" s="388">
        <f t="shared" si="163"/>
        <v>22240.169999999925</v>
      </c>
      <c r="H183" s="388"/>
      <c r="I183" s="388">
        <f>GAAP!I180</f>
        <v>1147640</v>
      </c>
      <c r="J183" s="388">
        <f>GAAP!F180</f>
        <v>1125399.83</v>
      </c>
      <c r="K183" s="388">
        <f t="shared" si="164"/>
        <v>22240.169999999925</v>
      </c>
      <c r="L183" s="388"/>
      <c r="M183" s="389">
        <f t="shared" si="165"/>
        <v>0</v>
      </c>
      <c r="N183" s="390">
        <f t="shared" si="166"/>
        <v>0</v>
      </c>
      <c r="O183" s="390">
        <f t="shared" si="167"/>
        <v>0</v>
      </c>
      <c r="P183" s="379"/>
      <c r="Q183" s="387">
        <f t="shared" si="168"/>
        <v>811430.29930687288</v>
      </c>
      <c r="R183" s="388">
        <f>Bonus!Q180</f>
        <v>805107.68</v>
      </c>
      <c r="S183" s="388">
        <f>Bonus!S180</f>
        <v>6322.6193068728389</v>
      </c>
      <c r="T183" s="388"/>
      <c r="U183" s="388">
        <f t="shared" si="169"/>
        <v>811430.29930687288</v>
      </c>
      <c r="V183" s="388">
        <f>GAAP!Q180</f>
        <v>805107.68</v>
      </c>
      <c r="W183" s="388">
        <f>GAAP!S180</f>
        <v>6322.6193068728389</v>
      </c>
      <c r="X183" s="388"/>
      <c r="Y183" s="389">
        <f t="shared" si="170"/>
        <v>0</v>
      </c>
      <c r="Z183" s="390">
        <f t="shared" si="171"/>
        <v>0</v>
      </c>
      <c r="AA183" s="391">
        <f t="shared" si="172"/>
        <v>0</v>
      </c>
      <c r="AC183" s="621">
        <f t="shared" si="141"/>
        <v>0</v>
      </c>
    </row>
    <row r="184" spans="1:29" s="240" customFormat="1" ht="15" customHeight="1">
      <c r="A184" s="385">
        <f>Bonus!A181</f>
        <v>54.936</v>
      </c>
      <c r="B184" s="386" t="str">
        <f>Bonus!B181</f>
        <v>Kern Water Bank Authority - Install Canal Valve at Well 20C01</v>
      </c>
      <c r="C184" s="468">
        <f>Bonus!G181</f>
        <v>1</v>
      </c>
      <c r="D184" s="468">
        <f>GAAP!G181</f>
        <v>1</v>
      </c>
      <c r="E184" s="387">
        <f>Bonus!I181</f>
        <v>1855.92</v>
      </c>
      <c r="F184" s="388">
        <f>Bonus!F181</f>
        <v>1144.8800000000001</v>
      </c>
      <c r="G184" s="388">
        <f t="shared" si="163"/>
        <v>711.04</v>
      </c>
      <c r="H184" s="388"/>
      <c r="I184" s="388">
        <f>GAAP!I181</f>
        <v>1855.92</v>
      </c>
      <c r="J184" s="388">
        <f>GAAP!F181</f>
        <v>1144.8800000000001</v>
      </c>
      <c r="K184" s="388">
        <f t="shared" si="164"/>
        <v>711.04</v>
      </c>
      <c r="L184" s="388"/>
      <c r="M184" s="389">
        <f t="shared" si="165"/>
        <v>0</v>
      </c>
      <c r="N184" s="390">
        <f t="shared" si="166"/>
        <v>0</v>
      </c>
      <c r="O184" s="390">
        <f t="shared" si="167"/>
        <v>0</v>
      </c>
      <c r="P184" s="379"/>
      <c r="Q184" s="387">
        <f t="shared" si="168"/>
        <v>711.04</v>
      </c>
      <c r="R184" s="388">
        <f>Bonus!Q181</f>
        <v>0</v>
      </c>
      <c r="S184" s="388">
        <f>Bonus!S181</f>
        <v>711.04</v>
      </c>
      <c r="T184" s="388"/>
      <c r="U184" s="388">
        <f t="shared" si="169"/>
        <v>711.04</v>
      </c>
      <c r="V184" s="388">
        <f>GAAP!Q181</f>
        <v>0</v>
      </c>
      <c r="W184" s="388">
        <f>GAAP!S181</f>
        <v>711.04</v>
      </c>
      <c r="X184" s="388"/>
      <c r="Y184" s="389">
        <f t="shared" si="170"/>
        <v>0</v>
      </c>
      <c r="Z184" s="390">
        <f t="shared" si="171"/>
        <v>0</v>
      </c>
      <c r="AA184" s="391">
        <f t="shared" si="172"/>
        <v>0</v>
      </c>
      <c r="AC184" s="621">
        <f t="shared" si="141"/>
        <v>0</v>
      </c>
    </row>
    <row r="185" spans="1:29" s="240" customFormat="1" ht="15" customHeight="1">
      <c r="A185" s="385">
        <f>Bonus!A182</f>
        <v>54.936100000000003</v>
      </c>
      <c r="B185" s="386" t="str">
        <f>Bonus!B182</f>
        <v>Semitropic Water Storage Dist. - Pond Poso Pumping Plant Pipe Repair</v>
      </c>
      <c r="C185" s="468">
        <f>Bonus!G182</f>
        <v>1</v>
      </c>
      <c r="D185" s="468">
        <f>GAAP!G182</f>
        <v>1</v>
      </c>
      <c r="E185" s="387">
        <f>Bonus!I182</f>
        <v>108668.35</v>
      </c>
      <c r="F185" s="388">
        <f>Bonus!F182</f>
        <v>107074.87000000001</v>
      </c>
      <c r="G185" s="388">
        <f t="shared" si="163"/>
        <v>1593.4799999999959</v>
      </c>
      <c r="H185" s="388"/>
      <c r="I185" s="388">
        <f>GAAP!I182</f>
        <v>108668.35</v>
      </c>
      <c r="J185" s="388">
        <f>GAAP!F182</f>
        <v>107074.87000000001</v>
      </c>
      <c r="K185" s="388">
        <f t="shared" si="164"/>
        <v>1593.4799999999959</v>
      </c>
      <c r="L185" s="388"/>
      <c r="M185" s="389">
        <f t="shared" si="165"/>
        <v>0</v>
      </c>
      <c r="N185" s="390">
        <f t="shared" si="166"/>
        <v>0</v>
      </c>
      <c r="O185" s="390">
        <f t="shared" si="167"/>
        <v>0</v>
      </c>
      <c r="P185" s="379"/>
      <c r="Q185" s="387">
        <f t="shared" si="168"/>
        <v>108668.35</v>
      </c>
      <c r="R185" s="388">
        <f>Bonus!Q182</f>
        <v>107074.87000000001</v>
      </c>
      <c r="S185" s="388">
        <f>Bonus!S182</f>
        <v>1593.4799999999959</v>
      </c>
      <c r="T185" s="388"/>
      <c r="U185" s="388">
        <f t="shared" si="169"/>
        <v>108668.35</v>
      </c>
      <c r="V185" s="388">
        <f>GAAP!Q182</f>
        <v>107074.87000000001</v>
      </c>
      <c r="W185" s="388">
        <f>GAAP!S182</f>
        <v>1593.4799999999959</v>
      </c>
      <c r="X185" s="388"/>
      <c r="Y185" s="389">
        <f t="shared" si="170"/>
        <v>0</v>
      </c>
      <c r="Z185" s="390">
        <f t="shared" si="171"/>
        <v>0</v>
      </c>
      <c r="AA185" s="391">
        <f t="shared" si="172"/>
        <v>0</v>
      </c>
      <c r="AC185" s="621">
        <f t="shared" si="141"/>
        <v>0</v>
      </c>
    </row>
    <row r="186" spans="1:29" s="240" customFormat="1" ht="15" customHeight="1">
      <c r="A186" s="385">
        <f>Bonus!A183</f>
        <v>54.936199999999999</v>
      </c>
      <c r="B186" s="386" t="str">
        <f>Bonus!B183</f>
        <v>Cawelo Water Dist. - Remove and Replace 24” and 18” Well Line</v>
      </c>
      <c r="C186" s="468">
        <f>Bonus!G183</f>
        <v>1</v>
      </c>
      <c r="D186" s="468">
        <f>GAAP!G183</f>
        <v>1</v>
      </c>
      <c r="E186" s="387">
        <f>Bonus!I183</f>
        <v>425035.04</v>
      </c>
      <c r="F186" s="388">
        <f>Bonus!F183</f>
        <v>375601.24</v>
      </c>
      <c r="G186" s="388">
        <f t="shared" si="163"/>
        <v>49433.799999999988</v>
      </c>
      <c r="H186" s="388"/>
      <c r="I186" s="388">
        <f>GAAP!I183</f>
        <v>425035.04</v>
      </c>
      <c r="J186" s="388">
        <f>GAAP!F183</f>
        <v>375601.24</v>
      </c>
      <c r="K186" s="388">
        <f t="shared" si="164"/>
        <v>49433.799999999988</v>
      </c>
      <c r="L186" s="388"/>
      <c r="M186" s="389">
        <f t="shared" si="165"/>
        <v>0</v>
      </c>
      <c r="N186" s="390">
        <f t="shared" si="166"/>
        <v>0</v>
      </c>
      <c r="O186" s="390">
        <f t="shared" si="167"/>
        <v>0</v>
      </c>
      <c r="P186" s="379"/>
      <c r="Q186" s="387">
        <f t="shared" si="168"/>
        <v>244525.11777777778</v>
      </c>
      <c r="R186" s="388">
        <f>Bonus!Q183</f>
        <v>213142.31</v>
      </c>
      <c r="S186" s="388">
        <f>Bonus!S183</f>
        <v>31382.807777777765</v>
      </c>
      <c r="T186" s="388"/>
      <c r="U186" s="388">
        <f t="shared" si="169"/>
        <v>262576.11</v>
      </c>
      <c r="V186" s="388">
        <f>GAAP!Q183</f>
        <v>213142.31</v>
      </c>
      <c r="W186" s="388">
        <f>GAAP!S183</f>
        <v>49433.799999999988</v>
      </c>
      <c r="X186" s="388"/>
      <c r="Y186" s="389">
        <f t="shared" si="170"/>
        <v>-18050.992222222209</v>
      </c>
      <c r="Z186" s="390">
        <f t="shared" si="171"/>
        <v>0</v>
      </c>
      <c r="AA186" s="391">
        <f t="shared" si="172"/>
        <v>-18050.992222222223</v>
      </c>
      <c r="AC186" s="621">
        <f t="shared" si="141"/>
        <v>18050.992222222223</v>
      </c>
    </row>
    <row r="187" spans="1:29" s="240" customFormat="1" ht="15" customHeight="1">
      <c r="A187" s="385">
        <f>Bonus!A184</f>
        <v>54.936300000000003</v>
      </c>
      <c r="B187" s="386" t="str">
        <f>Bonus!B184</f>
        <v>Kern Water Bank Authority - Install Canal Valve at Well 21A02</v>
      </c>
      <c r="C187" s="468">
        <f>Bonus!G184</f>
        <v>1</v>
      </c>
      <c r="D187" s="468">
        <f>GAAP!G184</f>
        <v>1</v>
      </c>
      <c r="E187" s="387">
        <f>Bonus!I184</f>
        <v>1855.92</v>
      </c>
      <c r="F187" s="388">
        <f>Bonus!F184</f>
        <v>777.55</v>
      </c>
      <c r="G187" s="388">
        <f t="shared" si="163"/>
        <v>1078.3700000000001</v>
      </c>
      <c r="H187" s="388"/>
      <c r="I187" s="388">
        <f>GAAP!I184</f>
        <v>1855.92</v>
      </c>
      <c r="J187" s="388">
        <f>GAAP!F184</f>
        <v>777.55</v>
      </c>
      <c r="K187" s="388">
        <f t="shared" si="164"/>
        <v>1078.3700000000001</v>
      </c>
      <c r="L187" s="388"/>
      <c r="M187" s="389">
        <f t="shared" si="165"/>
        <v>0</v>
      </c>
      <c r="N187" s="390">
        <f t="shared" si="166"/>
        <v>0</v>
      </c>
      <c r="O187" s="390">
        <f t="shared" si="167"/>
        <v>0</v>
      </c>
      <c r="P187" s="379"/>
      <c r="Q187" s="387">
        <f t="shared" si="168"/>
        <v>1078.3700000000001</v>
      </c>
      <c r="R187" s="388">
        <f>Bonus!Q184</f>
        <v>0</v>
      </c>
      <c r="S187" s="388">
        <f>Bonus!S184</f>
        <v>1078.3700000000001</v>
      </c>
      <c r="T187" s="388"/>
      <c r="U187" s="388">
        <f t="shared" si="169"/>
        <v>1078.3700000000001</v>
      </c>
      <c r="V187" s="388">
        <f>GAAP!Q184</f>
        <v>0</v>
      </c>
      <c r="W187" s="388">
        <f>GAAP!S184</f>
        <v>1078.3700000000001</v>
      </c>
      <c r="X187" s="388"/>
      <c r="Y187" s="389">
        <f t="shared" si="170"/>
        <v>0</v>
      </c>
      <c r="Z187" s="390">
        <f t="shared" si="171"/>
        <v>0</v>
      </c>
      <c r="AA187" s="391">
        <f t="shared" si="172"/>
        <v>0</v>
      </c>
      <c r="AC187" s="621">
        <f t="shared" si="141"/>
        <v>0</v>
      </c>
    </row>
    <row r="188" spans="1:29" s="240" customFormat="1" ht="15" customHeight="1">
      <c r="A188" s="385">
        <f>Bonus!A185</f>
        <v>54.936500000000002</v>
      </c>
      <c r="B188" s="386" t="str">
        <f>Bonus!B185</f>
        <v>Kern Water Bank Authority - Install Canal Valve at Well 16J01</v>
      </c>
      <c r="C188" s="468">
        <f>Bonus!G185</f>
        <v>1</v>
      </c>
      <c r="D188" s="468">
        <f>GAAP!G185</f>
        <v>1</v>
      </c>
      <c r="E188" s="387">
        <f>Bonus!I185</f>
        <v>2216.42</v>
      </c>
      <c r="F188" s="388">
        <f>Bonus!F185</f>
        <v>1263.33</v>
      </c>
      <c r="G188" s="388">
        <f t="shared" si="163"/>
        <v>953.09000000000015</v>
      </c>
      <c r="H188" s="388"/>
      <c r="I188" s="388">
        <f>GAAP!I185</f>
        <v>2216.42</v>
      </c>
      <c r="J188" s="388">
        <f>GAAP!F185</f>
        <v>1263.33</v>
      </c>
      <c r="K188" s="388">
        <f t="shared" si="164"/>
        <v>953.09000000000015</v>
      </c>
      <c r="L188" s="388"/>
      <c r="M188" s="389">
        <f t="shared" si="165"/>
        <v>0</v>
      </c>
      <c r="N188" s="390">
        <f t="shared" si="166"/>
        <v>0</v>
      </c>
      <c r="O188" s="390">
        <f t="shared" si="167"/>
        <v>0</v>
      </c>
      <c r="P188" s="379"/>
      <c r="Q188" s="387">
        <f t="shared" si="168"/>
        <v>953.09000000000015</v>
      </c>
      <c r="R188" s="388">
        <f>Bonus!Q185</f>
        <v>0</v>
      </c>
      <c r="S188" s="388">
        <f>Bonus!S185</f>
        <v>953.09000000000015</v>
      </c>
      <c r="T188" s="388"/>
      <c r="U188" s="388">
        <f t="shared" si="169"/>
        <v>953.09000000000015</v>
      </c>
      <c r="V188" s="388">
        <f>GAAP!Q185</f>
        <v>0</v>
      </c>
      <c r="W188" s="388">
        <f>GAAP!S185</f>
        <v>953.09000000000015</v>
      </c>
      <c r="X188" s="388"/>
      <c r="Y188" s="389">
        <f t="shared" si="170"/>
        <v>0</v>
      </c>
      <c r="Z188" s="390">
        <f t="shared" si="171"/>
        <v>0</v>
      </c>
      <c r="AA188" s="391">
        <f t="shared" si="172"/>
        <v>0</v>
      </c>
      <c r="AC188" s="621">
        <f t="shared" si="141"/>
        <v>0</v>
      </c>
    </row>
    <row r="189" spans="1:29" s="240" customFormat="1" ht="15" customHeight="1">
      <c r="A189" s="385">
        <f>Bonus!A186</f>
        <v>54.936700000000002</v>
      </c>
      <c r="B189" s="386" t="str">
        <f>Bonus!B186</f>
        <v>Kern Water Bank Authority - Install Canal Valve at Well 15N01</v>
      </c>
      <c r="C189" s="468">
        <f>Bonus!G186</f>
        <v>1</v>
      </c>
      <c r="D189" s="468">
        <f>GAAP!G186</f>
        <v>1</v>
      </c>
      <c r="E189" s="387">
        <f>Bonus!I186</f>
        <v>2540.42</v>
      </c>
      <c r="F189" s="388">
        <f>Bonus!F186</f>
        <v>1602.33</v>
      </c>
      <c r="G189" s="388">
        <f t="shared" si="163"/>
        <v>938.09000000000015</v>
      </c>
      <c r="H189" s="388"/>
      <c r="I189" s="388">
        <f>GAAP!I186</f>
        <v>2540.42</v>
      </c>
      <c r="J189" s="388">
        <f>GAAP!F186</f>
        <v>1602.33</v>
      </c>
      <c r="K189" s="388">
        <f t="shared" si="164"/>
        <v>938.09000000000015</v>
      </c>
      <c r="L189" s="388"/>
      <c r="M189" s="389">
        <f t="shared" si="165"/>
        <v>0</v>
      </c>
      <c r="N189" s="390">
        <f t="shared" si="166"/>
        <v>0</v>
      </c>
      <c r="O189" s="390">
        <f t="shared" si="167"/>
        <v>0</v>
      </c>
      <c r="P189" s="379"/>
      <c r="Q189" s="387">
        <f t="shared" si="168"/>
        <v>938.09000000000015</v>
      </c>
      <c r="R189" s="388">
        <f>Bonus!Q186</f>
        <v>0</v>
      </c>
      <c r="S189" s="388">
        <f>Bonus!S186</f>
        <v>938.09000000000015</v>
      </c>
      <c r="T189" s="388"/>
      <c r="U189" s="388">
        <f t="shared" si="169"/>
        <v>938.09000000000015</v>
      </c>
      <c r="V189" s="388">
        <f>GAAP!Q186</f>
        <v>0</v>
      </c>
      <c r="W189" s="388">
        <f>GAAP!S186</f>
        <v>938.09000000000015</v>
      </c>
      <c r="X189" s="388"/>
      <c r="Y189" s="389">
        <f t="shared" si="170"/>
        <v>0</v>
      </c>
      <c r="Z189" s="390">
        <f t="shared" si="171"/>
        <v>0</v>
      </c>
      <c r="AA189" s="391">
        <f t="shared" si="172"/>
        <v>0</v>
      </c>
      <c r="AC189" s="621">
        <f t="shared" si="141"/>
        <v>0</v>
      </c>
    </row>
    <row r="190" spans="1:29" s="240" customFormat="1" ht="15" customHeight="1">
      <c r="A190" s="385">
        <f>Bonus!A187</f>
        <v>54.936799999999998</v>
      </c>
      <c r="B190" s="386" t="str">
        <f>Bonus!B187</f>
        <v>North of River Sanitary Dist. No. 1 - Wilson Ave Sewer Repair</v>
      </c>
      <c r="C190" s="468">
        <f>Bonus!G187</f>
        <v>1</v>
      </c>
      <c r="D190" s="468">
        <f>GAAP!G187</f>
        <v>1</v>
      </c>
      <c r="E190" s="387">
        <f>Bonus!I187</f>
        <v>15697.91</v>
      </c>
      <c r="F190" s="388">
        <f>Bonus!F187</f>
        <v>13653.62</v>
      </c>
      <c r="G190" s="388">
        <f t="shared" si="163"/>
        <v>2044.2899999999991</v>
      </c>
      <c r="H190" s="388"/>
      <c r="I190" s="388">
        <f>GAAP!I187</f>
        <v>15697.91</v>
      </c>
      <c r="J190" s="388">
        <f>GAAP!F187</f>
        <v>13653.62</v>
      </c>
      <c r="K190" s="388">
        <f t="shared" si="164"/>
        <v>2044.2899999999991</v>
      </c>
      <c r="L190" s="388"/>
      <c r="M190" s="389">
        <f t="shared" si="165"/>
        <v>0</v>
      </c>
      <c r="N190" s="390">
        <f t="shared" si="166"/>
        <v>0</v>
      </c>
      <c r="O190" s="390">
        <f t="shared" si="167"/>
        <v>0</v>
      </c>
      <c r="P190" s="379"/>
      <c r="Q190" s="387">
        <f t="shared" si="168"/>
        <v>0</v>
      </c>
      <c r="R190" s="388">
        <f>Bonus!Q187</f>
        <v>0</v>
      </c>
      <c r="S190" s="388">
        <f>Bonus!S187</f>
        <v>0</v>
      </c>
      <c r="T190" s="388"/>
      <c r="U190" s="388">
        <f t="shared" si="169"/>
        <v>0</v>
      </c>
      <c r="V190" s="388">
        <f>GAAP!Q187</f>
        <v>0</v>
      </c>
      <c r="W190" s="388">
        <f>GAAP!S187</f>
        <v>0</v>
      </c>
      <c r="X190" s="388"/>
      <c r="Y190" s="389">
        <f t="shared" si="170"/>
        <v>0</v>
      </c>
      <c r="Z190" s="390">
        <f t="shared" si="171"/>
        <v>0</v>
      </c>
      <c r="AA190" s="391">
        <f t="shared" si="172"/>
        <v>0</v>
      </c>
      <c r="AC190" s="621">
        <f t="shared" si="141"/>
        <v>0</v>
      </c>
    </row>
    <row r="191" spans="1:29" s="240" customFormat="1" ht="15" customHeight="1">
      <c r="A191" s="385">
        <f>Bonus!A188</f>
        <v>54.936999999999998</v>
      </c>
      <c r="B191" s="386" t="str">
        <f>Bonus!B188</f>
        <v>Kern Water Bank Authority - Install Canal Valve at Well 20L01</v>
      </c>
      <c r="C191" s="468">
        <f>Bonus!G188</f>
        <v>1</v>
      </c>
      <c r="D191" s="468">
        <f>GAAP!G188</f>
        <v>1</v>
      </c>
      <c r="E191" s="387">
        <f>Bonus!I188</f>
        <v>1760.42</v>
      </c>
      <c r="F191" s="388">
        <f>Bonus!F188</f>
        <v>889.64</v>
      </c>
      <c r="G191" s="388">
        <f t="shared" si="163"/>
        <v>870.78000000000009</v>
      </c>
      <c r="H191" s="388"/>
      <c r="I191" s="388">
        <f>GAAP!I188</f>
        <v>1760.42</v>
      </c>
      <c r="J191" s="388">
        <f>GAAP!F188</f>
        <v>889.64</v>
      </c>
      <c r="K191" s="388">
        <f t="shared" si="164"/>
        <v>870.78000000000009</v>
      </c>
      <c r="L191" s="388"/>
      <c r="M191" s="389">
        <f t="shared" si="165"/>
        <v>0</v>
      </c>
      <c r="N191" s="390">
        <f t="shared" si="166"/>
        <v>0</v>
      </c>
      <c r="O191" s="390">
        <f t="shared" si="167"/>
        <v>0</v>
      </c>
      <c r="P191" s="379"/>
      <c r="Q191" s="387">
        <f t="shared" si="168"/>
        <v>870.78000000000009</v>
      </c>
      <c r="R191" s="388">
        <f>Bonus!Q188</f>
        <v>0</v>
      </c>
      <c r="S191" s="388">
        <f>Bonus!S188</f>
        <v>870.78000000000009</v>
      </c>
      <c r="T191" s="388"/>
      <c r="U191" s="388">
        <f t="shared" si="169"/>
        <v>870.78000000000009</v>
      </c>
      <c r="V191" s="388">
        <f>GAAP!Q188</f>
        <v>0</v>
      </c>
      <c r="W191" s="388">
        <f>GAAP!S188</f>
        <v>870.78000000000009</v>
      </c>
      <c r="X191" s="388"/>
      <c r="Y191" s="389">
        <f t="shared" si="170"/>
        <v>0</v>
      </c>
      <c r="Z191" s="390">
        <f t="shared" si="171"/>
        <v>0</v>
      </c>
      <c r="AA191" s="391">
        <f t="shared" si="172"/>
        <v>0</v>
      </c>
      <c r="AC191" s="621">
        <f t="shared" si="141"/>
        <v>0</v>
      </c>
    </row>
    <row r="192" spans="1:29" s="240" customFormat="1" ht="15" customHeight="1">
      <c r="A192" s="385">
        <f>Bonus!A189</f>
        <v>54.937100000000001</v>
      </c>
      <c r="B192" s="386" t="str">
        <f>Bonus!B189</f>
        <v>Bakersfield Overhead 2025</v>
      </c>
      <c r="C192" s="468">
        <f>Bonus!G189</f>
        <v>1</v>
      </c>
      <c r="D192" s="468">
        <f>GAAP!G189</f>
        <v>1</v>
      </c>
      <c r="E192" s="387">
        <f>Bonus!I189</f>
        <v>0</v>
      </c>
      <c r="F192" s="388">
        <f>Bonus!F189</f>
        <v>1267652.77</v>
      </c>
      <c r="G192" s="388">
        <f t="shared" ref="G192:G193" si="173">E192-F192</f>
        <v>-1267652.77</v>
      </c>
      <c r="H192" s="388"/>
      <c r="I192" s="388">
        <f>GAAP!I189</f>
        <v>0</v>
      </c>
      <c r="J192" s="388">
        <f>GAAP!F189</f>
        <v>1267652.77</v>
      </c>
      <c r="K192" s="388">
        <f t="shared" ref="K192:K193" si="174">I192-J192</f>
        <v>-1267652.77</v>
      </c>
      <c r="L192" s="388"/>
      <c r="M192" s="389">
        <f t="shared" ref="M192:M193" si="175">E192-I192</f>
        <v>0</v>
      </c>
      <c r="N192" s="390">
        <f t="shared" ref="N192:N193" si="176">F192-J192</f>
        <v>0</v>
      </c>
      <c r="O192" s="390">
        <f t="shared" ref="O192:O193" si="177">G192-K192</f>
        <v>0</v>
      </c>
      <c r="P192" s="379"/>
      <c r="Q192" s="387">
        <f t="shared" ref="Q192:Q193" si="178">R192+S192</f>
        <v>0</v>
      </c>
      <c r="R192" s="388">
        <f>Bonus!Q189</f>
        <v>1267652.77</v>
      </c>
      <c r="S192" s="388">
        <f>Bonus!S189</f>
        <v>-1267652.77</v>
      </c>
      <c r="T192" s="388"/>
      <c r="U192" s="388">
        <f t="shared" ref="U192:U193" si="179">V192+W192</f>
        <v>0</v>
      </c>
      <c r="V192" s="388">
        <f>GAAP!Q189</f>
        <v>1267652.77</v>
      </c>
      <c r="W192" s="388">
        <f>GAAP!S189</f>
        <v>-1267652.77</v>
      </c>
      <c r="X192" s="388"/>
      <c r="Y192" s="389">
        <f t="shared" ref="Y192:Y193" si="180">Q192-U192</f>
        <v>0</v>
      </c>
      <c r="Z192" s="390">
        <f t="shared" ref="Z192:Z193" si="181">R192-V192</f>
        <v>0</v>
      </c>
      <c r="AA192" s="391">
        <f t="shared" ref="AA192:AA193" si="182">S192-W192</f>
        <v>0</v>
      </c>
      <c r="AC192" s="621">
        <f t="shared" si="141"/>
        <v>0</v>
      </c>
    </row>
    <row r="193" spans="1:29" s="240" customFormat="1" ht="15" customHeight="1">
      <c r="A193" s="385">
        <f>Bonus!A190</f>
        <v>54.937199999999997</v>
      </c>
      <c r="B193" s="386" t="str">
        <f>Bonus!B190</f>
        <v>Bakersfield Estimating 2025</v>
      </c>
      <c r="C193" s="468">
        <f>Bonus!G190</f>
        <v>1</v>
      </c>
      <c r="D193" s="468">
        <f>GAAP!G190</f>
        <v>1</v>
      </c>
      <c r="E193" s="387">
        <f>Bonus!I190</f>
        <v>0</v>
      </c>
      <c r="F193" s="388">
        <f>Bonus!F190</f>
        <v>588792.6</v>
      </c>
      <c r="G193" s="388">
        <f t="shared" si="173"/>
        <v>-588792.6</v>
      </c>
      <c r="H193" s="388"/>
      <c r="I193" s="388">
        <f>GAAP!I190</f>
        <v>0</v>
      </c>
      <c r="J193" s="388">
        <f>GAAP!F190</f>
        <v>588792.6</v>
      </c>
      <c r="K193" s="388">
        <f t="shared" si="174"/>
        <v>-588792.6</v>
      </c>
      <c r="L193" s="388"/>
      <c r="M193" s="389">
        <f t="shared" si="175"/>
        <v>0</v>
      </c>
      <c r="N193" s="390">
        <f t="shared" si="176"/>
        <v>0</v>
      </c>
      <c r="O193" s="390">
        <f t="shared" si="177"/>
        <v>0</v>
      </c>
      <c r="P193" s="379"/>
      <c r="Q193" s="387">
        <f t="shared" si="178"/>
        <v>0</v>
      </c>
      <c r="R193" s="388">
        <f>Bonus!Q190</f>
        <v>588792.6</v>
      </c>
      <c r="S193" s="388">
        <f>Bonus!S190</f>
        <v>-588792.6</v>
      </c>
      <c r="T193" s="388"/>
      <c r="U193" s="388">
        <f t="shared" si="179"/>
        <v>0</v>
      </c>
      <c r="V193" s="388">
        <f>GAAP!Q190</f>
        <v>588792.6</v>
      </c>
      <c r="W193" s="388">
        <f>GAAP!S190</f>
        <v>-588792.6</v>
      </c>
      <c r="X193" s="388"/>
      <c r="Y193" s="389">
        <f t="shared" si="180"/>
        <v>0</v>
      </c>
      <c r="Z193" s="390">
        <f t="shared" si="181"/>
        <v>0</v>
      </c>
      <c r="AA193" s="391">
        <f t="shared" si="182"/>
        <v>0</v>
      </c>
      <c r="AC193" s="621">
        <f t="shared" si="141"/>
        <v>0</v>
      </c>
    </row>
    <row r="194" spans="1:29" s="240" customFormat="1" ht="15" customHeight="1">
      <c r="A194" s="385">
        <f>Bonus!A191</f>
        <v>54.937399999999997</v>
      </c>
      <c r="B194" s="386" t="str">
        <f>Bonus!B191</f>
        <v>City of Santa Maria - WWTP Trickling Filter Repairs</v>
      </c>
      <c r="C194" s="468">
        <f>Bonus!G191</f>
        <v>1</v>
      </c>
      <c r="D194" s="468">
        <f>GAAP!G191</f>
        <v>1</v>
      </c>
      <c r="E194" s="387">
        <f>Bonus!I191</f>
        <v>32962</v>
      </c>
      <c r="F194" s="388">
        <f>Bonus!F191</f>
        <v>19986.45</v>
      </c>
      <c r="G194" s="388">
        <f t="shared" si="163"/>
        <v>12975.55</v>
      </c>
      <c r="H194" s="388"/>
      <c r="I194" s="388">
        <f>GAAP!I191</f>
        <v>32962</v>
      </c>
      <c r="J194" s="388">
        <f>GAAP!F191</f>
        <v>19986.45</v>
      </c>
      <c r="K194" s="388">
        <f t="shared" si="164"/>
        <v>12975.55</v>
      </c>
      <c r="L194" s="388"/>
      <c r="M194" s="389">
        <f t="shared" si="165"/>
        <v>0</v>
      </c>
      <c r="N194" s="390">
        <f t="shared" si="166"/>
        <v>0</v>
      </c>
      <c r="O194" s="390">
        <f t="shared" si="167"/>
        <v>0</v>
      </c>
      <c r="P194" s="379"/>
      <c r="Q194" s="387">
        <f t="shared" si="168"/>
        <v>32962</v>
      </c>
      <c r="R194" s="388">
        <f>Bonus!Q191</f>
        <v>19986.45</v>
      </c>
      <c r="S194" s="388">
        <f>Bonus!S191</f>
        <v>12975.55</v>
      </c>
      <c r="T194" s="388"/>
      <c r="U194" s="388">
        <f t="shared" si="169"/>
        <v>32962</v>
      </c>
      <c r="V194" s="388">
        <f>GAAP!Q191</f>
        <v>19986.45</v>
      </c>
      <c r="W194" s="388">
        <f>GAAP!S191</f>
        <v>12975.55</v>
      </c>
      <c r="X194" s="388"/>
      <c r="Y194" s="389">
        <f t="shared" si="170"/>
        <v>0</v>
      </c>
      <c r="Z194" s="390">
        <f t="shared" si="171"/>
        <v>0</v>
      </c>
      <c r="AA194" s="391">
        <f t="shared" si="172"/>
        <v>0</v>
      </c>
      <c r="AC194" s="621">
        <f t="shared" si="141"/>
        <v>0</v>
      </c>
    </row>
    <row r="195" spans="1:29" s="240" customFormat="1" ht="15" customHeight="1">
      <c r="A195" s="385">
        <f>Bonus!A192</f>
        <v>54.9375</v>
      </c>
      <c r="B195" s="386" t="str">
        <f>Bonus!B192</f>
        <v>City of Santa Maria - WWTP Clarifier Repairs</v>
      </c>
      <c r="C195" s="468">
        <f>Bonus!G192</f>
        <v>1</v>
      </c>
      <c r="D195" s="468">
        <f>GAAP!G192</f>
        <v>1</v>
      </c>
      <c r="E195" s="387">
        <f>Bonus!I192</f>
        <v>8232.73</v>
      </c>
      <c r="F195" s="388">
        <f>Bonus!F192</f>
        <v>4545.4799999999996</v>
      </c>
      <c r="G195" s="388">
        <f t="shared" si="163"/>
        <v>3687.25</v>
      </c>
      <c r="H195" s="388"/>
      <c r="I195" s="388">
        <f>GAAP!I192</f>
        <v>8232.73</v>
      </c>
      <c r="J195" s="388">
        <f>GAAP!F192</f>
        <v>4545.4799999999996</v>
      </c>
      <c r="K195" s="388">
        <f t="shared" si="164"/>
        <v>3687.25</v>
      </c>
      <c r="L195" s="388"/>
      <c r="M195" s="389">
        <f t="shared" si="165"/>
        <v>0</v>
      </c>
      <c r="N195" s="390">
        <f t="shared" si="166"/>
        <v>0</v>
      </c>
      <c r="O195" s="390">
        <f t="shared" si="167"/>
        <v>0</v>
      </c>
      <c r="P195" s="379"/>
      <c r="Q195" s="387">
        <f t="shared" si="168"/>
        <v>8232.73</v>
      </c>
      <c r="R195" s="388">
        <f>Bonus!Q192</f>
        <v>4545.4799999999996</v>
      </c>
      <c r="S195" s="388">
        <f>Bonus!S192</f>
        <v>3687.25</v>
      </c>
      <c r="T195" s="388"/>
      <c r="U195" s="388">
        <f t="shared" si="169"/>
        <v>8232.73</v>
      </c>
      <c r="V195" s="388">
        <f>GAAP!Q192</f>
        <v>4545.4799999999996</v>
      </c>
      <c r="W195" s="388">
        <f>GAAP!S192</f>
        <v>3687.25</v>
      </c>
      <c r="X195" s="388"/>
      <c r="Y195" s="389">
        <f t="shared" si="170"/>
        <v>0</v>
      </c>
      <c r="Z195" s="390">
        <f t="shared" si="171"/>
        <v>0</v>
      </c>
      <c r="AA195" s="391">
        <f t="shared" si="172"/>
        <v>0</v>
      </c>
      <c r="AC195" s="621">
        <f t="shared" si="141"/>
        <v>0</v>
      </c>
    </row>
    <row r="196" spans="1:29" s="240" customFormat="1" ht="15" customHeight="1">
      <c r="A196" s="385">
        <f>Bonus!A193</f>
        <v>54.937899999999999</v>
      </c>
      <c r="B196" s="386" t="str">
        <f>Bonus!B193</f>
        <v>Semitropic Water Storage Dist. - Delta System Pipe Repair</v>
      </c>
      <c r="C196" s="468">
        <f>Bonus!G193</f>
        <v>1</v>
      </c>
      <c r="D196" s="468">
        <f>GAAP!G193</f>
        <v>1</v>
      </c>
      <c r="E196" s="387">
        <f>Bonus!I193</f>
        <v>41679.769999999997</v>
      </c>
      <c r="F196" s="388">
        <f>Bonus!F193</f>
        <v>36111.949999999997</v>
      </c>
      <c r="G196" s="388">
        <f t="shared" si="163"/>
        <v>5567.82</v>
      </c>
      <c r="H196" s="388"/>
      <c r="I196" s="388">
        <f>GAAP!I193</f>
        <v>41679.769999999997</v>
      </c>
      <c r="J196" s="388">
        <f>GAAP!F193</f>
        <v>36111.949999999997</v>
      </c>
      <c r="K196" s="388">
        <f t="shared" si="164"/>
        <v>5567.82</v>
      </c>
      <c r="L196" s="388"/>
      <c r="M196" s="389">
        <f t="shared" si="165"/>
        <v>0</v>
      </c>
      <c r="N196" s="390">
        <f t="shared" si="166"/>
        <v>0</v>
      </c>
      <c r="O196" s="390">
        <f t="shared" si="167"/>
        <v>0</v>
      </c>
      <c r="P196" s="379"/>
      <c r="Q196" s="387">
        <f t="shared" si="168"/>
        <v>41679.769999999997</v>
      </c>
      <c r="R196" s="388">
        <f>Bonus!Q193</f>
        <v>36111.949999999997</v>
      </c>
      <c r="S196" s="388">
        <f>Bonus!S193</f>
        <v>5567.82</v>
      </c>
      <c r="T196" s="388"/>
      <c r="U196" s="388">
        <f t="shared" si="169"/>
        <v>41679.769999999997</v>
      </c>
      <c r="V196" s="388">
        <f>GAAP!Q193</f>
        <v>36111.949999999997</v>
      </c>
      <c r="W196" s="388">
        <f>GAAP!S193</f>
        <v>5567.82</v>
      </c>
      <c r="X196" s="388"/>
      <c r="Y196" s="389">
        <f t="shared" si="170"/>
        <v>0</v>
      </c>
      <c r="Z196" s="390">
        <f t="shared" si="171"/>
        <v>0</v>
      </c>
      <c r="AA196" s="391">
        <f t="shared" si="172"/>
        <v>0</v>
      </c>
      <c r="AC196" s="621">
        <f t="shared" si="141"/>
        <v>0</v>
      </c>
    </row>
    <row r="197" spans="1:29" s="240" customFormat="1" ht="15" customHeight="1">
      <c r="A197" s="385">
        <f>Bonus!A194</f>
        <v>54.938000000000002</v>
      </c>
      <c r="B197" s="386" t="str">
        <f>Bonus!B194</f>
        <v>Cawelo Water Dist. - CWD Pump Station Pipe Repair</v>
      </c>
      <c r="C197" s="468">
        <f>Bonus!G194</f>
        <v>1</v>
      </c>
      <c r="D197" s="468">
        <f>GAAP!G194</f>
        <v>1</v>
      </c>
      <c r="E197" s="387">
        <f>Bonus!I194</f>
        <v>22446.19</v>
      </c>
      <c r="F197" s="388">
        <f>Bonus!F194</f>
        <v>18064.72</v>
      </c>
      <c r="G197" s="388">
        <f t="shared" si="163"/>
        <v>4381.4699999999975</v>
      </c>
      <c r="H197" s="388"/>
      <c r="I197" s="388">
        <f>GAAP!I194</f>
        <v>22446.19</v>
      </c>
      <c r="J197" s="388">
        <f>GAAP!F194</f>
        <v>18064.72</v>
      </c>
      <c r="K197" s="388">
        <f t="shared" si="164"/>
        <v>4381.4699999999975</v>
      </c>
      <c r="L197" s="388"/>
      <c r="M197" s="389">
        <f t="shared" si="165"/>
        <v>0</v>
      </c>
      <c r="N197" s="390">
        <f t="shared" si="166"/>
        <v>0</v>
      </c>
      <c r="O197" s="390">
        <f t="shared" si="167"/>
        <v>0</v>
      </c>
      <c r="P197" s="379"/>
      <c r="Q197" s="387">
        <f t="shared" si="168"/>
        <v>22446.19</v>
      </c>
      <c r="R197" s="388">
        <f>Bonus!Q194</f>
        <v>18064.72</v>
      </c>
      <c r="S197" s="388">
        <f>Bonus!S194</f>
        <v>4381.4699999999975</v>
      </c>
      <c r="T197" s="388"/>
      <c r="U197" s="388">
        <f t="shared" si="169"/>
        <v>22446.19</v>
      </c>
      <c r="V197" s="388">
        <f>GAAP!Q194</f>
        <v>18064.72</v>
      </c>
      <c r="W197" s="388">
        <f>GAAP!S194</f>
        <v>4381.4699999999975</v>
      </c>
      <c r="X197" s="388"/>
      <c r="Y197" s="389">
        <f t="shared" si="170"/>
        <v>0</v>
      </c>
      <c r="Z197" s="390">
        <f t="shared" si="171"/>
        <v>0</v>
      </c>
      <c r="AA197" s="391">
        <f t="shared" si="172"/>
        <v>0</v>
      </c>
      <c r="AC197" s="621">
        <f t="shared" ref="AC197:AC260" si="183">O197-AA197</f>
        <v>0</v>
      </c>
    </row>
    <row r="198" spans="1:29" s="240" customFormat="1" ht="15" customHeight="1">
      <c r="A198" s="385">
        <f>Bonus!A195</f>
        <v>54.938099999999999</v>
      </c>
      <c r="B198" s="386" t="str">
        <f>Bonus!B195</f>
        <v>Kern Sanitation Authority - KSA Trickling Filter Bracket Replacement</v>
      </c>
      <c r="C198" s="468">
        <f>Bonus!G195</f>
        <v>1</v>
      </c>
      <c r="D198" s="468">
        <f>GAAP!G195</f>
        <v>1</v>
      </c>
      <c r="E198" s="387">
        <f>Bonus!I195</f>
        <v>58900</v>
      </c>
      <c r="F198" s="388">
        <f>Bonus!F195</f>
        <v>28875.38</v>
      </c>
      <c r="G198" s="388">
        <f t="shared" si="163"/>
        <v>30024.62</v>
      </c>
      <c r="H198" s="388"/>
      <c r="I198" s="388">
        <f>GAAP!I195</f>
        <v>58900</v>
      </c>
      <c r="J198" s="388">
        <f>GAAP!F195</f>
        <v>28875.38</v>
      </c>
      <c r="K198" s="388">
        <f t="shared" si="164"/>
        <v>30024.62</v>
      </c>
      <c r="L198" s="388"/>
      <c r="M198" s="389">
        <f t="shared" si="165"/>
        <v>0</v>
      </c>
      <c r="N198" s="390">
        <f t="shared" si="166"/>
        <v>0</v>
      </c>
      <c r="O198" s="390">
        <f t="shared" si="167"/>
        <v>0</v>
      </c>
      <c r="P198" s="379"/>
      <c r="Q198" s="387">
        <f t="shared" si="168"/>
        <v>58900</v>
      </c>
      <c r="R198" s="388">
        <f>Bonus!Q195</f>
        <v>28875.38</v>
      </c>
      <c r="S198" s="388">
        <f>Bonus!S195</f>
        <v>30024.62</v>
      </c>
      <c r="T198" s="388"/>
      <c r="U198" s="388">
        <f t="shared" si="169"/>
        <v>58900</v>
      </c>
      <c r="V198" s="388">
        <f>GAAP!Q195</f>
        <v>28875.38</v>
      </c>
      <c r="W198" s="388">
        <f>GAAP!S195</f>
        <v>30024.62</v>
      </c>
      <c r="X198" s="388"/>
      <c r="Y198" s="389">
        <f t="shared" si="170"/>
        <v>0</v>
      </c>
      <c r="Z198" s="390">
        <f t="shared" si="171"/>
        <v>0</v>
      </c>
      <c r="AA198" s="391">
        <f t="shared" si="172"/>
        <v>0</v>
      </c>
      <c r="AC198" s="621">
        <f t="shared" si="183"/>
        <v>0</v>
      </c>
    </row>
    <row r="199" spans="1:29" s="240" customFormat="1" ht="15" customHeight="1">
      <c r="A199" s="385">
        <f>Bonus!A196</f>
        <v>54.938200000000002</v>
      </c>
      <c r="B199" s="386" t="str">
        <f>Bonus!B196</f>
        <v>Laguna County Sanitation Dist. - Laguna WWTP Flow Meter FIT-7000 Replacement</v>
      </c>
      <c r="C199" s="468">
        <f>Bonus!G196</f>
        <v>1</v>
      </c>
      <c r="D199" s="468">
        <f>GAAP!G196</f>
        <v>1</v>
      </c>
      <c r="E199" s="387">
        <f>Bonus!I196</f>
        <v>143799</v>
      </c>
      <c r="F199" s="388">
        <f>Bonus!F196</f>
        <v>108690.45</v>
      </c>
      <c r="G199" s="388">
        <f t="shared" si="163"/>
        <v>35108.550000000003</v>
      </c>
      <c r="H199" s="388"/>
      <c r="I199" s="388">
        <f>GAAP!I196</f>
        <v>143799</v>
      </c>
      <c r="J199" s="388">
        <f>GAAP!F196</f>
        <v>108690.45</v>
      </c>
      <c r="K199" s="388">
        <f t="shared" si="164"/>
        <v>35108.550000000003</v>
      </c>
      <c r="L199" s="388"/>
      <c r="M199" s="389">
        <f t="shared" si="165"/>
        <v>0</v>
      </c>
      <c r="N199" s="390">
        <f t="shared" si="166"/>
        <v>0</v>
      </c>
      <c r="O199" s="390">
        <f t="shared" si="167"/>
        <v>0</v>
      </c>
      <c r="P199" s="379"/>
      <c r="Q199" s="387">
        <f t="shared" si="168"/>
        <v>143799</v>
      </c>
      <c r="R199" s="388">
        <f>Bonus!Q196</f>
        <v>108690.45</v>
      </c>
      <c r="S199" s="388">
        <f>Bonus!S196</f>
        <v>35108.550000000003</v>
      </c>
      <c r="T199" s="388"/>
      <c r="U199" s="388">
        <f t="shared" si="169"/>
        <v>143799</v>
      </c>
      <c r="V199" s="388">
        <f>GAAP!Q196</f>
        <v>108690.45</v>
      </c>
      <c r="W199" s="388">
        <f>GAAP!S196</f>
        <v>35108.550000000003</v>
      </c>
      <c r="X199" s="388"/>
      <c r="Y199" s="389">
        <f t="shared" si="170"/>
        <v>0</v>
      </c>
      <c r="Z199" s="390">
        <f t="shared" si="171"/>
        <v>0</v>
      </c>
      <c r="AA199" s="391">
        <f t="shared" si="172"/>
        <v>0</v>
      </c>
      <c r="AC199" s="621">
        <f t="shared" si="183"/>
        <v>0</v>
      </c>
    </row>
    <row r="200" spans="1:29" s="240" customFormat="1" ht="15" customHeight="1">
      <c r="A200" s="385">
        <f>Bonus!A197</f>
        <v>54.938299999999998</v>
      </c>
      <c r="B200" s="386" t="str">
        <f>Bonus!B197</f>
        <v>Semitropic Water Storage Dist. - Amendment No. 19 Operate 300 CFS RWPP 2025</v>
      </c>
      <c r="C200" s="468">
        <f>Bonus!G197</f>
        <v>1</v>
      </c>
      <c r="D200" s="468">
        <f>GAAP!G197</f>
        <v>1</v>
      </c>
      <c r="E200" s="387">
        <f>Bonus!I197</f>
        <v>17542.439999999999</v>
      </c>
      <c r="F200" s="388">
        <f>Bonus!F197</f>
        <v>15759.76</v>
      </c>
      <c r="G200" s="388">
        <f t="shared" si="163"/>
        <v>1782.6799999999985</v>
      </c>
      <c r="H200" s="388"/>
      <c r="I200" s="388">
        <f>GAAP!I197</f>
        <v>17542.439999999999</v>
      </c>
      <c r="J200" s="388">
        <f>GAAP!F197</f>
        <v>15759.76</v>
      </c>
      <c r="K200" s="388">
        <f t="shared" si="164"/>
        <v>1782.6799999999985</v>
      </c>
      <c r="L200" s="388"/>
      <c r="M200" s="389">
        <f t="shared" si="165"/>
        <v>0</v>
      </c>
      <c r="N200" s="390">
        <f t="shared" si="166"/>
        <v>0</v>
      </c>
      <c r="O200" s="390">
        <f t="shared" si="167"/>
        <v>0</v>
      </c>
      <c r="P200" s="379"/>
      <c r="Q200" s="387">
        <f t="shared" si="168"/>
        <v>17542.439999999999</v>
      </c>
      <c r="R200" s="388">
        <f>Bonus!Q197</f>
        <v>15759.76</v>
      </c>
      <c r="S200" s="388">
        <f>Bonus!S197</f>
        <v>1782.6799999999985</v>
      </c>
      <c r="T200" s="388"/>
      <c r="U200" s="388">
        <f t="shared" si="169"/>
        <v>17542.439999999999</v>
      </c>
      <c r="V200" s="388">
        <f>GAAP!Q197</f>
        <v>15759.76</v>
      </c>
      <c r="W200" s="388">
        <f>GAAP!S197</f>
        <v>1782.6799999999985</v>
      </c>
      <c r="X200" s="388"/>
      <c r="Y200" s="389">
        <f t="shared" si="170"/>
        <v>0</v>
      </c>
      <c r="Z200" s="390">
        <f t="shared" si="171"/>
        <v>0</v>
      </c>
      <c r="AA200" s="391">
        <f t="shared" si="172"/>
        <v>0</v>
      </c>
      <c r="AC200" s="621">
        <f t="shared" si="183"/>
        <v>0</v>
      </c>
    </row>
    <row r="201" spans="1:29" s="240" customFormat="1" ht="15" customHeight="1">
      <c r="A201" s="385">
        <f>Bonus!A198</f>
        <v>54.938400000000001</v>
      </c>
      <c r="B201" s="386" t="str">
        <f>Bonus!B198</f>
        <v>Shafter-Wasco Irrigation Dist. - 7th Street Pipe Repair</v>
      </c>
      <c r="C201" s="468">
        <f>Bonus!G198</f>
        <v>1</v>
      </c>
      <c r="D201" s="468">
        <f>GAAP!G198</f>
        <v>1</v>
      </c>
      <c r="E201" s="387">
        <f>Bonus!I198</f>
        <v>79531.98</v>
      </c>
      <c r="F201" s="388">
        <f>Bonus!F198</f>
        <v>70340.570000000007</v>
      </c>
      <c r="G201" s="388">
        <f t="shared" si="163"/>
        <v>9191.4099999999889</v>
      </c>
      <c r="H201" s="388"/>
      <c r="I201" s="388">
        <f>GAAP!I198</f>
        <v>79531.98</v>
      </c>
      <c r="J201" s="388">
        <f>GAAP!F198</f>
        <v>70340.570000000007</v>
      </c>
      <c r="K201" s="388">
        <f t="shared" si="164"/>
        <v>9191.4099999999889</v>
      </c>
      <c r="L201" s="388"/>
      <c r="M201" s="389">
        <f t="shared" si="165"/>
        <v>0</v>
      </c>
      <c r="N201" s="390">
        <f t="shared" si="166"/>
        <v>0</v>
      </c>
      <c r="O201" s="390">
        <f t="shared" si="167"/>
        <v>0</v>
      </c>
      <c r="P201" s="379"/>
      <c r="Q201" s="387">
        <f t="shared" si="168"/>
        <v>79531.98</v>
      </c>
      <c r="R201" s="388">
        <f>Bonus!Q198</f>
        <v>70340.570000000007</v>
      </c>
      <c r="S201" s="388">
        <f>Bonus!S198</f>
        <v>9191.4099999999889</v>
      </c>
      <c r="T201" s="388"/>
      <c r="U201" s="388">
        <f t="shared" si="169"/>
        <v>79531.98</v>
      </c>
      <c r="V201" s="388">
        <f>GAAP!Q198</f>
        <v>70340.570000000007</v>
      </c>
      <c r="W201" s="388">
        <f>GAAP!S198</f>
        <v>9191.4099999999889</v>
      </c>
      <c r="X201" s="388"/>
      <c r="Y201" s="389">
        <f t="shared" si="170"/>
        <v>0</v>
      </c>
      <c r="Z201" s="390">
        <f t="shared" si="171"/>
        <v>0</v>
      </c>
      <c r="AA201" s="391">
        <f t="shared" si="172"/>
        <v>0</v>
      </c>
      <c r="AC201" s="621">
        <f t="shared" si="183"/>
        <v>0</v>
      </c>
    </row>
    <row r="202" spans="1:29" s="240" customFormat="1" ht="15" customHeight="1">
      <c r="A202" s="385">
        <f>Bonus!A199</f>
        <v>54.938499999999998</v>
      </c>
      <c r="B202" s="386" t="str">
        <f>Bonus!B199</f>
        <v>Westside Water Authority - Pump Station A - Electrical Controls and Civil</v>
      </c>
      <c r="C202" s="468">
        <f>Bonus!G199</f>
        <v>1</v>
      </c>
      <c r="D202" s="468">
        <f>GAAP!G199</f>
        <v>1</v>
      </c>
      <c r="E202" s="387">
        <f>Bonus!I199</f>
        <v>102913.84</v>
      </c>
      <c r="F202" s="388">
        <f>Bonus!F199</f>
        <v>98598.77</v>
      </c>
      <c r="G202" s="388">
        <f t="shared" si="163"/>
        <v>4315.0699999999924</v>
      </c>
      <c r="H202" s="388"/>
      <c r="I202" s="388">
        <f>GAAP!I199</f>
        <v>102913.84</v>
      </c>
      <c r="J202" s="388">
        <f>GAAP!F199</f>
        <v>98598.77</v>
      </c>
      <c r="K202" s="388">
        <f t="shared" si="164"/>
        <v>4315.0699999999924</v>
      </c>
      <c r="L202" s="388"/>
      <c r="M202" s="389">
        <f t="shared" si="165"/>
        <v>0</v>
      </c>
      <c r="N202" s="390">
        <f t="shared" si="166"/>
        <v>0</v>
      </c>
      <c r="O202" s="390">
        <f t="shared" si="167"/>
        <v>0</v>
      </c>
      <c r="P202" s="379"/>
      <c r="Q202" s="387">
        <f t="shared" si="168"/>
        <v>102913.84</v>
      </c>
      <c r="R202" s="388">
        <f>Bonus!Q199</f>
        <v>98598.77</v>
      </c>
      <c r="S202" s="388">
        <f>Bonus!S199</f>
        <v>4315.0699999999924</v>
      </c>
      <c r="T202" s="388"/>
      <c r="U202" s="388">
        <f t="shared" si="169"/>
        <v>102913.84</v>
      </c>
      <c r="V202" s="388">
        <f>GAAP!Q199</f>
        <v>98598.77</v>
      </c>
      <c r="W202" s="388">
        <f>GAAP!S199</f>
        <v>4315.0699999999924</v>
      </c>
      <c r="X202" s="388"/>
      <c r="Y202" s="389">
        <f t="shared" si="170"/>
        <v>0</v>
      </c>
      <c r="Z202" s="390">
        <f t="shared" si="171"/>
        <v>0</v>
      </c>
      <c r="AA202" s="391">
        <f t="shared" si="172"/>
        <v>0</v>
      </c>
      <c r="AC202" s="621">
        <f t="shared" si="183"/>
        <v>0</v>
      </c>
    </row>
    <row r="203" spans="1:29" s="240" customFormat="1" ht="15" customHeight="1">
      <c r="A203" s="385">
        <f>Bonus!A200</f>
        <v>54.938600000000001</v>
      </c>
      <c r="B203" s="386" t="str">
        <f>Bonus!B200</f>
        <v>Kern Valley State Prison - Arsenic Pipe Leak Repair</v>
      </c>
      <c r="C203" s="468">
        <f>Bonus!G200</f>
        <v>1</v>
      </c>
      <c r="D203" s="468">
        <f>GAAP!G200</f>
        <v>1</v>
      </c>
      <c r="E203" s="387">
        <f>Bonus!I200</f>
        <v>96086</v>
      </c>
      <c r="F203" s="388">
        <f>Bonus!F200</f>
        <v>75784.739999999991</v>
      </c>
      <c r="G203" s="388">
        <f t="shared" si="163"/>
        <v>20301.260000000009</v>
      </c>
      <c r="H203" s="388"/>
      <c r="I203" s="388">
        <f>GAAP!I200</f>
        <v>96086</v>
      </c>
      <c r="J203" s="388">
        <f>GAAP!F200</f>
        <v>75784.739999999991</v>
      </c>
      <c r="K203" s="388">
        <f t="shared" si="164"/>
        <v>20301.260000000009</v>
      </c>
      <c r="L203" s="388"/>
      <c r="M203" s="389">
        <f t="shared" si="165"/>
        <v>0</v>
      </c>
      <c r="N203" s="390">
        <f t="shared" si="166"/>
        <v>0</v>
      </c>
      <c r="O203" s="390">
        <f t="shared" si="167"/>
        <v>0</v>
      </c>
      <c r="P203" s="379"/>
      <c r="Q203" s="387">
        <f t="shared" si="168"/>
        <v>96086</v>
      </c>
      <c r="R203" s="388">
        <f>Bonus!Q200</f>
        <v>75784.739999999991</v>
      </c>
      <c r="S203" s="388">
        <f>Bonus!S200</f>
        <v>20301.260000000009</v>
      </c>
      <c r="T203" s="388"/>
      <c r="U203" s="388">
        <f t="shared" si="169"/>
        <v>96086</v>
      </c>
      <c r="V203" s="388">
        <f>GAAP!Q200</f>
        <v>75784.739999999991</v>
      </c>
      <c r="W203" s="388">
        <f>GAAP!S200</f>
        <v>20301.260000000009</v>
      </c>
      <c r="X203" s="388"/>
      <c r="Y203" s="389">
        <f t="shared" si="170"/>
        <v>0</v>
      </c>
      <c r="Z203" s="390">
        <f t="shared" si="171"/>
        <v>0</v>
      </c>
      <c r="AA203" s="391">
        <f t="shared" si="172"/>
        <v>0</v>
      </c>
      <c r="AC203" s="621">
        <f t="shared" si="183"/>
        <v>0</v>
      </c>
    </row>
    <row r="204" spans="1:29" s="240" customFormat="1" ht="15" customHeight="1">
      <c r="A204" s="385">
        <f>Bonus!A201</f>
        <v>54.938699999999997</v>
      </c>
      <c r="B204" s="386" t="str">
        <f>Bonus!B201</f>
        <v>City of Santa Maria - Santa Maria WWTP Digester Pipe Modifications</v>
      </c>
      <c r="C204" s="468">
        <f>Bonus!G201</f>
        <v>1</v>
      </c>
      <c r="D204" s="468">
        <f>GAAP!G201</f>
        <v>1</v>
      </c>
      <c r="E204" s="387">
        <f>Bonus!I201</f>
        <v>22619.54</v>
      </c>
      <c r="F204" s="388">
        <f>Bonus!F201</f>
        <v>19011.650000000001</v>
      </c>
      <c r="G204" s="388">
        <f t="shared" si="163"/>
        <v>3607.8899999999994</v>
      </c>
      <c r="H204" s="388"/>
      <c r="I204" s="388">
        <f>GAAP!I201</f>
        <v>22619.54</v>
      </c>
      <c r="J204" s="388">
        <f>GAAP!F201</f>
        <v>19011.650000000001</v>
      </c>
      <c r="K204" s="388">
        <f t="shared" si="164"/>
        <v>3607.8899999999994</v>
      </c>
      <c r="L204" s="388"/>
      <c r="M204" s="389">
        <f t="shared" si="165"/>
        <v>0</v>
      </c>
      <c r="N204" s="390">
        <f t="shared" si="166"/>
        <v>0</v>
      </c>
      <c r="O204" s="390">
        <f t="shared" si="167"/>
        <v>0</v>
      </c>
      <c r="P204" s="379"/>
      <c r="Q204" s="387">
        <f t="shared" si="168"/>
        <v>22619.54</v>
      </c>
      <c r="R204" s="388">
        <f>Bonus!Q201</f>
        <v>19011.650000000001</v>
      </c>
      <c r="S204" s="388">
        <f>Bonus!S201</f>
        <v>3607.8899999999994</v>
      </c>
      <c r="T204" s="388"/>
      <c r="U204" s="388">
        <f t="shared" si="169"/>
        <v>22619.54</v>
      </c>
      <c r="V204" s="388">
        <f>GAAP!Q201</f>
        <v>19011.650000000001</v>
      </c>
      <c r="W204" s="388">
        <f>GAAP!S201</f>
        <v>3607.8899999999994</v>
      </c>
      <c r="X204" s="388"/>
      <c r="Y204" s="389">
        <f t="shared" si="170"/>
        <v>0</v>
      </c>
      <c r="Z204" s="390">
        <f t="shared" si="171"/>
        <v>0</v>
      </c>
      <c r="AA204" s="391">
        <f t="shared" si="172"/>
        <v>0</v>
      </c>
      <c r="AC204" s="621">
        <f t="shared" si="183"/>
        <v>0</v>
      </c>
    </row>
    <row r="205" spans="1:29" s="240" customFormat="1" ht="15" customHeight="1">
      <c r="A205" s="385">
        <f>Bonus!A202</f>
        <v>54.938800000000001</v>
      </c>
      <c r="B205" s="386" t="str">
        <f>Bonus!B202</f>
        <v>Arvin Edison Water Storage Dist. - Tejon Spreading Ground Pipe Installation</v>
      </c>
      <c r="C205" s="468">
        <f>Bonus!G202</f>
        <v>1</v>
      </c>
      <c r="D205" s="468">
        <f>GAAP!G202</f>
        <v>1</v>
      </c>
      <c r="E205" s="387">
        <f>Bonus!I202</f>
        <v>7454.07</v>
      </c>
      <c r="F205" s="388">
        <f>Bonus!F202</f>
        <v>6535.41</v>
      </c>
      <c r="G205" s="388">
        <f t="shared" si="163"/>
        <v>918.65999999999985</v>
      </c>
      <c r="H205" s="388"/>
      <c r="I205" s="388">
        <f>GAAP!I202</f>
        <v>7454.07</v>
      </c>
      <c r="J205" s="388">
        <f>GAAP!F202</f>
        <v>6535.41</v>
      </c>
      <c r="K205" s="388">
        <f t="shared" si="164"/>
        <v>918.65999999999985</v>
      </c>
      <c r="L205" s="388"/>
      <c r="M205" s="389">
        <f t="shared" si="165"/>
        <v>0</v>
      </c>
      <c r="N205" s="390">
        <f t="shared" si="166"/>
        <v>0</v>
      </c>
      <c r="O205" s="390">
        <f t="shared" si="167"/>
        <v>0</v>
      </c>
      <c r="P205" s="379"/>
      <c r="Q205" s="387">
        <f t="shared" si="168"/>
        <v>7454.07</v>
      </c>
      <c r="R205" s="388">
        <f>Bonus!Q202</f>
        <v>6535.41</v>
      </c>
      <c r="S205" s="388">
        <f>Bonus!S202</f>
        <v>918.65999999999985</v>
      </c>
      <c r="T205" s="388"/>
      <c r="U205" s="388">
        <f t="shared" si="169"/>
        <v>7454.07</v>
      </c>
      <c r="V205" s="388">
        <f>GAAP!Q202</f>
        <v>6535.41</v>
      </c>
      <c r="W205" s="388">
        <f>GAAP!S202</f>
        <v>918.65999999999985</v>
      </c>
      <c r="X205" s="388"/>
      <c r="Y205" s="389">
        <f t="shared" si="170"/>
        <v>0</v>
      </c>
      <c r="Z205" s="390">
        <f t="shared" si="171"/>
        <v>0</v>
      </c>
      <c r="AA205" s="391">
        <f t="shared" si="172"/>
        <v>0</v>
      </c>
      <c r="AC205" s="621">
        <f t="shared" si="183"/>
        <v>0</v>
      </c>
    </row>
    <row r="206" spans="1:29" s="240" customFormat="1" ht="15" customHeight="1">
      <c r="A206" s="385">
        <f>Bonus!A203</f>
        <v>54.939</v>
      </c>
      <c r="B206" s="386" t="str">
        <f>Bonus!B203</f>
        <v>Arvin Edison Water Storage Dist. - Bar Screen Concrete Collection Pads</v>
      </c>
      <c r="C206" s="468">
        <f>Bonus!G203</f>
        <v>1</v>
      </c>
      <c r="D206" s="468">
        <f>GAAP!G203</f>
        <v>1</v>
      </c>
      <c r="E206" s="387">
        <f>Bonus!I203</f>
        <v>101491.67</v>
      </c>
      <c r="F206" s="388">
        <f>Bonus!F203</f>
        <v>96329.49</v>
      </c>
      <c r="G206" s="388">
        <f t="shared" si="163"/>
        <v>5162.179999999993</v>
      </c>
      <c r="H206" s="388"/>
      <c r="I206" s="388">
        <f>GAAP!I203</f>
        <v>101491.67</v>
      </c>
      <c r="J206" s="388">
        <f>GAAP!F203</f>
        <v>96329.49</v>
      </c>
      <c r="K206" s="388">
        <f t="shared" si="164"/>
        <v>5162.179999999993</v>
      </c>
      <c r="L206" s="388"/>
      <c r="M206" s="389">
        <f t="shared" si="165"/>
        <v>0</v>
      </c>
      <c r="N206" s="390">
        <f t="shared" si="166"/>
        <v>0</v>
      </c>
      <c r="O206" s="390">
        <f t="shared" si="167"/>
        <v>0</v>
      </c>
      <c r="P206" s="379"/>
      <c r="Q206" s="387">
        <f t="shared" si="168"/>
        <v>101491.67</v>
      </c>
      <c r="R206" s="388">
        <f>Bonus!Q203</f>
        <v>96329.49</v>
      </c>
      <c r="S206" s="388">
        <f>Bonus!S203</f>
        <v>5162.179999999993</v>
      </c>
      <c r="T206" s="388"/>
      <c r="U206" s="388">
        <f t="shared" si="169"/>
        <v>101491.67</v>
      </c>
      <c r="V206" s="388">
        <f>GAAP!Q203</f>
        <v>96329.49</v>
      </c>
      <c r="W206" s="388">
        <f>GAAP!S203</f>
        <v>5162.179999999993</v>
      </c>
      <c r="X206" s="388"/>
      <c r="Y206" s="389">
        <f t="shared" si="170"/>
        <v>0</v>
      </c>
      <c r="Z206" s="390">
        <f t="shared" si="171"/>
        <v>0</v>
      </c>
      <c r="AA206" s="391">
        <f t="shared" si="172"/>
        <v>0</v>
      </c>
      <c r="AC206" s="621">
        <f t="shared" si="183"/>
        <v>0</v>
      </c>
    </row>
    <row r="207" spans="1:29" s="240" customFormat="1" ht="15" customHeight="1">
      <c r="A207" s="385">
        <f>Bonus!A204</f>
        <v>54.9392</v>
      </c>
      <c r="B207" s="386" t="str">
        <f>Bonus!B204</f>
        <v>Arvin Edison Water Storage Dist. - Tejon Spreading Grounds Basin Repairs</v>
      </c>
      <c r="C207" s="468">
        <f>Bonus!G204</f>
        <v>1</v>
      </c>
      <c r="D207" s="468">
        <f>GAAP!G204</f>
        <v>1</v>
      </c>
      <c r="E207" s="387">
        <f>Bonus!I204</f>
        <v>217648.89</v>
      </c>
      <c r="F207" s="388">
        <f>Bonus!F204</f>
        <v>208346.69</v>
      </c>
      <c r="G207" s="388">
        <f t="shared" si="163"/>
        <v>9302.2000000000116</v>
      </c>
      <c r="H207" s="388"/>
      <c r="I207" s="388">
        <f>GAAP!I204</f>
        <v>217648.89</v>
      </c>
      <c r="J207" s="388">
        <f>GAAP!F204</f>
        <v>208346.69</v>
      </c>
      <c r="K207" s="388">
        <f t="shared" si="164"/>
        <v>9302.2000000000116</v>
      </c>
      <c r="L207" s="388"/>
      <c r="M207" s="389">
        <f t="shared" si="165"/>
        <v>0</v>
      </c>
      <c r="N207" s="390">
        <f t="shared" si="166"/>
        <v>0</v>
      </c>
      <c r="O207" s="390">
        <f t="shared" si="167"/>
        <v>0</v>
      </c>
      <c r="P207" s="379"/>
      <c r="Q207" s="387">
        <f t="shared" si="168"/>
        <v>217648.89</v>
      </c>
      <c r="R207" s="388">
        <f>Bonus!Q204</f>
        <v>208346.69</v>
      </c>
      <c r="S207" s="388">
        <f>Bonus!S204</f>
        <v>9302.2000000000116</v>
      </c>
      <c r="T207" s="388"/>
      <c r="U207" s="388">
        <f t="shared" si="169"/>
        <v>217648.89</v>
      </c>
      <c r="V207" s="388">
        <f>GAAP!Q204</f>
        <v>208346.69</v>
      </c>
      <c r="W207" s="388">
        <f>GAAP!S204</f>
        <v>9302.2000000000116</v>
      </c>
      <c r="X207" s="388"/>
      <c r="Y207" s="389">
        <f t="shared" si="170"/>
        <v>0</v>
      </c>
      <c r="Z207" s="390">
        <f t="shared" si="171"/>
        <v>0</v>
      </c>
      <c r="AA207" s="391">
        <f t="shared" si="172"/>
        <v>0</v>
      </c>
      <c r="AC207" s="621">
        <f t="shared" si="183"/>
        <v>0</v>
      </c>
    </row>
    <row r="208" spans="1:29" s="240" customFormat="1" ht="15" customHeight="1">
      <c r="A208" s="385">
        <f>Bonus!A205</f>
        <v>54.939300000000003</v>
      </c>
      <c r="B208" s="386" t="str">
        <f>Bonus!B205</f>
        <v>East Niles Community Service Dist. - Freeway Tank and College Ave Repairs</v>
      </c>
      <c r="C208" s="468">
        <f>Bonus!G205</f>
        <v>1</v>
      </c>
      <c r="D208" s="468">
        <f>GAAP!G205</f>
        <v>1</v>
      </c>
      <c r="E208" s="387">
        <f>Bonus!I205</f>
        <v>31523.02</v>
      </c>
      <c r="F208" s="388">
        <f>Bonus!F205</f>
        <v>27539.820000000003</v>
      </c>
      <c r="G208" s="388">
        <f t="shared" si="163"/>
        <v>3983.1999999999971</v>
      </c>
      <c r="H208" s="388"/>
      <c r="I208" s="388">
        <f>GAAP!I205</f>
        <v>31523.02</v>
      </c>
      <c r="J208" s="388">
        <f>GAAP!F205</f>
        <v>27539.820000000003</v>
      </c>
      <c r="K208" s="388">
        <f t="shared" si="164"/>
        <v>3983.1999999999971</v>
      </c>
      <c r="L208" s="388"/>
      <c r="M208" s="389">
        <f t="shared" si="165"/>
        <v>0</v>
      </c>
      <c r="N208" s="390">
        <f t="shared" si="166"/>
        <v>0</v>
      </c>
      <c r="O208" s="390">
        <f t="shared" si="167"/>
        <v>0</v>
      </c>
      <c r="P208" s="379"/>
      <c r="Q208" s="387">
        <f t="shared" si="168"/>
        <v>31523.02</v>
      </c>
      <c r="R208" s="388">
        <f>Bonus!Q205</f>
        <v>27539.820000000003</v>
      </c>
      <c r="S208" s="388">
        <f>Bonus!S205</f>
        <v>3983.1999999999971</v>
      </c>
      <c r="T208" s="388"/>
      <c r="U208" s="388">
        <f t="shared" si="169"/>
        <v>31523.02</v>
      </c>
      <c r="V208" s="388">
        <f>GAAP!Q205</f>
        <v>27539.820000000003</v>
      </c>
      <c r="W208" s="388">
        <f>GAAP!S205</f>
        <v>3983.1999999999971</v>
      </c>
      <c r="X208" s="388"/>
      <c r="Y208" s="389">
        <f t="shared" si="170"/>
        <v>0</v>
      </c>
      <c r="Z208" s="390">
        <f t="shared" si="171"/>
        <v>0</v>
      </c>
      <c r="AA208" s="391">
        <f t="shared" si="172"/>
        <v>0</v>
      </c>
      <c r="AC208" s="621">
        <f t="shared" si="183"/>
        <v>0</v>
      </c>
    </row>
    <row r="209" spans="1:29" s="240" customFormat="1" ht="15" customHeight="1">
      <c r="A209" s="385">
        <f>Bonus!A206</f>
        <v>54.939399999999999</v>
      </c>
      <c r="B209" s="386" t="str">
        <f>Bonus!B206</f>
        <v>City of Arvin - Haven Drive Lateral Repair</v>
      </c>
      <c r="C209" s="468">
        <f>Bonus!G206</f>
        <v>1</v>
      </c>
      <c r="D209" s="468">
        <f>GAAP!G206</f>
        <v>1</v>
      </c>
      <c r="E209" s="387">
        <f>Bonus!I206</f>
        <v>15966.99</v>
      </c>
      <c r="F209" s="388">
        <f>Bonus!F206</f>
        <v>14039.55</v>
      </c>
      <c r="G209" s="388">
        <f t="shared" si="163"/>
        <v>1927.4400000000005</v>
      </c>
      <c r="H209" s="388"/>
      <c r="I209" s="388">
        <f>GAAP!I206</f>
        <v>15966.99</v>
      </c>
      <c r="J209" s="388">
        <f>GAAP!F206</f>
        <v>14039.55</v>
      </c>
      <c r="K209" s="388">
        <f t="shared" si="164"/>
        <v>1927.4400000000005</v>
      </c>
      <c r="L209" s="388"/>
      <c r="M209" s="389">
        <f t="shared" si="165"/>
        <v>0</v>
      </c>
      <c r="N209" s="390">
        <f t="shared" si="166"/>
        <v>0</v>
      </c>
      <c r="O209" s="390">
        <f t="shared" si="167"/>
        <v>0</v>
      </c>
      <c r="P209" s="379"/>
      <c r="Q209" s="387">
        <f t="shared" si="168"/>
        <v>15966.99</v>
      </c>
      <c r="R209" s="388">
        <f>Bonus!Q206</f>
        <v>14039.55</v>
      </c>
      <c r="S209" s="388">
        <f>Bonus!S206</f>
        <v>1927.4400000000005</v>
      </c>
      <c r="T209" s="388"/>
      <c r="U209" s="388">
        <f t="shared" si="169"/>
        <v>15966.99</v>
      </c>
      <c r="V209" s="388">
        <f>GAAP!Q206</f>
        <v>14039.55</v>
      </c>
      <c r="W209" s="388">
        <f>GAAP!S206</f>
        <v>1927.4400000000005</v>
      </c>
      <c r="X209" s="388"/>
      <c r="Y209" s="389">
        <f t="shared" si="170"/>
        <v>0</v>
      </c>
      <c r="Z209" s="390">
        <f t="shared" si="171"/>
        <v>0</v>
      </c>
      <c r="AA209" s="391">
        <f t="shared" si="172"/>
        <v>0</v>
      </c>
      <c r="AC209" s="621">
        <f t="shared" si="183"/>
        <v>0</v>
      </c>
    </row>
    <row r="210" spans="1:29" s="240" customFormat="1" ht="15" customHeight="1">
      <c r="A210" s="385">
        <f>Bonus!A207</f>
        <v>54.939799999999998</v>
      </c>
      <c r="B210" s="386" t="str">
        <f>Bonus!B207</f>
        <v>County of Santa Barbara Public Works - Laguna CSD  - C-Channel Installation</v>
      </c>
      <c r="C210" s="468">
        <f>Bonus!G207</f>
        <v>1</v>
      </c>
      <c r="D210" s="468">
        <f>GAAP!G207</f>
        <v>1</v>
      </c>
      <c r="E210" s="387">
        <f>Bonus!I207</f>
        <v>14300</v>
      </c>
      <c r="F210" s="388">
        <f>Bonus!F207</f>
        <v>8192.7900000000009</v>
      </c>
      <c r="G210" s="388">
        <f t="shared" si="163"/>
        <v>6107.2099999999991</v>
      </c>
      <c r="H210" s="388"/>
      <c r="I210" s="388">
        <f>GAAP!I207</f>
        <v>14300</v>
      </c>
      <c r="J210" s="388">
        <f>GAAP!F207</f>
        <v>8192.7900000000009</v>
      </c>
      <c r="K210" s="388">
        <f t="shared" si="164"/>
        <v>6107.2099999999991</v>
      </c>
      <c r="L210" s="388"/>
      <c r="M210" s="389">
        <f t="shared" si="165"/>
        <v>0</v>
      </c>
      <c r="N210" s="390">
        <f t="shared" si="166"/>
        <v>0</v>
      </c>
      <c r="O210" s="390">
        <f t="shared" si="167"/>
        <v>0</v>
      </c>
      <c r="P210" s="379"/>
      <c r="Q210" s="387">
        <f t="shared" si="168"/>
        <v>14300</v>
      </c>
      <c r="R210" s="388">
        <f>Bonus!Q207</f>
        <v>8192.7900000000009</v>
      </c>
      <c r="S210" s="388">
        <f>Bonus!S207</f>
        <v>6107.2099999999991</v>
      </c>
      <c r="T210" s="388"/>
      <c r="U210" s="388">
        <f t="shared" si="169"/>
        <v>14300</v>
      </c>
      <c r="V210" s="388">
        <f>GAAP!Q207</f>
        <v>8192.7900000000009</v>
      </c>
      <c r="W210" s="388">
        <f>GAAP!S207</f>
        <v>6107.2099999999991</v>
      </c>
      <c r="X210" s="388"/>
      <c r="Y210" s="389">
        <f t="shared" si="170"/>
        <v>0</v>
      </c>
      <c r="Z210" s="390">
        <f t="shared" si="171"/>
        <v>0</v>
      </c>
      <c r="AA210" s="391">
        <f t="shared" si="172"/>
        <v>0</v>
      </c>
      <c r="AC210" s="621">
        <f t="shared" si="183"/>
        <v>0</v>
      </c>
    </row>
    <row r="211" spans="1:29" s="240" customFormat="1" ht="15" customHeight="1">
      <c r="A211" s="385">
        <f>Bonus!A208</f>
        <v>54.939900000000002</v>
      </c>
      <c r="B211" s="386" t="str">
        <f>Bonus!B208</f>
        <v>City of Atascadero - Atascadero Lift Station 6 Pipe Replacement</v>
      </c>
      <c r="C211" s="468">
        <f>Bonus!G208</f>
        <v>1</v>
      </c>
      <c r="D211" s="468">
        <f>GAAP!G208</f>
        <v>1</v>
      </c>
      <c r="E211" s="387">
        <f>Bonus!I208</f>
        <v>24775</v>
      </c>
      <c r="F211" s="388">
        <f>Bonus!F208</f>
        <v>11291.59</v>
      </c>
      <c r="G211" s="388">
        <f t="shared" si="163"/>
        <v>13483.41</v>
      </c>
      <c r="H211" s="388"/>
      <c r="I211" s="388">
        <f>GAAP!I208</f>
        <v>24775</v>
      </c>
      <c r="J211" s="388">
        <f>GAAP!F208</f>
        <v>11291.59</v>
      </c>
      <c r="K211" s="388">
        <f t="shared" si="164"/>
        <v>13483.41</v>
      </c>
      <c r="L211" s="388"/>
      <c r="M211" s="389">
        <f t="shared" si="165"/>
        <v>0</v>
      </c>
      <c r="N211" s="390">
        <f t="shared" si="166"/>
        <v>0</v>
      </c>
      <c r="O211" s="390">
        <f t="shared" si="167"/>
        <v>0</v>
      </c>
      <c r="P211" s="379"/>
      <c r="Q211" s="387">
        <f t="shared" si="168"/>
        <v>24775</v>
      </c>
      <c r="R211" s="388">
        <f>Bonus!Q208</f>
        <v>11291.59</v>
      </c>
      <c r="S211" s="388">
        <f>Bonus!S208</f>
        <v>13483.41</v>
      </c>
      <c r="T211" s="388"/>
      <c r="U211" s="388">
        <f t="shared" si="169"/>
        <v>24775</v>
      </c>
      <c r="V211" s="388">
        <f>GAAP!Q208</f>
        <v>11291.59</v>
      </c>
      <c r="W211" s="388">
        <f>GAAP!S208</f>
        <v>13483.41</v>
      </c>
      <c r="X211" s="388"/>
      <c r="Y211" s="389">
        <f t="shared" si="170"/>
        <v>0</v>
      </c>
      <c r="Z211" s="390">
        <f t="shared" si="171"/>
        <v>0</v>
      </c>
      <c r="AA211" s="391">
        <f t="shared" si="172"/>
        <v>0</v>
      </c>
      <c r="AC211" s="621">
        <f t="shared" si="183"/>
        <v>0</v>
      </c>
    </row>
    <row r="212" spans="1:29" s="240" customFormat="1" ht="15" customHeight="1">
      <c r="A212" s="385">
        <f>Bonus!A209</f>
        <v>54.94</v>
      </c>
      <c r="B212" s="386" t="str">
        <f>Bonus!B209</f>
        <v>Arvin Edison Water Storage Dist. - FFPP Core Drilling</v>
      </c>
      <c r="C212" s="468">
        <f>Bonus!G209</f>
        <v>1</v>
      </c>
      <c r="D212" s="468">
        <f>GAAP!G209</f>
        <v>1</v>
      </c>
      <c r="E212" s="387">
        <f>Bonus!I209</f>
        <v>800.69</v>
      </c>
      <c r="F212" s="388">
        <f>Bonus!F209</f>
        <v>771.32</v>
      </c>
      <c r="G212" s="388">
        <f t="shared" si="163"/>
        <v>29.370000000000005</v>
      </c>
      <c r="H212" s="388"/>
      <c r="I212" s="388">
        <f>GAAP!I209</f>
        <v>800.69</v>
      </c>
      <c r="J212" s="388">
        <f>GAAP!F209</f>
        <v>771.32</v>
      </c>
      <c r="K212" s="388">
        <f t="shared" si="164"/>
        <v>29.370000000000005</v>
      </c>
      <c r="L212" s="388"/>
      <c r="M212" s="389">
        <f t="shared" si="165"/>
        <v>0</v>
      </c>
      <c r="N212" s="390">
        <f t="shared" si="166"/>
        <v>0</v>
      </c>
      <c r="O212" s="390">
        <f t="shared" si="167"/>
        <v>0</v>
      </c>
      <c r="P212" s="379"/>
      <c r="Q212" s="387">
        <f t="shared" si="168"/>
        <v>800.69</v>
      </c>
      <c r="R212" s="388">
        <f>Bonus!Q209</f>
        <v>771.32</v>
      </c>
      <c r="S212" s="388">
        <f>Bonus!S209</f>
        <v>29.370000000000005</v>
      </c>
      <c r="T212" s="388"/>
      <c r="U212" s="388">
        <f t="shared" si="169"/>
        <v>800.69</v>
      </c>
      <c r="V212" s="388">
        <f>GAAP!Q209</f>
        <v>771.32</v>
      </c>
      <c r="W212" s="388">
        <f>GAAP!S209</f>
        <v>29.370000000000005</v>
      </c>
      <c r="X212" s="388"/>
      <c r="Y212" s="389">
        <f t="shared" si="170"/>
        <v>0</v>
      </c>
      <c r="Z212" s="390">
        <f t="shared" si="171"/>
        <v>0</v>
      </c>
      <c r="AA212" s="391">
        <f t="shared" si="172"/>
        <v>0</v>
      </c>
      <c r="AC212" s="621">
        <f t="shared" si="183"/>
        <v>0</v>
      </c>
    </row>
    <row r="213" spans="1:29" s="240" customFormat="1" ht="15" customHeight="1">
      <c r="A213" s="385">
        <f>Bonus!A210</f>
        <v>54.940100000000001</v>
      </c>
      <c r="B213" s="386" t="str">
        <f>Bonus!B210</f>
        <v>Arvin Edison Water Storage Dist. - FFPP Modernization Concrete R&amp;R</v>
      </c>
      <c r="C213" s="468">
        <f>Bonus!G210</f>
        <v>1</v>
      </c>
      <c r="D213" s="468">
        <f>GAAP!G210</f>
        <v>1</v>
      </c>
      <c r="E213" s="387">
        <f>Bonus!I210</f>
        <v>247539.61</v>
      </c>
      <c r="F213" s="388">
        <f>Bonus!F210</f>
        <v>236312.57</v>
      </c>
      <c r="G213" s="388">
        <f t="shared" si="163"/>
        <v>11227.039999999979</v>
      </c>
      <c r="H213" s="388"/>
      <c r="I213" s="388">
        <f>GAAP!I210</f>
        <v>247539.61</v>
      </c>
      <c r="J213" s="388">
        <f>GAAP!F210</f>
        <v>236312.57</v>
      </c>
      <c r="K213" s="388">
        <f t="shared" si="164"/>
        <v>11227.039999999979</v>
      </c>
      <c r="L213" s="388"/>
      <c r="M213" s="389">
        <f t="shared" si="165"/>
        <v>0</v>
      </c>
      <c r="N213" s="390">
        <f t="shared" si="166"/>
        <v>0</v>
      </c>
      <c r="O213" s="390">
        <f t="shared" si="167"/>
        <v>0</v>
      </c>
      <c r="P213" s="379"/>
      <c r="Q213" s="387">
        <f t="shared" si="168"/>
        <v>247539.61</v>
      </c>
      <c r="R213" s="388">
        <f>Bonus!Q210</f>
        <v>236312.57</v>
      </c>
      <c r="S213" s="388">
        <f>Bonus!S210</f>
        <v>11227.039999999979</v>
      </c>
      <c r="T213" s="388"/>
      <c r="U213" s="388">
        <f t="shared" si="169"/>
        <v>247539.61</v>
      </c>
      <c r="V213" s="388">
        <f>GAAP!Q210</f>
        <v>236312.57</v>
      </c>
      <c r="W213" s="388">
        <f>GAAP!S210</f>
        <v>11227.039999999979</v>
      </c>
      <c r="X213" s="388"/>
      <c r="Y213" s="389">
        <f t="shared" si="170"/>
        <v>0</v>
      </c>
      <c r="Z213" s="390">
        <f t="shared" si="171"/>
        <v>0</v>
      </c>
      <c r="AA213" s="391">
        <f t="shared" si="172"/>
        <v>0</v>
      </c>
      <c r="AC213" s="621">
        <f t="shared" si="183"/>
        <v>0</v>
      </c>
    </row>
    <row r="214" spans="1:29" s="240" customFormat="1" ht="15" customHeight="1">
      <c r="A214" s="385">
        <f>Bonus!A211</f>
        <v>54.9407</v>
      </c>
      <c r="B214" s="386" t="str">
        <f>Bonus!B211</f>
        <v>Semitropic Water Storage Dist. - North Plant Emergency Repair</v>
      </c>
      <c r="C214" s="468">
        <f>Bonus!G211</f>
        <v>1</v>
      </c>
      <c r="D214" s="468">
        <f>GAAP!G211</f>
        <v>1</v>
      </c>
      <c r="E214" s="387">
        <f>Bonus!I211</f>
        <v>31296.85</v>
      </c>
      <c r="F214" s="388">
        <f>Bonus!F211</f>
        <v>25667.34</v>
      </c>
      <c r="G214" s="388">
        <f t="shared" si="163"/>
        <v>5629.5099999999984</v>
      </c>
      <c r="H214" s="388"/>
      <c r="I214" s="388">
        <f>GAAP!I211</f>
        <v>31296.85</v>
      </c>
      <c r="J214" s="388">
        <f>GAAP!F211</f>
        <v>25667.34</v>
      </c>
      <c r="K214" s="388">
        <f t="shared" si="164"/>
        <v>5629.5099999999984</v>
      </c>
      <c r="L214" s="388"/>
      <c r="M214" s="389">
        <f t="shared" si="165"/>
        <v>0</v>
      </c>
      <c r="N214" s="390">
        <f t="shared" si="166"/>
        <v>0</v>
      </c>
      <c r="O214" s="390">
        <f t="shared" si="167"/>
        <v>0</v>
      </c>
      <c r="P214" s="379"/>
      <c r="Q214" s="387">
        <f t="shared" si="168"/>
        <v>31296.85</v>
      </c>
      <c r="R214" s="388">
        <f>Bonus!Q211</f>
        <v>25667.34</v>
      </c>
      <c r="S214" s="388">
        <f>Bonus!S211</f>
        <v>5629.5099999999984</v>
      </c>
      <c r="T214" s="388"/>
      <c r="U214" s="388">
        <f t="shared" si="169"/>
        <v>31296.85</v>
      </c>
      <c r="V214" s="388">
        <f>GAAP!Q211</f>
        <v>25667.34</v>
      </c>
      <c r="W214" s="388">
        <f>GAAP!S211</f>
        <v>5629.5099999999984</v>
      </c>
      <c r="X214" s="388"/>
      <c r="Y214" s="389">
        <f t="shared" si="170"/>
        <v>0</v>
      </c>
      <c r="Z214" s="390">
        <f t="shared" si="171"/>
        <v>0</v>
      </c>
      <c r="AA214" s="391">
        <f t="shared" si="172"/>
        <v>0</v>
      </c>
      <c r="AC214" s="621">
        <f t="shared" si="183"/>
        <v>0</v>
      </c>
    </row>
    <row r="215" spans="1:29" s="240" customFormat="1" ht="15" customHeight="1">
      <c r="A215" s="385">
        <f>Bonus!A212</f>
        <v>54.940899999999999</v>
      </c>
      <c r="B215" s="386" t="str">
        <f>Bonus!B212</f>
        <v xml:space="preserve">Nipomo CSD Osage Emergency Waterline Repair </v>
      </c>
      <c r="C215" s="468">
        <f>Bonus!G212</f>
        <v>1</v>
      </c>
      <c r="D215" s="468">
        <f>GAAP!G212</f>
        <v>1</v>
      </c>
      <c r="E215" s="387">
        <f>Bonus!I212</f>
        <v>20123.71</v>
      </c>
      <c r="F215" s="388">
        <f>Bonus!F212</f>
        <v>17411.71</v>
      </c>
      <c r="G215" s="388">
        <f t="shared" si="163"/>
        <v>2712</v>
      </c>
      <c r="H215" s="388"/>
      <c r="I215" s="388">
        <f>GAAP!I212</f>
        <v>20123.71</v>
      </c>
      <c r="J215" s="388">
        <f>GAAP!F212</f>
        <v>17411.71</v>
      </c>
      <c r="K215" s="388">
        <f t="shared" si="164"/>
        <v>2712</v>
      </c>
      <c r="L215" s="388"/>
      <c r="M215" s="389">
        <f t="shared" si="165"/>
        <v>0</v>
      </c>
      <c r="N215" s="390">
        <f t="shared" si="166"/>
        <v>0</v>
      </c>
      <c r="O215" s="390">
        <f t="shared" si="167"/>
        <v>0</v>
      </c>
      <c r="P215" s="379"/>
      <c r="Q215" s="387">
        <f t="shared" si="168"/>
        <v>20123.71</v>
      </c>
      <c r="R215" s="388">
        <f>Bonus!Q212</f>
        <v>17411.71</v>
      </c>
      <c r="S215" s="388">
        <f>Bonus!S212</f>
        <v>2712</v>
      </c>
      <c r="T215" s="388"/>
      <c r="U215" s="388">
        <f t="shared" si="169"/>
        <v>20123.71</v>
      </c>
      <c r="V215" s="388">
        <f>GAAP!Q212</f>
        <v>17411.71</v>
      </c>
      <c r="W215" s="388">
        <f>GAAP!S212</f>
        <v>2712</v>
      </c>
      <c r="X215" s="388"/>
      <c r="Y215" s="389">
        <f t="shared" si="170"/>
        <v>0</v>
      </c>
      <c r="Z215" s="390">
        <f t="shared" si="171"/>
        <v>0</v>
      </c>
      <c r="AA215" s="391">
        <f t="shared" si="172"/>
        <v>0</v>
      </c>
      <c r="AC215" s="621">
        <f t="shared" si="183"/>
        <v>0</v>
      </c>
    </row>
    <row r="216" spans="1:29" s="240" customFormat="1" ht="15" customHeight="1">
      <c r="A216" s="385">
        <f>Bonus!A213</f>
        <v>54.941000000000003</v>
      </c>
      <c r="B216" s="386" t="str">
        <f>Bonus!B213</f>
        <v>SWID - Burbank St. Repair</v>
      </c>
      <c r="C216" s="468">
        <f>Bonus!G213</f>
        <v>1</v>
      </c>
      <c r="D216" s="468">
        <f>GAAP!G213</f>
        <v>1</v>
      </c>
      <c r="E216" s="387">
        <f>Bonus!I213</f>
        <v>8241.5499999999993</v>
      </c>
      <c r="F216" s="388">
        <f>Bonus!F213</f>
        <v>6965.65</v>
      </c>
      <c r="G216" s="388">
        <f t="shared" si="163"/>
        <v>1275.8999999999996</v>
      </c>
      <c r="H216" s="388"/>
      <c r="I216" s="388">
        <f>GAAP!I213</f>
        <v>8241.5499999999993</v>
      </c>
      <c r="J216" s="388">
        <f>GAAP!F213</f>
        <v>6965.65</v>
      </c>
      <c r="K216" s="388">
        <f t="shared" si="164"/>
        <v>1275.8999999999996</v>
      </c>
      <c r="L216" s="388"/>
      <c r="M216" s="389">
        <f t="shared" si="165"/>
        <v>0</v>
      </c>
      <c r="N216" s="390">
        <f t="shared" si="166"/>
        <v>0</v>
      </c>
      <c r="O216" s="390">
        <f t="shared" si="167"/>
        <v>0</v>
      </c>
      <c r="P216" s="379"/>
      <c r="Q216" s="387">
        <f t="shared" si="168"/>
        <v>8241.5499999999993</v>
      </c>
      <c r="R216" s="388">
        <f>Bonus!Q213</f>
        <v>6965.65</v>
      </c>
      <c r="S216" s="388">
        <f>Bonus!S213</f>
        <v>1275.8999999999996</v>
      </c>
      <c r="T216" s="388"/>
      <c r="U216" s="388">
        <f t="shared" si="169"/>
        <v>8241.5499999999993</v>
      </c>
      <c r="V216" s="388">
        <f>GAAP!Q213</f>
        <v>6965.65</v>
      </c>
      <c r="W216" s="388">
        <f>GAAP!S213</f>
        <v>1275.8999999999996</v>
      </c>
      <c r="X216" s="388"/>
      <c r="Y216" s="389">
        <f t="shared" si="170"/>
        <v>0</v>
      </c>
      <c r="Z216" s="390">
        <f t="shared" si="171"/>
        <v>0</v>
      </c>
      <c r="AA216" s="391">
        <f t="shared" si="172"/>
        <v>0</v>
      </c>
      <c r="AC216" s="621">
        <f t="shared" si="183"/>
        <v>0</v>
      </c>
    </row>
    <row r="217" spans="1:29" s="240" customFormat="1" ht="15" hidden="1" customHeight="1">
      <c r="A217" s="385"/>
      <c r="B217" s="386"/>
      <c r="C217" s="468"/>
      <c r="D217" s="468"/>
      <c r="E217" s="387"/>
      <c r="F217" s="388"/>
      <c r="G217" s="388"/>
      <c r="H217" s="388"/>
      <c r="I217" s="388"/>
      <c r="J217" s="388"/>
      <c r="K217" s="388"/>
      <c r="L217" s="388"/>
      <c r="M217" s="389"/>
      <c r="N217" s="390"/>
      <c r="O217" s="390"/>
      <c r="P217" s="379"/>
      <c r="Q217" s="388"/>
      <c r="R217" s="388"/>
      <c r="S217" s="388"/>
      <c r="T217" s="388"/>
      <c r="U217" s="388"/>
      <c r="V217" s="388"/>
      <c r="W217" s="388"/>
      <c r="X217" s="388"/>
      <c r="Y217" s="389"/>
      <c r="Z217" s="390"/>
      <c r="AA217" s="391"/>
      <c r="AC217" s="621">
        <f t="shared" si="183"/>
        <v>0</v>
      </c>
    </row>
    <row r="218" spans="1:29" s="240" customFormat="1" ht="15" customHeight="1">
      <c r="A218" s="240" t="s">
        <v>351</v>
      </c>
      <c r="B218" s="393"/>
      <c r="C218" s="393"/>
      <c r="D218" s="393"/>
      <c r="E218" s="395">
        <f>SUM(E$160:E$217)</f>
        <v>97414231.620000005</v>
      </c>
      <c r="F218" s="396">
        <f t="shared" ref="F218:G218" si="184">SUM(F$160:F$217)</f>
        <v>84432379.319999993</v>
      </c>
      <c r="G218" s="396">
        <f t="shared" si="184"/>
        <v>12981852.299999995</v>
      </c>
      <c r="H218" s="394"/>
      <c r="I218" s="396">
        <f t="shared" ref="I218:K218" si="185">SUM(I$160:I$217)</f>
        <v>97414231.620000005</v>
      </c>
      <c r="J218" s="396">
        <f t="shared" si="185"/>
        <v>84432379.319999993</v>
      </c>
      <c r="K218" s="396">
        <f t="shared" si="185"/>
        <v>12981852.299999995</v>
      </c>
      <c r="L218" s="394"/>
      <c r="M218" s="395">
        <f t="shared" ref="M218:O218" si="186">SUM(M$160:M$217)</f>
        <v>0</v>
      </c>
      <c r="N218" s="396">
        <f t="shared" si="186"/>
        <v>0</v>
      </c>
      <c r="O218" s="396">
        <f t="shared" si="186"/>
        <v>0</v>
      </c>
      <c r="P218" s="379"/>
      <c r="Q218" s="396">
        <f t="shared" ref="Q218:S218" si="187">SUM(Q$160:Q$217)</f>
        <v>7680196.3916170523</v>
      </c>
      <c r="R218" s="396">
        <f t="shared" si="187"/>
        <v>8573016.9100000057</v>
      </c>
      <c r="S218" s="396">
        <f t="shared" si="187"/>
        <v>-892820.51838295127</v>
      </c>
      <c r="T218" s="396"/>
      <c r="U218" s="396">
        <f t="shared" ref="U218:W218" si="188">SUM(U$160:U$217)</f>
        <v>7668494.8941488834</v>
      </c>
      <c r="V218" s="396">
        <f t="shared" si="188"/>
        <v>8573016.9100000057</v>
      </c>
      <c r="W218" s="396">
        <f t="shared" si="188"/>
        <v>-904522.01585112151</v>
      </c>
      <c r="X218" s="394"/>
      <c r="Y218" s="395">
        <f t="shared" ref="Y218:AA218" si="189">SUM(Y$160:Y$217)</f>
        <v>11701.497468170281</v>
      </c>
      <c r="Z218" s="396">
        <f t="shared" si="189"/>
        <v>0</v>
      </c>
      <c r="AA218" s="447">
        <f t="shared" si="189"/>
        <v>11701.497468170266</v>
      </c>
      <c r="AB218" s="404"/>
      <c r="AC218" s="623">
        <f t="shared" si="183"/>
        <v>-11701.497468170266</v>
      </c>
    </row>
    <row r="219" spans="1:29" s="240" customFormat="1" ht="15" customHeight="1">
      <c r="B219" s="235"/>
      <c r="C219" s="235"/>
      <c r="D219" s="235"/>
      <c r="E219" s="372"/>
      <c r="F219" s="256"/>
      <c r="G219" s="256"/>
      <c r="H219" s="371"/>
      <c r="I219" s="256"/>
      <c r="J219" s="256"/>
      <c r="K219" s="256"/>
      <c r="L219" s="371"/>
      <c r="M219" s="372"/>
      <c r="N219" s="256"/>
      <c r="O219" s="256"/>
      <c r="P219" s="379"/>
      <c r="Q219" s="256"/>
      <c r="R219" s="256"/>
      <c r="S219" s="256"/>
      <c r="T219" s="256"/>
      <c r="U219" s="256"/>
      <c r="V219" s="256"/>
      <c r="W219" s="256"/>
      <c r="X219" s="371"/>
      <c r="Y219" s="372"/>
      <c r="Z219" s="256"/>
      <c r="AA219" s="373"/>
      <c r="AC219" s="380">
        <f t="shared" si="183"/>
        <v>0</v>
      </c>
    </row>
    <row r="220" spans="1:29" s="240" customFormat="1" ht="15" customHeight="1">
      <c r="A220" s="240" t="s">
        <v>352</v>
      </c>
      <c r="E220" s="372">
        <f>SUM(E157+E218)</f>
        <v>148389053.86258659</v>
      </c>
      <c r="F220" s="256">
        <f>SUM(F157+F218)</f>
        <v>131355636.81</v>
      </c>
      <c r="G220" s="256">
        <f>SUM(G157+G218)</f>
        <v>17033417.052586585</v>
      </c>
      <c r="H220" s="256"/>
      <c r="I220" s="256">
        <f>SUM(I157+I218)</f>
        <v>148660376.26866502</v>
      </c>
      <c r="J220" s="256">
        <f>SUM(J157+J218)</f>
        <v>131355636.81</v>
      </c>
      <c r="K220" s="256">
        <f>SUM(K157+K218)</f>
        <v>17304739.458664998</v>
      </c>
      <c r="L220" s="256"/>
      <c r="M220" s="372">
        <f>SUM(M157+M218)</f>
        <v>-271322.40607841604</v>
      </c>
      <c r="N220" s="256">
        <f>SUM(N157+N218)</f>
        <v>0</v>
      </c>
      <c r="O220" s="256">
        <f>SUM(O157+O218)</f>
        <v>-271322.40607841604</v>
      </c>
      <c r="P220" s="380"/>
      <c r="Q220" s="256">
        <f>SUM(Q157+Q218)</f>
        <v>43949120.686122052</v>
      </c>
      <c r="R220" s="256">
        <f>SUM(R157+R218)</f>
        <v>41702642.68</v>
      </c>
      <c r="S220" s="256">
        <f>SUM(S157+S218)</f>
        <v>2246478.0061220643</v>
      </c>
      <c r="T220" s="256"/>
      <c r="U220" s="256">
        <f>SUM(U157+U218)</f>
        <v>44760735.959789515</v>
      </c>
      <c r="V220" s="256">
        <f>SUM(V157+V218)</f>
        <v>41702642.68</v>
      </c>
      <c r="W220" s="256">
        <f>SUM(W157+W218)</f>
        <v>3058093.2797895237</v>
      </c>
      <c r="X220" s="256"/>
      <c r="Y220" s="372">
        <f>SUM(Y157+Y218)</f>
        <v>-811615.27366745996</v>
      </c>
      <c r="Z220" s="256">
        <f>SUM(Z157+Z218)</f>
        <v>0</v>
      </c>
      <c r="AA220" s="373">
        <f>SUM(AA157+AA218)</f>
        <v>-811615.27366745996</v>
      </c>
      <c r="AC220" s="380">
        <f t="shared" si="183"/>
        <v>540292.86758904392</v>
      </c>
    </row>
    <row r="221" spans="1:29" s="240" customFormat="1" ht="15" customHeight="1">
      <c r="A221" s="449"/>
      <c r="B221" s="449"/>
      <c r="C221" s="449"/>
      <c r="D221" s="449"/>
      <c r="E221" s="450"/>
      <c r="F221" s="416"/>
      <c r="G221" s="416"/>
      <c r="H221" s="416"/>
      <c r="I221" s="416"/>
      <c r="J221" s="416"/>
      <c r="K221" s="416"/>
      <c r="L221" s="416"/>
      <c r="M221" s="450"/>
      <c r="N221" s="416"/>
      <c r="O221" s="416"/>
      <c r="P221" s="451"/>
      <c r="Q221" s="416"/>
      <c r="R221" s="416"/>
      <c r="S221" s="416"/>
      <c r="T221" s="416"/>
      <c r="U221" s="416"/>
      <c r="V221" s="416"/>
      <c r="W221" s="416"/>
      <c r="X221" s="416"/>
      <c r="Y221" s="450"/>
      <c r="Z221" s="416"/>
      <c r="AA221" s="452"/>
      <c r="AC221" s="451">
        <f t="shared" si="183"/>
        <v>0</v>
      </c>
    </row>
    <row r="222" spans="1:29" s="240" customFormat="1" ht="15" customHeight="1">
      <c r="A222" s="240" t="s">
        <v>168</v>
      </c>
      <c r="E222" s="372">
        <f>E26+E66+E111+E157</f>
        <v>439456384.22327065</v>
      </c>
      <c r="F222" s="256">
        <f>F26+F66+F111+F157</f>
        <v>396319859.23000002</v>
      </c>
      <c r="G222" s="256">
        <f>G26+G66+G111+G157</f>
        <v>43136524.993270531</v>
      </c>
      <c r="H222" s="256"/>
      <c r="I222" s="256">
        <f>I26+I66+I111+I157</f>
        <v>438929230.0668326</v>
      </c>
      <c r="J222" s="256">
        <f>J26+J66+J111+J157</f>
        <v>396319859.23000002</v>
      </c>
      <c r="K222" s="256">
        <f>K26+K66+K111+K157</f>
        <v>42609370.836832538</v>
      </c>
      <c r="L222" s="256"/>
      <c r="M222" s="372">
        <f>M26+M66+M111+M157</f>
        <v>527154.1564379948</v>
      </c>
      <c r="N222" s="256">
        <f>N26+N66+N111+N157</f>
        <v>0</v>
      </c>
      <c r="O222" s="256">
        <f>O26+O66+O111+O157</f>
        <v>527154.1564379948</v>
      </c>
      <c r="P222" s="380"/>
      <c r="Q222" s="372">
        <f>Q26+Q66+Q111+Q157</f>
        <v>192894465.99268165</v>
      </c>
      <c r="R222" s="256">
        <f>R26+R66+R111+R157</f>
        <v>168802306.77999994</v>
      </c>
      <c r="S222" s="256">
        <f>S26+S66+S111+S157</f>
        <v>24092159.212681722</v>
      </c>
      <c r="T222" s="256"/>
      <c r="U222" s="256">
        <f>U26+U66+U111+U157</f>
        <v>195257267.35223714</v>
      </c>
      <c r="V222" s="256">
        <f>V26+V66+V111+V157</f>
        <v>168802306.77999994</v>
      </c>
      <c r="W222" s="256">
        <f>W26+W66+W111+W157</f>
        <v>26454960.572237168</v>
      </c>
      <c r="X222" s="256"/>
      <c r="Y222" s="372">
        <f>Y26+Y66+Y111+Y157</f>
        <v>-2362801.3595554563</v>
      </c>
      <c r="Z222" s="256">
        <f>Z26+Z66+Z111+Z157</f>
        <v>0</v>
      </c>
      <c r="AA222" s="256">
        <f>AA26+AA66+AA111+AA157</f>
        <v>-2362801.3595554531</v>
      </c>
      <c r="AB222" s="404"/>
      <c r="AC222" s="380">
        <f t="shared" si="183"/>
        <v>2889955.515993448</v>
      </c>
    </row>
    <row r="223" spans="1:29" s="240" customFormat="1" ht="15" customHeight="1">
      <c r="A223" s="449" t="s">
        <v>180</v>
      </c>
      <c r="B223" s="449"/>
      <c r="C223" s="449"/>
      <c r="D223" s="449"/>
      <c r="E223" s="450">
        <f>E40+E104+E118+E218</f>
        <v>141195136.30000001</v>
      </c>
      <c r="F223" s="416">
        <f>F40+F104+F118+F218</f>
        <v>127887502.04999998</v>
      </c>
      <c r="G223" s="416">
        <f>G40+G104+G118+G218</f>
        <v>13307634.249999994</v>
      </c>
      <c r="H223" s="416"/>
      <c r="I223" s="416">
        <f>I40+I104+I118+I218</f>
        <v>141195136.30000001</v>
      </c>
      <c r="J223" s="416">
        <f>J40+J104+J118+J218</f>
        <v>127887502.04999998</v>
      </c>
      <c r="K223" s="416">
        <f>K40+K104+K118+K218</f>
        <v>13307634.249999994</v>
      </c>
      <c r="L223" s="416"/>
      <c r="M223" s="450">
        <f>M40+M104+M118+M218</f>
        <v>0</v>
      </c>
      <c r="N223" s="416">
        <f>N40+N104+N118+N218</f>
        <v>0</v>
      </c>
      <c r="O223" s="416">
        <f>O40+O104+O118+O218</f>
        <v>0</v>
      </c>
      <c r="P223" s="451"/>
      <c r="Q223" s="450">
        <f>Q40+Q104+Q118+Q218</f>
        <v>18593917.11425966</v>
      </c>
      <c r="R223" s="416">
        <f>R40+R104+R118+R218</f>
        <v>21567638.450000007</v>
      </c>
      <c r="S223" s="416">
        <f>S40+S104+S118+S218</f>
        <v>-2973721.3357403441</v>
      </c>
      <c r="T223" s="416"/>
      <c r="U223" s="416">
        <f>U40+U104+U118+U218</f>
        <v>18585080.011406548</v>
      </c>
      <c r="V223" s="416">
        <f>V40+V104+V118+V218</f>
        <v>21567638.450000007</v>
      </c>
      <c r="W223" s="416">
        <f>W40+W104+W118+W218</f>
        <v>-2982558.4385934556</v>
      </c>
      <c r="X223" s="416"/>
      <c r="Y223" s="450">
        <f>Y40+Y104+Y118+Y218</f>
        <v>8837.1028531115517</v>
      </c>
      <c r="Z223" s="416">
        <f>Z40+Z104+Z118+Z218</f>
        <v>0</v>
      </c>
      <c r="AA223" s="452">
        <f>AA40+AA104+AA118+AA218</f>
        <v>8837.1028531115371</v>
      </c>
      <c r="AB223" s="404"/>
      <c r="AC223" s="451">
        <f t="shared" si="183"/>
        <v>-8837.1028531115371</v>
      </c>
    </row>
    <row r="224" spans="1:29" s="240" customFormat="1" ht="15" customHeight="1">
      <c r="A224" s="240" t="s">
        <v>169</v>
      </c>
      <c r="E224" s="372">
        <f>E222+E223</f>
        <v>580651520.52327061</v>
      </c>
      <c r="F224" s="256">
        <f t="shared" ref="F224:G224" si="190">F222+F223</f>
        <v>524207361.27999997</v>
      </c>
      <c r="G224" s="256">
        <f t="shared" si="190"/>
        <v>56444159.243270524</v>
      </c>
      <c r="H224" s="256"/>
      <c r="I224" s="256">
        <f t="shared" ref="I224:K224" si="191">I222+I223</f>
        <v>580124366.36683261</v>
      </c>
      <c r="J224" s="256">
        <f t="shared" si="191"/>
        <v>524207361.27999997</v>
      </c>
      <c r="K224" s="256">
        <f t="shared" si="191"/>
        <v>55917005.086832531</v>
      </c>
      <c r="L224" s="256"/>
      <c r="M224" s="372">
        <f>M222+M223</f>
        <v>527154.1564379948</v>
      </c>
      <c r="N224" s="256">
        <f t="shared" ref="N224:O224" si="192">N222+N223</f>
        <v>0</v>
      </c>
      <c r="O224" s="256">
        <f t="shared" si="192"/>
        <v>527154.1564379948</v>
      </c>
      <c r="P224" s="380"/>
      <c r="Q224" s="372">
        <f>Q222+Q223</f>
        <v>211488383.10694131</v>
      </c>
      <c r="R224" s="256">
        <f>R222+R223</f>
        <v>190369945.22999996</v>
      </c>
      <c r="S224" s="256">
        <f>S222+S223</f>
        <v>21118437.876941379</v>
      </c>
      <c r="T224" s="256"/>
      <c r="U224" s="256">
        <f t="shared" ref="U224:V224" si="193">U222+U223</f>
        <v>213842347.36364368</v>
      </c>
      <c r="V224" s="256">
        <f t="shared" si="193"/>
        <v>190369945.22999996</v>
      </c>
      <c r="W224" s="256">
        <f>W222+W223</f>
        <v>23472402.133643713</v>
      </c>
      <c r="X224" s="256"/>
      <c r="Y224" s="372">
        <f>Y222+Y223</f>
        <v>-2353964.2567023449</v>
      </c>
      <c r="Z224" s="256">
        <f>Z222+Z223</f>
        <v>0</v>
      </c>
      <c r="AA224" s="256">
        <f>AA222+AA223</f>
        <v>-2353964.2567023416</v>
      </c>
      <c r="AB224" s="404"/>
      <c r="AC224" s="380">
        <f t="shared" si="183"/>
        <v>2881118.4131403365</v>
      </c>
    </row>
    <row r="225" spans="1:29" s="240" customFormat="1" ht="15" customHeight="1">
      <c r="A225" s="330"/>
      <c r="E225" s="372"/>
      <c r="F225" s="256"/>
      <c r="G225" s="256"/>
      <c r="H225" s="256"/>
      <c r="I225" s="256"/>
      <c r="J225" s="256"/>
      <c r="K225" s="256"/>
      <c r="L225" s="256"/>
      <c r="M225" s="372"/>
      <c r="N225" s="256"/>
      <c r="O225" s="256"/>
      <c r="P225" s="380"/>
      <c r="Q225" s="256"/>
      <c r="R225" s="256"/>
      <c r="S225" s="256"/>
      <c r="T225" s="256"/>
      <c r="U225" s="256"/>
      <c r="V225" s="256"/>
      <c r="W225" s="256"/>
      <c r="X225" s="256"/>
      <c r="Y225" s="372"/>
      <c r="Z225" s="256"/>
      <c r="AA225" s="373"/>
      <c r="AC225" s="380"/>
    </row>
    <row r="226" spans="1:29" s="240" customFormat="1" ht="15" customHeight="1">
      <c r="A226" s="330" t="s">
        <v>324</v>
      </c>
      <c r="B226" s="235"/>
      <c r="C226" s="235"/>
      <c r="D226" s="235"/>
      <c r="E226" s="370"/>
      <c r="F226" s="371"/>
      <c r="G226" s="371"/>
      <c r="H226" s="371"/>
      <c r="I226" s="371"/>
      <c r="J226" s="371"/>
      <c r="K226" s="371"/>
      <c r="L226" s="371"/>
      <c r="M226" s="372"/>
      <c r="N226" s="256"/>
      <c r="O226" s="256"/>
      <c r="P226" s="379"/>
      <c r="Q226" s="371"/>
      <c r="R226" s="371"/>
      <c r="S226" s="371"/>
      <c r="T226" s="371"/>
      <c r="U226" s="371"/>
      <c r="V226" s="371"/>
      <c r="W226" s="371"/>
      <c r="X226" s="371"/>
      <c r="Y226" s="372"/>
      <c r="Z226" s="256"/>
      <c r="AA226" s="373"/>
      <c r="AC226" s="380"/>
    </row>
    <row r="227" spans="1:29" s="240" customFormat="1" ht="15" customHeight="1">
      <c r="A227" s="385">
        <f>Bonus!A223</f>
        <v>55.109000000000002</v>
      </c>
      <c r="B227" s="386" t="str">
        <f>Bonus!B223</f>
        <v>LA Dept of Water and Power - Silverlake</v>
      </c>
      <c r="C227" s="468">
        <f>Bonus!G223</f>
        <v>0.98309334615384614</v>
      </c>
      <c r="D227" s="468">
        <f>GAAP!G223</f>
        <v>1</v>
      </c>
      <c r="E227" s="387">
        <f>Bonus!I223</f>
        <v>5308704.0692307688</v>
      </c>
      <c r="F227" s="388">
        <f>Bonus!F223</f>
        <v>3834064.05</v>
      </c>
      <c r="G227" s="388">
        <f>E227-F227</f>
        <v>1474640.019230769</v>
      </c>
      <c r="H227" s="388"/>
      <c r="I227" s="388">
        <f>GAAP!I223</f>
        <v>5235272.3600000003</v>
      </c>
      <c r="J227" s="388">
        <f>GAAP!F223</f>
        <v>3834064.05</v>
      </c>
      <c r="K227" s="388">
        <f>I227-J227</f>
        <v>1401208.3100000005</v>
      </c>
      <c r="L227" s="388"/>
      <c r="M227" s="389">
        <f>E227-I227</f>
        <v>73431.709230768494</v>
      </c>
      <c r="N227" s="390">
        <f>F227-J227</f>
        <v>0</v>
      </c>
      <c r="O227" s="390">
        <f t="shared" ref="O227" si="194">G227-K227</f>
        <v>73431.709230768494</v>
      </c>
      <c r="P227" s="379"/>
      <c r="Q227" s="387">
        <f t="shared" ref="Q227" si="195">R227+S227</f>
        <v>227019.4506721138</v>
      </c>
      <c r="R227" s="388">
        <f>Bonus!Q223</f>
        <v>216267.59999999963</v>
      </c>
      <c r="S227" s="388">
        <f>Bonus!S223</f>
        <v>10751.850672114175</v>
      </c>
      <c r="T227" s="388"/>
      <c r="U227" s="388">
        <f t="shared" ref="U227" si="196">V227+W227</f>
        <v>261110.8200000003</v>
      </c>
      <c r="V227" s="388">
        <f>GAAP!Q223</f>
        <v>216267.59999999963</v>
      </c>
      <c r="W227" s="388">
        <f>GAAP!S223</f>
        <v>44843.220000000671</v>
      </c>
      <c r="X227" s="388"/>
      <c r="Y227" s="389">
        <f t="shared" ref="Y227" si="197">Q227-U227</f>
        <v>-34091.369327886496</v>
      </c>
      <c r="Z227" s="390">
        <f t="shared" ref="Z227" si="198">R227-V227</f>
        <v>0</v>
      </c>
      <c r="AA227" s="391">
        <f t="shared" ref="AA227" si="199">S227-W227</f>
        <v>-34091.369327886496</v>
      </c>
      <c r="AC227" s="621">
        <f t="shared" si="183"/>
        <v>107523.07855865499</v>
      </c>
    </row>
    <row r="228" spans="1:29" s="240" customFormat="1" ht="15" customHeight="1">
      <c r="A228" s="385">
        <f>Bonus!A224</f>
        <v>55.119100000000003</v>
      </c>
      <c r="B228" s="386" t="str">
        <f>Bonus!B224</f>
        <v>Inland Empire Utilities - IEUA RP-5 Liquids Exp. &amp; Solids Treat. Facility</v>
      </c>
      <c r="C228" s="468">
        <f>Bonus!G224</f>
        <v>0.88584754094329154</v>
      </c>
      <c r="D228" s="468">
        <f>GAAP!G224</f>
        <v>0.88584754094329154</v>
      </c>
      <c r="E228" s="387">
        <f>Bonus!I224</f>
        <v>302890122.83999997</v>
      </c>
      <c r="F228" s="388">
        <f>Bonus!F224</f>
        <v>299179624.83999997</v>
      </c>
      <c r="G228" s="388">
        <f t="shared" ref="G228:G239" si="200">E228-F228</f>
        <v>3710498</v>
      </c>
      <c r="H228" s="388"/>
      <c r="I228" s="388">
        <f>GAAP!I224</f>
        <v>302466560.36897498</v>
      </c>
      <c r="J228" s="388">
        <f>GAAP!F224</f>
        <v>299179624.83999997</v>
      </c>
      <c r="K228" s="388">
        <f t="shared" ref="K228:K239" si="201">I228-J228</f>
        <v>3286935.5289750099</v>
      </c>
      <c r="L228" s="388"/>
      <c r="M228" s="389">
        <f t="shared" ref="M228:M239" si="202">E228-I228</f>
        <v>423562.47102499008</v>
      </c>
      <c r="N228" s="390">
        <f t="shared" ref="N228:N239" si="203">F228-J228</f>
        <v>0</v>
      </c>
      <c r="O228" s="390">
        <f t="shared" ref="O228:O239" si="204">G228-K228</f>
        <v>423562.47102499008</v>
      </c>
      <c r="P228" s="379"/>
      <c r="Q228" s="387">
        <f t="shared" ref="Q228:Q239" si="205">R228+S228</f>
        <v>12322287.819999993</v>
      </c>
      <c r="R228" s="388">
        <f>Bonus!Q224</f>
        <v>16511789.819999993</v>
      </c>
      <c r="S228" s="388">
        <f>Bonus!S224</f>
        <v>-4189502</v>
      </c>
      <c r="T228" s="388"/>
      <c r="U228" s="388">
        <f t="shared" ref="U228:U239" si="206">V228+W228</f>
        <v>13096053.847362828</v>
      </c>
      <c r="V228" s="388">
        <f>GAAP!Q224</f>
        <v>16511789.819999993</v>
      </c>
      <c r="W228" s="388">
        <f>GAAP!S224</f>
        <v>-3415735.9726371653</v>
      </c>
      <c r="X228" s="388"/>
      <c r="Y228" s="389">
        <f t="shared" ref="Y228:Y239" si="207">Q228-U228</f>
        <v>-773766.02736283466</v>
      </c>
      <c r="Z228" s="390">
        <f t="shared" ref="Z228:Z239" si="208">R228-V228</f>
        <v>0</v>
      </c>
      <c r="AA228" s="391">
        <f t="shared" ref="AA228:AA239" si="209">S228-W228</f>
        <v>-773766.02736283466</v>
      </c>
      <c r="AC228" s="621">
        <f t="shared" si="183"/>
        <v>1197328.4983878247</v>
      </c>
    </row>
    <row r="229" spans="1:29" s="240" customFormat="1" ht="15" customHeight="1">
      <c r="A229" s="385">
        <f>Bonus!A225</f>
        <v>55.119199999999999</v>
      </c>
      <c r="B229" s="386" t="str">
        <f>Bonus!B225</f>
        <v>Inland Empire Utilities - IEUA RP-1 Flare Improvements</v>
      </c>
      <c r="C229" s="468">
        <f>Bonus!G225</f>
        <v>0.99877990007606499</v>
      </c>
      <c r="D229" s="468">
        <f>GAAP!G225</f>
        <v>0.99877990007606499</v>
      </c>
      <c r="E229" s="387">
        <f>Bonus!I225</f>
        <v>6643992.6900000004</v>
      </c>
      <c r="F229" s="388">
        <f>Bonus!F225</f>
        <v>6393992.6900000004</v>
      </c>
      <c r="G229" s="388">
        <f t="shared" si="200"/>
        <v>250000</v>
      </c>
      <c r="H229" s="388"/>
      <c r="I229" s="388">
        <f>GAAP!I225</f>
        <v>6643687.6650190167</v>
      </c>
      <c r="J229" s="388">
        <f>GAAP!F225</f>
        <v>6393992.6900000004</v>
      </c>
      <c r="K229" s="388">
        <f t="shared" si="201"/>
        <v>249694.9750190163</v>
      </c>
      <c r="L229" s="388"/>
      <c r="M229" s="389">
        <f t="shared" si="202"/>
        <v>305.02498098369688</v>
      </c>
      <c r="N229" s="390">
        <f t="shared" si="203"/>
        <v>0</v>
      </c>
      <c r="O229" s="390">
        <f t="shared" si="204"/>
        <v>305.02498098369688</v>
      </c>
      <c r="P229" s="379"/>
      <c r="Q229" s="387">
        <f t="shared" si="205"/>
        <v>331298.95999999996</v>
      </c>
      <c r="R229" s="388">
        <f>Bonus!Q225</f>
        <v>431298.95999999996</v>
      </c>
      <c r="S229" s="388">
        <f>Bonus!S225</f>
        <v>-100000</v>
      </c>
      <c r="T229" s="388"/>
      <c r="U229" s="388">
        <f t="shared" si="206"/>
        <v>346030.09542068129</v>
      </c>
      <c r="V229" s="388">
        <f>GAAP!Q225</f>
        <v>431298.95999999996</v>
      </c>
      <c r="W229" s="388">
        <f>GAAP!S225</f>
        <v>-85268.864579318673</v>
      </c>
      <c r="X229" s="388"/>
      <c r="Y229" s="389">
        <f t="shared" si="207"/>
        <v>-14731.135420681327</v>
      </c>
      <c r="Z229" s="390">
        <f t="shared" si="208"/>
        <v>0</v>
      </c>
      <c r="AA229" s="391">
        <f t="shared" si="209"/>
        <v>-14731.135420681327</v>
      </c>
      <c r="AC229" s="621">
        <f t="shared" si="183"/>
        <v>15036.160401665024</v>
      </c>
    </row>
    <row r="230" spans="1:29" s="240" customFormat="1" ht="15" customHeight="1">
      <c r="A230" s="385">
        <f>Bonus!A226</f>
        <v>55.12</v>
      </c>
      <c r="B230" s="386" t="str">
        <f>Bonus!B226</f>
        <v>East County Advanced Water Purification Project - Package 1</v>
      </c>
      <c r="C230" s="468">
        <f>Bonus!G226</f>
        <v>0.99997505204305492</v>
      </c>
      <c r="D230" s="468">
        <f>GAAP!G226</f>
        <v>1</v>
      </c>
      <c r="E230" s="387">
        <f>Bonus!I226</f>
        <v>197751131.77000001</v>
      </c>
      <c r="F230" s="388">
        <f>Bonus!F226</f>
        <v>189971137.49000001</v>
      </c>
      <c r="G230" s="388">
        <f t="shared" si="200"/>
        <v>7779994.2800000012</v>
      </c>
      <c r="H230" s="388"/>
      <c r="I230" s="388">
        <f>GAAP!I226</f>
        <v>197175877</v>
      </c>
      <c r="J230" s="388">
        <f>GAAP!F226</f>
        <v>189971137.49000001</v>
      </c>
      <c r="K230" s="388">
        <f t="shared" si="201"/>
        <v>7204739.5099999905</v>
      </c>
      <c r="L230" s="388"/>
      <c r="M230" s="389">
        <f t="shared" si="202"/>
        <v>575254.77000001073</v>
      </c>
      <c r="N230" s="390">
        <f t="shared" si="203"/>
        <v>0</v>
      </c>
      <c r="O230" s="390">
        <f t="shared" si="204"/>
        <v>575254.77000001073</v>
      </c>
      <c r="P230" s="379"/>
      <c r="Q230" s="387">
        <f t="shared" si="205"/>
        <v>55551078.550000004</v>
      </c>
      <c r="R230" s="388">
        <f>Bonus!Q226</f>
        <v>53766199.400000006</v>
      </c>
      <c r="S230" s="388">
        <f>Bonus!S226</f>
        <v>1784879.1500000004</v>
      </c>
      <c r="T230" s="388"/>
      <c r="U230" s="388">
        <f t="shared" si="206"/>
        <v>56796106</v>
      </c>
      <c r="V230" s="388">
        <f>GAAP!Q226</f>
        <v>53766199.400000006</v>
      </c>
      <c r="W230" s="388">
        <f>GAAP!S226</f>
        <v>3029906.599999994</v>
      </c>
      <c r="X230" s="388"/>
      <c r="Y230" s="389">
        <f t="shared" si="207"/>
        <v>-1245027.4499999955</v>
      </c>
      <c r="Z230" s="390">
        <f t="shared" si="208"/>
        <v>0</v>
      </c>
      <c r="AA230" s="391">
        <f t="shared" si="209"/>
        <v>-1245027.4499999937</v>
      </c>
      <c r="AC230" s="621">
        <f t="shared" si="183"/>
        <v>1820282.2200000044</v>
      </c>
    </row>
    <row r="231" spans="1:29" s="240" customFormat="1" ht="15" customHeight="1">
      <c r="A231" s="385">
        <f>Bonus!A227</f>
        <v>55.120199999999997</v>
      </c>
      <c r="B231" s="386" t="str">
        <f>Bonus!B227</f>
        <v>LA County Sanitation District - Oxygen Generation Project</v>
      </c>
      <c r="C231" s="468">
        <f>Bonus!G227</f>
        <v>0.63007355304443391</v>
      </c>
      <c r="D231" s="468">
        <f>GAAP!G227</f>
        <v>0.63007355304443391</v>
      </c>
      <c r="E231" s="387">
        <f>Bonus!I227</f>
        <v>10330718.474910405</v>
      </c>
      <c r="F231" s="388">
        <f>Bonus!F227</f>
        <v>9590124.3499999996</v>
      </c>
      <c r="G231" s="388">
        <f t="shared" si="200"/>
        <v>740594.12491040491</v>
      </c>
      <c r="H231" s="388"/>
      <c r="I231" s="388">
        <f>GAAP!I227</f>
        <v>10330718.474910405</v>
      </c>
      <c r="J231" s="388">
        <f>GAAP!F227</f>
        <v>9590124.3499999996</v>
      </c>
      <c r="K231" s="388">
        <f t="shared" si="201"/>
        <v>740594.12491040491</v>
      </c>
      <c r="L231" s="388"/>
      <c r="M231" s="389">
        <f t="shared" si="202"/>
        <v>0</v>
      </c>
      <c r="N231" s="390">
        <f t="shared" si="203"/>
        <v>0</v>
      </c>
      <c r="O231" s="390">
        <f t="shared" si="204"/>
        <v>0</v>
      </c>
      <c r="P231" s="379"/>
      <c r="Q231" s="387">
        <f t="shared" si="205"/>
        <v>1453695.6386421691</v>
      </c>
      <c r="R231" s="388">
        <f>Bonus!Q227</f>
        <v>1360552.2199999997</v>
      </c>
      <c r="S231" s="388">
        <f>Bonus!S227</f>
        <v>93143.418642169214</v>
      </c>
      <c r="T231" s="388"/>
      <c r="U231" s="388">
        <f t="shared" si="206"/>
        <v>1453695.6386421691</v>
      </c>
      <c r="V231" s="388">
        <f>GAAP!Q227</f>
        <v>1360552.2199999997</v>
      </c>
      <c r="W231" s="388">
        <f>GAAP!S227</f>
        <v>93143.418642169214</v>
      </c>
      <c r="X231" s="388"/>
      <c r="Y231" s="389">
        <f t="shared" si="207"/>
        <v>0</v>
      </c>
      <c r="Z231" s="390">
        <f t="shared" si="208"/>
        <v>0</v>
      </c>
      <c r="AA231" s="391">
        <f t="shared" si="209"/>
        <v>0</v>
      </c>
      <c r="AC231" s="621">
        <f t="shared" si="183"/>
        <v>0</v>
      </c>
    </row>
    <row r="232" spans="1:29" s="240" customFormat="1" ht="15" customHeight="1">
      <c r="A232" s="385">
        <f>Bonus!A228</f>
        <v>55.120399999999997</v>
      </c>
      <c r="B232" s="386" t="str">
        <f>Bonus!B228</f>
        <v xml:space="preserve">East County Advanced Water Purification Project - Package 3 </v>
      </c>
      <c r="C232" s="468">
        <f>Bonus!G228</f>
        <v>0.99983887303204921</v>
      </c>
      <c r="D232" s="468">
        <f>GAAP!G228</f>
        <v>1</v>
      </c>
      <c r="E232" s="387">
        <f>Bonus!I228</f>
        <v>57575368.219999999</v>
      </c>
      <c r="F232" s="388">
        <f>Bonus!F228</f>
        <v>55213329.210000001</v>
      </c>
      <c r="G232" s="388">
        <f t="shared" si="200"/>
        <v>2362039.0099999979</v>
      </c>
      <c r="H232" s="388"/>
      <c r="I232" s="388">
        <f>GAAP!I228</f>
        <v>57142227</v>
      </c>
      <c r="J232" s="388">
        <f>GAAP!F228</f>
        <v>55213329.210000001</v>
      </c>
      <c r="K232" s="388">
        <f t="shared" si="201"/>
        <v>1928897.7899999991</v>
      </c>
      <c r="L232" s="388"/>
      <c r="M232" s="389">
        <f t="shared" si="202"/>
        <v>433141.21999999881</v>
      </c>
      <c r="N232" s="390">
        <f t="shared" si="203"/>
        <v>0</v>
      </c>
      <c r="O232" s="390">
        <f t="shared" si="204"/>
        <v>433141.21999999881</v>
      </c>
      <c r="P232" s="379"/>
      <c r="Q232" s="387">
        <f t="shared" si="205"/>
        <v>17497029.810000002</v>
      </c>
      <c r="R232" s="388">
        <f>Bonus!Q228</f>
        <v>17052791.990000002</v>
      </c>
      <c r="S232" s="388">
        <f>Bonus!S228</f>
        <v>444237.81999999983</v>
      </c>
      <c r="T232" s="388"/>
      <c r="U232" s="388">
        <f t="shared" si="206"/>
        <v>17354647</v>
      </c>
      <c r="V232" s="388">
        <f>GAAP!Q228</f>
        <v>17052791.990000002</v>
      </c>
      <c r="W232" s="388">
        <f>GAAP!S228</f>
        <v>301855.00999999791</v>
      </c>
      <c r="X232" s="388"/>
      <c r="Y232" s="389">
        <f t="shared" si="207"/>
        <v>142382.81000000238</v>
      </c>
      <c r="Z232" s="390">
        <f t="shared" si="208"/>
        <v>0</v>
      </c>
      <c r="AA232" s="391">
        <f t="shared" si="209"/>
        <v>142382.81000000192</v>
      </c>
      <c r="AC232" s="621">
        <f t="shared" si="183"/>
        <v>290758.40999999689</v>
      </c>
    </row>
    <row r="233" spans="1:29" s="240" customFormat="1" ht="15" customHeight="1">
      <c r="A233" s="385">
        <f>Bonus!A229</f>
        <v>55.122700000000002</v>
      </c>
      <c r="B233" s="386" t="str">
        <f>Bonus!B229</f>
        <v>Eastern Municipal Water District - MVRWRF Plant 2B Equipping and Flow Diversion Project</v>
      </c>
      <c r="C233" s="468">
        <f>Bonus!G229</f>
        <v>0.99458517757348341</v>
      </c>
      <c r="D233" s="468">
        <f>GAAP!G229</f>
        <v>0.99458517757348341</v>
      </c>
      <c r="E233" s="387">
        <f>Bonus!I229</f>
        <v>41279468.482444651</v>
      </c>
      <c r="F233" s="388">
        <f>Bonus!F229</f>
        <v>36953022.960000001</v>
      </c>
      <c r="G233" s="388">
        <f t="shared" si="200"/>
        <v>4326445.5224446505</v>
      </c>
      <c r="H233" s="388"/>
      <c r="I233" s="388">
        <f>GAAP!I229</f>
        <v>41279468.482444651</v>
      </c>
      <c r="J233" s="388">
        <f>GAAP!F229</f>
        <v>36953022.960000001</v>
      </c>
      <c r="K233" s="388">
        <f t="shared" si="201"/>
        <v>4326445.5224446505</v>
      </c>
      <c r="L233" s="388"/>
      <c r="M233" s="389">
        <f t="shared" si="202"/>
        <v>0</v>
      </c>
      <c r="N233" s="390">
        <f t="shared" si="203"/>
        <v>0</v>
      </c>
      <c r="O233" s="390">
        <f t="shared" si="204"/>
        <v>0</v>
      </c>
      <c r="P233" s="379"/>
      <c r="Q233" s="387">
        <f t="shared" si="205"/>
        <v>8547343.040537525</v>
      </c>
      <c r="R233" s="388">
        <f>Bonus!Q229</f>
        <v>7620251.6900000013</v>
      </c>
      <c r="S233" s="388">
        <f>Bonus!S229</f>
        <v>927091.35053752316</v>
      </c>
      <c r="T233" s="388"/>
      <c r="U233" s="388">
        <f t="shared" si="206"/>
        <v>8537226.8736926448</v>
      </c>
      <c r="V233" s="388">
        <f>GAAP!Q229</f>
        <v>7620251.6900000013</v>
      </c>
      <c r="W233" s="388">
        <f>GAAP!S229</f>
        <v>916975.18369264388</v>
      </c>
      <c r="X233" s="388"/>
      <c r="Y233" s="389">
        <f t="shared" si="207"/>
        <v>10116.166844880208</v>
      </c>
      <c r="Z233" s="390">
        <f t="shared" si="208"/>
        <v>0</v>
      </c>
      <c r="AA233" s="391">
        <f t="shared" si="209"/>
        <v>10116.166844879277</v>
      </c>
      <c r="AC233" s="621">
        <f t="shared" si="183"/>
        <v>-10116.166844879277</v>
      </c>
    </row>
    <row r="234" spans="1:29" s="240" customFormat="1" ht="15" customHeight="1">
      <c r="A234" s="385">
        <f>Bonus!A230</f>
        <v>55.1233</v>
      </c>
      <c r="B234" s="386" t="str">
        <f>Bonus!B230</f>
        <v>Veolia Water West Operating Services, Inc. - Rialto Solids Handling Design-Build Project (Design Phase)</v>
      </c>
      <c r="C234" s="468">
        <f>Bonus!G230</f>
        <v>1.2815080664760692E-2</v>
      </c>
      <c r="D234" s="468">
        <f>GAAP!G230</f>
        <v>1</v>
      </c>
      <c r="E234" s="387">
        <f>Bonus!I230</f>
        <v>134506.16</v>
      </c>
      <c r="F234" s="388">
        <f>Bonus!F230</f>
        <v>126077.16</v>
      </c>
      <c r="G234" s="388">
        <f t="shared" si="200"/>
        <v>8429</v>
      </c>
      <c r="H234" s="388"/>
      <c r="I234" s="388">
        <f>GAAP!I230</f>
        <v>126077.16</v>
      </c>
      <c r="J234" s="388">
        <f>GAAP!F230</f>
        <v>126077.16</v>
      </c>
      <c r="K234" s="388">
        <f t="shared" si="201"/>
        <v>0</v>
      </c>
      <c r="L234" s="388"/>
      <c r="M234" s="389">
        <f t="shared" si="202"/>
        <v>8429</v>
      </c>
      <c r="N234" s="390">
        <f t="shared" si="203"/>
        <v>0</v>
      </c>
      <c r="O234" s="390">
        <f t="shared" si="204"/>
        <v>8429</v>
      </c>
      <c r="P234" s="379"/>
      <c r="Q234" s="387">
        <f t="shared" si="205"/>
        <v>49747.520000000004</v>
      </c>
      <c r="R234" s="388">
        <f>Bonus!Q230</f>
        <v>49747.360000000001</v>
      </c>
      <c r="S234" s="388">
        <f>Bonus!S230</f>
        <v>0.16000000000349246</v>
      </c>
      <c r="T234" s="388"/>
      <c r="U234" s="388">
        <f t="shared" si="206"/>
        <v>41318.520000000004</v>
      </c>
      <c r="V234" s="388">
        <f>GAAP!Q230</f>
        <v>49747.360000000001</v>
      </c>
      <c r="W234" s="388">
        <f>GAAP!S230</f>
        <v>-8428.8399999999965</v>
      </c>
      <c r="X234" s="388"/>
      <c r="Y234" s="389">
        <f t="shared" si="207"/>
        <v>8429</v>
      </c>
      <c r="Z234" s="390">
        <f t="shared" si="208"/>
        <v>0</v>
      </c>
      <c r="AA234" s="391">
        <f t="shared" si="209"/>
        <v>8429</v>
      </c>
      <c r="AC234" s="621">
        <f t="shared" si="183"/>
        <v>0</v>
      </c>
    </row>
    <row r="235" spans="1:29" s="240" customFormat="1" ht="15" customHeight="1">
      <c r="A235" s="385">
        <f>Bonus!A231</f>
        <v>55.1248</v>
      </c>
      <c r="B235" s="386" t="str">
        <f>Bonus!B231</f>
        <v>Anaergia Technologies LLC - City of Riverside - Digester 5 Rehabilitation</v>
      </c>
      <c r="C235" s="468">
        <f>Bonus!G231</f>
        <v>0.73399851882996203</v>
      </c>
      <c r="D235" s="468">
        <f>GAAP!G231</f>
        <v>0.73399851882996203</v>
      </c>
      <c r="E235" s="387">
        <f>Bonus!I231</f>
        <v>4227318.9980347194</v>
      </c>
      <c r="F235" s="388">
        <f>Bonus!F231</f>
        <v>3621770.22</v>
      </c>
      <c r="G235" s="388">
        <f t="shared" si="200"/>
        <v>605548.77803471917</v>
      </c>
      <c r="H235" s="388"/>
      <c r="I235" s="388">
        <f>GAAP!I231</f>
        <v>4227318.9980347194</v>
      </c>
      <c r="J235" s="388">
        <f>GAAP!F231</f>
        <v>3621770.22</v>
      </c>
      <c r="K235" s="388">
        <f t="shared" si="201"/>
        <v>605548.77803471917</v>
      </c>
      <c r="L235" s="388"/>
      <c r="M235" s="389">
        <f t="shared" si="202"/>
        <v>0</v>
      </c>
      <c r="N235" s="390">
        <f t="shared" si="203"/>
        <v>0</v>
      </c>
      <c r="O235" s="390">
        <f t="shared" si="204"/>
        <v>0</v>
      </c>
      <c r="P235" s="379"/>
      <c r="Q235" s="387">
        <f t="shared" si="205"/>
        <v>3912565.9080347191</v>
      </c>
      <c r="R235" s="388">
        <f>Bonus!Q231</f>
        <v>3307017.1300000004</v>
      </c>
      <c r="S235" s="388">
        <f>Bonus!S231</f>
        <v>605548.77803471871</v>
      </c>
      <c r="T235" s="388"/>
      <c r="U235" s="388">
        <f t="shared" si="206"/>
        <v>3912565.9080347191</v>
      </c>
      <c r="V235" s="388">
        <f>GAAP!Q231</f>
        <v>3307017.1300000004</v>
      </c>
      <c r="W235" s="388">
        <f>GAAP!S231</f>
        <v>605548.77803471871</v>
      </c>
      <c r="X235" s="388"/>
      <c r="Y235" s="389">
        <f t="shared" si="207"/>
        <v>0</v>
      </c>
      <c r="Z235" s="390">
        <f t="shared" si="208"/>
        <v>0</v>
      </c>
      <c r="AA235" s="391">
        <f t="shared" si="209"/>
        <v>0</v>
      </c>
      <c r="AC235" s="621">
        <f t="shared" si="183"/>
        <v>0</v>
      </c>
    </row>
    <row r="236" spans="1:29" s="240" customFormat="1" ht="15" customHeight="1">
      <c r="A236" s="385">
        <f>Bonus!A232</f>
        <v>55.124899999999997</v>
      </c>
      <c r="B236" s="386" t="str">
        <f>Bonus!B232</f>
        <v>Inland Empire Utilities - IEUA - RP-1 Solids Thickening Project - EN22044</v>
      </c>
      <c r="C236" s="468">
        <f>Bonus!G232</f>
        <v>0.10770145451553412</v>
      </c>
      <c r="D236" s="468">
        <f>GAAP!G232</f>
        <v>0.10770145451553412</v>
      </c>
      <c r="E236" s="387">
        <f>Bonus!I232</f>
        <v>15046313.77</v>
      </c>
      <c r="F236" s="388">
        <f>Bonus!F232</f>
        <v>15046313.77</v>
      </c>
      <c r="G236" s="388">
        <f t="shared" si="200"/>
        <v>0</v>
      </c>
      <c r="H236" s="388"/>
      <c r="I236" s="388">
        <f>GAAP!I232</f>
        <v>15888669.247668531</v>
      </c>
      <c r="J236" s="388">
        <f>GAAP!F232</f>
        <v>15046313.77</v>
      </c>
      <c r="K236" s="388">
        <f t="shared" si="201"/>
        <v>842355.47766853124</v>
      </c>
      <c r="L236" s="388"/>
      <c r="M236" s="389">
        <f t="shared" si="202"/>
        <v>-842355.47766853124</v>
      </c>
      <c r="N236" s="390">
        <f t="shared" si="203"/>
        <v>0</v>
      </c>
      <c r="O236" s="390">
        <f t="shared" si="204"/>
        <v>-842355.47766853124</v>
      </c>
      <c r="P236" s="379"/>
      <c r="Q236" s="387">
        <f t="shared" si="205"/>
        <v>14105058.15</v>
      </c>
      <c r="R236" s="388">
        <f>Bonus!Q232</f>
        <v>14105058.15</v>
      </c>
      <c r="S236" s="388">
        <f>Bonus!S232</f>
        <v>0</v>
      </c>
      <c r="T236" s="388"/>
      <c r="U236" s="388">
        <f t="shared" si="206"/>
        <v>14947413.627668532</v>
      </c>
      <c r="V236" s="388">
        <f>GAAP!Q232</f>
        <v>14105058.15</v>
      </c>
      <c r="W236" s="388">
        <f>GAAP!S232</f>
        <v>842355.47766853159</v>
      </c>
      <c r="X236" s="388"/>
      <c r="Y236" s="389">
        <f t="shared" si="207"/>
        <v>-842355.47766853124</v>
      </c>
      <c r="Z236" s="390">
        <f t="shared" si="208"/>
        <v>0</v>
      </c>
      <c r="AA236" s="391">
        <f t="shared" si="209"/>
        <v>-842355.47766853159</v>
      </c>
      <c r="AC236" s="621">
        <f t="shared" si="183"/>
        <v>0</v>
      </c>
    </row>
    <row r="237" spans="1:29" s="240" customFormat="1" ht="15" customHeight="1">
      <c r="A237" s="385">
        <f>Bonus!A233</f>
        <v>55.125399999999999</v>
      </c>
      <c r="B237" s="386" t="str">
        <f>Bonus!B233</f>
        <v>JV w/City of Banning - Wastewater Treatment Plant Recycled Water</v>
      </c>
      <c r="C237" s="468">
        <f>Bonus!G233</f>
        <v>0.33177135864080293</v>
      </c>
      <c r="D237" s="468">
        <f>GAAP!G233</f>
        <v>1</v>
      </c>
      <c r="E237" s="387">
        <f>Bonus!I233</f>
        <v>156561.66</v>
      </c>
      <c r="F237" s="388">
        <f>Bonus!F233</f>
        <v>156561.66</v>
      </c>
      <c r="G237" s="388">
        <f t="shared" si="200"/>
        <v>0</v>
      </c>
      <c r="H237" s="388"/>
      <c r="I237" s="388">
        <f>GAAP!I233</f>
        <v>158952.89000000001</v>
      </c>
      <c r="J237" s="388">
        <f>GAAP!F233</f>
        <v>156561.66</v>
      </c>
      <c r="K237" s="388">
        <f t="shared" si="201"/>
        <v>2391.2300000000105</v>
      </c>
      <c r="L237" s="388"/>
      <c r="M237" s="389">
        <f t="shared" si="202"/>
        <v>-2391.2300000000105</v>
      </c>
      <c r="N237" s="390">
        <f t="shared" si="203"/>
        <v>0</v>
      </c>
      <c r="O237" s="390">
        <f t="shared" si="204"/>
        <v>-2391.2300000000105</v>
      </c>
      <c r="P237" s="379"/>
      <c r="Q237" s="387">
        <f t="shared" si="205"/>
        <v>156561.66</v>
      </c>
      <c r="R237" s="388">
        <f>Bonus!Q233</f>
        <v>156561.66</v>
      </c>
      <c r="S237" s="388">
        <f>Bonus!S233</f>
        <v>0</v>
      </c>
      <c r="T237" s="388"/>
      <c r="U237" s="388">
        <f t="shared" si="206"/>
        <v>158952.89000000001</v>
      </c>
      <c r="V237" s="388">
        <f>GAAP!Q233</f>
        <v>156561.66</v>
      </c>
      <c r="W237" s="388">
        <f>GAAP!S233</f>
        <v>2391.2300000000105</v>
      </c>
      <c r="X237" s="388"/>
      <c r="Y237" s="389">
        <f t="shared" si="207"/>
        <v>-2391.2300000000105</v>
      </c>
      <c r="Z237" s="390">
        <f t="shared" si="208"/>
        <v>0</v>
      </c>
      <c r="AA237" s="391">
        <f t="shared" si="209"/>
        <v>-2391.2300000000105</v>
      </c>
      <c r="AC237" s="621">
        <f t="shared" si="183"/>
        <v>0</v>
      </c>
    </row>
    <row r="238" spans="1:29" s="240" customFormat="1" ht="15" customHeight="1">
      <c r="A238" s="385">
        <f>Bonus!A234</f>
        <v>55.125500000000002</v>
      </c>
      <c r="B238" s="386" t="str">
        <f>Bonus!B234</f>
        <v>City of Riverside - RWQCP Emergency Repair</v>
      </c>
      <c r="C238" s="468">
        <f>Bonus!G234</f>
        <v>1</v>
      </c>
      <c r="D238" s="468">
        <f>GAAP!G234</f>
        <v>1</v>
      </c>
      <c r="E238" s="387">
        <f>Bonus!I234</f>
        <v>14160.81</v>
      </c>
      <c r="F238" s="388">
        <f>Bonus!F234</f>
        <v>14160.81</v>
      </c>
      <c r="G238" s="388">
        <f t="shared" si="200"/>
        <v>0</v>
      </c>
      <c r="H238" s="388"/>
      <c r="I238" s="388">
        <f>GAAP!I234</f>
        <v>14160.81</v>
      </c>
      <c r="J238" s="388">
        <f>GAAP!F234</f>
        <v>14160.81</v>
      </c>
      <c r="K238" s="388">
        <f t="shared" si="201"/>
        <v>0</v>
      </c>
      <c r="L238" s="388"/>
      <c r="M238" s="389">
        <f t="shared" si="202"/>
        <v>0</v>
      </c>
      <c r="N238" s="390">
        <f t="shared" si="203"/>
        <v>0</v>
      </c>
      <c r="O238" s="390">
        <f t="shared" si="204"/>
        <v>0</v>
      </c>
      <c r="P238" s="379"/>
      <c r="Q238" s="387">
        <f t="shared" si="205"/>
        <v>14160.81</v>
      </c>
      <c r="R238" s="388">
        <f>Bonus!Q234</f>
        <v>14160.81</v>
      </c>
      <c r="S238" s="388">
        <f>Bonus!S234</f>
        <v>0</v>
      </c>
      <c r="T238" s="388"/>
      <c r="U238" s="388">
        <f t="shared" si="206"/>
        <v>14160.81</v>
      </c>
      <c r="V238" s="388">
        <f>GAAP!Q234</f>
        <v>14160.81</v>
      </c>
      <c r="W238" s="388">
        <f>GAAP!S234</f>
        <v>0</v>
      </c>
      <c r="X238" s="388"/>
      <c r="Y238" s="389">
        <f t="shared" si="207"/>
        <v>0</v>
      </c>
      <c r="Z238" s="390">
        <f t="shared" si="208"/>
        <v>0</v>
      </c>
      <c r="AA238" s="391">
        <f t="shared" si="209"/>
        <v>0</v>
      </c>
      <c r="AC238" s="621">
        <f t="shared" si="183"/>
        <v>0</v>
      </c>
    </row>
    <row r="239" spans="1:29" s="240" customFormat="1" ht="15" customHeight="1">
      <c r="A239" s="385">
        <f>Bonus!A235</f>
        <v>55.125599999999999</v>
      </c>
      <c r="B239" s="386" t="str">
        <f>Bonus!B235</f>
        <v>Anaergia Technologies LLC - City of Riverside - OPS</v>
      </c>
      <c r="C239" s="468">
        <f>Bonus!G235</f>
        <v>3.501156610519332E-2</v>
      </c>
      <c r="D239" s="468">
        <f>GAAP!G235</f>
        <v>3.501156610519332E-2</v>
      </c>
      <c r="E239" s="387">
        <f>Bonus!I235</f>
        <v>94989.88</v>
      </c>
      <c r="F239" s="388">
        <f>Bonus!F235</f>
        <v>94989.88</v>
      </c>
      <c r="G239" s="388">
        <f t="shared" si="200"/>
        <v>0</v>
      </c>
      <c r="H239" s="388"/>
      <c r="I239" s="388">
        <f>GAAP!I235</f>
        <v>94989.88</v>
      </c>
      <c r="J239" s="388">
        <f>GAAP!F235</f>
        <v>94989.88</v>
      </c>
      <c r="K239" s="388">
        <f t="shared" si="201"/>
        <v>0</v>
      </c>
      <c r="L239" s="388"/>
      <c r="M239" s="389">
        <f t="shared" si="202"/>
        <v>0</v>
      </c>
      <c r="N239" s="390">
        <f t="shared" si="203"/>
        <v>0</v>
      </c>
      <c r="O239" s="390">
        <f t="shared" si="204"/>
        <v>0</v>
      </c>
      <c r="P239" s="379"/>
      <c r="Q239" s="387">
        <f t="shared" si="205"/>
        <v>94989.88</v>
      </c>
      <c r="R239" s="388">
        <f>Bonus!Q235</f>
        <v>94989.88</v>
      </c>
      <c r="S239" s="388">
        <f>Bonus!S235</f>
        <v>0</v>
      </c>
      <c r="T239" s="388"/>
      <c r="U239" s="388">
        <f t="shared" si="206"/>
        <v>94989.88</v>
      </c>
      <c r="V239" s="388">
        <f>GAAP!Q235</f>
        <v>94989.88</v>
      </c>
      <c r="W239" s="388">
        <f>GAAP!S235</f>
        <v>0</v>
      </c>
      <c r="X239" s="388"/>
      <c r="Y239" s="389">
        <f t="shared" si="207"/>
        <v>0</v>
      </c>
      <c r="Z239" s="390">
        <f t="shared" si="208"/>
        <v>0</v>
      </c>
      <c r="AA239" s="391">
        <f t="shared" si="209"/>
        <v>0</v>
      </c>
      <c r="AC239" s="621">
        <f t="shared" si="183"/>
        <v>0</v>
      </c>
    </row>
    <row r="240" spans="1:29" s="240" customFormat="1" ht="15" hidden="1" customHeight="1">
      <c r="A240" s="329"/>
      <c r="B240" s="235"/>
      <c r="C240" s="477"/>
      <c r="D240" s="477"/>
      <c r="E240" s="370"/>
      <c r="F240" s="371"/>
      <c r="G240" s="371"/>
      <c r="H240" s="371"/>
      <c r="I240" s="371"/>
      <c r="J240" s="371"/>
      <c r="K240" s="371"/>
      <c r="L240" s="371"/>
      <c r="M240" s="372"/>
      <c r="N240" s="256"/>
      <c r="O240" s="256"/>
      <c r="P240" s="379"/>
      <c r="Q240" s="371"/>
      <c r="R240" s="371"/>
      <c r="S240" s="371"/>
      <c r="T240" s="371"/>
      <c r="U240" s="371"/>
      <c r="V240" s="371"/>
      <c r="W240" s="388">
        <f t="shared" ref="W240" si="210">U240-V240</f>
        <v>0</v>
      </c>
      <c r="X240" s="371"/>
      <c r="Y240" s="372"/>
      <c r="Z240" s="256"/>
      <c r="AA240" s="373"/>
      <c r="AC240" s="380">
        <f t="shared" si="183"/>
        <v>0</v>
      </c>
    </row>
    <row r="241" spans="1:29" ht="15" customHeight="1">
      <c r="A241" s="330" t="s">
        <v>325</v>
      </c>
      <c r="B241" s="240"/>
      <c r="C241" s="240"/>
      <c r="D241" s="240"/>
      <c r="E241" s="372">
        <f>SUM(E$227:E$240)</f>
        <v>641453357.82462037</v>
      </c>
      <c r="F241" s="256">
        <f>SUM(F$227:F$240)</f>
        <v>620195169.08999991</v>
      </c>
      <c r="G241" s="256">
        <f>SUM(G$227:G$240)</f>
        <v>21258188.734620545</v>
      </c>
      <c r="H241" s="256"/>
      <c r="I241" s="256">
        <f>SUM(I$227:I$240)</f>
        <v>640783980.33705211</v>
      </c>
      <c r="J241" s="256">
        <f>SUM(J$227:J$240)</f>
        <v>620195169.08999991</v>
      </c>
      <c r="K241" s="256">
        <f>SUM(K$227:K$240)</f>
        <v>20588811.247052327</v>
      </c>
      <c r="L241" s="256"/>
      <c r="M241" s="372">
        <f>SUM(M$227:M$240)</f>
        <v>669377.48756822059</v>
      </c>
      <c r="N241" s="256">
        <f>SUM(N$227:N$240)</f>
        <v>0</v>
      </c>
      <c r="O241" s="256">
        <f>SUM(O$227:O$240)</f>
        <v>669377.48756822059</v>
      </c>
      <c r="P241" s="380"/>
      <c r="Q241" s="256">
        <f>SUM(Q$227:Q$240)</f>
        <v>114262837.1978865</v>
      </c>
      <c r="R241" s="256">
        <f>SUM(R$227:R$240)</f>
        <v>114686686.67</v>
      </c>
      <c r="S241" s="256">
        <f>SUM(S$227:S$240)</f>
        <v>-423849.47211347392</v>
      </c>
      <c r="T241" s="256"/>
      <c r="U241" s="256">
        <f>SUM(U$227:U$240)</f>
        <v>117014271.91082156</v>
      </c>
      <c r="V241" s="256">
        <f>SUM(V$227:V$240)</f>
        <v>114686686.67</v>
      </c>
      <c r="W241" s="256">
        <f>SUM(W$227:W$240)</f>
        <v>2327585.240821572</v>
      </c>
      <c r="X241" s="256"/>
      <c r="Y241" s="372">
        <f>SUM(Y$227:Y$240)</f>
        <v>-2751434.7129350468</v>
      </c>
      <c r="Z241" s="256">
        <f>SUM(Z$227:Z$240)</f>
        <v>0</v>
      </c>
      <c r="AA241" s="373">
        <f>SUM(AA$227:AA$240)</f>
        <v>-2751434.7129350468</v>
      </c>
      <c r="AC241" s="380">
        <f t="shared" si="183"/>
        <v>3420812.2005032673</v>
      </c>
    </row>
    <row r="242" spans="1:29" ht="15" customHeight="1">
      <c r="A242" s="330"/>
      <c r="B242" s="240"/>
      <c r="C242" s="240"/>
      <c r="D242" s="240"/>
      <c r="E242" s="372"/>
      <c r="F242" s="256"/>
      <c r="G242" s="256"/>
      <c r="H242" s="256"/>
      <c r="I242" s="256"/>
      <c r="J242" s="256"/>
      <c r="K242" s="256"/>
      <c r="L242" s="256"/>
      <c r="M242" s="372"/>
      <c r="N242" s="256"/>
      <c r="O242" s="256"/>
      <c r="P242" s="380"/>
      <c r="Q242" s="256"/>
      <c r="R242" s="256"/>
      <c r="S242" s="256"/>
      <c r="T242" s="256"/>
      <c r="U242" s="256"/>
      <c r="V242" s="256"/>
      <c r="W242" s="256"/>
      <c r="X242" s="256"/>
      <c r="Y242" s="372"/>
      <c r="Z242" s="256"/>
      <c r="AA242" s="373"/>
      <c r="AC242" s="380"/>
    </row>
    <row r="243" spans="1:29" ht="15" customHeight="1">
      <c r="A243" s="330" t="s">
        <v>326</v>
      </c>
      <c r="E243" s="370"/>
      <c r="F243" s="371"/>
      <c r="G243" s="371"/>
      <c r="H243" s="371"/>
      <c r="I243" s="371"/>
      <c r="J243" s="371"/>
      <c r="K243" s="371"/>
      <c r="L243" s="371"/>
      <c r="M243" s="372"/>
      <c r="N243" s="256"/>
      <c r="O243" s="256"/>
      <c r="P243" s="379"/>
      <c r="Q243" s="371"/>
      <c r="R243" s="371"/>
      <c r="S243" s="371"/>
      <c r="T243" s="371"/>
      <c r="U243" s="371"/>
      <c r="V243" s="371"/>
      <c r="W243" s="371"/>
      <c r="X243" s="371"/>
      <c r="Y243" s="372"/>
      <c r="Z243" s="256"/>
      <c r="AA243" s="373"/>
      <c r="AC243" s="380"/>
    </row>
    <row r="244" spans="1:29" ht="15" customHeight="1">
      <c r="A244" s="385">
        <f>Bonus!A240</f>
        <v>55.122999999999998</v>
      </c>
      <c r="B244" s="386" t="str">
        <f>Bonus!B240</f>
        <v>Anaergia Technologies - VVWRA - DAF 3 Replacement</v>
      </c>
      <c r="C244" s="468">
        <f>Bonus!G240</f>
        <v>1</v>
      </c>
      <c r="D244" s="468">
        <f>GAAP!G240</f>
        <v>1</v>
      </c>
      <c r="E244" s="387">
        <f>Bonus!I240</f>
        <v>2273682.69</v>
      </c>
      <c r="F244" s="388">
        <f>Bonus!F240</f>
        <v>1665145.3</v>
      </c>
      <c r="G244" s="388">
        <f t="shared" ref="G244" si="211">E244-F244</f>
        <v>608537.3899999999</v>
      </c>
      <c r="H244" s="388"/>
      <c r="I244" s="388">
        <f>GAAP!I240</f>
        <v>2273682.69</v>
      </c>
      <c r="J244" s="388">
        <f>GAAP!F240</f>
        <v>1665145.3</v>
      </c>
      <c r="K244" s="388">
        <f t="shared" ref="K244" si="212">I244-J244</f>
        <v>608537.3899999999</v>
      </c>
      <c r="L244" s="388"/>
      <c r="M244" s="389">
        <f t="shared" ref="M244" si="213">E244-I244</f>
        <v>0</v>
      </c>
      <c r="N244" s="390">
        <f t="shared" ref="N244" si="214">F244-J244</f>
        <v>0</v>
      </c>
      <c r="O244" s="390">
        <f t="shared" ref="O244" si="215">G244-K244</f>
        <v>0</v>
      </c>
      <c r="P244" s="379"/>
      <c r="Q244" s="387">
        <f t="shared" ref="Q244" si="216">R244+S244</f>
        <v>128285.35648418352</v>
      </c>
      <c r="R244" s="388">
        <f>Bonus!Q240</f>
        <v>0</v>
      </c>
      <c r="S244" s="388">
        <f>Bonus!S240</f>
        <v>128285.35648418352</v>
      </c>
      <c r="T244" s="388"/>
      <c r="U244" s="388">
        <f t="shared" ref="U244" si="217">V244+W244</f>
        <v>128285.35648418352</v>
      </c>
      <c r="V244" s="388">
        <f>GAAP!Q240</f>
        <v>0</v>
      </c>
      <c r="W244" s="388">
        <f>GAAP!S240</f>
        <v>128285.35648418352</v>
      </c>
      <c r="X244" s="388"/>
      <c r="Y244" s="389">
        <f t="shared" ref="Y244" si="218">Q244-U244</f>
        <v>0</v>
      </c>
      <c r="Z244" s="390">
        <f t="shared" ref="Z244" si="219">R244-V244</f>
        <v>0</v>
      </c>
      <c r="AA244" s="391">
        <f t="shared" ref="AA244" si="220">S244-W244</f>
        <v>0</v>
      </c>
      <c r="AC244" s="621">
        <f t="shared" si="183"/>
        <v>0</v>
      </c>
    </row>
    <row r="245" spans="1:29" s="240" customFormat="1" ht="15" customHeight="1">
      <c r="A245" s="385">
        <f>Bonus!A241</f>
        <v>55.123100000000001</v>
      </c>
      <c r="B245" s="386" t="str">
        <f>Bonus!B241</f>
        <v>City of Corona - WRF 1 Aeration System Improvements</v>
      </c>
      <c r="C245" s="468">
        <f>Bonus!G241</f>
        <v>1</v>
      </c>
      <c r="D245" s="468">
        <f>GAAP!G241</f>
        <v>1</v>
      </c>
      <c r="E245" s="387">
        <f>Bonus!I241</f>
        <v>4046200</v>
      </c>
      <c r="F245" s="388">
        <f>Bonus!F241</f>
        <v>3321856.36</v>
      </c>
      <c r="G245" s="388">
        <f t="shared" ref="G245" si="221">E245-F245</f>
        <v>724343.64000000013</v>
      </c>
      <c r="H245" s="388"/>
      <c r="I245" s="388">
        <f>GAAP!I241</f>
        <v>4046200</v>
      </c>
      <c r="J245" s="388">
        <f>GAAP!F241</f>
        <v>3321856.36</v>
      </c>
      <c r="K245" s="388">
        <f t="shared" ref="K245" si="222">I245-J245</f>
        <v>724343.64000000013</v>
      </c>
      <c r="L245" s="388"/>
      <c r="M245" s="389">
        <f t="shared" ref="M245" si="223">E245-I245</f>
        <v>0</v>
      </c>
      <c r="N245" s="390">
        <f t="shared" ref="N245" si="224">F245-J245</f>
        <v>0</v>
      </c>
      <c r="O245" s="390">
        <f t="shared" ref="O245" si="225">G245-K245</f>
        <v>0</v>
      </c>
      <c r="P245" s="379"/>
      <c r="Q245" s="387">
        <f t="shared" ref="Q245" si="226">R245+S245</f>
        <v>112084.85460448172</v>
      </c>
      <c r="R245" s="388">
        <f>Bonus!Q241</f>
        <v>15648.60999999987</v>
      </c>
      <c r="S245" s="388">
        <f>Bonus!S241</f>
        <v>96436.24460448185</v>
      </c>
      <c r="T245" s="388"/>
      <c r="U245" s="388">
        <f t="shared" ref="U245" si="227">V245+W245</f>
        <v>112084.85460448172</v>
      </c>
      <c r="V245" s="388">
        <f>GAAP!Q241</f>
        <v>15648.60999999987</v>
      </c>
      <c r="W245" s="388">
        <f>GAAP!S241</f>
        <v>96436.24460448185</v>
      </c>
      <c r="X245" s="388"/>
      <c r="Y245" s="389">
        <f t="shared" ref="Y245" si="228">Q245-U245</f>
        <v>0</v>
      </c>
      <c r="Z245" s="390">
        <f t="shared" ref="Z245" si="229">R245-V245</f>
        <v>0</v>
      </c>
      <c r="AA245" s="391">
        <f t="shared" ref="AA245" si="230">S245-W245</f>
        <v>0</v>
      </c>
      <c r="AC245" s="621">
        <f t="shared" si="183"/>
        <v>0</v>
      </c>
    </row>
    <row r="246" spans="1:29" s="240" customFormat="1" ht="15" customHeight="1">
      <c r="A246" s="385">
        <f>Bonus!A242</f>
        <v>55.123800000000003</v>
      </c>
      <c r="B246" s="386" t="str">
        <f>Bonus!B242</f>
        <v>Anaergia Technologies LLC - East County Package 5</v>
      </c>
      <c r="C246" s="468">
        <f>Bonus!G242</f>
        <v>1</v>
      </c>
      <c r="D246" s="468">
        <f>GAAP!G242</f>
        <v>1</v>
      </c>
      <c r="E246" s="387">
        <f>Bonus!I242</f>
        <v>34207.53</v>
      </c>
      <c r="F246" s="388">
        <f>Bonus!F242</f>
        <v>32500.859999999997</v>
      </c>
      <c r="G246" s="388">
        <f t="shared" ref="G246" si="231">E246-F246</f>
        <v>1706.6700000000019</v>
      </c>
      <c r="H246" s="388"/>
      <c r="I246" s="388">
        <f>GAAP!I242</f>
        <v>34207.53</v>
      </c>
      <c r="J246" s="388">
        <f>GAAP!F242</f>
        <v>32500.859999999997</v>
      </c>
      <c r="K246" s="388">
        <f t="shared" ref="K246" si="232">I246-J246</f>
        <v>1706.6700000000019</v>
      </c>
      <c r="L246" s="388"/>
      <c r="M246" s="389">
        <f t="shared" ref="M246" si="233">E246-I246</f>
        <v>0</v>
      </c>
      <c r="N246" s="390">
        <f t="shared" ref="N246" si="234">F246-J246</f>
        <v>0</v>
      </c>
      <c r="O246" s="390">
        <f t="shared" ref="O246" si="235">G246-K246</f>
        <v>0</v>
      </c>
      <c r="P246" s="379"/>
      <c r="Q246" s="387">
        <f t="shared" ref="Q246" si="236">R246+S246</f>
        <v>0</v>
      </c>
      <c r="R246" s="388">
        <f>Bonus!Q242</f>
        <v>6400.8099999999977</v>
      </c>
      <c r="S246" s="388">
        <f>Bonus!S242</f>
        <v>-6400.8099999999977</v>
      </c>
      <c r="T246" s="388"/>
      <c r="U246" s="388">
        <f t="shared" ref="U246" si="237">V246+W246</f>
        <v>0</v>
      </c>
      <c r="V246" s="388">
        <f>GAAP!Q242</f>
        <v>6400.8099999999977</v>
      </c>
      <c r="W246" s="388">
        <f>GAAP!S242</f>
        <v>-6400.8099999999977</v>
      </c>
      <c r="X246" s="388"/>
      <c r="Y246" s="389">
        <f t="shared" ref="Y246" si="238">Q246-U246</f>
        <v>0</v>
      </c>
      <c r="Z246" s="390">
        <f t="shared" ref="Z246" si="239">R246-V246</f>
        <v>0</v>
      </c>
      <c r="AA246" s="391">
        <f t="shared" ref="AA246" si="240">S246-W246</f>
        <v>0</v>
      </c>
      <c r="AC246" s="621">
        <f t="shared" si="183"/>
        <v>0</v>
      </c>
    </row>
    <row r="247" spans="1:29" s="240" customFormat="1" ht="15" customHeight="1">
      <c r="A247" s="385">
        <f>Bonus!A243</f>
        <v>55.125</v>
      </c>
      <c r="B247" s="386" t="str">
        <f>Bonus!B243</f>
        <v>Anaergia Technologies LLC - VVWRA Digester Dome No. 1 Repair</v>
      </c>
      <c r="C247" s="468">
        <f>Bonus!G243</f>
        <v>1</v>
      </c>
      <c r="D247" s="468">
        <f>GAAP!G243</f>
        <v>1</v>
      </c>
      <c r="E247" s="387">
        <f>Bonus!I243</f>
        <v>184557.17</v>
      </c>
      <c r="F247" s="388">
        <f>Bonus!F243</f>
        <v>48293.94</v>
      </c>
      <c r="G247" s="388">
        <f t="shared" ref="G247:G248" si="241">E247-F247</f>
        <v>136263.23000000001</v>
      </c>
      <c r="H247" s="388"/>
      <c r="I247" s="388">
        <f>GAAP!I243</f>
        <v>184557.17</v>
      </c>
      <c r="J247" s="388">
        <f>GAAP!F243</f>
        <v>48293.94</v>
      </c>
      <c r="K247" s="388">
        <f t="shared" ref="K247:K248" si="242">I247-J247</f>
        <v>136263.23000000001</v>
      </c>
      <c r="L247" s="388"/>
      <c r="M247" s="389">
        <f t="shared" ref="M247:M248" si="243">E247-I247</f>
        <v>0</v>
      </c>
      <c r="N247" s="390">
        <f t="shared" ref="N247:N248" si="244">F247-J247</f>
        <v>0</v>
      </c>
      <c r="O247" s="390">
        <f t="shared" ref="O247:O248" si="245">G247-K247</f>
        <v>0</v>
      </c>
      <c r="P247" s="379"/>
      <c r="Q247" s="387">
        <f t="shared" ref="Q247:Q248" si="246">R247+S247</f>
        <v>36965.370200954552</v>
      </c>
      <c r="R247" s="388">
        <f>Bonus!Q243</f>
        <v>1754.3000000000029</v>
      </c>
      <c r="S247" s="388">
        <f>Bonus!S243</f>
        <v>35211.070200954549</v>
      </c>
      <c r="T247" s="388"/>
      <c r="U247" s="388">
        <f t="shared" ref="U247:U248" si="247">V247+W247</f>
        <v>36965.370200954552</v>
      </c>
      <c r="V247" s="388">
        <f>GAAP!Q243</f>
        <v>1754.3000000000029</v>
      </c>
      <c r="W247" s="388">
        <f>GAAP!S243</f>
        <v>35211.070200954549</v>
      </c>
      <c r="X247" s="388"/>
      <c r="Y247" s="389">
        <f t="shared" ref="Y247:Y248" si="248">Q247-U247</f>
        <v>0</v>
      </c>
      <c r="Z247" s="390">
        <f t="shared" ref="Z247:Z248" si="249">R247-V247</f>
        <v>0</v>
      </c>
      <c r="AA247" s="391">
        <f t="shared" ref="AA247:AA248" si="250">S247-W247</f>
        <v>0</v>
      </c>
      <c r="AC247" s="621">
        <f t="shared" si="183"/>
        <v>0</v>
      </c>
    </row>
    <row r="248" spans="1:29" s="240" customFormat="1" ht="15" customHeight="1">
      <c r="A248" s="385">
        <f>Bonus!A244</f>
        <v>55.125100000000003</v>
      </c>
      <c r="B248" s="386" t="str">
        <f>Bonus!B244</f>
        <v>Woodard &amp; Curran, Inc. - VVWRA Magnesium Hydroxide Feed System Upgrade</v>
      </c>
      <c r="C248" s="468">
        <f>Bonus!G244</f>
        <v>1</v>
      </c>
      <c r="D248" s="468">
        <f>GAAP!G244</f>
        <v>1</v>
      </c>
      <c r="E248" s="387">
        <f>Bonus!I244</f>
        <v>322982.96000000002</v>
      </c>
      <c r="F248" s="388">
        <f>Bonus!F244</f>
        <v>284221.86</v>
      </c>
      <c r="G248" s="388">
        <f t="shared" si="241"/>
        <v>38761.100000000035</v>
      </c>
      <c r="H248" s="388"/>
      <c r="I248" s="388">
        <f>GAAP!I244</f>
        <v>322982.96000000002</v>
      </c>
      <c r="J248" s="388">
        <f>GAAP!F244</f>
        <v>284221.86</v>
      </c>
      <c r="K248" s="388">
        <f t="shared" si="242"/>
        <v>38761.100000000035</v>
      </c>
      <c r="L248" s="388"/>
      <c r="M248" s="389">
        <f t="shared" si="243"/>
        <v>0</v>
      </c>
      <c r="N248" s="390">
        <f t="shared" si="244"/>
        <v>0</v>
      </c>
      <c r="O248" s="390">
        <f t="shared" si="245"/>
        <v>0</v>
      </c>
      <c r="P248" s="379"/>
      <c r="Q248" s="387">
        <f t="shared" si="246"/>
        <v>322982.96000000002</v>
      </c>
      <c r="R248" s="388">
        <f>Bonus!Q244</f>
        <v>284221.86</v>
      </c>
      <c r="S248" s="388">
        <f>Bonus!S244</f>
        <v>38761.100000000035</v>
      </c>
      <c r="T248" s="388"/>
      <c r="U248" s="388">
        <f t="shared" si="247"/>
        <v>322982.96000000002</v>
      </c>
      <c r="V248" s="388">
        <f>GAAP!Q244</f>
        <v>284221.86</v>
      </c>
      <c r="W248" s="388">
        <f>GAAP!S244</f>
        <v>38761.100000000035</v>
      </c>
      <c r="X248" s="388"/>
      <c r="Y248" s="389">
        <f t="shared" si="248"/>
        <v>0</v>
      </c>
      <c r="Z248" s="390">
        <f t="shared" si="249"/>
        <v>0</v>
      </c>
      <c r="AA248" s="391">
        <f t="shared" si="250"/>
        <v>0</v>
      </c>
      <c r="AC248" s="621">
        <f t="shared" si="183"/>
        <v>0</v>
      </c>
    </row>
    <row r="249" spans="1:29" s="240" customFormat="1" ht="15" customHeight="1">
      <c r="A249" s="385">
        <f>Bonus!A245</f>
        <v>55.1252</v>
      </c>
      <c r="B249" s="386" t="str">
        <f>Bonus!B245</f>
        <v>Murrieta Overhead 2025</v>
      </c>
      <c r="C249" s="468">
        <f>Bonus!G245</f>
        <v>1</v>
      </c>
      <c r="D249" s="468">
        <f>GAAP!G245</f>
        <v>1</v>
      </c>
      <c r="E249" s="387">
        <f>Bonus!I245</f>
        <v>0</v>
      </c>
      <c r="F249" s="388">
        <f>Bonus!F245</f>
        <v>1958826.45</v>
      </c>
      <c r="G249" s="388">
        <f t="shared" ref="G249:G250" si="251">E249-F249</f>
        <v>-1958826.45</v>
      </c>
      <c r="H249" s="388"/>
      <c r="I249" s="388">
        <f>GAAP!I245</f>
        <v>0</v>
      </c>
      <c r="J249" s="388">
        <f>GAAP!F245</f>
        <v>1958826.45</v>
      </c>
      <c r="K249" s="388">
        <f t="shared" ref="K249:K250" si="252">I249-J249</f>
        <v>-1958826.45</v>
      </c>
      <c r="L249" s="388"/>
      <c r="M249" s="389">
        <f t="shared" ref="M249:M250" si="253">E249-I249</f>
        <v>0</v>
      </c>
      <c r="N249" s="390">
        <f t="shared" ref="N249:N250" si="254">F249-J249</f>
        <v>0</v>
      </c>
      <c r="O249" s="390">
        <f t="shared" ref="O249:O250" si="255">G249-K249</f>
        <v>0</v>
      </c>
      <c r="P249" s="379"/>
      <c r="Q249" s="387">
        <f t="shared" ref="Q249:Q250" si="256">R249+S249</f>
        <v>0</v>
      </c>
      <c r="R249" s="388">
        <f>Bonus!Q245</f>
        <v>1958826.45</v>
      </c>
      <c r="S249" s="388">
        <f>Bonus!S245</f>
        <v>-1958826.45</v>
      </c>
      <c r="T249" s="388"/>
      <c r="U249" s="388">
        <f t="shared" ref="U249:U250" si="257">V249+W249</f>
        <v>0</v>
      </c>
      <c r="V249" s="388">
        <f>GAAP!Q245</f>
        <v>1958826.45</v>
      </c>
      <c r="W249" s="388">
        <f>GAAP!S245</f>
        <v>-1958826.45</v>
      </c>
      <c r="X249" s="388"/>
      <c r="Y249" s="389">
        <f t="shared" ref="Y249:Y250" si="258">Q249-U249</f>
        <v>0</v>
      </c>
      <c r="Z249" s="390">
        <f t="shared" ref="Z249:Z250" si="259">R249-V249</f>
        <v>0</v>
      </c>
      <c r="AA249" s="391">
        <f t="shared" ref="AA249:AA250" si="260">S249-W249</f>
        <v>0</v>
      </c>
      <c r="AC249" s="621">
        <f t="shared" si="183"/>
        <v>0</v>
      </c>
    </row>
    <row r="250" spans="1:29" s="240" customFormat="1" ht="15" customHeight="1">
      <c r="A250" s="385">
        <f>Bonus!A246</f>
        <v>55.125300000000003</v>
      </c>
      <c r="B250" s="386" t="str">
        <f>Bonus!B246</f>
        <v>Murrieta Estimating 2025</v>
      </c>
      <c r="C250" s="468">
        <f>Bonus!G246</f>
        <v>1</v>
      </c>
      <c r="D250" s="468">
        <f>GAAP!G246</f>
        <v>1</v>
      </c>
      <c r="E250" s="387">
        <f>Bonus!I246</f>
        <v>0</v>
      </c>
      <c r="F250" s="388">
        <f>Bonus!F246</f>
        <v>475814.03</v>
      </c>
      <c r="G250" s="388">
        <f t="shared" si="251"/>
        <v>-475814.03</v>
      </c>
      <c r="H250" s="388"/>
      <c r="I250" s="388">
        <f>GAAP!I246</f>
        <v>0</v>
      </c>
      <c r="J250" s="388">
        <f>GAAP!F246</f>
        <v>475814.03</v>
      </c>
      <c r="K250" s="388">
        <f t="shared" si="252"/>
        <v>-475814.03</v>
      </c>
      <c r="L250" s="388"/>
      <c r="M250" s="389">
        <f t="shared" si="253"/>
        <v>0</v>
      </c>
      <c r="N250" s="390">
        <f t="shared" si="254"/>
        <v>0</v>
      </c>
      <c r="O250" s="390">
        <f t="shared" si="255"/>
        <v>0</v>
      </c>
      <c r="P250" s="379"/>
      <c r="Q250" s="387">
        <f t="shared" si="256"/>
        <v>0</v>
      </c>
      <c r="R250" s="388">
        <f>Bonus!Q246</f>
        <v>475814.03</v>
      </c>
      <c r="S250" s="388">
        <f>Bonus!S246</f>
        <v>-475814.03</v>
      </c>
      <c r="T250" s="388"/>
      <c r="U250" s="388">
        <f t="shared" si="257"/>
        <v>0</v>
      </c>
      <c r="V250" s="388">
        <f>GAAP!Q246</f>
        <v>475814.03</v>
      </c>
      <c r="W250" s="388">
        <f>GAAP!S246</f>
        <v>-475814.03</v>
      </c>
      <c r="X250" s="388"/>
      <c r="Y250" s="389">
        <f t="shared" si="258"/>
        <v>0</v>
      </c>
      <c r="Z250" s="390">
        <f t="shared" si="259"/>
        <v>0</v>
      </c>
      <c r="AA250" s="391">
        <f t="shared" si="260"/>
        <v>0</v>
      </c>
      <c r="AC250" s="621">
        <f t="shared" si="183"/>
        <v>0</v>
      </c>
    </row>
    <row r="251" spans="1:29" ht="15" hidden="1" customHeight="1">
      <c r="A251" s="385"/>
      <c r="B251" s="386"/>
      <c r="C251" s="468"/>
      <c r="D251" s="468"/>
      <c r="E251" s="387"/>
      <c r="F251" s="388"/>
      <c r="G251" s="388"/>
      <c r="H251" s="388"/>
      <c r="I251" s="388"/>
      <c r="J251" s="388"/>
      <c r="K251" s="388"/>
      <c r="L251" s="388"/>
      <c r="M251" s="389"/>
      <c r="N251" s="390"/>
      <c r="O251" s="390"/>
      <c r="P251" s="379"/>
      <c r="Q251" s="388"/>
      <c r="R251" s="388"/>
      <c r="S251" s="388"/>
      <c r="T251" s="388"/>
      <c r="U251" s="388"/>
      <c r="V251" s="388"/>
      <c r="W251" s="388"/>
      <c r="X251" s="388"/>
      <c r="Y251" s="389"/>
      <c r="Z251" s="390"/>
      <c r="AA251" s="391"/>
      <c r="AC251" s="621">
        <f t="shared" si="183"/>
        <v>0</v>
      </c>
    </row>
    <row r="252" spans="1:29" ht="15" customHeight="1">
      <c r="A252" s="240" t="s">
        <v>327</v>
      </c>
      <c r="B252" s="393"/>
      <c r="C252" s="393"/>
      <c r="D252" s="393"/>
      <c r="E252" s="395">
        <f>SUM(E$244:E$251)</f>
        <v>6861630.3499999996</v>
      </c>
      <c r="F252" s="396">
        <f>SUM(F$244:F$251)</f>
        <v>7786658.8000000017</v>
      </c>
      <c r="G252" s="396">
        <f>SUM(G$244:G$251)</f>
        <v>-925028.45</v>
      </c>
      <c r="H252" s="394"/>
      <c r="I252" s="396">
        <f t="shared" ref="I252:K252" si="261">SUM(I$244:I$251)</f>
        <v>6861630.3499999996</v>
      </c>
      <c r="J252" s="396">
        <f t="shared" si="261"/>
        <v>7786658.8000000017</v>
      </c>
      <c r="K252" s="396">
        <f t="shared" si="261"/>
        <v>-925028.45</v>
      </c>
      <c r="L252" s="394"/>
      <c r="M252" s="395">
        <f t="shared" ref="M252:O252" si="262">SUM(M$244:M$251)</f>
        <v>0</v>
      </c>
      <c r="N252" s="396">
        <f t="shared" si="262"/>
        <v>0</v>
      </c>
      <c r="O252" s="396">
        <f t="shared" si="262"/>
        <v>0</v>
      </c>
      <c r="P252" s="379"/>
      <c r="Q252" s="396">
        <f t="shared" ref="Q252:S252" si="263">SUM(Q$244:Q$251)</f>
        <v>600318.54128961987</v>
      </c>
      <c r="R252" s="396">
        <f t="shared" si="263"/>
        <v>2742666.0599999996</v>
      </c>
      <c r="S252" s="396">
        <f t="shared" si="263"/>
        <v>-2142347.51871038</v>
      </c>
      <c r="T252" s="396"/>
      <c r="U252" s="396">
        <f t="shared" ref="U252:W252" si="264">SUM(U$244:U$251)</f>
        <v>600318.54128961987</v>
      </c>
      <c r="V252" s="396">
        <f t="shared" si="264"/>
        <v>2742666.0599999996</v>
      </c>
      <c r="W252" s="396">
        <f t="shared" si="264"/>
        <v>-2142347.51871038</v>
      </c>
      <c r="X252" s="394"/>
      <c r="Y252" s="395">
        <f t="shared" ref="Y252:AA252" si="265">SUM(Y$244:Y$251)</f>
        <v>0</v>
      </c>
      <c r="Z252" s="396">
        <f t="shared" si="265"/>
        <v>0</v>
      </c>
      <c r="AA252" s="447">
        <f t="shared" si="265"/>
        <v>0</v>
      </c>
      <c r="AC252" s="623">
        <f t="shared" si="183"/>
        <v>0</v>
      </c>
    </row>
    <row r="253" spans="1:29" ht="15" customHeight="1">
      <c r="A253" s="330"/>
      <c r="B253" s="240"/>
      <c r="C253" s="240"/>
      <c r="D253" s="240"/>
      <c r="E253" s="372"/>
      <c r="F253" s="256"/>
      <c r="G253" s="256"/>
      <c r="H253" s="256"/>
      <c r="I253" s="256"/>
      <c r="J253" s="256"/>
      <c r="K253" s="256"/>
      <c r="L253" s="256"/>
      <c r="M253" s="372"/>
      <c r="N253" s="256"/>
      <c r="O253" s="256"/>
      <c r="P253" s="380"/>
      <c r="Q253" s="256"/>
      <c r="R253" s="256"/>
      <c r="S253" s="256"/>
      <c r="T253" s="256"/>
      <c r="U253" s="256"/>
      <c r="V253" s="256"/>
      <c r="W253" s="256"/>
      <c r="X253" s="256"/>
      <c r="Y253" s="372"/>
      <c r="Z253" s="256"/>
      <c r="AA253" s="373"/>
      <c r="AC253" s="380">
        <f t="shared" si="183"/>
        <v>0</v>
      </c>
    </row>
    <row r="254" spans="1:29" ht="15" customHeight="1">
      <c r="A254" s="330" t="s">
        <v>328</v>
      </c>
      <c r="B254" s="240"/>
      <c r="C254" s="240"/>
      <c r="D254" s="240"/>
      <c r="E254" s="372">
        <f>E241+E252</f>
        <v>648314988.17462039</v>
      </c>
      <c r="F254" s="256">
        <f>F241+F252</f>
        <v>627981827.88999987</v>
      </c>
      <c r="G254" s="256">
        <f>G241+G252</f>
        <v>20333160.284620546</v>
      </c>
      <c r="H254" s="256"/>
      <c r="I254" s="256">
        <f>I241+I252</f>
        <v>647645610.68705213</v>
      </c>
      <c r="J254" s="256">
        <f>J241+J252</f>
        <v>627981827.88999987</v>
      </c>
      <c r="K254" s="256">
        <f>K241+K252</f>
        <v>19663782.797052328</v>
      </c>
      <c r="L254" s="256"/>
      <c r="M254" s="372">
        <f>M241+M252</f>
        <v>669377.48756822059</v>
      </c>
      <c r="N254" s="256">
        <f>N241+N252</f>
        <v>0</v>
      </c>
      <c r="O254" s="256">
        <f>O241+O252</f>
        <v>669377.48756822059</v>
      </c>
      <c r="P254" s="380"/>
      <c r="Q254" s="256">
        <f>Q241+Q252</f>
        <v>114863155.73917611</v>
      </c>
      <c r="R254" s="256">
        <f>R241+R252</f>
        <v>117429352.73</v>
      </c>
      <c r="S254" s="256">
        <f>S241+S252</f>
        <v>-2566196.9908238538</v>
      </c>
      <c r="T254" s="256"/>
      <c r="U254" s="256">
        <f>U241+U252</f>
        <v>117614590.45211117</v>
      </c>
      <c r="V254" s="256">
        <f>V241+V252</f>
        <v>117429352.73</v>
      </c>
      <c r="W254" s="256">
        <f>W241+W252</f>
        <v>185237.72211119207</v>
      </c>
      <c r="X254" s="256"/>
      <c r="Y254" s="372">
        <f>Y241+Y252</f>
        <v>-2751434.7129350468</v>
      </c>
      <c r="Z254" s="256">
        <f>Z241+Z252</f>
        <v>0</v>
      </c>
      <c r="AA254" s="373">
        <f>AA241+AA252</f>
        <v>-2751434.7129350468</v>
      </c>
      <c r="AC254" s="380">
        <f t="shared" si="183"/>
        <v>3420812.2005032673</v>
      </c>
    </row>
    <row r="255" spans="1:29" ht="15" customHeight="1">
      <c r="A255" s="330"/>
      <c r="B255" s="240"/>
      <c r="C255" s="240"/>
      <c r="D255" s="240"/>
      <c r="E255" s="372"/>
      <c r="F255" s="256"/>
      <c r="G255" s="256"/>
      <c r="H255" s="256"/>
      <c r="I255" s="256"/>
      <c r="J255" s="256"/>
      <c r="K255" s="256"/>
      <c r="L255" s="256"/>
      <c r="M255" s="372"/>
      <c r="N255" s="256"/>
      <c r="O255" s="256"/>
      <c r="P255" s="380"/>
      <c r="Q255" s="256"/>
      <c r="R255" s="256"/>
      <c r="S255" s="256"/>
      <c r="T255" s="256"/>
      <c r="U255" s="256"/>
      <c r="V255" s="256"/>
      <c r="W255" s="256"/>
      <c r="X255" s="256"/>
      <c r="Y255" s="372"/>
      <c r="Z255" s="256"/>
      <c r="AA255" s="373"/>
      <c r="AC255" s="380"/>
    </row>
    <row r="256" spans="1:29" s="240" customFormat="1">
      <c r="A256" s="330" t="s">
        <v>292</v>
      </c>
      <c r="B256" s="235"/>
      <c r="C256" s="235"/>
      <c r="D256" s="235"/>
      <c r="E256" s="370"/>
      <c r="F256" s="371"/>
      <c r="G256" s="371"/>
      <c r="H256" s="371"/>
      <c r="I256" s="371"/>
      <c r="J256" s="371"/>
      <c r="K256" s="371"/>
      <c r="L256" s="371"/>
      <c r="M256" s="372"/>
      <c r="N256" s="256"/>
      <c r="O256" s="256"/>
      <c r="P256" s="379"/>
      <c r="Q256" s="371"/>
      <c r="R256" s="371"/>
      <c r="S256" s="371"/>
      <c r="T256" s="371"/>
      <c r="U256" s="371"/>
      <c r="V256" s="371"/>
      <c r="W256" s="371"/>
      <c r="X256" s="371"/>
      <c r="Y256" s="372"/>
      <c r="Z256" s="256"/>
      <c r="AA256" s="373"/>
      <c r="AC256" s="380"/>
    </row>
    <row r="257" spans="1:29" s="240" customFormat="1" ht="15" customHeight="1">
      <c r="A257" s="385">
        <f>Bonus!A252</f>
        <v>57.000300000000003</v>
      </c>
      <c r="B257" s="386" t="str">
        <f>Bonus!B252</f>
        <v>Moulton Niguel Water Dist. - Advanced Water Treatment Facility Salinity Management System - Ph 1</v>
      </c>
      <c r="C257" s="468">
        <f>Bonus!G252</f>
        <v>0.17665557960076636</v>
      </c>
      <c r="D257" s="468">
        <f>GAAP!G252</f>
        <v>0.17665557960076636</v>
      </c>
      <c r="E257" s="387">
        <f>Bonus!I252</f>
        <v>6440831.3024788899</v>
      </c>
      <c r="F257" s="388">
        <f>Bonus!F252</f>
        <v>6316909.1299999999</v>
      </c>
      <c r="G257" s="388">
        <f t="shared" ref="G257" si="266">E257-F257</f>
        <v>123922.17247889005</v>
      </c>
      <c r="H257" s="388"/>
      <c r="I257" s="388">
        <f>GAAP!I252</f>
        <v>6742134.3024788899</v>
      </c>
      <c r="J257" s="388">
        <f>GAAP!F252</f>
        <v>6316909.1299999999</v>
      </c>
      <c r="K257" s="388">
        <f t="shared" ref="K257" si="267">I257-J257</f>
        <v>425225.17247889005</v>
      </c>
      <c r="L257" s="388"/>
      <c r="M257" s="389">
        <f t="shared" ref="M257" si="268">E257-I257</f>
        <v>-301303</v>
      </c>
      <c r="N257" s="390">
        <f t="shared" ref="N257" si="269">F257-J257</f>
        <v>0</v>
      </c>
      <c r="O257" s="390">
        <f t="shared" ref="O257" si="270">G257-K257</f>
        <v>-301303</v>
      </c>
      <c r="P257" s="379"/>
      <c r="Q257" s="387">
        <f t="shared" ref="Q257" si="271">R257+S257</f>
        <v>5442603.980669003</v>
      </c>
      <c r="R257" s="388">
        <f>Bonus!Q252</f>
        <v>5415067.2199999997</v>
      </c>
      <c r="S257" s="388">
        <f>Bonus!S252</f>
        <v>27536.760669002833</v>
      </c>
      <c r="T257" s="388"/>
      <c r="U257" s="388">
        <f t="shared" ref="U257" si="272">V257+W257</f>
        <v>5743906.980669003</v>
      </c>
      <c r="V257" s="388">
        <f>GAAP!Q252</f>
        <v>5415067.2199999997</v>
      </c>
      <c r="W257" s="388">
        <f>GAAP!S252</f>
        <v>328839.76066900307</v>
      </c>
      <c r="X257" s="388"/>
      <c r="Y257" s="389">
        <f t="shared" ref="Y257" si="273">Q257-U257</f>
        <v>-301303</v>
      </c>
      <c r="Z257" s="390">
        <f t="shared" ref="Z257" si="274">R257-V257</f>
        <v>0</v>
      </c>
      <c r="AA257" s="391">
        <f t="shared" ref="AA257" si="275">S257-W257</f>
        <v>-301303.00000000023</v>
      </c>
      <c r="AC257" s="621">
        <f t="shared" si="183"/>
        <v>0</v>
      </c>
    </row>
    <row r="258" spans="1:29" s="240" customFormat="1" ht="15" customHeight="1">
      <c r="A258" s="385">
        <f>Bonus!A253</f>
        <v>57.000399999999999</v>
      </c>
      <c r="B258" s="386" t="str">
        <f>Bonus!B253</f>
        <v>Santa Margarita Water Dist. - Oso Creek Water Reclamation Plant Optimization Project</v>
      </c>
      <c r="C258" s="468">
        <f>Bonus!G253</f>
        <v>1.9798701219217615E-2</v>
      </c>
      <c r="D258" s="468">
        <f>GAAP!G253</f>
        <v>1.9798701219217615E-2</v>
      </c>
      <c r="E258" s="387">
        <f>Bonus!I253</f>
        <v>750298.86</v>
      </c>
      <c r="F258" s="388">
        <f>Bonus!F253</f>
        <v>750298.86</v>
      </c>
      <c r="G258" s="388">
        <f t="shared" ref="G258:G260" si="276">E258-F258</f>
        <v>0</v>
      </c>
      <c r="H258" s="388"/>
      <c r="I258" s="388">
        <f>GAAP!I253</f>
        <v>750298.86</v>
      </c>
      <c r="J258" s="388">
        <f>GAAP!F253</f>
        <v>750298.86</v>
      </c>
      <c r="K258" s="388">
        <f t="shared" ref="K258:K260" si="277">I258-J258</f>
        <v>0</v>
      </c>
      <c r="L258" s="388"/>
      <c r="M258" s="389">
        <f t="shared" ref="M258:M260" si="278">E258-I258</f>
        <v>0</v>
      </c>
      <c r="N258" s="390">
        <f t="shared" ref="N258:N260" si="279">F258-J258</f>
        <v>0</v>
      </c>
      <c r="O258" s="390">
        <f t="shared" ref="O258:O260" si="280">G258-K258</f>
        <v>0</v>
      </c>
      <c r="P258" s="379"/>
      <c r="Q258" s="387">
        <f t="shared" ref="Q258:Q260" si="281">R258+S258</f>
        <v>63391.119999999995</v>
      </c>
      <c r="R258" s="388">
        <f>Bonus!Q253</f>
        <v>63391.119999999995</v>
      </c>
      <c r="S258" s="388">
        <f>Bonus!S253</f>
        <v>0</v>
      </c>
      <c r="T258" s="388"/>
      <c r="U258" s="388">
        <f t="shared" ref="U258:U260" si="282">V258+W258</f>
        <v>63391.119999999995</v>
      </c>
      <c r="V258" s="388">
        <f>GAAP!Q253</f>
        <v>63391.119999999995</v>
      </c>
      <c r="W258" s="388">
        <f>GAAP!S253</f>
        <v>0</v>
      </c>
      <c r="X258" s="388"/>
      <c r="Y258" s="389">
        <f t="shared" ref="Y258:Y260" si="283">Q258-U258</f>
        <v>0</v>
      </c>
      <c r="Z258" s="390">
        <f t="shared" ref="Z258:Z260" si="284">R258-V258</f>
        <v>0</v>
      </c>
      <c r="AA258" s="391">
        <f t="shared" ref="AA258:AA260" si="285">S258-W258</f>
        <v>0</v>
      </c>
      <c r="AC258" s="621">
        <f t="shared" si="183"/>
        <v>0</v>
      </c>
    </row>
    <row r="259" spans="1:29" s="240" customFormat="1" ht="15" customHeight="1">
      <c r="A259" s="385">
        <f>Bonus!A254</f>
        <v>57.000700000000002</v>
      </c>
      <c r="B259" s="386" t="str">
        <f>Bonus!B254</f>
        <v>Anaergia Technologies, LLC - East County Package 5 - Phase 1B</v>
      </c>
      <c r="C259" s="468">
        <f>Bonus!G254</f>
        <v>1</v>
      </c>
      <c r="D259" s="468">
        <f>GAAP!G254</f>
        <v>1</v>
      </c>
      <c r="E259" s="387">
        <f>Bonus!I254</f>
        <v>162630</v>
      </c>
      <c r="F259" s="388">
        <f>Bonus!F254</f>
        <v>196248.4</v>
      </c>
      <c r="G259" s="388">
        <f t="shared" si="276"/>
        <v>-33618.399999999994</v>
      </c>
      <c r="H259" s="388"/>
      <c r="I259" s="388">
        <f>GAAP!I254</f>
        <v>196248.4</v>
      </c>
      <c r="J259" s="388">
        <f>GAAP!F254</f>
        <v>196248.4</v>
      </c>
      <c r="K259" s="388">
        <f t="shared" si="277"/>
        <v>0</v>
      </c>
      <c r="L259" s="388"/>
      <c r="M259" s="389">
        <f t="shared" si="278"/>
        <v>-33618.399999999994</v>
      </c>
      <c r="N259" s="390">
        <f t="shared" si="279"/>
        <v>0</v>
      </c>
      <c r="O259" s="390">
        <f t="shared" si="280"/>
        <v>-33618.399999999994</v>
      </c>
      <c r="P259" s="379"/>
      <c r="Q259" s="387">
        <f t="shared" si="281"/>
        <v>162630</v>
      </c>
      <c r="R259" s="388">
        <f>Bonus!Q254</f>
        <v>196248.4</v>
      </c>
      <c r="S259" s="388">
        <f>Bonus!S254</f>
        <v>-33618.399999999994</v>
      </c>
      <c r="T259" s="388"/>
      <c r="U259" s="388">
        <f t="shared" si="282"/>
        <v>196248.4</v>
      </c>
      <c r="V259" s="388">
        <f>GAAP!Q254</f>
        <v>196248.4</v>
      </c>
      <c r="W259" s="388">
        <f>GAAP!S254</f>
        <v>0</v>
      </c>
      <c r="X259" s="388"/>
      <c r="Y259" s="389">
        <f t="shared" si="283"/>
        <v>-33618.399999999994</v>
      </c>
      <c r="Z259" s="390">
        <f t="shared" si="284"/>
        <v>0</v>
      </c>
      <c r="AA259" s="391">
        <f t="shared" si="285"/>
        <v>-33618.399999999994</v>
      </c>
      <c r="AC259" s="621">
        <f t="shared" si="183"/>
        <v>0</v>
      </c>
    </row>
    <row r="260" spans="1:29" s="240" customFormat="1" ht="15" customHeight="1">
      <c r="A260" s="385">
        <f>Bonus!A255</f>
        <v>57.000799999999998</v>
      </c>
      <c r="B260" s="386" t="str">
        <f>Bonus!B255</f>
        <v>Imperial Irrigation Dist. - El Centro Generating Station WWTP</v>
      </c>
      <c r="C260" s="468">
        <f>Bonus!G255</f>
        <v>9.5621203054538986E-2</v>
      </c>
      <c r="D260" s="468">
        <f>GAAP!G255</f>
        <v>9.5621203054538986E-2</v>
      </c>
      <c r="E260" s="387">
        <f>Bonus!I255</f>
        <v>262382.86</v>
      </c>
      <c r="F260" s="388">
        <f>Bonus!F255</f>
        <v>262382.86</v>
      </c>
      <c r="G260" s="388">
        <f t="shared" si="276"/>
        <v>0</v>
      </c>
      <c r="H260" s="388"/>
      <c r="I260" s="388">
        <f>GAAP!I255</f>
        <v>262382.86</v>
      </c>
      <c r="J260" s="388">
        <f>GAAP!F255</f>
        <v>262382.86</v>
      </c>
      <c r="K260" s="388">
        <f t="shared" si="277"/>
        <v>0</v>
      </c>
      <c r="L260" s="388"/>
      <c r="M260" s="389">
        <f t="shared" si="278"/>
        <v>0</v>
      </c>
      <c r="N260" s="390">
        <f t="shared" si="279"/>
        <v>0</v>
      </c>
      <c r="O260" s="390">
        <f t="shared" si="280"/>
        <v>0</v>
      </c>
      <c r="P260" s="379"/>
      <c r="Q260" s="387">
        <f t="shared" si="281"/>
        <v>262382.86</v>
      </c>
      <c r="R260" s="388">
        <f>Bonus!Q255</f>
        <v>262382.86</v>
      </c>
      <c r="S260" s="388">
        <f>Bonus!S255</f>
        <v>0</v>
      </c>
      <c r="T260" s="388"/>
      <c r="U260" s="388">
        <f t="shared" si="282"/>
        <v>262382.86</v>
      </c>
      <c r="V260" s="388">
        <f>GAAP!Q255</f>
        <v>262382.86</v>
      </c>
      <c r="W260" s="388">
        <f>GAAP!S255</f>
        <v>0</v>
      </c>
      <c r="X260" s="388"/>
      <c r="Y260" s="389">
        <f t="shared" si="283"/>
        <v>0</v>
      </c>
      <c r="Z260" s="390">
        <f t="shared" si="284"/>
        <v>0</v>
      </c>
      <c r="AA260" s="391">
        <f t="shared" si="285"/>
        <v>0</v>
      </c>
      <c r="AC260" s="621">
        <f t="shared" si="183"/>
        <v>0</v>
      </c>
    </row>
    <row r="261" spans="1:29" s="240" customFormat="1" ht="15" hidden="1" customHeight="1">
      <c r="A261" s="385"/>
      <c r="B261" s="386"/>
      <c r="C261" s="468"/>
      <c r="D261" s="468"/>
      <c r="E261" s="387"/>
      <c r="F261" s="388"/>
      <c r="G261" s="388"/>
      <c r="H261" s="388"/>
      <c r="I261" s="388"/>
      <c r="J261" s="388"/>
      <c r="K261" s="388"/>
      <c r="L261" s="388"/>
      <c r="M261" s="389"/>
      <c r="N261" s="390"/>
      <c r="O261" s="390"/>
      <c r="P261" s="379"/>
      <c r="Q261" s="388"/>
      <c r="R261" s="388"/>
      <c r="S261" s="388"/>
      <c r="T261" s="388"/>
      <c r="U261" s="388"/>
      <c r="V261" s="388"/>
      <c r="W261" s="388"/>
      <c r="X261" s="388"/>
      <c r="Y261" s="389"/>
      <c r="Z261" s="390"/>
      <c r="AA261" s="391"/>
      <c r="AC261" s="621">
        <f t="shared" ref="AC261:AC322" si="286">O261-AA261</f>
        <v>0</v>
      </c>
    </row>
    <row r="262" spans="1:29" s="240" customFormat="1" ht="15" customHeight="1">
      <c r="A262" s="330" t="s">
        <v>293</v>
      </c>
      <c r="E262" s="372">
        <f>SUM(E257:E261)</f>
        <v>7616143.0224788906</v>
      </c>
      <c r="F262" s="256">
        <f>SUM(F257:F261)</f>
        <v>7525839.2500000009</v>
      </c>
      <c r="G262" s="256">
        <f>SUM(G257:G261)</f>
        <v>90303.772478890052</v>
      </c>
      <c r="H262" s="256"/>
      <c r="I262" s="256">
        <f>SUM(I257:I261)</f>
        <v>7951064.422478891</v>
      </c>
      <c r="J262" s="256">
        <f>SUM(J257:J261)</f>
        <v>7525839.2500000009</v>
      </c>
      <c r="K262" s="256">
        <f>SUM(K257:K261)</f>
        <v>425225.17247889005</v>
      </c>
      <c r="L262" s="256"/>
      <c r="M262" s="372">
        <f>SUM(M257:M261)</f>
        <v>-334921.40000000002</v>
      </c>
      <c r="N262" s="256">
        <f>SUM(N257:N261)</f>
        <v>0</v>
      </c>
      <c r="O262" s="256">
        <f>SUM(O257:O261)</f>
        <v>-334921.40000000002</v>
      </c>
      <c r="P262" s="380"/>
      <c r="Q262" s="256">
        <f>SUM(Q257:Q261)</f>
        <v>5931007.9606690034</v>
      </c>
      <c r="R262" s="256">
        <f>SUM(R257:R261)</f>
        <v>5937089.6000000006</v>
      </c>
      <c r="S262" s="256">
        <f>SUM(S257:S261)</f>
        <v>-6081.6393309971609</v>
      </c>
      <c r="T262" s="256"/>
      <c r="U262" s="256">
        <f>SUM(U257:U261)</f>
        <v>6265929.3606690038</v>
      </c>
      <c r="V262" s="256">
        <f>SUM(V257:V261)</f>
        <v>5937089.6000000006</v>
      </c>
      <c r="W262" s="256">
        <f>SUM(W257:W261)</f>
        <v>328839.76066900307</v>
      </c>
      <c r="X262" s="256"/>
      <c r="Y262" s="372">
        <f>SUM(Y257:Y261)</f>
        <v>-334921.40000000002</v>
      </c>
      <c r="Z262" s="256">
        <f>SUM(Z257:Z261)</f>
        <v>0</v>
      </c>
      <c r="AA262" s="373">
        <f>SUM(AA257:AA261)</f>
        <v>-334921.40000000026</v>
      </c>
      <c r="AC262" s="380">
        <f t="shared" si="286"/>
        <v>0</v>
      </c>
    </row>
    <row r="263" spans="1:29" s="240" customFormat="1" ht="15" customHeight="1">
      <c r="A263" s="330"/>
      <c r="E263" s="372"/>
      <c r="F263" s="256"/>
      <c r="G263" s="256"/>
      <c r="H263" s="256"/>
      <c r="I263" s="256"/>
      <c r="J263" s="256"/>
      <c r="K263" s="256"/>
      <c r="L263" s="256"/>
      <c r="M263" s="372"/>
      <c r="N263" s="256"/>
      <c r="O263" s="256"/>
      <c r="P263" s="380"/>
      <c r="Q263" s="256"/>
      <c r="R263" s="256"/>
      <c r="S263" s="256"/>
      <c r="T263" s="256"/>
      <c r="U263" s="256"/>
      <c r="V263" s="256"/>
      <c r="W263" s="256"/>
      <c r="X263" s="256"/>
      <c r="Y263" s="372"/>
      <c r="Z263" s="256"/>
      <c r="AA263" s="373"/>
      <c r="AC263" s="380"/>
    </row>
    <row r="264" spans="1:29" s="240" customFormat="1" ht="15" customHeight="1">
      <c r="A264" s="331" t="s">
        <v>294</v>
      </c>
      <c r="B264" s="235"/>
      <c r="C264" s="235"/>
      <c r="D264" s="235"/>
      <c r="E264" s="370"/>
      <c r="F264" s="371"/>
      <c r="G264" s="371"/>
      <c r="H264" s="371"/>
      <c r="I264" s="371"/>
      <c r="J264" s="371"/>
      <c r="K264" s="371"/>
      <c r="L264" s="371"/>
      <c r="M264" s="372"/>
      <c r="N264" s="256"/>
      <c r="O264" s="256"/>
      <c r="P264" s="379"/>
      <c r="Q264" s="371"/>
      <c r="R264" s="371"/>
      <c r="S264" s="371"/>
      <c r="T264" s="371"/>
      <c r="U264" s="371"/>
      <c r="V264" s="371"/>
      <c r="W264" s="371"/>
      <c r="X264" s="371"/>
      <c r="Y264" s="372"/>
      <c r="Z264" s="256"/>
      <c r="AA264" s="373"/>
      <c r="AC264" s="380"/>
    </row>
    <row r="265" spans="1:29" s="240" customFormat="1" ht="15" customHeight="1">
      <c r="A265" s="385">
        <f>Bonus!A260</f>
        <v>57.000500000000002</v>
      </c>
      <c r="B265" s="386" t="str">
        <f>Bonus!B260</f>
        <v>San Diego Overhead 2025</v>
      </c>
      <c r="C265" s="468">
        <f>Bonus!G260</f>
        <v>1</v>
      </c>
      <c r="D265" s="468">
        <f>GAAP!G260</f>
        <v>1</v>
      </c>
      <c r="E265" s="387">
        <f>Bonus!I260</f>
        <v>0</v>
      </c>
      <c r="F265" s="388">
        <f>Bonus!F260</f>
        <v>92874.26</v>
      </c>
      <c r="G265" s="388">
        <f t="shared" ref="G265:G266" si="287">E265-F265</f>
        <v>-92874.26</v>
      </c>
      <c r="H265" s="388"/>
      <c r="I265" s="388">
        <f>GAAP!I260</f>
        <v>0</v>
      </c>
      <c r="J265" s="388">
        <f>GAAP!F260</f>
        <v>92874.26</v>
      </c>
      <c r="K265" s="388">
        <f t="shared" ref="K265:K266" si="288">I265-J265</f>
        <v>-92874.26</v>
      </c>
      <c r="L265" s="388"/>
      <c r="M265" s="389">
        <f t="shared" ref="M265:M266" si="289">E265-I265</f>
        <v>0</v>
      </c>
      <c r="N265" s="390">
        <f t="shared" ref="N265:N266" si="290">F265-J265</f>
        <v>0</v>
      </c>
      <c r="O265" s="390">
        <f t="shared" ref="O265:O266" si="291">G265-K265</f>
        <v>0</v>
      </c>
      <c r="P265" s="379"/>
      <c r="Q265" s="387">
        <f t="shared" ref="Q265:Q266" si="292">R265+S265</f>
        <v>0</v>
      </c>
      <c r="R265" s="388">
        <f>Bonus!Q260</f>
        <v>92874.26</v>
      </c>
      <c r="S265" s="388">
        <f>Bonus!S260</f>
        <v>-92874.26</v>
      </c>
      <c r="T265" s="388"/>
      <c r="U265" s="388">
        <f t="shared" ref="U265:U266" si="293">V265+W265</f>
        <v>0</v>
      </c>
      <c r="V265" s="388">
        <f>GAAP!Q260</f>
        <v>92874.26</v>
      </c>
      <c r="W265" s="388">
        <f>GAAP!S260</f>
        <v>-92874.26</v>
      </c>
      <c r="X265" s="388"/>
      <c r="Y265" s="389">
        <f t="shared" ref="Y265:Y266" si="294">Q265-U265</f>
        <v>0</v>
      </c>
      <c r="Z265" s="390">
        <f t="shared" ref="Z265:Z266" si="295">R265-V265</f>
        <v>0</v>
      </c>
      <c r="AA265" s="391">
        <f t="shared" ref="AA265:AA266" si="296">S265-W265</f>
        <v>0</v>
      </c>
      <c r="AC265" s="621">
        <f t="shared" si="286"/>
        <v>0</v>
      </c>
    </row>
    <row r="266" spans="1:29" s="240" customFormat="1" ht="15" customHeight="1">
      <c r="A266" s="385">
        <f>Bonus!A261</f>
        <v>57.000599999999999</v>
      </c>
      <c r="B266" s="386" t="str">
        <f>Bonus!B261</f>
        <v>San Diego Estimating 2025</v>
      </c>
      <c r="C266" s="468">
        <f>Bonus!G261</f>
        <v>1</v>
      </c>
      <c r="D266" s="468">
        <f>GAAP!G261</f>
        <v>1</v>
      </c>
      <c r="E266" s="387">
        <f>Bonus!I261</f>
        <v>0</v>
      </c>
      <c r="F266" s="388">
        <f>Bonus!F261</f>
        <v>13743.76</v>
      </c>
      <c r="G266" s="388">
        <f t="shared" si="287"/>
        <v>-13743.76</v>
      </c>
      <c r="H266" s="388"/>
      <c r="I266" s="388">
        <f>GAAP!I261</f>
        <v>0</v>
      </c>
      <c r="J266" s="388">
        <f>GAAP!F261</f>
        <v>13743.76</v>
      </c>
      <c r="K266" s="388">
        <f t="shared" si="288"/>
        <v>-13743.76</v>
      </c>
      <c r="L266" s="388"/>
      <c r="M266" s="389">
        <f t="shared" si="289"/>
        <v>0</v>
      </c>
      <c r="N266" s="390">
        <f t="shared" si="290"/>
        <v>0</v>
      </c>
      <c r="O266" s="390">
        <f t="shared" si="291"/>
        <v>0</v>
      </c>
      <c r="P266" s="379"/>
      <c r="Q266" s="387">
        <f t="shared" si="292"/>
        <v>0</v>
      </c>
      <c r="R266" s="388">
        <f>Bonus!Q261</f>
        <v>13743.76</v>
      </c>
      <c r="S266" s="388">
        <f>Bonus!S261</f>
        <v>-13743.76</v>
      </c>
      <c r="T266" s="388"/>
      <c r="U266" s="388">
        <f t="shared" si="293"/>
        <v>0</v>
      </c>
      <c r="V266" s="388">
        <f>GAAP!Q261</f>
        <v>13743.76</v>
      </c>
      <c r="W266" s="388">
        <f>GAAP!S261</f>
        <v>-13743.76</v>
      </c>
      <c r="X266" s="388"/>
      <c r="Y266" s="389">
        <f t="shared" si="294"/>
        <v>0</v>
      </c>
      <c r="Z266" s="390">
        <f t="shared" si="295"/>
        <v>0</v>
      </c>
      <c r="AA266" s="391">
        <f t="shared" si="296"/>
        <v>0</v>
      </c>
      <c r="AC266" s="621">
        <f t="shared" si="286"/>
        <v>0</v>
      </c>
    </row>
    <row r="267" spans="1:29" s="240" customFormat="1" ht="15" hidden="1" customHeight="1">
      <c r="A267" s="385"/>
      <c r="B267" s="386"/>
      <c r="C267" s="468"/>
      <c r="D267" s="468"/>
      <c r="E267" s="387"/>
      <c r="F267" s="388"/>
      <c r="G267" s="388"/>
      <c r="H267" s="388"/>
      <c r="I267" s="388"/>
      <c r="J267" s="388"/>
      <c r="K267" s="388"/>
      <c r="L267" s="388"/>
      <c r="M267" s="389"/>
      <c r="N267" s="390"/>
      <c r="O267" s="390"/>
      <c r="P267" s="379"/>
      <c r="Q267" s="388"/>
      <c r="R267" s="388"/>
      <c r="S267" s="388"/>
      <c r="T267" s="388"/>
      <c r="U267" s="388"/>
      <c r="V267" s="388"/>
      <c r="W267" s="388"/>
      <c r="X267" s="388"/>
      <c r="Y267" s="389"/>
      <c r="Z267" s="390"/>
      <c r="AA267" s="391"/>
      <c r="AC267" s="621">
        <f t="shared" si="286"/>
        <v>0</v>
      </c>
    </row>
    <row r="268" spans="1:29" s="240" customFormat="1" ht="15" customHeight="1">
      <c r="A268" s="330" t="s">
        <v>295</v>
      </c>
      <c r="E268" s="372">
        <f>SUM(E264:E267)</f>
        <v>0</v>
      </c>
      <c r="F268" s="256">
        <f>SUM(F264:F267)</f>
        <v>106618.01999999999</v>
      </c>
      <c r="G268" s="256">
        <f>SUM(G264:G267)</f>
        <v>-106618.01999999999</v>
      </c>
      <c r="H268" s="256"/>
      <c r="I268" s="256">
        <f>SUM(I264:I267)</f>
        <v>0</v>
      </c>
      <c r="J268" s="256">
        <f>SUM(J264:J267)</f>
        <v>106618.01999999999</v>
      </c>
      <c r="K268" s="256">
        <f>SUM(K264:K267)</f>
        <v>-106618.01999999999</v>
      </c>
      <c r="L268" s="256"/>
      <c r="M268" s="372">
        <f>SUM(M264:M267)</f>
        <v>0</v>
      </c>
      <c r="N268" s="256">
        <f>SUM(N264:N267)</f>
        <v>0</v>
      </c>
      <c r="O268" s="256">
        <f>SUM(O264:O267)</f>
        <v>0</v>
      </c>
      <c r="P268" s="380"/>
      <c r="Q268" s="256">
        <f>SUM(Q264:Q267)</f>
        <v>0</v>
      </c>
      <c r="R268" s="256">
        <f>SUM(R264:R267)</f>
        <v>106618.01999999999</v>
      </c>
      <c r="S268" s="256">
        <f>SUM(S264:S267)</f>
        <v>-106618.01999999999</v>
      </c>
      <c r="T268" s="256"/>
      <c r="U268" s="256">
        <f>SUM(U264:U267)</f>
        <v>0</v>
      </c>
      <c r="V268" s="256">
        <f>SUM(V264:V267)</f>
        <v>106618.01999999999</v>
      </c>
      <c r="W268" s="256">
        <f>SUM(W264:W267)</f>
        <v>-106618.01999999999</v>
      </c>
      <c r="X268" s="256"/>
      <c r="Y268" s="372">
        <f>SUM(Y264:Y267)</f>
        <v>0</v>
      </c>
      <c r="Z268" s="256">
        <f>SUM(Z264:Z267)</f>
        <v>0</v>
      </c>
      <c r="AA268" s="373">
        <f>SUM(AA264:AA267)</f>
        <v>0</v>
      </c>
      <c r="AC268" s="380">
        <f t="shared" si="286"/>
        <v>0</v>
      </c>
    </row>
    <row r="269" spans="1:29" s="240" customFormat="1" ht="15" customHeight="1">
      <c r="A269" s="330" t="s">
        <v>274</v>
      </c>
      <c r="E269" s="372">
        <f>E262+E268</f>
        <v>7616143.0224788906</v>
      </c>
      <c r="F269" s="256">
        <f>F262+F268</f>
        <v>7632457.2700000005</v>
      </c>
      <c r="G269" s="256">
        <f>G262+G268</f>
        <v>-16314.247521109937</v>
      </c>
      <c r="H269" s="256"/>
      <c r="I269" s="256">
        <f>I262+I268</f>
        <v>7951064.422478891</v>
      </c>
      <c r="J269" s="256">
        <f>J262+J268</f>
        <v>7632457.2700000005</v>
      </c>
      <c r="K269" s="256">
        <f>K262+K268</f>
        <v>318607.15247889003</v>
      </c>
      <c r="L269" s="256"/>
      <c r="M269" s="372">
        <f>M262+M268</f>
        <v>-334921.40000000002</v>
      </c>
      <c r="N269" s="256">
        <f>N262+N268</f>
        <v>0</v>
      </c>
      <c r="O269" s="256">
        <f>O262+O268</f>
        <v>-334921.40000000002</v>
      </c>
      <c r="P269" s="380"/>
      <c r="Q269" s="256">
        <f>Q262+Q268</f>
        <v>5931007.9606690034</v>
      </c>
      <c r="R269" s="256">
        <f>R262+R268</f>
        <v>6043707.6200000001</v>
      </c>
      <c r="S269" s="256">
        <f>S262+S268</f>
        <v>-112699.65933099715</v>
      </c>
      <c r="T269" s="256"/>
      <c r="U269" s="256">
        <f>U262+U268</f>
        <v>6265929.3606690038</v>
      </c>
      <c r="V269" s="256">
        <f>V262+V268</f>
        <v>6043707.6200000001</v>
      </c>
      <c r="W269" s="256">
        <f>W262+W268</f>
        <v>222221.74066900308</v>
      </c>
      <c r="X269" s="256"/>
      <c r="Y269" s="372">
        <f>Y262+Y268</f>
        <v>-334921.40000000002</v>
      </c>
      <c r="Z269" s="256">
        <f>Z262+Z268</f>
        <v>0</v>
      </c>
      <c r="AA269" s="373">
        <f>AA262+AA268</f>
        <v>-334921.40000000026</v>
      </c>
      <c r="AC269" s="380">
        <f t="shared" si="286"/>
        <v>0</v>
      </c>
    </row>
    <row r="270" spans="1:29" ht="15" customHeight="1">
      <c r="A270" s="330"/>
      <c r="B270" s="240"/>
      <c r="C270" s="240"/>
      <c r="D270" s="240"/>
      <c r="E270" s="372"/>
      <c r="F270" s="256"/>
      <c r="G270" s="256"/>
      <c r="H270" s="256"/>
      <c r="I270" s="256"/>
      <c r="J270" s="256"/>
      <c r="K270" s="256"/>
      <c r="L270" s="256"/>
      <c r="M270" s="372"/>
      <c r="N270" s="256"/>
      <c r="O270" s="256"/>
      <c r="P270" s="380"/>
      <c r="Q270" s="256"/>
      <c r="R270" s="256"/>
      <c r="S270" s="256"/>
      <c r="T270" s="256"/>
      <c r="U270" s="256"/>
      <c r="V270" s="256"/>
      <c r="W270" s="256"/>
      <c r="X270" s="256"/>
      <c r="Y270" s="372"/>
      <c r="Z270" s="256"/>
      <c r="AA270" s="373"/>
      <c r="AC270" s="380"/>
    </row>
    <row r="271" spans="1:29" s="240" customFormat="1" ht="15" customHeight="1">
      <c r="A271" s="330" t="s">
        <v>296</v>
      </c>
      <c r="B271" s="235"/>
      <c r="C271" s="235"/>
      <c r="D271" s="235"/>
      <c r="E271" s="370"/>
      <c r="F271" s="371"/>
      <c r="G271" s="371"/>
      <c r="H271" s="371"/>
      <c r="I271" s="371"/>
      <c r="J271" s="371"/>
      <c r="K271" s="371"/>
      <c r="L271" s="371"/>
      <c r="M271" s="372"/>
      <c r="N271" s="256"/>
      <c r="O271" s="256"/>
      <c r="P271" s="379"/>
      <c r="Q271" s="371"/>
      <c r="R271" s="371"/>
      <c r="S271" s="371"/>
      <c r="T271" s="371"/>
      <c r="U271" s="371"/>
      <c r="V271" s="371"/>
      <c r="W271" s="371"/>
      <c r="X271" s="371"/>
      <c r="Y271" s="372"/>
      <c r="Z271" s="256"/>
      <c r="AA271" s="373"/>
      <c r="AC271" s="380"/>
    </row>
    <row r="272" spans="1:29" s="240" customFormat="1" ht="15" customHeight="1">
      <c r="A272" s="385">
        <f>Bonus!A267</f>
        <v>58.000300000000003</v>
      </c>
      <c r="B272" s="386" t="str">
        <f>Bonus!B267</f>
        <v>Los Angeles County Sanitation Dist. - Los Coyotes WRP Process Air Compressor Replacement</v>
      </c>
      <c r="C272" s="468">
        <f>Bonus!G267</f>
        <v>0.52008725525840527</v>
      </c>
      <c r="D272" s="468">
        <f>GAAP!G267</f>
        <v>0.52008725525840527</v>
      </c>
      <c r="E272" s="387">
        <f>Bonus!I267</f>
        <v>11715063.721186822</v>
      </c>
      <c r="F272" s="388">
        <f>Bonus!F267</f>
        <v>11034781.789999999</v>
      </c>
      <c r="G272" s="388">
        <f t="shared" ref="G272" si="297">E272-F272</f>
        <v>680281.93118682317</v>
      </c>
      <c r="H272" s="388"/>
      <c r="I272" s="388">
        <f>GAAP!I267</f>
        <v>11715063.721186822</v>
      </c>
      <c r="J272" s="388">
        <f>GAAP!F267</f>
        <v>11034781.789999999</v>
      </c>
      <c r="K272" s="388">
        <f t="shared" ref="K272" si="298">I272-J272</f>
        <v>680281.93118682317</v>
      </c>
      <c r="L272" s="388"/>
      <c r="M272" s="389">
        <f t="shared" ref="M272" si="299">E272-I272</f>
        <v>0</v>
      </c>
      <c r="N272" s="390">
        <f t="shared" ref="N272" si="300">F272-J272</f>
        <v>0</v>
      </c>
      <c r="O272" s="390">
        <f t="shared" ref="O272" si="301">G272-K272</f>
        <v>0</v>
      </c>
      <c r="P272" s="379"/>
      <c r="Q272" s="387">
        <f t="shared" ref="Q272" si="302">R272+S272</f>
        <v>9333607.2411868218</v>
      </c>
      <c r="R272" s="388">
        <f>Bonus!Q267</f>
        <v>8653325.3099999987</v>
      </c>
      <c r="S272" s="388">
        <f>Bonus!S267</f>
        <v>680281.93118682294</v>
      </c>
      <c r="T272" s="388"/>
      <c r="U272" s="388">
        <f t="shared" ref="U272" si="303">V272+W272</f>
        <v>9182098.4276449922</v>
      </c>
      <c r="V272" s="388">
        <f>GAAP!Q267</f>
        <v>8653325.3099999987</v>
      </c>
      <c r="W272" s="388">
        <f>GAAP!S267</f>
        <v>528773.11764499429</v>
      </c>
      <c r="X272" s="388"/>
      <c r="Y272" s="389">
        <f t="shared" ref="Y272" si="304">Q272-U272</f>
        <v>151508.81354182959</v>
      </c>
      <c r="Z272" s="390">
        <f t="shared" ref="Z272" si="305">R272-V272</f>
        <v>0</v>
      </c>
      <c r="AA272" s="391">
        <f t="shared" ref="AA272" si="306">S272-W272</f>
        <v>151508.81354182865</v>
      </c>
      <c r="AC272" s="621">
        <f t="shared" si="286"/>
        <v>-151508.81354182865</v>
      </c>
    </row>
    <row r="273" spans="1:29" s="240" customFormat="1" ht="15" hidden="1" customHeight="1">
      <c r="A273" s="329"/>
      <c r="B273" s="235"/>
      <c r="C273" s="468"/>
      <c r="D273" s="468"/>
      <c r="E273" s="370"/>
      <c r="F273" s="371"/>
      <c r="G273" s="371"/>
      <c r="H273" s="371"/>
      <c r="I273" s="388"/>
      <c r="J273" s="388"/>
      <c r="K273" s="371"/>
      <c r="L273" s="371"/>
      <c r="M273" s="372"/>
      <c r="N273" s="256"/>
      <c r="O273" s="256"/>
      <c r="P273" s="379"/>
      <c r="Q273" s="371"/>
      <c r="R273" s="371"/>
      <c r="S273" s="388"/>
      <c r="T273" s="371"/>
      <c r="U273" s="371"/>
      <c r="V273" s="371"/>
      <c r="W273" s="371"/>
      <c r="X273" s="371"/>
      <c r="Y273" s="372"/>
      <c r="Z273" s="256"/>
      <c r="AA273" s="373"/>
      <c r="AC273" s="380">
        <f t="shared" si="286"/>
        <v>0</v>
      </c>
    </row>
    <row r="274" spans="1:29" s="240" customFormat="1" ht="15" customHeight="1">
      <c r="A274" s="330" t="s">
        <v>297</v>
      </c>
      <c r="E274" s="372">
        <f>SUM(E272:E273)</f>
        <v>11715063.721186822</v>
      </c>
      <c r="F274" s="256">
        <f>SUM(F272:F273)</f>
        <v>11034781.789999999</v>
      </c>
      <c r="G274" s="256">
        <f>SUM(G272:G273)</f>
        <v>680281.93118682317</v>
      </c>
      <c r="H274" s="256"/>
      <c r="I274" s="256">
        <f>SUM(I272:I273)</f>
        <v>11715063.721186822</v>
      </c>
      <c r="J274" s="256">
        <f>SUM(J272:J273)</f>
        <v>11034781.789999999</v>
      </c>
      <c r="K274" s="256">
        <f>SUM(K272:K273)</f>
        <v>680281.93118682317</v>
      </c>
      <c r="L274" s="256"/>
      <c r="M274" s="372">
        <f>SUM(M272:M273)</f>
        <v>0</v>
      </c>
      <c r="N274" s="256">
        <f>SUM(N272:N273)</f>
        <v>0</v>
      </c>
      <c r="O274" s="256">
        <f>SUM(O272:O273)</f>
        <v>0</v>
      </c>
      <c r="P274" s="380"/>
      <c r="Q274" s="256">
        <f>SUM(Q272:Q273)</f>
        <v>9333607.2411868218</v>
      </c>
      <c r="R274" s="256">
        <f>SUM(R272:R273)</f>
        <v>8653325.3099999987</v>
      </c>
      <c r="S274" s="256">
        <f>SUM(S272:S273)</f>
        <v>680281.93118682294</v>
      </c>
      <c r="T274" s="256"/>
      <c r="U274" s="256">
        <f>SUM(U272:U273)</f>
        <v>9182098.4276449922</v>
      </c>
      <c r="V274" s="256">
        <f>SUM(V272:V273)</f>
        <v>8653325.3099999987</v>
      </c>
      <c r="W274" s="256">
        <f>SUM(W272:W273)</f>
        <v>528773.11764499429</v>
      </c>
      <c r="X274" s="256"/>
      <c r="Y274" s="372">
        <f>SUM(Y272:Y273)</f>
        <v>151508.81354182959</v>
      </c>
      <c r="Z274" s="256">
        <f>SUM(Z272:Z273)</f>
        <v>0</v>
      </c>
      <c r="AA274" s="373">
        <f>SUM(AA272:AA273)</f>
        <v>151508.81354182865</v>
      </c>
      <c r="AC274" s="380">
        <f t="shared" si="286"/>
        <v>-151508.81354182865</v>
      </c>
    </row>
    <row r="275" spans="1:29" s="240" customFormat="1" ht="15" customHeight="1">
      <c r="A275" s="330"/>
      <c r="E275" s="372"/>
      <c r="F275" s="256"/>
      <c r="G275" s="256"/>
      <c r="H275" s="256"/>
      <c r="I275" s="256"/>
      <c r="J275" s="256"/>
      <c r="K275" s="256"/>
      <c r="L275" s="256"/>
      <c r="M275" s="372"/>
      <c r="N275" s="256"/>
      <c r="O275" s="256"/>
      <c r="P275" s="380"/>
      <c r="Q275" s="256"/>
      <c r="R275" s="256"/>
      <c r="S275" s="256"/>
      <c r="T275" s="256"/>
      <c r="U275" s="256"/>
      <c r="V275" s="256"/>
      <c r="W275" s="256"/>
      <c r="X275" s="256"/>
      <c r="Y275" s="372"/>
      <c r="Z275" s="256"/>
      <c r="AA275" s="373"/>
      <c r="AC275" s="380"/>
    </row>
    <row r="276" spans="1:29" s="240" customFormat="1" ht="15" customHeight="1">
      <c r="A276" s="331" t="s">
        <v>298</v>
      </c>
      <c r="B276" s="235"/>
      <c r="C276" s="235"/>
      <c r="D276" s="235"/>
      <c r="E276" s="370"/>
      <c r="F276" s="371"/>
      <c r="G276" s="371"/>
      <c r="H276" s="371"/>
      <c r="I276" s="371"/>
      <c r="J276" s="371"/>
      <c r="K276" s="371"/>
      <c r="L276" s="371"/>
      <c r="M276" s="372"/>
      <c r="N276" s="256"/>
      <c r="O276" s="256"/>
      <c r="P276" s="379"/>
      <c r="Q276" s="371"/>
      <c r="R276" s="371"/>
      <c r="S276" s="371"/>
      <c r="T276" s="371"/>
      <c r="U276" s="371"/>
      <c r="V276" s="371"/>
      <c r="W276" s="371"/>
      <c r="X276" s="371"/>
      <c r="Y276" s="372"/>
      <c r="Z276" s="256"/>
      <c r="AA276" s="373"/>
      <c r="AC276" s="380"/>
    </row>
    <row r="277" spans="1:29" s="240" customFormat="1" ht="15" customHeight="1">
      <c r="A277" s="385">
        <f>Bonus!A272</f>
        <v>58.000399999999999</v>
      </c>
      <c r="B277" s="386" t="str">
        <f>Bonus!B272</f>
        <v>Los Angeles Overhead 2025</v>
      </c>
      <c r="C277" s="468">
        <f>Bonus!G272</f>
        <v>1</v>
      </c>
      <c r="D277" s="468">
        <f>GAAP!G272</f>
        <v>1</v>
      </c>
      <c r="E277" s="387">
        <f>Bonus!I272</f>
        <v>0</v>
      </c>
      <c r="F277" s="388">
        <f>Bonus!F272</f>
        <v>147282.12</v>
      </c>
      <c r="G277" s="388">
        <f t="shared" ref="G277:G278" si="307">E277-F277</f>
        <v>-147282.12</v>
      </c>
      <c r="H277" s="388"/>
      <c r="I277" s="388">
        <f>GAAP!I272</f>
        <v>0</v>
      </c>
      <c r="J277" s="388">
        <f>GAAP!F272</f>
        <v>147282.12</v>
      </c>
      <c r="K277" s="388">
        <f t="shared" ref="K277:K278" si="308">I277-J277</f>
        <v>-147282.12</v>
      </c>
      <c r="L277" s="388"/>
      <c r="M277" s="389">
        <f t="shared" ref="M277:M278" si="309">E277-I277</f>
        <v>0</v>
      </c>
      <c r="N277" s="390">
        <f t="shared" ref="N277:N278" si="310">F277-J277</f>
        <v>0</v>
      </c>
      <c r="O277" s="390">
        <f t="shared" ref="O277:O278" si="311">G277-K277</f>
        <v>0</v>
      </c>
      <c r="P277" s="379"/>
      <c r="Q277" s="387">
        <f t="shared" ref="Q277:Q278" si="312">R277+S277</f>
        <v>0</v>
      </c>
      <c r="R277" s="388">
        <f>Bonus!Q272</f>
        <v>147282.12</v>
      </c>
      <c r="S277" s="388">
        <f>Bonus!S272</f>
        <v>-147282.12</v>
      </c>
      <c r="T277" s="388"/>
      <c r="U277" s="388">
        <f t="shared" ref="U277:U278" si="313">V277+W277</f>
        <v>0</v>
      </c>
      <c r="V277" s="388">
        <f>GAAP!Q272</f>
        <v>147282.12</v>
      </c>
      <c r="W277" s="388">
        <f>GAAP!S272</f>
        <v>-147282.12</v>
      </c>
      <c r="X277" s="388"/>
      <c r="Y277" s="389">
        <f t="shared" ref="Y277:Y278" si="314">Q277-U277</f>
        <v>0</v>
      </c>
      <c r="Z277" s="390">
        <f t="shared" ref="Z277:Z278" si="315">R277-V277</f>
        <v>0</v>
      </c>
      <c r="AA277" s="391">
        <f t="shared" ref="AA277:AA278" si="316">S277-W277</f>
        <v>0</v>
      </c>
      <c r="AC277" s="621">
        <f t="shared" si="286"/>
        <v>0</v>
      </c>
    </row>
    <row r="278" spans="1:29" s="240" customFormat="1" ht="15" customHeight="1">
      <c r="A278" s="385">
        <f>Bonus!A273</f>
        <v>58.000500000000002</v>
      </c>
      <c r="B278" s="386" t="str">
        <f>Bonus!B273</f>
        <v>Los Angeles Estimating 2025</v>
      </c>
      <c r="C278" s="468">
        <f>Bonus!G273</f>
        <v>1</v>
      </c>
      <c r="D278" s="468">
        <f>GAAP!G273</f>
        <v>1</v>
      </c>
      <c r="E278" s="387">
        <f>Bonus!I273</f>
        <v>0</v>
      </c>
      <c r="F278" s="388">
        <f>Bonus!F273</f>
        <v>135037.09</v>
      </c>
      <c r="G278" s="388">
        <f t="shared" si="307"/>
        <v>-135037.09</v>
      </c>
      <c r="H278" s="388"/>
      <c r="I278" s="388">
        <f>GAAP!I273</f>
        <v>0</v>
      </c>
      <c r="J278" s="388">
        <f>GAAP!F273</f>
        <v>135037.09</v>
      </c>
      <c r="K278" s="388">
        <f t="shared" si="308"/>
        <v>-135037.09</v>
      </c>
      <c r="L278" s="388"/>
      <c r="M278" s="389">
        <f t="shared" si="309"/>
        <v>0</v>
      </c>
      <c r="N278" s="390">
        <f t="shared" si="310"/>
        <v>0</v>
      </c>
      <c r="O278" s="390">
        <f t="shared" si="311"/>
        <v>0</v>
      </c>
      <c r="P278" s="379"/>
      <c r="Q278" s="387">
        <f t="shared" si="312"/>
        <v>0</v>
      </c>
      <c r="R278" s="388">
        <f>Bonus!Q273</f>
        <v>135037.09</v>
      </c>
      <c r="S278" s="388">
        <f>Bonus!S273</f>
        <v>-135037.09</v>
      </c>
      <c r="T278" s="388"/>
      <c r="U278" s="388">
        <f t="shared" si="313"/>
        <v>0</v>
      </c>
      <c r="V278" s="388">
        <f>GAAP!Q273</f>
        <v>135037.09</v>
      </c>
      <c r="W278" s="388">
        <f>GAAP!S273</f>
        <v>-135037.09</v>
      </c>
      <c r="X278" s="388"/>
      <c r="Y278" s="389">
        <f t="shared" si="314"/>
        <v>0</v>
      </c>
      <c r="Z278" s="390">
        <f t="shared" si="315"/>
        <v>0</v>
      </c>
      <c r="AA278" s="391">
        <f t="shared" si="316"/>
        <v>0</v>
      </c>
      <c r="AC278" s="621">
        <f t="shared" si="286"/>
        <v>0</v>
      </c>
    </row>
    <row r="279" spans="1:29" s="240" customFormat="1" ht="15" hidden="1" customHeight="1">
      <c r="A279" s="385"/>
      <c r="B279" s="386"/>
      <c r="C279" s="386"/>
      <c r="D279" s="386"/>
      <c r="E279" s="387"/>
      <c r="F279" s="388"/>
      <c r="G279" s="388"/>
      <c r="H279" s="388"/>
      <c r="I279" s="388"/>
      <c r="J279" s="388"/>
      <c r="K279" s="388"/>
      <c r="L279" s="388"/>
      <c r="M279" s="389"/>
      <c r="N279" s="390"/>
      <c r="O279" s="390"/>
      <c r="P279" s="457"/>
      <c r="Q279" s="388"/>
      <c r="R279" s="388"/>
      <c r="S279" s="388"/>
      <c r="T279" s="388"/>
      <c r="U279" s="388"/>
      <c r="V279" s="388"/>
      <c r="W279" s="388"/>
      <c r="X279" s="388"/>
      <c r="Y279" s="389"/>
      <c r="Z279" s="390"/>
      <c r="AA279" s="391"/>
      <c r="AC279" s="621">
        <f t="shared" si="286"/>
        <v>0</v>
      </c>
    </row>
    <row r="280" spans="1:29" s="240" customFormat="1" ht="15" customHeight="1">
      <c r="A280" s="330" t="s">
        <v>299</v>
      </c>
      <c r="E280" s="372">
        <f>SUM(E276:E279)</f>
        <v>0</v>
      </c>
      <c r="F280" s="256">
        <f>SUM(F276:F279)</f>
        <v>282319.20999999996</v>
      </c>
      <c r="G280" s="256">
        <f>SUM(G276:G279)</f>
        <v>-282319.20999999996</v>
      </c>
      <c r="H280" s="256"/>
      <c r="I280" s="256">
        <f>SUM(I276:I279)</f>
        <v>0</v>
      </c>
      <c r="J280" s="256">
        <f>SUM(J276:J279)</f>
        <v>282319.20999999996</v>
      </c>
      <c r="K280" s="256">
        <f>SUM(K276:K279)</f>
        <v>-282319.20999999996</v>
      </c>
      <c r="L280" s="256"/>
      <c r="M280" s="372">
        <f>SUM(M276:M279)</f>
        <v>0</v>
      </c>
      <c r="N280" s="256">
        <f>SUM(N276:N279)</f>
        <v>0</v>
      </c>
      <c r="O280" s="256">
        <f>SUM(O276:O279)</f>
        <v>0</v>
      </c>
      <c r="P280" s="380"/>
      <c r="Q280" s="256">
        <f>SUM(Q276:Q279)</f>
        <v>0</v>
      </c>
      <c r="R280" s="256">
        <f>SUM(R276:R279)</f>
        <v>282319.20999999996</v>
      </c>
      <c r="S280" s="256">
        <f>SUM(S276:S279)</f>
        <v>-282319.20999999996</v>
      </c>
      <c r="T280" s="256"/>
      <c r="U280" s="256">
        <f>SUM(U276:U279)</f>
        <v>0</v>
      </c>
      <c r="V280" s="256">
        <f>SUM(V276:V279)</f>
        <v>282319.20999999996</v>
      </c>
      <c r="W280" s="256">
        <f>SUM(W276:W279)</f>
        <v>-282319.20999999996</v>
      </c>
      <c r="X280" s="256"/>
      <c r="Y280" s="372">
        <f>SUM(Y276:Y279)</f>
        <v>0</v>
      </c>
      <c r="Z280" s="256">
        <f>SUM(Z276:Z279)</f>
        <v>0</v>
      </c>
      <c r="AA280" s="373">
        <f>SUM(AA276:AA279)</f>
        <v>0</v>
      </c>
      <c r="AC280" s="380">
        <f t="shared" si="286"/>
        <v>0</v>
      </c>
    </row>
    <row r="281" spans="1:29" s="240" customFormat="1" ht="15" customHeight="1">
      <c r="A281" s="330" t="s">
        <v>275</v>
      </c>
      <c r="E281" s="372">
        <f>E274+E280</f>
        <v>11715063.721186822</v>
      </c>
      <c r="F281" s="256">
        <f>F274+F280</f>
        <v>11317101</v>
      </c>
      <c r="G281" s="256">
        <f>G274+G280</f>
        <v>397962.72118682321</v>
      </c>
      <c r="H281" s="256"/>
      <c r="I281" s="256">
        <f>I274+I280</f>
        <v>11715063.721186822</v>
      </c>
      <c r="J281" s="256">
        <f>J274+J280</f>
        <v>11317101</v>
      </c>
      <c r="K281" s="256">
        <f>K274+K280</f>
        <v>397962.72118682321</v>
      </c>
      <c r="L281" s="256"/>
      <c r="M281" s="372">
        <f>M274+M280</f>
        <v>0</v>
      </c>
      <c r="N281" s="256">
        <f>N274+N280</f>
        <v>0</v>
      </c>
      <c r="O281" s="256">
        <f>O274+O280</f>
        <v>0</v>
      </c>
      <c r="P281" s="380"/>
      <c r="Q281" s="256">
        <f>Q274+Q280</f>
        <v>9333607.2411868218</v>
      </c>
      <c r="R281" s="256">
        <f>R274+R280</f>
        <v>8935644.5199999996</v>
      </c>
      <c r="S281" s="256">
        <f>S274+S280</f>
        <v>397962.72118682298</v>
      </c>
      <c r="T281" s="256"/>
      <c r="U281" s="256">
        <f>U274+U280</f>
        <v>9182098.4276449922</v>
      </c>
      <c r="V281" s="256">
        <f>V274+V280</f>
        <v>8935644.5199999996</v>
      </c>
      <c r="W281" s="256">
        <f>W274+W280</f>
        <v>246453.90764499432</v>
      </c>
      <c r="X281" s="256"/>
      <c r="Y281" s="372">
        <f>Y274+Y280</f>
        <v>151508.81354182959</v>
      </c>
      <c r="Z281" s="256">
        <f>Z274+Z280</f>
        <v>0</v>
      </c>
      <c r="AA281" s="373">
        <f>AA274+AA280</f>
        <v>151508.81354182865</v>
      </c>
      <c r="AC281" s="380">
        <f t="shared" si="286"/>
        <v>-151508.81354182865</v>
      </c>
    </row>
    <row r="282" spans="1:29" s="240" customFormat="1" ht="15" customHeight="1">
      <c r="A282" s="448"/>
      <c r="B282" s="449"/>
      <c r="C282" s="449"/>
      <c r="D282" s="449"/>
      <c r="E282" s="450"/>
      <c r="F282" s="416"/>
      <c r="G282" s="416"/>
      <c r="H282" s="416"/>
      <c r="I282" s="416"/>
      <c r="J282" s="416"/>
      <c r="K282" s="416"/>
      <c r="L282" s="416"/>
      <c r="M282" s="450"/>
      <c r="N282" s="416"/>
      <c r="O282" s="416"/>
      <c r="P282" s="451"/>
      <c r="Q282" s="416"/>
      <c r="R282" s="416"/>
      <c r="S282" s="416"/>
      <c r="T282" s="416"/>
      <c r="U282" s="416"/>
      <c r="V282" s="416"/>
      <c r="W282" s="416"/>
      <c r="X282" s="416"/>
      <c r="Y282" s="450"/>
      <c r="Z282" s="416"/>
      <c r="AA282" s="452"/>
      <c r="AC282" s="451"/>
    </row>
    <row r="283" spans="1:29" s="240" customFormat="1" ht="15" customHeight="1">
      <c r="A283" s="240" t="s">
        <v>170</v>
      </c>
      <c r="E283" s="372">
        <f>E241+E262+E274</f>
        <v>660784564.56828618</v>
      </c>
      <c r="F283" s="256">
        <f>F241+F262+F274</f>
        <v>638755790.12999988</v>
      </c>
      <c r="G283" s="256">
        <f>G241+G262+G274</f>
        <v>22028774.43828626</v>
      </c>
      <c r="H283" s="256"/>
      <c r="I283" s="256">
        <f>I241+I262+I274</f>
        <v>660450108.4807179</v>
      </c>
      <c r="J283" s="256">
        <f>J241+J262+J274</f>
        <v>638755790.12999988</v>
      </c>
      <c r="K283" s="256">
        <f>K241+K262+K274</f>
        <v>21694318.350718044</v>
      </c>
      <c r="L283" s="256"/>
      <c r="M283" s="372">
        <f>M241+M262+M274</f>
        <v>334456.08756822057</v>
      </c>
      <c r="N283" s="256">
        <f>N241+N262+N274</f>
        <v>0</v>
      </c>
      <c r="O283" s="256">
        <f>O241+O262+O274</f>
        <v>334456.08756822057</v>
      </c>
      <c r="P283" s="380"/>
      <c r="Q283" s="372">
        <f>Q241+Q262+Q274</f>
        <v>129527452.39974234</v>
      </c>
      <c r="R283" s="256">
        <f>R241+R262+R274</f>
        <v>129277101.58</v>
      </c>
      <c r="S283" s="256">
        <f>S241+S262+S274</f>
        <v>250350.81974235189</v>
      </c>
      <c r="T283" s="256"/>
      <c r="U283" s="256">
        <f>U241+U262+U274</f>
        <v>132462299.69913556</v>
      </c>
      <c r="V283" s="256">
        <f>V241+V262+V274</f>
        <v>129277101.58</v>
      </c>
      <c r="W283" s="256">
        <f>W241+W262+W274</f>
        <v>3185198.1191355698</v>
      </c>
      <c r="X283" s="256"/>
      <c r="Y283" s="372">
        <f>Y241+Y262+Y274</f>
        <v>-2934847.2993932171</v>
      </c>
      <c r="Z283" s="256">
        <f>Z241+Z262+Z274</f>
        <v>0</v>
      </c>
      <c r="AA283" s="256">
        <f>AA241+AA262+AA274</f>
        <v>-2934847.2993932185</v>
      </c>
      <c r="AB283" s="404"/>
      <c r="AC283" s="380">
        <f t="shared" si="286"/>
        <v>3269303.3869614392</v>
      </c>
    </row>
    <row r="284" spans="1:29" s="240" customFormat="1" ht="15" customHeight="1">
      <c r="A284" s="449" t="s">
        <v>171</v>
      </c>
      <c r="B284" s="449"/>
      <c r="C284" s="449"/>
      <c r="D284" s="449"/>
      <c r="E284" s="450">
        <f>E252+E268+E280</f>
        <v>6861630.3499999996</v>
      </c>
      <c r="F284" s="416">
        <f>F252+F268+F280</f>
        <v>8175596.0300000012</v>
      </c>
      <c r="G284" s="416">
        <f>G252+G268+G280</f>
        <v>-1313965.68</v>
      </c>
      <c r="H284" s="416"/>
      <c r="I284" s="416">
        <f>I252+I268+I280</f>
        <v>6861630.3499999996</v>
      </c>
      <c r="J284" s="416">
        <f>J252+J268+J280</f>
        <v>8175596.0300000012</v>
      </c>
      <c r="K284" s="416">
        <f>K252+K268+K280</f>
        <v>-1313965.68</v>
      </c>
      <c r="L284" s="416"/>
      <c r="M284" s="450">
        <f>M252+M268+M280</f>
        <v>0</v>
      </c>
      <c r="N284" s="416">
        <f>N252+N268+N280</f>
        <v>0</v>
      </c>
      <c r="O284" s="416">
        <f>O252+O268+O280</f>
        <v>0</v>
      </c>
      <c r="P284" s="451"/>
      <c r="Q284" s="450">
        <f>Q252+Q268+Q280</f>
        <v>600318.54128961987</v>
      </c>
      <c r="R284" s="416">
        <f>R252+R268+R280</f>
        <v>3131603.2899999996</v>
      </c>
      <c r="S284" s="416">
        <f>S252+S268+S280</f>
        <v>-2531284.7487103799</v>
      </c>
      <c r="T284" s="416"/>
      <c r="U284" s="416">
        <f>U252+U268+U280</f>
        <v>600318.54128961987</v>
      </c>
      <c r="V284" s="416">
        <f>V252+V268+V280</f>
        <v>3131603.2899999996</v>
      </c>
      <c r="W284" s="416">
        <f>W252+W268+W280</f>
        <v>-2531284.7487103799</v>
      </c>
      <c r="X284" s="416"/>
      <c r="Y284" s="450">
        <f>Y252+Y268+Y280</f>
        <v>0</v>
      </c>
      <c r="Z284" s="416">
        <f>Z252+Z268+Z280</f>
        <v>0</v>
      </c>
      <c r="AA284" s="452">
        <f>AA252+AA268+AA280</f>
        <v>0</v>
      </c>
      <c r="AB284" s="404"/>
      <c r="AC284" s="451">
        <f t="shared" si="286"/>
        <v>0</v>
      </c>
    </row>
    <row r="285" spans="1:29" s="240" customFormat="1" ht="15" customHeight="1">
      <c r="A285" s="240" t="s">
        <v>172</v>
      </c>
      <c r="E285" s="372">
        <f>E283+E284</f>
        <v>667646194.9182862</v>
      </c>
      <c r="F285" s="256">
        <f t="shared" ref="F285" si="317">F283+F284</f>
        <v>646931386.15999985</v>
      </c>
      <c r="G285" s="256">
        <f>G283+G284</f>
        <v>20714808.75828626</v>
      </c>
      <c r="H285" s="256"/>
      <c r="I285" s="256">
        <f t="shared" ref="I285:K285" si="318">I283+I284</f>
        <v>667311738.83071792</v>
      </c>
      <c r="J285" s="256">
        <f t="shared" si="318"/>
        <v>646931386.15999985</v>
      </c>
      <c r="K285" s="256">
        <f t="shared" si="318"/>
        <v>20380352.670718044</v>
      </c>
      <c r="L285" s="256"/>
      <c r="M285" s="372">
        <f>M283+M284</f>
        <v>334456.08756822057</v>
      </c>
      <c r="N285" s="256">
        <f t="shared" ref="N285:O285" si="319">N283+N284</f>
        <v>0</v>
      </c>
      <c r="O285" s="256">
        <f t="shared" si="319"/>
        <v>334456.08756822057</v>
      </c>
      <c r="P285" s="380"/>
      <c r="Q285" s="372">
        <f>Q283+Q284</f>
        <v>130127770.94103195</v>
      </c>
      <c r="R285" s="256">
        <f t="shared" ref="R285:S285" si="320">R283+R284</f>
        <v>132408704.87</v>
      </c>
      <c r="S285" s="256">
        <f t="shared" si="320"/>
        <v>-2280933.9289680282</v>
      </c>
      <c r="T285" s="256"/>
      <c r="U285" s="256">
        <f t="shared" ref="U285:W285" si="321">U283+U284</f>
        <v>133062618.24042517</v>
      </c>
      <c r="V285" s="256">
        <f t="shared" si="321"/>
        <v>132408704.87</v>
      </c>
      <c r="W285" s="256">
        <f t="shared" si="321"/>
        <v>653913.37042518985</v>
      </c>
      <c r="X285" s="256"/>
      <c r="Y285" s="372">
        <f>Y283+Y284</f>
        <v>-2934847.2993932171</v>
      </c>
      <c r="Z285" s="256">
        <f t="shared" ref="Z285:AA285" si="322">Z283+Z284</f>
        <v>0</v>
      </c>
      <c r="AA285" s="256">
        <f t="shared" si="322"/>
        <v>-2934847.2993932185</v>
      </c>
      <c r="AB285" s="404"/>
      <c r="AC285" s="380">
        <f t="shared" si="286"/>
        <v>3269303.3869614392</v>
      </c>
    </row>
    <row r="286" spans="1:29" s="240" customFormat="1" ht="15" customHeight="1">
      <c r="A286" s="330"/>
      <c r="E286" s="372"/>
      <c r="F286" s="256"/>
      <c r="G286" s="256"/>
      <c r="H286" s="256"/>
      <c r="I286" s="256"/>
      <c r="J286" s="256"/>
      <c r="K286" s="256"/>
      <c r="L286" s="256"/>
      <c r="M286" s="372"/>
      <c r="N286" s="256"/>
      <c r="O286" s="256"/>
      <c r="P286" s="380"/>
      <c r="Q286" s="256"/>
      <c r="R286" s="256"/>
      <c r="S286" s="256"/>
      <c r="T286" s="256"/>
      <c r="U286" s="256"/>
      <c r="V286" s="256"/>
      <c r="W286" s="256"/>
      <c r="X286" s="256"/>
      <c r="Y286" s="372"/>
      <c r="Z286" s="256"/>
      <c r="AA286" s="373"/>
      <c r="AC286" s="380"/>
    </row>
    <row r="287" spans="1:29" ht="15" customHeight="1">
      <c r="A287" s="330" t="s">
        <v>390</v>
      </c>
      <c r="E287" s="370"/>
      <c r="F287" s="371"/>
      <c r="G287" s="371"/>
      <c r="H287" s="371"/>
      <c r="I287" s="371"/>
      <c r="J287" s="371"/>
      <c r="K287" s="371"/>
      <c r="L287" s="371"/>
      <c r="M287" s="372"/>
      <c r="N287" s="256"/>
      <c r="O287" s="256"/>
      <c r="P287" s="379"/>
      <c r="Q287" s="371"/>
      <c r="R287" s="371"/>
      <c r="S287" s="371"/>
      <c r="T287" s="371"/>
      <c r="U287" s="371"/>
      <c r="V287" s="371"/>
      <c r="W287" s="371"/>
      <c r="X287" s="371"/>
      <c r="Y287" s="372"/>
      <c r="Z287" s="256"/>
      <c r="AA287" s="373"/>
      <c r="AC287" s="380"/>
    </row>
    <row r="288" spans="1:29" s="240" customFormat="1" ht="15" customHeight="1">
      <c r="A288" s="385">
        <f>Bonus!A283</f>
        <v>56.1004</v>
      </c>
      <c r="B288" s="386" t="str">
        <f>Bonus!B283</f>
        <v>San Joaquin Electric - Liberty Ranch Sewer Pump Station</v>
      </c>
      <c r="C288" s="468">
        <f>Bonus!G283</f>
        <v>0.87597735695226808</v>
      </c>
      <c r="D288" s="468">
        <f>GAAP!G283</f>
        <v>0.87597735695226808</v>
      </c>
      <c r="E288" s="387">
        <f>Bonus!I283</f>
        <v>327111.84451990068</v>
      </c>
      <c r="F288" s="388">
        <f>Bonus!F283</f>
        <v>236373.73</v>
      </c>
      <c r="G288" s="388">
        <f t="shared" ref="G288" si="323">E288-F288</f>
        <v>90738.114519900671</v>
      </c>
      <c r="H288" s="388"/>
      <c r="I288" s="388">
        <f>GAAP!I283</f>
        <v>327111.84451990068</v>
      </c>
      <c r="J288" s="388">
        <f>GAAP!F283</f>
        <v>236373.73</v>
      </c>
      <c r="K288" s="388">
        <f t="shared" ref="K288" si="324">I288-J288</f>
        <v>90738.114519900671</v>
      </c>
      <c r="L288" s="388"/>
      <c r="M288" s="389">
        <f t="shared" ref="M288" si="325">E288-I288</f>
        <v>0</v>
      </c>
      <c r="N288" s="390">
        <f t="shared" ref="N288" si="326">F288-J288</f>
        <v>0</v>
      </c>
      <c r="O288" s="390">
        <f t="shared" ref="O288" si="327">G288-K288</f>
        <v>0</v>
      </c>
      <c r="P288" s="379"/>
      <c r="Q288" s="387">
        <f t="shared" ref="Q288" si="328">R288+S288</f>
        <v>122870.34182600648</v>
      </c>
      <c r="R288" s="388">
        <f>Bonus!Q283</f>
        <v>83492.19</v>
      </c>
      <c r="S288" s="388">
        <f>Bonus!S283</f>
        <v>39378.151826006484</v>
      </c>
      <c r="T288" s="388"/>
      <c r="U288" s="388">
        <f t="shared" ref="U288" si="329">V288+W288</f>
        <v>122870.34182600648</v>
      </c>
      <c r="V288" s="388">
        <f>GAAP!Q283</f>
        <v>83492.19</v>
      </c>
      <c r="W288" s="388">
        <f>GAAP!S283</f>
        <v>39378.151826006484</v>
      </c>
      <c r="X288" s="388"/>
      <c r="Y288" s="389">
        <f t="shared" ref="Y288" si="330">Q288-U288</f>
        <v>0</v>
      </c>
      <c r="Z288" s="390">
        <f t="shared" ref="Z288" si="331">R288-V288</f>
        <v>0</v>
      </c>
      <c r="AA288" s="391">
        <f t="shared" ref="AA288" si="332">S288-W288</f>
        <v>0</v>
      </c>
      <c r="AC288" s="621">
        <f t="shared" si="286"/>
        <v>0</v>
      </c>
    </row>
    <row r="289" spans="1:29" s="240" customFormat="1" ht="15" customHeight="1">
      <c r="A289" s="385">
        <f>Bonus!A284</f>
        <v>56.100499999999997</v>
      </c>
      <c r="B289" s="386" t="str">
        <f>Bonus!B284</f>
        <v>SD Electric, Inc. - Stormwater Evacuation Lines &amp; Outfall Manifold</v>
      </c>
      <c r="C289" s="468">
        <f>Bonus!G284</f>
        <v>0.75027445791988234</v>
      </c>
      <c r="D289" s="468">
        <f>GAAP!G284</f>
        <v>0.75027445791988234</v>
      </c>
      <c r="E289" s="387">
        <f>Bonus!I284</f>
        <v>101287.05181918413</v>
      </c>
      <c r="F289" s="388">
        <f>Bonus!F284</f>
        <v>51037.42</v>
      </c>
      <c r="G289" s="388">
        <f t="shared" ref="G289:G320" si="333">E289-F289</f>
        <v>50249.631819184127</v>
      </c>
      <c r="H289" s="388"/>
      <c r="I289" s="388">
        <f>GAAP!I284</f>
        <v>101287.05181918413</v>
      </c>
      <c r="J289" s="388">
        <f>GAAP!F284</f>
        <v>51037.42</v>
      </c>
      <c r="K289" s="388">
        <f t="shared" ref="K289:K320" si="334">I289-J289</f>
        <v>50249.631819184127</v>
      </c>
      <c r="L289" s="388"/>
      <c r="M289" s="389">
        <f t="shared" ref="M289:M320" si="335">E289-I289</f>
        <v>0</v>
      </c>
      <c r="N289" s="390">
        <f t="shared" ref="N289:N320" si="336">F289-J289</f>
        <v>0</v>
      </c>
      <c r="O289" s="390">
        <f t="shared" ref="O289:O320" si="337">G289-K289</f>
        <v>0</v>
      </c>
      <c r="P289" s="379"/>
      <c r="Q289" s="387">
        <f t="shared" ref="Q289:Q320" si="338">R289+S289</f>
        <v>85373.721819184109</v>
      </c>
      <c r="R289" s="388">
        <f>Bonus!Q284</f>
        <v>35124.089999999997</v>
      </c>
      <c r="S289" s="388">
        <f>Bonus!S284</f>
        <v>50249.63181918412</v>
      </c>
      <c r="T289" s="388"/>
      <c r="U289" s="388">
        <f t="shared" ref="U289:U320" si="339">V289+W289</f>
        <v>70848.394588885727</v>
      </c>
      <c r="V289" s="388">
        <f>GAAP!Q284</f>
        <v>35124.089999999997</v>
      </c>
      <c r="W289" s="388">
        <f>GAAP!S284</f>
        <v>35724.30458888573</v>
      </c>
      <c r="X289" s="388"/>
      <c r="Y289" s="389">
        <f t="shared" ref="Y289:Y320" si="340">Q289-U289</f>
        <v>14525.327230298382</v>
      </c>
      <c r="Z289" s="390">
        <f t="shared" ref="Z289:Z320" si="341">R289-V289</f>
        <v>0</v>
      </c>
      <c r="AA289" s="391">
        <f t="shared" ref="AA289:AA320" si="342">S289-W289</f>
        <v>14525.32723029839</v>
      </c>
      <c r="AC289" s="621">
        <f t="shared" si="286"/>
        <v>-14525.32723029839</v>
      </c>
    </row>
    <row r="290" spans="1:29" s="240" customFormat="1" ht="15" customHeight="1">
      <c r="A290" s="385">
        <f>Bonus!A285</f>
        <v>56.100999999999999</v>
      </c>
      <c r="B290" s="386" t="str">
        <f>Bonus!B285</f>
        <v>Placer County Water Agency -PCWA Time &amp; Material Contract</v>
      </c>
      <c r="C290" s="468">
        <f>Bonus!G285</f>
        <v>1</v>
      </c>
      <c r="D290" s="468">
        <f>GAAP!G285</f>
        <v>1</v>
      </c>
      <c r="E290" s="387">
        <f>Bonus!I285</f>
        <v>49250</v>
      </c>
      <c r="F290" s="388">
        <f>Bonus!F285</f>
        <v>36461.94</v>
      </c>
      <c r="G290" s="388">
        <f t="shared" si="333"/>
        <v>12788.059999999998</v>
      </c>
      <c r="H290" s="388"/>
      <c r="I290" s="388">
        <f>GAAP!I285</f>
        <v>49250</v>
      </c>
      <c r="J290" s="388">
        <f>GAAP!F285</f>
        <v>36461.94</v>
      </c>
      <c r="K290" s="388">
        <f t="shared" si="334"/>
        <v>12788.059999999998</v>
      </c>
      <c r="L290" s="388"/>
      <c r="M290" s="389">
        <f t="shared" si="335"/>
        <v>0</v>
      </c>
      <c r="N290" s="390">
        <f t="shared" si="336"/>
        <v>0</v>
      </c>
      <c r="O290" s="390">
        <f t="shared" si="337"/>
        <v>0</v>
      </c>
      <c r="P290" s="379"/>
      <c r="Q290" s="387">
        <f t="shared" si="338"/>
        <v>49250</v>
      </c>
      <c r="R290" s="388">
        <f>Bonus!Q285</f>
        <v>36461.94</v>
      </c>
      <c r="S290" s="388">
        <f>Bonus!S285</f>
        <v>12788.059999999998</v>
      </c>
      <c r="T290" s="388"/>
      <c r="U290" s="388">
        <f t="shared" si="339"/>
        <v>49250</v>
      </c>
      <c r="V290" s="388">
        <f>GAAP!Q285</f>
        <v>36461.94</v>
      </c>
      <c r="W290" s="388">
        <f>GAAP!S285</f>
        <v>12788.059999999998</v>
      </c>
      <c r="X290" s="388"/>
      <c r="Y290" s="389">
        <f t="shared" si="340"/>
        <v>0</v>
      </c>
      <c r="Z290" s="390">
        <f t="shared" si="341"/>
        <v>0</v>
      </c>
      <c r="AA290" s="391">
        <f t="shared" si="342"/>
        <v>0</v>
      </c>
      <c r="AC290" s="621">
        <f t="shared" si="286"/>
        <v>0</v>
      </c>
    </row>
    <row r="291" spans="1:29" s="240" customFormat="1" ht="15" customHeight="1">
      <c r="A291" s="385">
        <f>Bonus!A286</f>
        <v>56.101500000000001</v>
      </c>
      <c r="B291" s="386" t="str">
        <f>Bonus!B286</f>
        <v>Mike Brown Electric Co. - Riverside Ponds &amp; Headworks Mitigation – City of Calistoga</v>
      </c>
      <c r="C291" s="468">
        <f>Bonus!G286</f>
        <v>0.69948383451257867</v>
      </c>
      <c r="D291" s="468">
        <f>GAAP!G286</f>
        <v>1</v>
      </c>
      <c r="E291" s="387">
        <f>Bonus!I286</f>
        <v>160881.2819378931</v>
      </c>
      <c r="F291" s="388">
        <f>Bonus!F286</f>
        <v>142358.95000000001</v>
      </c>
      <c r="G291" s="388">
        <f t="shared" si="333"/>
        <v>18522.33193789309</v>
      </c>
      <c r="H291" s="388"/>
      <c r="I291" s="388">
        <f>GAAP!I286</f>
        <v>160000</v>
      </c>
      <c r="J291" s="388">
        <f>GAAP!F286</f>
        <v>142358.95000000001</v>
      </c>
      <c r="K291" s="388">
        <f t="shared" si="334"/>
        <v>17641.049999999988</v>
      </c>
      <c r="L291" s="388"/>
      <c r="M291" s="389">
        <f t="shared" si="335"/>
        <v>881.28193789310171</v>
      </c>
      <c r="N291" s="390">
        <f t="shared" si="336"/>
        <v>0</v>
      </c>
      <c r="O291" s="390">
        <f t="shared" si="337"/>
        <v>881.28193789310171</v>
      </c>
      <c r="P291" s="379"/>
      <c r="Q291" s="387">
        <f t="shared" si="338"/>
        <v>31372.171624513838</v>
      </c>
      <c r="R291" s="388">
        <f>Bonus!Q286</f>
        <v>42245.170000000013</v>
      </c>
      <c r="S291" s="388">
        <f>Bonus!S286</f>
        <v>-10872.998375486175</v>
      </c>
      <c r="T291" s="388"/>
      <c r="U291" s="388">
        <f t="shared" si="339"/>
        <v>30490.889686620743</v>
      </c>
      <c r="V291" s="388">
        <f>GAAP!Q286</f>
        <v>42245.170000000013</v>
      </c>
      <c r="W291" s="388">
        <f>GAAP!S286</f>
        <v>-11754.28031337927</v>
      </c>
      <c r="X291" s="388"/>
      <c r="Y291" s="389">
        <f t="shared" si="340"/>
        <v>881.28193789309444</v>
      </c>
      <c r="Z291" s="390">
        <f t="shared" si="341"/>
        <v>0</v>
      </c>
      <c r="AA291" s="391">
        <f t="shared" si="342"/>
        <v>881.28193789309444</v>
      </c>
      <c r="AC291" s="621">
        <f t="shared" si="286"/>
        <v>7.2759576141834259E-12</v>
      </c>
    </row>
    <row r="292" spans="1:29" s="240" customFormat="1" ht="15" customHeight="1">
      <c r="A292" s="385">
        <f>Bonus!A287</f>
        <v>56.101700000000001</v>
      </c>
      <c r="B292" s="386" t="str">
        <f>Bonus!B287</f>
        <v>Bay Tech Engineering - SDDS Gate Valves Replacement – SF International Airport</v>
      </c>
      <c r="C292" s="468">
        <f>Bonus!G287</f>
        <v>0.83076252230297232</v>
      </c>
      <c r="D292" s="468">
        <f>GAAP!G287</f>
        <v>0.83076252230297232</v>
      </c>
      <c r="E292" s="387">
        <f>Bonus!I287</f>
        <v>83423.460000000006</v>
      </c>
      <c r="F292" s="388">
        <f>Bonus!F287</f>
        <v>95450.46</v>
      </c>
      <c r="G292" s="388">
        <f t="shared" si="333"/>
        <v>-12027</v>
      </c>
      <c r="H292" s="388"/>
      <c r="I292" s="388">
        <f>GAAP!I287</f>
        <v>83423.460000000006</v>
      </c>
      <c r="J292" s="388">
        <f>GAAP!F287</f>
        <v>95450.46</v>
      </c>
      <c r="K292" s="388">
        <f t="shared" si="334"/>
        <v>-12027</v>
      </c>
      <c r="L292" s="388"/>
      <c r="M292" s="389">
        <f t="shared" si="335"/>
        <v>0</v>
      </c>
      <c r="N292" s="390">
        <f t="shared" si="336"/>
        <v>0</v>
      </c>
      <c r="O292" s="390">
        <f t="shared" si="337"/>
        <v>0</v>
      </c>
      <c r="P292" s="379"/>
      <c r="Q292" s="387">
        <f t="shared" si="338"/>
        <v>21693.997223329723</v>
      </c>
      <c r="R292" s="388">
        <f>Bonus!Q287</f>
        <v>52737.570000000007</v>
      </c>
      <c r="S292" s="388">
        <f>Bonus!S287</f>
        <v>-31043.572776670284</v>
      </c>
      <c r="T292" s="388"/>
      <c r="U292" s="388">
        <f t="shared" si="339"/>
        <v>21693.997223329723</v>
      </c>
      <c r="V292" s="388">
        <f>GAAP!Q287</f>
        <v>52737.570000000007</v>
      </c>
      <c r="W292" s="388">
        <f>GAAP!S287</f>
        <v>-31043.572776670284</v>
      </c>
      <c r="X292" s="388"/>
      <c r="Y292" s="389">
        <f t="shared" si="340"/>
        <v>0</v>
      </c>
      <c r="Z292" s="390">
        <f t="shared" si="341"/>
        <v>0</v>
      </c>
      <c r="AA292" s="391">
        <f t="shared" si="342"/>
        <v>0</v>
      </c>
      <c r="AC292" s="621">
        <f t="shared" si="286"/>
        <v>0</v>
      </c>
    </row>
    <row r="293" spans="1:29" s="240" customFormat="1" ht="15" customHeight="1">
      <c r="A293" s="385">
        <f>Bonus!A288</f>
        <v>56.101799999999997</v>
      </c>
      <c r="B293" s="386" t="str">
        <f>Bonus!B288</f>
        <v>CM Controls - Salinas AG Industrial Phase 1 – City of Salinas</v>
      </c>
      <c r="C293" s="468">
        <f>Bonus!G288</f>
        <v>0.59105003870786121</v>
      </c>
      <c r="D293" s="468">
        <f>GAAP!G288</f>
        <v>0.59105003870786121</v>
      </c>
      <c r="E293" s="387">
        <f>Bonus!I288</f>
        <v>90970.284607643043</v>
      </c>
      <c r="F293" s="388">
        <f>Bonus!F288</f>
        <v>41991.15</v>
      </c>
      <c r="G293" s="388">
        <f t="shared" si="333"/>
        <v>48979.134607643042</v>
      </c>
      <c r="H293" s="388"/>
      <c r="I293" s="388">
        <f>GAAP!I288</f>
        <v>90970.284607643043</v>
      </c>
      <c r="J293" s="388">
        <f>GAAP!F288</f>
        <v>41991.15</v>
      </c>
      <c r="K293" s="388">
        <f t="shared" si="334"/>
        <v>48979.134607643042</v>
      </c>
      <c r="L293" s="388"/>
      <c r="M293" s="389">
        <f t="shared" si="335"/>
        <v>0</v>
      </c>
      <c r="N293" s="390">
        <f t="shared" si="336"/>
        <v>0</v>
      </c>
      <c r="O293" s="390">
        <f t="shared" si="337"/>
        <v>0</v>
      </c>
      <c r="P293" s="379"/>
      <c r="Q293" s="387">
        <f t="shared" si="338"/>
        <v>40855.430046246212</v>
      </c>
      <c r="R293" s="388">
        <f>Bonus!Q288</f>
        <v>23859.25</v>
      </c>
      <c r="S293" s="388">
        <f>Bonus!S288</f>
        <v>16996.180046246216</v>
      </c>
      <c r="T293" s="388"/>
      <c r="U293" s="388">
        <f t="shared" si="339"/>
        <v>40855.430046246212</v>
      </c>
      <c r="V293" s="388">
        <f>GAAP!Q288</f>
        <v>23859.25</v>
      </c>
      <c r="W293" s="388">
        <f>GAAP!S288</f>
        <v>16996.180046246216</v>
      </c>
      <c r="X293" s="388"/>
      <c r="Y293" s="389">
        <f t="shared" si="340"/>
        <v>0</v>
      </c>
      <c r="Z293" s="390">
        <f t="shared" si="341"/>
        <v>0</v>
      </c>
      <c r="AA293" s="391">
        <f t="shared" si="342"/>
        <v>0</v>
      </c>
      <c r="AC293" s="621">
        <f t="shared" si="286"/>
        <v>0</v>
      </c>
    </row>
    <row r="294" spans="1:29" s="240" customFormat="1" ht="15" customHeight="1">
      <c r="A294" s="385">
        <f>Bonus!A289</f>
        <v>56.103200000000001</v>
      </c>
      <c r="B294" s="386" t="str">
        <f>Bonus!B289</f>
        <v>Newtron - Watsonville, City of - Zone 2 Water Res &amp; AirportBPS Mods</v>
      </c>
      <c r="C294" s="468">
        <f>Bonus!G289</f>
        <v>0.42210714070503158</v>
      </c>
      <c r="D294" s="468">
        <f>GAAP!G289</f>
        <v>0.42210714070503158</v>
      </c>
      <c r="E294" s="387">
        <f>Bonus!I289</f>
        <v>35879.106959927689</v>
      </c>
      <c r="F294" s="388">
        <f>Bonus!F289</f>
        <v>35024.339999999997</v>
      </c>
      <c r="G294" s="388">
        <f t="shared" si="333"/>
        <v>854.76695992769237</v>
      </c>
      <c r="H294" s="388"/>
      <c r="I294" s="388">
        <f>GAAP!I289</f>
        <v>35879.106959927689</v>
      </c>
      <c r="J294" s="388">
        <f>GAAP!F289</f>
        <v>35024.339999999997</v>
      </c>
      <c r="K294" s="388">
        <f t="shared" si="334"/>
        <v>854.76695992769237</v>
      </c>
      <c r="L294" s="388"/>
      <c r="M294" s="389">
        <f t="shared" si="335"/>
        <v>0</v>
      </c>
      <c r="N294" s="390">
        <f t="shared" si="336"/>
        <v>0</v>
      </c>
      <c r="O294" s="390">
        <f t="shared" si="337"/>
        <v>0</v>
      </c>
      <c r="P294" s="379"/>
      <c r="Q294" s="387">
        <f t="shared" si="338"/>
        <v>26940.546959927688</v>
      </c>
      <c r="R294" s="388">
        <f>Bonus!Q289</f>
        <v>26085.78</v>
      </c>
      <c r="S294" s="388">
        <f>Bonus!S289</f>
        <v>854.76695992768896</v>
      </c>
      <c r="T294" s="388"/>
      <c r="U294" s="388">
        <f t="shared" si="339"/>
        <v>25895.957142567691</v>
      </c>
      <c r="V294" s="388">
        <f>GAAP!Q289</f>
        <v>26085.78</v>
      </c>
      <c r="W294" s="388">
        <f>GAAP!S289</f>
        <v>-189.82285743230887</v>
      </c>
      <c r="X294" s="388"/>
      <c r="Y294" s="389">
        <f t="shared" si="340"/>
        <v>1044.5898173599962</v>
      </c>
      <c r="Z294" s="390">
        <f t="shared" si="341"/>
        <v>0</v>
      </c>
      <c r="AA294" s="391">
        <f t="shared" si="342"/>
        <v>1044.5898173599978</v>
      </c>
      <c r="AC294" s="621">
        <f t="shared" si="286"/>
        <v>-1044.5898173599978</v>
      </c>
    </row>
    <row r="295" spans="1:29" s="240" customFormat="1" ht="15" customHeight="1">
      <c r="A295" s="385">
        <f>Bonus!A290</f>
        <v>56.1036</v>
      </c>
      <c r="B295" s="386" t="str">
        <f>Bonus!B290</f>
        <v>Darrel Varni Electric, Inc. - GSW, San Benito Co. Sewer Pump Station No. 2</v>
      </c>
      <c r="C295" s="468">
        <f>Bonus!G290</f>
        <v>0.51215147542865891</v>
      </c>
      <c r="D295" s="468">
        <f>GAAP!G290</f>
        <v>0.51215147542865891</v>
      </c>
      <c r="E295" s="387">
        <f>Bonus!I290</f>
        <v>141353.80721830984</v>
      </c>
      <c r="F295" s="388">
        <f>Bonus!F290</f>
        <v>107051.95</v>
      </c>
      <c r="G295" s="388">
        <f t="shared" si="333"/>
        <v>34301.857218309844</v>
      </c>
      <c r="H295" s="388"/>
      <c r="I295" s="388">
        <f>GAAP!I290</f>
        <v>141353.80721830984</v>
      </c>
      <c r="J295" s="388">
        <f>GAAP!F290</f>
        <v>107051.95</v>
      </c>
      <c r="K295" s="388">
        <f t="shared" si="334"/>
        <v>34301.857218309844</v>
      </c>
      <c r="L295" s="388"/>
      <c r="M295" s="389">
        <f t="shared" si="335"/>
        <v>0</v>
      </c>
      <c r="N295" s="390">
        <f t="shared" si="336"/>
        <v>0</v>
      </c>
      <c r="O295" s="390">
        <f t="shared" si="337"/>
        <v>0</v>
      </c>
      <c r="P295" s="379"/>
      <c r="Q295" s="387">
        <f t="shared" si="338"/>
        <v>88716.557218309856</v>
      </c>
      <c r="R295" s="388">
        <f>Bonus!Q290</f>
        <v>54414.7</v>
      </c>
      <c r="S295" s="388">
        <f>Bonus!S290</f>
        <v>34301.857218309859</v>
      </c>
      <c r="T295" s="388"/>
      <c r="U295" s="388">
        <f t="shared" si="339"/>
        <v>70900.907947189087</v>
      </c>
      <c r="V295" s="388">
        <f>GAAP!Q290</f>
        <v>54414.7</v>
      </c>
      <c r="W295" s="388">
        <f>GAAP!S290</f>
        <v>16486.20794718909</v>
      </c>
      <c r="X295" s="388"/>
      <c r="Y295" s="389">
        <f t="shared" si="340"/>
        <v>17815.649271120768</v>
      </c>
      <c r="Z295" s="390">
        <f t="shared" si="341"/>
        <v>0</v>
      </c>
      <c r="AA295" s="391">
        <f t="shared" si="342"/>
        <v>17815.649271120768</v>
      </c>
      <c r="AC295" s="621">
        <f t="shared" si="286"/>
        <v>-17815.649271120768</v>
      </c>
    </row>
    <row r="296" spans="1:29" s="240" customFormat="1" ht="15" customHeight="1">
      <c r="A296" s="385">
        <f>Bonus!A291</f>
        <v>56.103700000000003</v>
      </c>
      <c r="B296" s="386" t="str">
        <f>Bonus!B291</f>
        <v>East Orange County Water District - EOCWD - On-Call SCADA Integration Services</v>
      </c>
      <c r="C296" s="468">
        <f>Bonus!G291</f>
        <v>1</v>
      </c>
      <c r="D296" s="468">
        <f>GAAP!G291</f>
        <v>1</v>
      </c>
      <c r="E296" s="387">
        <f>Bonus!I291</f>
        <v>36491</v>
      </c>
      <c r="F296" s="388">
        <f>Bonus!F291</f>
        <v>21674.2</v>
      </c>
      <c r="G296" s="388">
        <f t="shared" si="333"/>
        <v>14816.8</v>
      </c>
      <c r="H296" s="388"/>
      <c r="I296" s="388">
        <f>GAAP!I291</f>
        <v>36491</v>
      </c>
      <c r="J296" s="388">
        <f>GAAP!F291</f>
        <v>21674.2</v>
      </c>
      <c r="K296" s="388">
        <f t="shared" si="334"/>
        <v>14816.8</v>
      </c>
      <c r="L296" s="388"/>
      <c r="M296" s="389">
        <f t="shared" si="335"/>
        <v>0</v>
      </c>
      <c r="N296" s="390">
        <f t="shared" si="336"/>
        <v>0</v>
      </c>
      <c r="O296" s="390">
        <f t="shared" si="337"/>
        <v>0</v>
      </c>
      <c r="P296" s="379"/>
      <c r="Q296" s="387">
        <f t="shared" si="338"/>
        <v>34128.5</v>
      </c>
      <c r="R296" s="388">
        <f>Bonus!Q291</f>
        <v>19649.82</v>
      </c>
      <c r="S296" s="388">
        <f>Bonus!S291</f>
        <v>14478.68</v>
      </c>
      <c r="T296" s="388"/>
      <c r="U296" s="388">
        <f t="shared" si="339"/>
        <v>34128.5</v>
      </c>
      <c r="V296" s="388">
        <f>GAAP!Q291</f>
        <v>19649.82</v>
      </c>
      <c r="W296" s="388">
        <f>GAAP!S291</f>
        <v>14478.68</v>
      </c>
      <c r="X296" s="388"/>
      <c r="Y296" s="389">
        <f t="shared" si="340"/>
        <v>0</v>
      </c>
      <c r="Z296" s="390">
        <f t="shared" si="341"/>
        <v>0</v>
      </c>
      <c r="AA296" s="391">
        <f t="shared" si="342"/>
        <v>0</v>
      </c>
      <c r="AC296" s="621">
        <f t="shared" si="286"/>
        <v>0</v>
      </c>
    </row>
    <row r="297" spans="1:29" s="240" customFormat="1" ht="15" customHeight="1">
      <c r="A297" s="385">
        <f>Bonus!A292</f>
        <v>56.1038</v>
      </c>
      <c r="B297" s="386" t="str">
        <f>Bonus!B292</f>
        <v>Troxell JH Electrical Inc - Keyes CSD TCP Treatment Impvmts Wells 7,8,9,10</v>
      </c>
      <c r="C297" s="468">
        <f>Bonus!G292</f>
        <v>0.85238796687568152</v>
      </c>
      <c r="D297" s="468">
        <f>GAAP!G292</f>
        <v>0.85238796687568152</v>
      </c>
      <c r="E297" s="387">
        <f>Bonus!I292</f>
        <v>77673.89</v>
      </c>
      <c r="F297" s="388">
        <f>Bonus!F292</f>
        <v>100049.89</v>
      </c>
      <c r="G297" s="388">
        <f t="shared" si="333"/>
        <v>-22376</v>
      </c>
      <c r="H297" s="388"/>
      <c r="I297" s="388">
        <f>GAAP!I292</f>
        <v>77673.89</v>
      </c>
      <c r="J297" s="388">
        <f>GAAP!F292</f>
        <v>100049.89</v>
      </c>
      <c r="K297" s="388">
        <f t="shared" si="334"/>
        <v>-22376</v>
      </c>
      <c r="L297" s="388"/>
      <c r="M297" s="389">
        <f t="shared" si="335"/>
        <v>0</v>
      </c>
      <c r="N297" s="390">
        <f t="shared" si="336"/>
        <v>0</v>
      </c>
      <c r="O297" s="390">
        <f t="shared" si="337"/>
        <v>0</v>
      </c>
      <c r="P297" s="379"/>
      <c r="Q297" s="387">
        <f t="shared" si="338"/>
        <v>16550.265831836907</v>
      </c>
      <c r="R297" s="388">
        <f>Bonus!Q292</f>
        <v>45229.72</v>
      </c>
      <c r="S297" s="388">
        <f>Bonus!S292</f>
        <v>-28679.454168163094</v>
      </c>
      <c r="T297" s="388"/>
      <c r="U297" s="388">
        <f t="shared" si="339"/>
        <v>16550.265831836907</v>
      </c>
      <c r="V297" s="388">
        <f>GAAP!Q292</f>
        <v>45229.72</v>
      </c>
      <c r="W297" s="388">
        <f>GAAP!S292</f>
        <v>-28679.454168163094</v>
      </c>
      <c r="X297" s="388"/>
      <c r="Y297" s="389">
        <f t="shared" si="340"/>
        <v>0</v>
      </c>
      <c r="Z297" s="390">
        <f t="shared" si="341"/>
        <v>0</v>
      </c>
      <c r="AA297" s="391">
        <f t="shared" si="342"/>
        <v>0</v>
      </c>
      <c r="AC297" s="621">
        <f t="shared" si="286"/>
        <v>0</v>
      </c>
    </row>
    <row r="298" spans="1:29" s="240" customFormat="1" ht="15" customHeight="1">
      <c r="A298" s="385">
        <f>Bonus!A293</f>
        <v>56.103900000000003</v>
      </c>
      <c r="B298" s="386" t="str">
        <f>Bonus!B293</f>
        <v>Sac Valley Electrica Inc -  Placer County - Creekview Ranch Sewer Lift Station</v>
      </c>
      <c r="C298" s="468">
        <f>Bonus!G293</f>
        <v>0.9752176752416607</v>
      </c>
      <c r="D298" s="468">
        <f>GAAP!G293</f>
        <v>0.9752176752416607</v>
      </c>
      <c r="E298" s="387">
        <f>Bonus!I293</f>
        <v>365706.62821562274</v>
      </c>
      <c r="F298" s="388">
        <f>Bonus!F293</f>
        <v>324049.23</v>
      </c>
      <c r="G298" s="388">
        <f t="shared" si="333"/>
        <v>41657.398215622758</v>
      </c>
      <c r="H298" s="388"/>
      <c r="I298" s="388">
        <f>GAAP!I293</f>
        <v>365706.62821562274</v>
      </c>
      <c r="J298" s="388">
        <f>GAAP!F293</f>
        <v>324049.23</v>
      </c>
      <c r="K298" s="388">
        <f t="shared" si="334"/>
        <v>41657.398215622758</v>
      </c>
      <c r="L298" s="388"/>
      <c r="M298" s="389">
        <f t="shared" si="335"/>
        <v>0</v>
      </c>
      <c r="N298" s="390">
        <f t="shared" si="336"/>
        <v>0</v>
      </c>
      <c r="O298" s="390">
        <f t="shared" si="337"/>
        <v>0</v>
      </c>
      <c r="P298" s="379"/>
      <c r="Q298" s="387">
        <f t="shared" si="338"/>
        <v>321087.49821562273</v>
      </c>
      <c r="R298" s="388">
        <f>Bonus!Q293</f>
        <v>279430.09999999998</v>
      </c>
      <c r="S298" s="388">
        <f>Bonus!S293</f>
        <v>41657.398215622779</v>
      </c>
      <c r="T298" s="388"/>
      <c r="U298" s="388">
        <f t="shared" si="339"/>
        <v>316565.60696114763</v>
      </c>
      <c r="V298" s="388">
        <f>GAAP!Q293</f>
        <v>279430.09999999998</v>
      </c>
      <c r="W298" s="388">
        <f>GAAP!S293</f>
        <v>37135.50696114765</v>
      </c>
      <c r="X298" s="388"/>
      <c r="Y298" s="389">
        <f t="shared" si="340"/>
        <v>4521.8912544751074</v>
      </c>
      <c r="Z298" s="390">
        <f t="shared" si="341"/>
        <v>0</v>
      </c>
      <c r="AA298" s="391">
        <f t="shared" si="342"/>
        <v>4521.8912544751292</v>
      </c>
      <c r="AC298" s="621">
        <f t="shared" si="286"/>
        <v>-4521.8912544751292</v>
      </c>
    </row>
    <row r="299" spans="1:29" s="240" customFormat="1" ht="15" customHeight="1">
      <c r="A299" s="385">
        <f>Bonus!A294</f>
        <v>56.104199999999999</v>
      </c>
      <c r="B299" s="386" t="str">
        <f>Bonus!B294</f>
        <v>Trabuco Canyon Water Dist.  - SCADA Integration Services</v>
      </c>
      <c r="C299" s="468">
        <f>Bonus!G294</f>
        <v>0.79107999523565198</v>
      </c>
      <c r="D299" s="468">
        <f>GAAP!G294</f>
        <v>0.79107999523565198</v>
      </c>
      <c r="E299" s="387">
        <f>Bonus!I294</f>
        <v>219576.11887758374</v>
      </c>
      <c r="F299" s="388">
        <f>Bonus!F294</f>
        <v>172683.27</v>
      </c>
      <c r="G299" s="388">
        <f t="shared" si="333"/>
        <v>46892.848877583747</v>
      </c>
      <c r="H299" s="388"/>
      <c r="I299" s="388">
        <f>GAAP!I294</f>
        <v>219576.11887758374</v>
      </c>
      <c r="J299" s="388">
        <f>GAAP!F294</f>
        <v>172683.27</v>
      </c>
      <c r="K299" s="388">
        <f t="shared" si="334"/>
        <v>46892.848877583747</v>
      </c>
      <c r="L299" s="388"/>
      <c r="M299" s="389">
        <f t="shared" si="335"/>
        <v>0</v>
      </c>
      <c r="N299" s="390">
        <f t="shared" si="336"/>
        <v>0</v>
      </c>
      <c r="O299" s="390">
        <f t="shared" si="337"/>
        <v>0</v>
      </c>
      <c r="P299" s="379"/>
      <c r="Q299" s="387">
        <f t="shared" si="338"/>
        <v>96610.760735279095</v>
      </c>
      <c r="R299" s="388">
        <f>Bonus!Q294</f>
        <v>84540.12999999999</v>
      </c>
      <c r="S299" s="388">
        <f>Bonus!S294</f>
        <v>12070.630735279097</v>
      </c>
      <c r="T299" s="388"/>
      <c r="U299" s="388">
        <f t="shared" si="339"/>
        <v>96610.760735279095</v>
      </c>
      <c r="V299" s="388">
        <f>GAAP!Q294</f>
        <v>84540.12999999999</v>
      </c>
      <c r="W299" s="388">
        <f>GAAP!S294</f>
        <v>12070.630735279097</v>
      </c>
      <c r="X299" s="388"/>
      <c r="Y299" s="389">
        <f t="shared" si="340"/>
        <v>0</v>
      </c>
      <c r="Z299" s="390">
        <f t="shared" si="341"/>
        <v>0</v>
      </c>
      <c r="AA299" s="391">
        <f t="shared" si="342"/>
        <v>0</v>
      </c>
      <c r="AC299" s="621">
        <f t="shared" si="286"/>
        <v>0</v>
      </c>
    </row>
    <row r="300" spans="1:29" s="240" customFormat="1" ht="15" customHeight="1">
      <c r="A300" s="385">
        <f>Bonus!A295</f>
        <v>56.104300000000002</v>
      </c>
      <c r="B300" s="386" t="str">
        <f>Bonus!B295</f>
        <v>SD Electirc, Inc - Morgan Hill, City of - Sanitary Sewer Lift Station K &amp; F Reh</v>
      </c>
      <c r="C300" s="468">
        <f>Bonus!G295</f>
        <v>0.69043196495724024</v>
      </c>
      <c r="D300" s="468">
        <f>GAAP!G295</f>
        <v>0.69043196495724024</v>
      </c>
      <c r="E300" s="387">
        <f>Bonus!I295</f>
        <v>232406.30372425664</v>
      </c>
      <c r="F300" s="388">
        <f>Bonus!F295</f>
        <v>214994.3</v>
      </c>
      <c r="G300" s="388">
        <f t="shared" si="333"/>
        <v>17412.003724256647</v>
      </c>
      <c r="H300" s="388"/>
      <c r="I300" s="388">
        <f>GAAP!I295</f>
        <v>232406.30372425664</v>
      </c>
      <c r="J300" s="388">
        <f>GAAP!F295</f>
        <v>214994.3</v>
      </c>
      <c r="K300" s="388">
        <f t="shared" si="334"/>
        <v>17412.003724256647</v>
      </c>
      <c r="L300" s="388"/>
      <c r="M300" s="389">
        <f t="shared" si="335"/>
        <v>0</v>
      </c>
      <c r="N300" s="390">
        <f t="shared" si="336"/>
        <v>0</v>
      </c>
      <c r="O300" s="390">
        <f t="shared" si="337"/>
        <v>0</v>
      </c>
      <c r="P300" s="379"/>
      <c r="Q300" s="387">
        <f t="shared" si="338"/>
        <v>194947.42372425663</v>
      </c>
      <c r="R300" s="388">
        <f>Bonus!Q295</f>
        <v>177535.41999999998</v>
      </c>
      <c r="S300" s="388">
        <f>Bonus!S295</f>
        <v>17412.003724256643</v>
      </c>
      <c r="T300" s="388"/>
      <c r="U300" s="388">
        <f t="shared" si="339"/>
        <v>190497.7689230738</v>
      </c>
      <c r="V300" s="388">
        <f>GAAP!Q295</f>
        <v>177535.41999999998</v>
      </c>
      <c r="W300" s="388">
        <f>GAAP!S295</f>
        <v>12962.348923073827</v>
      </c>
      <c r="X300" s="388"/>
      <c r="Y300" s="389">
        <f t="shared" si="340"/>
        <v>4449.6548011828272</v>
      </c>
      <c r="Z300" s="390">
        <f t="shared" si="341"/>
        <v>0</v>
      </c>
      <c r="AA300" s="391">
        <f t="shared" si="342"/>
        <v>4449.6548011828163</v>
      </c>
      <c r="AC300" s="621">
        <f t="shared" si="286"/>
        <v>-4449.6548011828163</v>
      </c>
    </row>
    <row r="301" spans="1:29" s="240" customFormat="1" ht="15" customHeight="1">
      <c r="A301" s="385">
        <f>Bonus!A296</f>
        <v>56.104599999999998</v>
      </c>
      <c r="B301" s="386" t="str">
        <f>Bonus!B296</f>
        <v>California Water Service Co. - SSF-1 - Visalia St. 97 Panelboard Mods</v>
      </c>
      <c r="C301" s="468">
        <f>Bonus!G296</f>
        <v>0.97260743408874883</v>
      </c>
      <c r="D301" s="468">
        <f>GAAP!G296</f>
        <v>0.97260743408874883</v>
      </c>
      <c r="E301" s="387">
        <f>Bonus!I296</f>
        <v>74929.8</v>
      </c>
      <c r="F301" s="388">
        <f>Bonus!F296</f>
        <v>77765.8</v>
      </c>
      <c r="G301" s="388">
        <f t="shared" si="333"/>
        <v>-2836</v>
      </c>
      <c r="H301" s="388"/>
      <c r="I301" s="388">
        <f>GAAP!I296</f>
        <v>74929.8</v>
      </c>
      <c r="J301" s="388">
        <f>GAAP!F296</f>
        <v>77765.8</v>
      </c>
      <c r="K301" s="388">
        <f t="shared" si="334"/>
        <v>-2836</v>
      </c>
      <c r="L301" s="388"/>
      <c r="M301" s="389">
        <f t="shared" si="335"/>
        <v>0</v>
      </c>
      <c r="N301" s="390">
        <f t="shared" si="336"/>
        <v>0</v>
      </c>
      <c r="O301" s="390">
        <f t="shared" si="337"/>
        <v>0</v>
      </c>
      <c r="P301" s="379"/>
      <c r="Q301" s="387">
        <f t="shared" si="338"/>
        <v>65463.400000000009</v>
      </c>
      <c r="R301" s="388">
        <f>Bonus!Q296</f>
        <v>68299.400000000009</v>
      </c>
      <c r="S301" s="388">
        <f>Bonus!S296</f>
        <v>-2836</v>
      </c>
      <c r="T301" s="388"/>
      <c r="U301" s="388">
        <f t="shared" si="339"/>
        <v>63859.752692287257</v>
      </c>
      <c r="V301" s="388">
        <f>GAAP!Q296</f>
        <v>68299.400000000009</v>
      </c>
      <c r="W301" s="388">
        <f>GAAP!S296</f>
        <v>-4439.6473077127521</v>
      </c>
      <c r="X301" s="388"/>
      <c r="Y301" s="389">
        <f t="shared" si="340"/>
        <v>1603.6473077127521</v>
      </c>
      <c r="Z301" s="390">
        <f t="shared" si="341"/>
        <v>0</v>
      </c>
      <c r="AA301" s="391">
        <f t="shared" si="342"/>
        <v>1603.6473077127521</v>
      </c>
      <c r="AC301" s="621">
        <f t="shared" si="286"/>
        <v>-1603.6473077127521</v>
      </c>
    </row>
    <row r="302" spans="1:29" s="240" customFormat="1" ht="15" customHeight="1">
      <c r="A302" s="385">
        <f>Bonus!A297</f>
        <v>56.104700000000001</v>
      </c>
      <c r="B302" s="386" t="str">
        <f>Bonus!B297</f>
        <v>SD Electric, Inc - Lathrop, City of - Consolidated Treatment Facility Ph. 3</v>
      </c>
      <c r="C302" s="468">
        <f>Bonus!G297</f>
        <v>0.78550670283329771</v>
      </c>
      <c r="D302" s="468">
        <f>GAAP!G297</f>
        <v>0.78550670283329771</v>
      </c>
      <c r="E302" s="387">
        <f>Bonus!I297</f>
        <v>1881098.4606636623</v>
      </c>
      <c r="F302" s="388">
        <f>Bonus!F297</f>
        <v>1602869.63</v>
      </c>
      <c r="G302" s="388">
        <f t="shared" si="333"/>
        <v>278228.8306636624</v>
      </c>
      <c r="H302" s="388"/>
      <c r="I302" s="388">
        <f>GAAP!I297</f>
        <v>1881098.4606636623</v>
      </c>
      <c r="J302" s="388">
        <f>GAAP!F297</f>
        <v>1602869.63</v>
      </c>
      <c r="K302" s="388">
        <f t="shared" si="334"/>
        <v>278228.8306636624</v>
      </c>
      <c r="L302" s="388"/>
      <c r="M302" s="389">
        <f t="shared" si="335"/>
        <v>0</v>
      </c>
      <c r="N302" s="390">
        <f t="shared" si="336"/>
        <v>0</v>
      </c>
      <c r="O302" s="390">
        <f t="shared" si="337"/>
        <v>0</v>
      </c>
      <c r="P302" s="379"/>
      <c r="Q302" s="387">
        <f t="shared" si="338"/>
        <v>1820562.3006636626</v>
      </c>
      <c r="R302" s="388">
        <f>Bonus!Q297</f>
        <v>1542333.47</v>
      </c>
      <c r="S302" s="388">
        <f>Bonus!S297</f>
        <v>278228.83066366252</v>
      </c>
      <c r="T302" s="388"/>
      <c r="U302" s="388">
        <f t="shared" si="339"/>
        <v>1820562.3006636626</v>
      </c>
      <c r="V302" s="388">
        <f>GAAP!Q297</f>
        <v>1542333.47</v>
      </c>
      <c r="W302" s="388">
        <f>GAAP!S297</f>
        <v>278228.83066366252</v>
      </c>
      <c r="X302" s="388"/>
      <c r="Y302" s="389">
        <f t="shared" si="340"/>
        <v>0</v>
      </c>
      <c r="Z302" s="390">
        <f t="shared" si="341"/>
        <v>0</v>
      </c>
      <c r="AA302" s="391">
        <f t="shared" si="342"/>
        <v>0</v>
      </c>
      <c r="AC302" s="621">
        <f t="shared" si="286"/>
        <v>0</v>
      </c>
    </row>
    <row r="303" spans="1:29" s="240" customFormat="1" ht="15" customHeight="1">
      <c r="A303" s="385">
        <f>Bonus!A298</f>
        <v>56.104799999999997</v>
      </c>
      <c r="B303" s="386" t="str">
        <f>Bonus!B298</f>
        <v>Blocka Construction, Inc - West Bay Sanitary District - Telemetry Panel Replacement</v>
      </c>
      <c r="C303" s="468">
        <f>Bonus!G298</f>
        <v>0.98012121475431202</v>
      </c>
      <c r="D303" s="468">
        <f>GAAP!G298</f>
        <v>0.98012121475431202</v>
      </c>
      <c r="E303" s="387">
        <f>Bonus!I298</f>
        <v>196024.24295086239</v>
      </c>
      <c r="F303" s="388">
        <f>Bonus!F298</f>
        <v>157916.15</v>
      </c>
      <c r="G303" s="388">
        <f t="shared" si="333"/>
        <v>38108.092950862396</v>
      </c>
      <c r="H303" s="388"/>
      <c r="I303" s="388">
        <f>GAAP!I298</f>
        <v>196024.24295086239</v>
      </c>
      <c r="J303" s="388">
        <f>GAAP!F298</f>
        <v>157916.15</v>
      </c>
      <c r="K303" s="388">
        <f t="shared" si="334"/>
        <v>38108.092950862396</v>
      </c>
      <c r="L303" s="388"/>
      <c r="M303" s="389">
        <f t="shared" si="335"/>
        <v>0</v>
      </c>
      <c r="N303" s="390">
        <f t="shared" si="336"/>
        <v>0</v>
      </c>
      <c r="O303" s="390">
        <f t="shared" si="337"/>
        <v>0</v>
      </c>
      <c r="P303" s="379"/>
      <c r="Q303" s="387">
        <f t="shared" si="338"/>
        <v>175234.89295086238</v>
      </c>
      <c r="R303" s="388">
        <f>Bonus!Q298</f>
        <v>137126.79999999999</v>
      </c>
      <c r="S303" s="388">
        <f>Bonus!S298</f>
        <v>38108.092950862403</v>
      </c>
      <c r="T303" s="388"/>
      <c r="U303" s="388">
        <f t="shared" si="339"/>
        <v>140591.15003953411</v>
      </c>
      <c r="V303" s="388">
        <f>GAAP!Q298</f>
        <v>137126.79999999999</v>
      </c>
      <c r="W303" s="388">
        <f>GAAP!S298</f>
        <v>3464.3500395341252</v>
      </c>
      <c r="X303" s="388"/>
      <c r="Y303" s="389">
        <f t="shared" si="340"/>
        <v>34643.742911328271</v>
      </c>
      <c r="Z303" s="390">
        <f t="shared" si="341"/>
        <v>0</v>
      </c>
      <c r="AA303" s="391">
        <f t="shared" si="342"/>
        <v>34643.742911328278</v>
      </c>
      <c r="AC303" s="621">
        <f t="shared" si="286"/>
        <v>-34643.742911328278</v>
      </c>
    </row>
    <row r="304" spans="1:29" s="240" customFormat="1" ht="15" customHeight="1">
      <c r="A304" s="385">
        <f>Bonus!A299</f>
        <v>56.104900000000001</v>
      </c>
      <c r="B304" s="386" t="str">
        <f>Bonus!B299</f>
        <v>East Orange County Water District - SCADA Field Site RTU Prog Ph.1</v>
      </c>
      <c r="C304" s="468">
        <f>Bonus!G299</f>
        <v>0.86157622562511804</v>
      </c>
      <c r="D304" s="468">
        <f>GAAP!G299</f>
        <v>0.86157622562511804</v>
      </c>
      <c r="E304" s="387">
        <f>Bonus!I299</f>
        <v>265990.12025611458</v>
      </c>
      <c r="F304" s="388">
        <f>Bonus!F299</f>
        <v>214423.06</v>
      </c>
      <c r="G304" s="388">
        <f t="shared" si="333"/>
        <v>51567.060256114579</v>
      </c>
      <c r="H304" s="388"/>
      <c r="I304" s="388">
        <f>GAAP!I299</f>
        <v>265990.12025611458</v>
      </c>
      <c r="J304" s="388">
        <f>GAAP!F299</f>
        <v>214423.06</v>
      </c>
      <c r="K304" s="388">
        <f t="shared" si="334"/>
        <v>51567.060256114579</v>
      </c>
      <c r="L304" s="388"/>
      <c r="M304" s="389">
        <f t="shared" si="335"/>
        <v>0</v>
      </c>
      <c r="N304" s="390">
        <f t="shared" si="336"/>
        <v>0</v>
      </c>
      <c r="O304" s="390">
        <f t="shared" si="337"/>
        <v>0</v>
      </c>
      <c r="P304" s="379"/>
      <c r="Q304" s="387">
        <f t="shared" si="338"/>
        <v>64100.269283890855</v>
      </c>
      <c r="R304" s="388">
        <f>Bonus!Q299</f>
        <v>86942.28</v>
      </c>
      <c r="S304" s="388">
        <f>Bonus!S299</f>
        <v>-22842.010716109144</v>
      </c>
      <c r="T304" s="388"/>
      <c r="U304" s="388">
        <f t="shared" si="339"/>
        <v>64100.269283890855</v>
      </c>
      <c r="V304" s="388">
        <f>GAAP!Q299</f>
        <v>86942.28</v>
      </c>
      <c r="W304" s="388">
        <f>GAAP!S299</f>
        <v>-22842.010716109144</v>
      </c>
      <c r="X304" s="388"/>
      <c r="Y304" s="389">
        <f t="shared" si="340"/>
        <v>0</v>
      </c>
      <c r="Z304" s="390">
        <f t="shared" si="341"/>
        <v>0</v>
      </c>
      <c r="AA304" s="391">
        <f t="shared" si="342"/>
        <v>0</v>
      </c>
      <c r="AC304" s="621">
        <f t="shared" si="286"/>
        <v>0</v>
      </c>
    </row>
    <row r="305" spans="1:29" s="240" customFormat="1" ht="15" customHeight="1">
      <c r="A305" s="385">
        <f>Bonus!A300</f>
        <v>56.104999999999997</v>
      </c>
      <c r="B305" s="386" t="str">
        <f>Bonus!B300</f>
        <v>Collins Electric - Watsonville, City of - WWTF Electrical System Hazard Mitigat</v>
      </c>
      <c r="C305" s="468">
        <f>Bonus!G300</f>
        <v>0.27509407181613083</v>
      </c>
      <c r="D305" s="468">
        <f>GAAP!G300</f>
        <v>0.27509407181613083</v>
      </c>
      <c r="E305" s="387">
        <f>Bonus!I300</f>
        <v>1043310.4979129133</v>
      </c>
      <c r="F305" s="388">
        <f>Bonus!F300</f>
        <v>925847.53</v>
      </c>
      <c r="G305" s="388">
        <f t="shared" si="333"/>
        <v>117462.9679129133</v>
      </c>
      <c r="H305" s="388"/>
      <c r="I305" s="388">
        <f>GAAP!I300</f>
        <v>1043310.4979129133</v>
      </c>
      <c r="J305" s="388">
        <f>GAAP!F300</f>
        <v>925847.53</v>
      </c>
      <c r="K305" s="388">
        <f t="shared" si="334"/>
        <v>117462.9679129133</v>
      </c>
      <c r="L305" s="388"/>
      <c r="M305" s="389">
        <f t="shared" si="335"/>
        <v>0</v>
      </c>
      <c r="N305" s="390">
        <f t="shared" si="336"/>
        <v>0</v>
      </c>
      <c r="O305" s="390">
        <f t="shared" si="337"/>
        <v>0</v>
      </c>
      <c r="P305" s="379"/>
      <c r="Q305" s="387">
        <f t="shared" si="338"/>
        <v>988845.87791291333</v>
      </c>
      <c r="R305" s="388">
        <f>Bonus!Q300</f>
        <v>871382.91</v>
      </c>
      <c r="S305" s="388">
        <f>Bonus!S300</f>
        <v>117462.96791291333</v>
      </c>
      <c r="T305" s="388"/>
      <c r="U305" s="388">
        <f t="shared" si="339"/>
        <v>988845.87791291333</v>
      </c>
      <c r="V305" s="388">
        <f>GAAP!Q300</f>
        <v>871382.91</v>
      </c>
      <c r="W305" s="388">
        <f>GAAP!S300</f>
        <v>117462.96791291333</v>
      </c>
      <c r="X305" s="388"/>
      <c r="Y305" s="389">
        <f t="shared" si="340"/>
        <v>0</v>
      </c>
      <c r="Z305" s="390">
        <f t="shared" si="341"/>
        <v>0</v>
      </c>
      <c r="AA305" s="391">
        <f t="shared" si="342"/>
        <v>0</v>
      </c>
      <c r="AC305" s="621">
        <f t="shared" si="286"/>
        <v>0</v>
      </c>
    </row>
    <row r="306" spans="1:29" s="240" customFormat="1" ht="15" customHeight="1">
      <c r="A306" s="385">
        <f>Bonus!A301</f>
        <v>56.105499999999999</v>
      </c>
      <c r="B306" s="386" t="str">
        <f>Bonus!B301</f>
        <v>Strategic Mechanical, Inc - Tranquility Irrigation District - Tranquility Well 8 Project</v>
      </c>
      <c r="C306" s="468">
        <f>Bonus!G301</f>
        <v>0.84801438910908156</v>
      </c>
      <c r="D306" s="468">
        <f>GAAP!G301</f>
        <v>0.84801438910908156</v>
      </c>
      <c r="E306" s="387">
        <f>Bonus!I301</f>
        <v>102517.30751378599</v>
      </c>
      <c r="F306" s="388">
        <f>Bonus!F301</f>
        <v>78736.44</v>
      </c>
      <c r="G306" s="388">
        <f t="shared" si="333"/>
        <v>23780.867513785983</v>
      </c>
      <c r="H306" s="388"/>
      <c r="I306" s="388">
        <f>GAAP!I301</f>
        <v>102517.30751378599</v>
      </c>
      <c r="J306" s="388">
        <f>GAAP!F301</f>
        <v>78736.44</v>
      </c>
      <c r="K306" s="388">
        <f t="shared" si="334"/>
        <v>23780.867513785983</v>
      </c>
      <c r="L306" s="388"/>
      <c r="M306" s="389">
        <f t="shared" si="335"/>
        <v>0</v>
      </c>
      <c r="N306" s="390">
        <f t="shared" si="336"/>
        <v>0</v>
      </c>
      <c r="O306" s="390">
        <f t="shared" si="337"/>
        <v>0</v>
      </c>
      <c r="P306" s="379"/>
      <c r="Q306" s="387">
        <f t="shared" si="338"/>
        <v>88246.297513785976</v>
      </c>
      <c r="R306" s="388">
        <f>Bonus!Q301</f>
        <v>64465.43</v>
      </c>
      <c r="S306" s="388">
        <f>Bonus!S301</f>
        <v>23780.867513785975</v>
      </c>
      <c r="T306" s="388"/>
      <c r="U306" s="388">
        <f t="shared" si="339"/>
        <v>85731.307954254604</v>
      </c>
      <c r="V306" s="388">
        <f>GAAP!Q301</f>
        <v>64465.43</v>
      </c>
      <c r="W306" s="388">
        <f>GAAP!S301</f>
        <v>21265.8779542546</v>
      </c>
      <c r="X306" s="388"/>
      <c r="Y306" s="389">
        <f t="shared" si="340"/>
        <v>2514.9895595313719</v>
      </c>
      <c r="Z306" s="390">
        <f t="shared" si="341"/>
        <v>0</v>
      </c>
      <c r="AA306" s="391">
        <f t="shared" si="342"/>
        <v>2514.9895595313756</v>
      </c>
      <c r="AC306" s="621">
        <f t="shared" si="286"/>
        <v>-2514.9895595313756</v>
      </c>
    </row>
    <row r="307" spans="1:29" s="240" customFormat="1" ht="15" customHeight="1">
      <c r="A307" s="385">
        <f>Bonus!A302</f>
        <v>56.105899999999998</v>
      </c>
      <c r="B307" s="386" t="str">
        <f>Bonus!B302</f>
        <v>Fusion Electric, Inc - San Francisco Utilities Commission (SFPUC) - Moccasin Compou</v>
      </c>
      <c r="C307" s="468">
        <f>Bonus!G302</f>
        <v>0.71639617746942652</v>
      </c>
      <c r="D307" s="468">
        <f>GAAP!G302</f>
        <v>0.71639617746942652</v>
      </c>
      <c r="E307" s="387">
        <f>Bonus!I302</f>
        <v>286120.75292333675</v>
      </c>
      <c r="F307" s="388">
        <f>Bonus!F302</f>
        <v>235841.92000000001</v>
      </c>
      <c r="G307" s="388">
        <f t="shared" si="333"/>
        <v>50278.83292333674</v>
      </c>
      <c r="H307" s="388"/>
      <c r="I307" s="388">
        <f>GAAP!I302</f>
        <v>286120.75292333675</v>
      </c>
      <c r="J307" s="388">
        <f>GAAP!F302</f>
        <v>235841.92000000001</v>
      </c>
      <c r="K307" s="388">
        <f t="shared" si="334"/>
        <v>50278.83292333674</v>
      </c>
      <c r="L307" s="388"/>
      <c r="M307" s="389">
        <f t="shared" si="335"/>
        <v>0</v>
      </c>
      <c r="N307" s="390">
        <f t="shared" si="336"/>
        <v>0</v>
      </c>
      <c r="O307" s="390">
        <f t="shared" si="337"/>
        <v>0</v>
      </c>
      <c r="P307" s="379"/>
      <c r="Q307" s="387">
        <f t="shared" si="338"/>
        <v>259417.37292333678</v>
      </c>
      <c r="R307" s="388">
        <f>Bonus!Q302</f>
        <v>209138.54</v>
      </c>
      <c r="S307" s="388">
        <f>Bonus!S302</f>
        <v>50278.832923336762</v>
      </c>
      <c r="T307" s="388"/>
      <c r="U307" s="388">
        <f t="shared" si="339"/>
        <v>259417.37292333678</v>
      </c>
      <c r="V307" s="388">
        <f>GAAP!Q302</f>
        <v>209138.54</v>
      </c>
      <c r="W307" s="388">
        <f>GAAP!S302</f>
        <v>50278.832923336762</v>
      </c>
      <c r="X307" s="388"/>
      <c r="Y307" s="389">
        <f t="shared" si="340"/>
        <v>0</v>
      </c>
      <c r="Z307" s="390">
        <f t="shared" si="341"/>
        <v>0</v>
      </c>
      <c r="AA307" s="391">
        <f t="shared" si="342"/>
        <v>0</v>
      </c>
      <c r="AC307" s="621">
        <f t="shared" si="286"/>
        <v>0</v>
      </c>
    </row>
    <row r="308" spans="1:29" s="240" customFormat="1" ht="15" customHeight="1">
      <c r="A308" s="385">
        <f>Bonus!A303</f>
        <v>56.106000000000002</v>
      </c>
      <c r="B308" s="386" t="str">
        <f>Bonus!B303</f>
        <v>Fusion Electric, Inc - Stockton, City of - N4 Pump Station Improvement Plans of Mar</v>
      </c>
      <c r="C308" s="468">
        <f>Bonus!G303</f>
        <v>0.45137185223773685</v>
      </c>
      <c r="D308" s="468">
        <f>GAAP!G303</f>
        <v>0.45137185223773685</v>
      </c>
      <c r="E308" s="387">
        <f>Bonus!I303</f>
        <v>182653.48784207931</v>
      </c>
      <c r="F308" s="388">
        <f>Bonus!F303</f>
        <v>145563.35999999999</v>
      </c>
      <c r="G308" s="388">
        <f t="shared" si="333"/>
        <v>37090.127842079324</v>
      </c>
      <c r="H308" s="388"/>
      <c r="I308" s="388">
        <f>GAAP!I303</f>
        <v>182653.48784207931</v>
      </c>
      <c r="J308" s="388">
        <f>GAAP!F303</f>
        <v>145563.35999999999</v>
      </c>
      <c r="K308" s="388">
        <f t="shared" si="334"/>
        <v>37090.127842079324</v>
      </c>
      <c r="L308" s="388"/>
      <c r="M308" s="389">
        <f t="shared" si="335"/>
        <v>0</v>
      </c>
      <c r="N308" s="390">
        <f t="shared" si="336"/>
        <v>0</v>
      </c>
      <c r="O308" s="390">
        <f t="shared" si="337"/>
        <v>0</v>
      </c>
      <c r="P308" s="379"/>
      <c r="Q308" s="387">
        <f t="shared" si="338"/>
        <v>146206.92784207931</v>
      </c>
      <c r="R308" s="388">
        <f>Bonus!Q303</f>
        <v>109116.79999999999</v>
      </c>
      <c r="S308" s="388">
        <f>Bonus!S303</f>
        <v>37090.12784207931</v>
      </c>
      <c r="T308" s="388"/>
      <c r="U308" s="388">
        <f t="shared" si="339"/>
        <v>135265.36589553737</v>
      </c>
      <c r="V308" s="388">
        <f>GAAP!Q303</f>
        <v>109116.79999999999</v>
      </c>
      <c r="W308" s="388">
        <f>GAAP!S303</f>
        <v>26148.56589553738</v>
      </c>
      <c r="X308" s="388"/>
      <c r="Y308" s="389">
        <f t="shared" si="340"/>
        <v>10941.561946541944</v>
      </c>
      <c r="Z308" s="390">
        <f t="shared" si="341"/>
        <v>0</v>
      </c>
      <c r="AA308" s="391">
        <f t="shared" si="342"/>
        <v>10941.56194654193</v>
      </c>
      <c r="AC308" s="621">
        <f t="shared" si="286"/>
        <v>-10941.56194654193</v>
      </c>
    </row>
    <row r="309" spans="1:29" s="240" customFormat="1" ht="15" customHeight="1">
      <c r="A309" s="385">
        <f>Bonus!A304</f>
        <v>56.106299999999997</v>
      </c>
      <c r="B309" s="386" t="str">
        <f>Bonus!B304</f>
        <v>Bay Tech Engineering - West Bay Sanitary District - Stowe Lane Pump Station Project</v>
      </c>
      <c r="C309" s="468">
        <f>Bonus!G304</f>
        <v>0.75612391621817587</v>
      </c>
      <c r="D309" s="468">
        <f>GAAP!G304</f>
        <v>0.75612391621817587</v>
      </c>
      <c r="E309" s="387">
        <f>Bonus!I304</f>
        <v>81661.382951562991</v>
      </c>
      <c r="F309" s="388">
        <f>Bonus!F304</f>
        <v>74040.41</v>
      </c>
      <c r="G309" s="388">
        <f t="shared" si="333"/>
        <v>7620.9729515629879</v>
      </c>
      <c r="H309" s="388"/>
      <c r="I309" s="388">
        <f>GAAP!I304</f>
        <v>81661.382951562991</v>
      </c>
      <c r="J309" s="388">
        <f>GAAP!F304</f>
        <v>74040.41</v>
      </c>
      <c r="K309" s="388">
        <f t="shared" si="334"/>
        <v>7620.9729515629879</v>
      </c>
      <c r="L309" s="388"/>
      <c r="M309" s="389">
        <f t="shared" si="335"/>
        <v>0</v>
      </c>
      <c r="N309" s="390">
        <f t="shared" si="336"/>
        <v>0</v>
      </c>
      <c r="O309" s="390">
        <f t="shared" si="337"/>
        <v>0</v>
      </c>
      <c r="P309" s="379"/>
      <c r="Q309" s="387">
        <f t="shared" si="338"/>
        <v>64053.572951563001</v>
      </c>
      <c r="R309" s="388">
        <f>Bonus!Q304</f>
        <v>56432.600000000006</v>
      </c>
      <c r="S309" s="388">
        <f>Bonus!S304</f>
        <v>7620.9729515629942</v>
      </c>
      <c r="T309" s="388"/>
      <c r="U309" s="388">
        <f t="shared" si="339"/>
        <v>61085.502145252744</v>
      </c>
      <c r="V309" s="388">
        <f>GAAP!Q304</f>
        <v>56432.600000000006</v>
      </c>
      <c r="W309" s="388">
        <f>GAAP!S304</f>
        <v>4652.9021452527395</v>
      </c>
      <c r="X309" s="388"/>
      <c r="Y309" s="389">
        <f t="shared" si="340"/>
        <v>2968.0708063102575</v>
      </c>
      <c r="Z309" s="390">
        <f t="shared" si="341"/>
        <v>0</v>
      </c>
      <c r="AA309" s="391">
        <f t="shared" si="342"/>
        <v>2968.0708063102547</v>
      </c>
      <c r="AC309" s="621">
        <f t="shared" si="286"/>
        <v>-2968.0708063102547</v>
      </c>
    </row>
    <row r="310" spans="1:29" s="240" customFormat="1" ht="15" customHeight="1">
      <c r="A310" s="385">
        <f>Bonus!A305</f>
        <v>56.1066</v>
      </c>
      <c r="B310" s="386" t="str">
        <f>Bonus!B305</f>
        <v>CM Controls - City of Larkspur and Ross Valley Sanitary District – Heather</v>
      </c>
      <c r="C310" s="468">
        <f>Bonus!G305</f>
        <v>0.89565195958531674</v>
      </c>
      <c r="D310" s="468">
        <f>GAAP!G305</f>
        <v>0.89565195958531674</v>
      </c>
      <c r="E310" s="387">
        <f>Bonus!I305</f>
        <v>532912.91595326341</v>
      </c>
      <c r="F310" s="388">
        <f>Bonus!F305</f>
        <v>476030.06</v>
      </c>
      <c r="G310" s="388">
        <f t="shared" si="333"/>
        <v>56882.85595326341</v>
      </c>
      <c r="H310" s="388"/>
      <c r="I310" s="388">
        <f>GAAP!I305</f>
        <v>532912.91595326341</v>
      </c>
      <c r="J310" s="388">
        <f>GAAP!F305</f>
        <v>476030.06</v>
      </c>
      <c r="K310" s="388">
        <f t="shared" si="334"/>
        <v>56882.85595326341</v>
      </c>
      <c r="L310" s="388"/>
      <c r="M310" s="389">
        <f t="shared" si="335"/>
        <v>0</v>
      </c>
      <c r="N310" s="390">
        <f t="shared" si="336"/>
        <v>0</v>
      </c>
      <c r="O310" s="390">
        <f t="shared" si="337"/>
        <v>0</v>
      </c>
      <c r="P310" s="379"/>
      <c r="Q310" s="387">
        <f t="shared" si="338"/>
        <v>520441.78595326346</v>
      </c>
      <c r="R310" s="388">
        <f>Bonus!Q305</f>
        <v>463558.93</v>
      </c>
      <c r="S310" s="388">
        <f>Bonus!S305</f>
        <v>56882.855953263468</v>
      </c>
      <c r="T310" s="388"/>
      <c r="U310" s="388">
        <f t="shared" si="339"/>
        <v>520441.78595326346</v>
      </c>
      <c r="V310" s="388">
        <f>GAAP!Q305</f>
        <v>463558.93</v>
      </c>
      <c r="W310" s="388">
        <f>GAAP!S305</f>
        <v>56882.855953263468</v>
      </c>
      <c r="X310" s="388"/>
      <c r="Y310" s="389">
        <f t="shared" si="340"/>
        <v>0</v>
      </c>
      <c r="Z310" s="390">
        <f t="shared" si="341"/>
        <v>0</v>
      </c>
      <c r="AA310" s="391">
        <f t="shared" si="342"/>
        <v>0</v>
      </c>
      <c r="AC310" s="621">
        <f t="shared" si="286"/>
        <v>0</v>
      </c>
    </row>
    <row r="311" spans="1:29" s="240" customFormat="1" ht="15" customHeight="1">
      <c r="A311" s="385">
        <f>Bonus!A306</f>
        <v>56.106699999999996</v>
      </c>
      <c r="B311" s="386" t="str">
        <f>Bonus!B306</f>
        <v>Fusion Electric - Woodland Lift Station Rehabilitation - City of Modesto</v>
      </c>
      <c r="C311" s="468">
        <f>Bonus!G306</f>
        <v>0.25188153737394142</v>
      </c>
      <c r="D311" s="468">
        <f>GAAP!G306</f>
        <v>0.25188153737394142</v>
      </c>
      <c r="E311" s="387">
        <f>Bonus!I306</f>
        <v>120399.37486474399</v>
      </c>
      <c r="F311" s="388">
        <f>Bonus!F306</f>
        <v>104751.99</v>
      </c>
      <c r="G311" s="388">
        <f t="shared" si="333"/>
        <v>15647.384864743988</v>
      </c>
      <c r="H311" s="388"/>
      <c r="I311" s="388">
        <f>GAAP!I306</f>
        <v>120399.37486474399</v>
      </c>
      <c r="J311" s="388">
        <f>GAAP!F306</f>
        <v>104751.99</v>
      </c>
      <c r="K311" s="388">
        <f t="shared" si="334"/>
        <v>15647.384864743988</v>
      </c>
      <c r="L311" s="388"/>
      <c r="M311" s="389">
        <f t="shared" si="335"/>
        <v>0</v>
      </c>
      <c r="N311" s="390">
        <f t="shared" si="336"/>
        <v>0</v>
      </c>
      <c r="O311" s="390">
        <f t="shared" si="337"/>
        <v>0</v>
      </c>
      <c r="P311" s="379"/>
      <c r="Q311" s="387">
        <f t="shared" si="338"/>
        <v>116332.99486474399</v>
      </c>
      <c r="R311" s="388">
        <f>Bonus!Q306</f>
        <v>100685.61</v>
      </c>
      <c r="S311" s="388">
        <f>Bonus!S306</f>
        <v>15647.384864743988</v>
      </c>
      <c r="T311" s="388"/>
      <c r="U311" s="388">
        <f t="shared" si="339"/>
        <v>116332.99486474399</v>
      </c>
      <c r="V311" s="388">
        <f>GAAP!Q306</f>
        <v>100685.61</v>
      </c>
      <c r="W311" s="388">
        <f>GAAP!S306</f>
        <v>15647.384864743988</v>
      </c>
      <c r="X311" s="388"/>
      <c r="Y311" s="389">
        <f t="shared" si="340"/>
        <v>0</v>
      </c>
      <c r="Z311" s="390">
        <f t="shared" si="341"/>
        <v>0</v>
      </c>
      <c r="AA311" s="391">
        <f t="shared" si="342"/>
        <v>0</v>
      </c>
      <c r="AC311" s="621">
        <f t="shared" si="286"/>
        <v>0</v>
      </c>
    </row>
    <row r="312" spans="1:29" s="240" customFormat="1" ht="15" customHeight="1">
      <c r="A312" s="385">
        <f>Bonus!A307</f>
        <v>56.107300000000002</v>
      </c>
      <c r="B312" s="386" t="str">
        <f>Bonus!B307</f>
        <v>California Water Service Co. - Stockton Station 66-02 Panelboard Replacement - California W</v>
      </c>
      <c r="C312" s="468">
        <f>Bonus!G307</f>
        <v>0.95448201180215175</v>
      </c>
      <c r="D312" s="468">
        <f>GAAP!G307</f>
        <v>0.95448201180215175</v>
      </c>
      <c r="E312" s="387">
        <f>Bonus!I307</f>
        <v>116647.24666234096</v>
      </c>
      <c r="F312" s="388">
        <f>Bonus!F307</f>
        <v>108855.81</v>
      </c>
      <c r="G312" s="388">
        <f t="shared" si="333"/>
        <v>7791.4366623409587</v>
      </c>
      <c r="H312" s="388"/>
      <c r="I312" s="388">
        <f>GAAP!I307</f>
        <v>116647.24666234096</v>
      </c>
      <c r="J312" s="388">
        <f>GAAP!F307</f>
        <v>108855.81</v>
      </c>
      <c r="K312" s="388">
        <f t="shared" si="334"/>
        <v>7791.4366623409587</v>
      </c>
      <c r="L312" s="388"/>
      <c r="M312" s="389">
        <f t="shared" si="335"/>
        <v>0</v>
      </c>
      <c r="N312" s="390">
        <f t="shared" si="336"/>
        <v>0</v>
      </c>
      <c r="O312" s="390">
        <f t="shared" si="337"/>
        <v>0</v>
      </c>
      <c r="P312" s="379"/>
      <c r="Q312" s="387">
        <f t="shared" si="338"/>
        <v>116647.24666234096</v>
      </c>
      <c r="R312" s="388">
        <f>Bonus!Q307</f>
        <v>108855.81</v>
      </c>
      <c r="S312" s="388">
        <f>Bonus!S307</f>
        <v>7791.4366623409651</v>
      </c>
      <c r="T312" s="388"/>
      <c r="U312" s="388">
        <f t="shared" si="339"/>
        <v>116647.24666234096</v>
      </c>
      <c r="V312" s="388">
        <f>GAAP!Q307</f>
        <v>108855.81</v>
      </c>
      <c r="W312" s="388">
        <f>GAAP!S307</f>
        <v>7791.4366623409651</v>
      </c>
      <c r="X312" s="388"/>
      <c r="Y312" s="389">
        <f t="shared" si="340"/>
        <v>0</v>
      </c>
      <c r="Z312" s="390">
        <f t="shared" si="341"/>
        <v>0</v>
      </c>
      <c r="AA312" s="391">
        <f t="shared" si="342"/>
        <v>0</v>
      </c>
      <c r="AC312" s="621">
        <f t="shared" si="286"/>
        <v>0</v>
      </c>
    </row>
    <row r="313" spans="1:29" s="240" customFormat="1" ht="15" customHeight="1">
      <c r="A313" s="385">
        <f>Bonus!A308</f>
        <v>56.107500000000002</v>
      </c>
      <c r="B313" s="386" t="str">
        <f>Bonus!B308</f>
        <v>California Water Service Co. -Pkg 1 Bakersfield &amp; Arden PFAS RF</v>
      </c>
      <c r="C313" s="468">
        <f>Bonus!G308</f>
        <v>3.5512471632043206E-2</v>
      </c>
      <c r="D313" s="468">
        <f>GAAP!G308</f>
        <v>1</v>
      </c>
      <c r="E313" s="387">
        <f>Bonus!I308</f>
        <v>27665.919999999998</v>
      </c>
      <c r="F313" s="388">
        <f>Bonus!F308</f>
        <v>27665.919999999998</v>
      </c>
      <c r="G313" s="388">
        <f t="shared" si="333"/>
        <v>0</v>
      </c>
      <c r="H313" s="388"/>
      <c r="I313" s="388">
        <f>GAAP!I308</f>
        <v>27665.919999999998</v>
      </c>
      <c r="J313" s="388">
        <f>GAAP!F308</f>
        <v>27665.919999999998</v>
      </c>
      <c r="K313" s="388">
        <f t="shared" si="334"/>
        <v>0</v>
      </c>
      <c r="L313" s="388"/>
      <c r="M313" s="389">
        <f t="shared" si="335"/>
        <v>0</v>
      </c>
      <c r="N313" s="390">
        <f t="shared" si="336"/>
        <v>0</v>
      </c>
      <c r="O313" s="390">
        <f t="shared" si="337"/>
        <v>0</v>
      </c>
      <c r="P313" s="379"/>
      <c r="Q313" s="387">
        <f t="shared" si="338"/>
        <v>27665.919999999998</v>
      </c>
      <c r="R313" s="388">
        <f>Bonus!Q308</f>
        <v>27665.919999999998</v>
      </c>
      <c r="S313" s="388">
        <f>Bonus!S308</f>
        <v>0</v>
      </c>
      <c r="T313" s="388"/>
      <c r="U313" s="388">
        <f t="shared" si="339"/>
        <v>27665.919999999998</v>
      </c>
      <c r="V313" s="388">
        <f>GAAP!Q308</f>
        <v>27665.919999999998</v>
      </c>
      <c r="W313" s="388">
        <f>GAAP!S308</f>
        <v>0</v>
      </c>
      <c r="X313" s="388"/>
      <c r="Y313" s="389">
        <f t="shared" si="340"/>
        <v>0</v>
      </c>
      <c r="Z313" s="390">
        <f t="shared" si="341"/>
        <v>0</v>
      </c>
      <c r="AA313" s="391">
        <f t="shared" si="342"/>
        <v>0</v>
      </c>
      <c r="AC313" s="621">
        <f t="shared" si="286"/>
        <v>0</v>
      </c>
    </row>
    <row r="314" spans="1:29" s="240" customFormat="1" ht="15" customHeight="1">
      <c r="A314" s="385">
        <f>Bonus!A309</f>
        <v>56.107799999999997</v>
      </c>
      <c r="B314" s="386" t="str">
        <f>Bonus!B309</f>
        <v>City of Napa - On-Call Control Systems Integrator Services</v>
      </c>
      <c r="C314" s="468">
        <f>Bonus!G309</f>
        <v>1</v>
      </c>
      <c r="D314" s="468">
        <f>GAAP!G309</f>
        <v>1</v>
      </c>
      <c r="E314" s="387">
        <f>Bonus!I309</f>
        <v>25356.25</v>
      </c>
      <c r="F314" s="388">
        <f>Bonus!F309</f>
        <v>25356.25</v>
      </c>
      <c r="G314" s="388">
        <f t="shared" si="333"/>
        <v>0</v>
      </c>
      <c r="H314" s="388"/>
      <c r="I314" s="388">
        <f>GAAP!I309</f>
        <v>25356.25</v>
      </c>
      <c r="J314" s="388">
        <f>GAAP!F309</f>
        <v>25356.25</v>
      </c>
      <c r="K314" s="388">
        <f t="shared" si="334"/>
        <v>0</v>
      </c>
      <c r="L314" s="388"/>
      <c r="M314" s="389">
        <f t="shared" si="335"/>
        <v>0</v>
      </c>
      <c r="N314" s="390">
        <f t="shared" si="336"/>
        <v>0</v>
      </c>
      <c r="O314" s="390">
        <f t="shared" si="337"/>
        <v>0</v>
      </c>
      <c r="P314" s="379"/>
      <c r="Q314" s="387">
        <f t="shared" si="338"/>
        <v>25356.25</v>
      </c>
      <c r="R314" s="388">
        <f>Bonus!Q309</f>
        <v>25356.25</v>
      </c>
      <c r="S314" s="388">
        <f>Bonus!S309</f>
        <v>0</v>
      </c>
      <c r="T314" s="388"/>
      <c r="U314" s="388">
        <f t="shared" si="339"/>
        <v>25356.25</v>
      </c>
      <c r="V314" s="388">
        <f>GAAP!Q309</f>
        <v>25356.25</v>
      </c>
      <c r="W314" s="388">
        <f>GAAP!S309</f>
        <v>0</v>
      </c>
      <c r="X314" s="388"/>
      <c r="Y314" s="389">
        <f t="shared" si="340"/>
        <v>0</v>
      </c>
      <c r="Z314" s="390">
        <f t="shared" si="341"/>
        <v>0</v>
      </c>
      <c r="AA314" s="391">
        <f t="shared" si="342"/>
        <v>0</v>
      </c>
      <c r="AC314" s="621">
        <f t="shared" si="286"/>
        <v>0</v>
      </c>
    </row>
    <row r="315" spans="1:29" s="240" customFormat="1" ht="15" customHeight="1">
      <c r="A315" s="385">
        <f>Bonus!A310</f>
        <v>56.1081</v>
      </c>
      <c r="B315" s="386" t="str">
        <f>Bonus!B310</f>
        <v>Rancho Murieta Community Service District - RFP for Replacement of WTP SCADA</v>
      </c>
      <c r="C315" s="468">
        <f>Bonus!G310</f>
        <v>0.98097049159808491</v>
      </c>
      <c r="D315" s="468">
        <f>GAAP!G310</f>
        <v>0.98097049159808491</v>
      </c>
      <c r="E315" s="387">
        <f>Bonus!I310</f>
        <v>176270.58763525987</v>
      </c>
      <c r="F315" s="388">
        <f>Bonus!F310</f>
        <v>156744.37</v>
      </c>
      <c r="G315" s="388">
        <f t="shared" si="333"/>
        <v>19526.217635259876</v>
      </c>
      <c r="H315" s="388"/>
      <c r="I315" s="388">
        <f>GAAP!I310</f>
        <v>176270.58763525987</v>
      </c>
      <c r="J315" s="388">
        <f>GAAP!F310</f>
        <v>156744.37</v>
      </c>
      <c r="K315" s="388">
        <f t="shared" si="334"/>
        <v>19526.217635259876</v>
      </c>
      <c r="L315" s="388"/>
      <c r="M315" s="389">
        <f t="shared" si="335"/>
        <v>0</v>
      </c>
      <c r="N315" s="390">
        <f t="shared" si="336"/>
        <v>0</v>
      </c>
      <c r="O315" s="390">
        <f t="shared" si="337"/>
        <v>0</v>
      </c>
      <c r="P315" s="379"/>
      <c r="Q315" s="387">
        <f t="shared" si="338"/>
        <v>176270.58763525987</v>
      </c>
      <c r="R315" s="388">
        <f>Bonus!Q310</f>
        <v>156744.37</v>
      </c>
      <c r="S315" s="388">
        <f>Bonus!S310</f>
        <v>19526.21763525988</v>
      </c>
      <c r="T315" s="388"/>
      <c r="U315" s="388">
        <f t="shared" si="339"/>
        <v>176270.58763525987</v>
      </c>
      <c r="V315" s="388">
        <f>GAAP!Q310</f>
        <v>156744.37</v>
      </c>
      <c r="W315" s="388">
        <f>GAAP!S310</f>
        <v>19526.21763525988</v>
      </c>
      <c r="X315" s="388"/>
      <c r="Y315" s="389">
        <f t="shared" si="340"/>
        <v>0</v>
      </c>
      <c r="Z315" s="390">
        <f t="shared" si="341"/>
        <v>0</v>
      </c>
      <c r="AA315" s="391">
        <f t="shared" si="342"/>
        <v>0</v>
      </c>
      <c r="AC315" s="621">
        <f t="shared" si="286"/>
        <v>0</v>
      </c>
    </row>
    <row r="316" spans="1:29" s="240" customFormat="1" ht="15" customHeight="1">
      <c r="A316" s="385">
        <f>Bonus!A311</f>
        <v>56.1083</v>
      </c>
      <c r="B316" s="386" t="str">
        <f>Bonus!B311</f>
        <v>West Valley Water District - Furnish Planning Services for SCADA, Instrumentation, and SM</v>
      </c>
      <c r="C316" s="468">
        <f>Bonus!G311</f>
        <v>0.5301446760405446</v>
      </c>
      <c r="D316" s="468">
        <f>GAAP!G311</f>
        <v>0.5301446760405446</v>
      </c>
      <c r="E316" s="387">
        <f>Bonus!I311</f>
        <v>380119.03416783089</v>
      </c>
      <c r="F316" s="388">
        <f>Bonus!F311</f>
        <v>347967.35</v>
      </c>
      <c r="G316" s="388">
        <f t="shared" si="333"/>
        <v>32151.684167830914</v>
      </c>
      <c r="H316" s="388"/>
      <c r="I316" s="388">
        <f>GAAP!I311</f>
        <v>380119.03416783089</v>
      </c>
      <c r="J316" s="388">
        <f>GAAP!F311</f>
        <v>347967.35</v>
      </c>
      <c r="K316" s="388">
        <f t="shared" si="334"/>
        <v>32151.684167830914</v>
      </c>
      <c r="L316" s="388"/>
      <c r="M316" s="389">
        <f t="shared" si="335"/>
        <v>0</v>
      </c>
      <c r="N316" s="390">
        <f t="shared" si="336"/>
        <v>0</v>
      </c>
      <c r="O316" s="390">
        <f t="shared" si="337"/>
        <v>0</v>
      </c>
      <c r="P316" s="379"/>
      <c r="Q316" s="387">
        <f t="shared" si="338"/>
        <v>380119.03416783089</v>
      </c>
      <c r="R316" s="388">
        <f>Bonus!Q311</f>
        <v>347967.35</v>
      </c>
      <c r="S316" s="388">
        <f>Bonus!S311</f>
        <v>32151.68416783091</v>
      </c>
      <c r="T316" s="388"/>
      <c r="U316" s="388">
        <f t="shared" si="339"/>
        <v>380119.03416783089</v>
      </c>
      <c r="V316" s="388">
        <f>GAAP!Q311</f>
        <v>347967.35</v>
      </c>
      <c r="W316" s="388">
        <f>GAAP!S311</f>
        <v>32151.68416783091</v>
      </c>
      <c r="X316" s="388"/>
      <c r="Y316" s="389">
        <f t="shared" si="340"/>
        <v>0</v>
      </c>
      <c r="Z316" s="390">
        <f t="shared" si="341"/>
        <v>0</v>
      </c>
      <c r="AA316" s="391">
        <f t="shared" si="342"/>
        <v>0</v>
      </c>
      <c r="AC316" s="621">
        <f t="shared" si="286"/>
        <v>0</v>
      </c>
    </row>
    <row r="317" spans="1:29" s="240" customFormat="1" ht="15" customHeight="1">
      <c r="A317" s="385">
        <f>Bonus!A312</f>
        <v>56.108499999999999</v>
      </c>
      <c r="B317" s="386" t="str">
        <f>Bonus!B312</f>
        <v>Bullert Industrial Electric, Inc - Pkg 3 Chico PFAS RFP (CTS) - California Water Service</v>
      </c>
      <c r="C317" s="468">
        <f>Bonus!G312</f>
        <v>1.6284220745276679E-2</v>
      </c>
      <c r="D317" s="468">
        <f>GAAP!G312</f>
        <v>1.6284220745276679E-2</v>
      </c>
      <c r="E317" s="387">
        <f>Bonus!I312</f>
        <v>1090.31</v>
      </c>
      <c r="F317" s="388">
        <f>Bonus!F312</f>
        <v>1090.31</v>
      </c>
      <c r="G317" s="388">
        <f t="shared" si="333"/>
        <v>0</v>
      </c>
      <c r="H317" s="388"/>
      <c r="I317" s="388">
        <f>GAAP!I312</f>
        <v>1090.31</v>
      </c>
      <c r="J317" s="388">
        <f>GAAP!F312</f>
        <v>1090.31</v>
      </c>
      <c r="K317" s="388">
        <f t="shared" si="334"/>
        <v>0</v>
      </c>
      <c r="L317" s="388"/>
      <c r="M317" s="389">
        <f t="shared" si="335"/>
        <v>0</v>
      </c>
      <c r="N317" s="390">
        <f t="shared" si="336"/>
        <v>0</v>
      </c>
      <c r="O317" s="390">
        <f t="shared" si="337"/>
        <v>0</v>
      </c>
      <c r="P317" s="379"/>
      <c r="Q317" s="387">
        <f t="shared" si="338"/>
        <v>1090.31</v>
      </c>
      <c r="R317" s="388">
        <f>Bonus!Q312</f>
        <v>1090.31</v>
      </c>
      <c r="S317" s="388">
        <f>Bonus!S312</f>
        <v>0</v>
      </c>
      <c r="T317" s="388"/>
      <c r="U317" s="388">
        <f t="shared" si="339"/>
        <v>1090.31</v>
      </c>
      <c r="V317" s="388">
        <f>GAAP!Q312</f>
        <v>1090.31</v>
      </c>
      <c r="W317" s="388">
        <f>GAAP!S312</f>
        <v>0</v>
      </c>
      <c r="X317" s="388"/>
      <c r="Y317" s="389">
        <f t="shared" si="340"/>
        <v>0</v>
      </c>
      <c r="Z317" s="390">
        <f t="shared" si="341"/>
        <v>0</v>
      </c>
      <c r="AA317" s="391">
        <f t="shared" si="342"/>
        <v>0</v>
      </c>
      <c r="AC317" s="621">
        <f t="shared" si="286"/>
        <v>0</v>
      </c>
    </row>
    <row r="318" spans="1:29" s="240" customFormat="1" ht="15" customHeight="1">
      <c r="A318" s="385">
        <f>Bonus!A313</f>
        <v>56.108600000000003</v>
      </c>
      <c r="B318" s="386" t="str">
        <f>Bonus!B313</f>
        <v>Bullert Industrial Electric, Inc - Pkg 3 Chico PFAS RFP (WVC) - California Water Service</v>
      </c>
      <c r="C318" s="468">
        <f>Bonus!G313</f>
        <v>4.3146742482260372E-2</v>
      </c>
      <c r="D318" s="468">
        <f>GAAP!G313</f>
        <v>4.3146742482260372E-2</v>
      </c>
      <c r="E318" s="387">
        <f>Bonus!I313</f>
        <v>12732.69</v>
      </c>
      <c r="F318" s="388">
        <f>Bonus!F313</f>
        <v>12732.69</v>
      </c>
      <c r="G318" s="388">
        <f t="shared" si="333"/>
        <v>0</v>
      </c>
      <c r="H318" s="388"/>
      <c r="I318" s="388">
        <f>GAAP!I313</f>
        <v>12732.69</v>
      </c>
      <c r="J318" s="388">
        <f>GAAP!F313</f>
        <v>12732.69</v>
      </c>
      <c r="K318" s="388">
        <f t="shared" si="334"/>
        <v>0</v>
      </c>
      <c r="L318" s="388"/>
      <c r="M318" s="389">
        <f t="shared" si="335"/>
        <v>0</v>
      </c>
      <c r="N318" s="390">
        <f t="shared" si="336"/>
        <v>0</v>
      </c>
      <c r="O318" s="390">
        <f t="shared" si="337"/>
        <v>0</v>
      </c>
      <c r="P318" s="379"/>
      <c r="Q318" s="387">
        <f t="shared" si="338"/>
        <v>12732.69</v>
      </c>
      <c r="R318" s="388">
        <f>Bonus!Q313</f>
        <v>12732.69</v>
      </c>
      <c r="S318" s="388">
        <f>Bonus!S313</f>
        <v>0</v>
      </c>
      <c r="T318" s="388"/>
      <c r="U318" s="388">
        <f t="shared" si="339"/>
        <v>12732.69</v>
      </c>
      <c r="V318" s="388">
        <f>GAAP!Q313</f>
        <v>12732.69</v>
      </c>
      <c r="W318" s="388">
        <f>GAAP!S313</f>
        <v>0</v>
      </c>
      <c r="X318" s="388"/>
      <c r="Y318" s="389">
        <f t="shared" si="340"/>
        <v>0</v>
      </c>
      <c r="Z318" s="390">
        <f t="shared" si="341"/>
        <v>0</v>
      </c>
      <c r="AA318" s="391">
        <f t="shared" si="342"/>
        <v>0</v>
      </c>
      <c r="AC318" s="621">
        <f t="shared" si="286"/>
        <v>0</v>
      </c>
    </row>
    <row r="319" spans="1:29" s="240" customFormat="1" ht="15" customHeight="1">
      <c r="A319" s="385">
        <f>Bonus!A314</f>
        <v>56.108699999999999</v>
      </c>
      <c r="B319" s="386" t="str">
        <f>Bonus!B314</f>
        <v>San Gabrial Valley Water Companyy - WNOU Plant Replacement Flow Transmitters</v>
      </c>
      <c r="C319" s="468">
        <f>Bonus!G314</f>
        <v>0.90925347464323902</v>
      </c>
      <c r="D319" s="468">
        <f>GAAP!G314</f>
        <v>0.90925347464323902</v>
      </c>
      <c r="E319" s="387">
        <f>Bonus!I314</f>
        <v>44888.934789662067</v>
      </c>
      <c r="F319" s="388">
        <f>Bonus!F314</f>
        <v>39121.54</v>
      </c>
      <c r="G319" s="388">
        <f t="shared" si="333"/>
        <v>5767.3947896620666</v>
      </c>
      <c r="H319" s="388"/>
      <c r="I319" s="388">
        <f>GAAP!I314</f>
        <v>44888.934789662067</v>
      </c>
      <c r="J319" s="388">
        <f>GAAP!F314</f>
        <v>39121.54</v>
      </c>
      <c r="K319" s="388">
        <f t="shared" si="334"/>
        <v>5767.3947896620666</v>
      </c>
      <c r="L319" s="388"/>
      <c r="M319" s="389">
        <f t="shared" si="335"/>
        <v>0</v>
      </c>
      <c r="N319" s="390">
        <f t="shared" si="336"/>
        <v>0</v>
      </c>
      <c r="O319" s="390">
        <f t="shared" si="337"/>
        <v>0</v>
      </c>
      <c r="P319" s="379"/>
      <c r="Q319" s="387">
        <f t="shared" si="338"/>
        <v>44888.934789662067</v>
      </c>
      <c r="R319" s="388">
        <f>Bonus!Q314</f>
        <v>39121.54</v>
      </c>
      <c r="S319" s="388">
        <f>Bonus!S314</f>
        <v>5767.3947896620648</v>
      </c>
      <c r="T319" s="388"/>
      <c r="U319" s="388">
        <f t="shared" si="339"/>
        <v>44888.934789662067</v>
      </c>
      <c r="V319" s="388">
        <f>GAAP!Q314</f>
        <v>39121.54</v>
      </c>
      <c r="W319" s="388">
        <f>GAAP!S314</f>
        <v>5767.3947896620648</v>
      </c>
      <c r="X319" s="388"/>
      <c r="Y319" s="389">
        <f t="shared" si="340"/>
        <v>0</v>
      </c>
      <c r="Z319" s="390">
        <f t="shared" si="341"/>
        <v>0</v>
      </c>
      <c r="AA319" s="391">
        <f t="shared" si="342"/>
        <v>0</v>
      </c>
      <c r="AC319" s="621">
        <f t="shared" si="286"/>
        <v>0</v>
      </c>
    </row>
    <row r="320" spans="1:29" s="240" customFormat="1" ht="15" customHeight="1">
      <c r="A320" s="385">
        <f>Bonus!A315</f>
        <v>56.108800000000002</v>
      </c>
      <c r="B320" s="386" t="str">
        <f>Bonus!B315</f>
        <v>California Water Service Company - Salinas District Station 304 Panelboard Replacement - Califo</v>
      </c>
      <c r="C320" s="468">
        <f>Bonus!G315</f>
        <v>0.78247748960833685</v>
      </c>
      <c r="D320" s="468">
        <f>GAAP!G315</f>
        <v>0.78247748960833685</v>
      </c>
      <c r="E320" s="387">
        <f>Bonus!I315</f>
        <v>92320.606611439624</v>
      </c>
      <c r="F320" s="388">
        <f>Bonus!F315</f>
        <v>66827.490000000005</v>
      </c>
      <c r="G320" s="388">
        <f t="shared" si="333"/>
        <v>25493.116611439618</v>
      </c>
      <c r="H320" s="388"/>
      <c r="I320" s="388">
        <f>GAAP!I315</f>
        <v>92320.606611439624</v>
      </c>
      <c r="J320" s="388">
        <f>GAAP!F315</f>
        <v>66827.490000000005</v>
      </c>
      <c r="K320" s="388">
        <f t="shared" si="334"/>
        <v>25493.116611439618</v>
      </c>
      <c r="L320" s="388"/>
      <c r="M320" s="389">
        <f t="shared" si="335"/>
        <v>0</v>
      </c>
      <c r="N320" s="390">
        <f t="shared" si="336"/>
        <v>0</v>
      </c>
      <c r="O320" s="390">
        <f t="shared" si="337"/>
        <v>0</v>
      </c>
      <c r="P320" s="379"/>
      <c r="Q320" s="387">
        <f t="shared" si="338"/>
        <v>92320.606611439624</v>
      </c>
      <c r="R320" s="388">
        <f>Bonus!Q315</f>
        <v>66827.490000000005</v>
      </c>
      <c r="S320" s="388">
        <f>Bonus!S315</f>
        <v>25493.116611439615</v>
      </c>
      <c r="T320" s="388"/>
      <c r="U320" s="388">
        <f t="shared" si="339"/>
        <v>92320.606611439624</v>
      </c>
      <c r="V320" s="388">
        <f>GAAP!Q315</f>
        <v>66827.490000000005</v>
      </c>
      <c r="W320" s="388">
        <f>GAAP!S315</f>
        <v>25493.116611439615</v>
      </c>
      <c r="X320" s="388"/>
      <c r="Y320" s="389">
        <f t="shared" si="340"/>
        <v>0</v>
      </c>
      <c r="Z320" s="390">
        <f t="shared" si="341"/>
        <v>0</v>
      </c>
      <c r="AA320" s="391">
        <f t="shared" si="342"/>
        <v>0</v>
      </c>
      <c r="AC320" s="621">
        <f t="shared" si="286"/>
        <v>0</v>
      </c>
    </row>
    <row r="321" spans="1:29" s="240" customFormat="1" ht="15" hidden="1" customHeight="1">
      <c r="A321" s="385"/>
      <c r="B321" s="386"/>
      <c r="C321" s="468"/>
      <c r="D321" s="468"/>
      <c r="E321" s="387"/>
      <c r="F321" s="388"/>
      <c r="G321" s="388"/>
      <c r="H321" s="388"/>
      <c r="I321" s="388"/>
      <c r="J321" s="388"/>
      <c r="K321" s="388"/>
      <c r="L321" s="388"/>
      <c r="M321" s="389"/>
      <c r="N321" s="390"/>
      <c r="O321" s="390"/>
      <c r="P321" s="379"/>
      <c r="Q321" s="388"/>
      <c r="R321" s="388"/>
      <c r="S321" s="388"/>
      <c r="T321" s="388"/>
      <c r="U321" s="388"/>
      <c r="V321" s="388"/>
      <c r="W321" s="388"/>
      <c r="X321" s="388"/>
      <c r="Y321" s="389"/>
      <c r="Z321" s="390"/>
      <c r="AA321" s="391"/>
      <c r="AC321" s="621">
        <f t="shared" si="286"/>
        <v>0</v>
      </c>
    </row>
    <row r="322" spans="1:29" ht="15" customHeight="1">
      <c r="A322" s="330" t="s">
        <v>391</v>
      </c>
      <c r="E322" s="372">
        <f>SUM(E$288:E$321)</f>
        <v>7566720.7015791805</v>
      </c>
      <c r="F322" s="256">
        <f>SUM(F$288:F$321)</f>
        <v>6459348.9100000001</v>
      </c>
      <c r="G322" s="256">
        <f>SUM(G$288:G$321)</f>
        <v>1107371.7915791799</v>
      </c>
      <c r="H322" s="256"/>
      <c r="I322" s="256">
        <f>SUM(I$288:I$321)</f>
        <v>7565839.419641288</v>
      </c>
      <c r="J322" s="256">
        <f>SUM(J$288:J$321)</f>
        <v>6459348.9100000001</v>
      </c>
      <c r="K322" s="256">
        <f>SUM(K$288:K$321)</f>
        <v>1106490.5096412869</v>
      </c>
      <c r="L322" s="256"/>
      <c r="M322" s="372">
        <f>SUM(M$288:M$321)</f>
        <v>881.28193789310171</v>
      </c>
      <c r="N322" s="256">
        <f>SUM(N$288:N$321)</f>
        <v>0</v>
      </c>
      <c r="O322" s="256">
        <f>SUM(O$288:O$321)</f>
        <v>881.28193789310171</v>
      </c>
      <c r="P322" s="380"/>
      <c r="Q322" s="256">
        <f>SUM(Q$288:Q$321)</f>
        <v>6316394.4879511492</v>
      </c>
      <c r="R322" s="256">
        <f>SUM(R$288:R$321)</f>
        <v>5456650.3799999999</v>
      </c>
      <c r="S322" s="256">
        <f>SUM(S$288:S$321)</f>
        <v>859744.1079511483</v>
      </c>
      <c r="T322" s="256"/>
      <c r="U322" s="256">
        <f>SUM(U$288:U$321)</f>
        <v>6220484.0811073957</v>
      </c>
      <c r="V322" s="256">
        <f>SUM(V$288:V$321)</f>
        <v>5456650.3799999999</v>
      </c>
      <c r="W322" s="256">
        <f>SUM(W$288:W$321)</f>
        <v>763833.70110739372</v>
      </c>
      <c r="X322" s="256"/>
      <c r="Y322" s="372">
        <f>SUM(Y$288:Y$321)</f>
        <v>95910.406843754783</v>
      </c>
      <c r="Z322" s="256">
        <f>SUM(Z$288:Z$321)</f>
        <v>0</v>
      </c>
      <c r="AA322" s="373">
        <f>SUM(AA$288:AA$321)</f>
        <v>95910.406843754783</v>
      </c>
      <c r="AC322" s="380">
        <f t="shared" si="286"/>
        <v>-95029.124905861681</v>
      </c>
    </row>
    <row r="323" spans="1:29" ht="15" customHeight="1">
      <c r="A323" s="330"/>
      <c r="E323" s="372"/>
      <c r="F323" s="256"/>
      <c r="G323" s="256"/>
      <c r="H323" s="256"/>
      <c r="I323" s="256"/>
      <c r="J323" s="256"/>
      <c r="K323" s="256"/>
      <c r="L323" s="256"/>
      <c r="M323" s="372"/>
      <c r="N323" s="256"/>
      <c r="O323" s="256"/>
      <c r="P323" s="380"/>
      <c r="Q323" s="256"/>
      <c r="R323" s="256"/>
      <c r="S323" s="256"/>
      <c r="T323" s="256"/>
      <c r="U323" s="256"/>
      <c r="V323" s="256"/>
      <c r="W323" s="256"/>
      <c r="X323" s="256"/>
      <c r="Y323" s="372"/>
      <c r="Z323" s="256"/>
      <c r="AA323" s="373"/>
      <c r="AC323" s="380"/>
    </row>
    <row r="324" spans="1:29" ht="15" customHeight="1">
      <c r="A324" s="330" t="s">
        <v>392</v>
      </c>
      <c r="E324" s="372"/>
      <c r="F324" s="256"/>
      <c r="G324" s="256"/>
      <c r="H324" s="256"/>
      <c r="I324" s="256"/>
      <c r="J324" s="256"/>
      <c r="K324" s="256"/>
      <c r="L324" s="256"/>
      <c r="M324" s="372"/>
      <c r="N324" s="256"/>
      <c r="O324" s="256"/>
      <c r="P324" s="380"/>
      <c r="Q324" s="256"/>
      <c r="R324" s="256"/>
      <c r="S324" s="256"/>
      <c r="T324" s="256"/>
      <c r="U324" s="256"/>
      <c r="V324" s="256"/>
      <c r="W324" s="256"/>
      <c r="X324" s="256"/>
      <c r="Y324" s="372"/>
      <c r="Z324" s="256"/>
      <c r="AA324" s="373"/>
      <c r="AC324" s="380"/>
    </row>
    <row r="325" spans="1:29" ht="15" customHeight="1">
      <c r="A325" s="385">
        <f>Bonus!A320</f>
        <v>56.100200000000001</v>
      </c>
      <c r="B325" s="386" t="str">
        <f>Bonus!B320</f>
        <v>San Joaquin Electric - Bowman WTP Phase 3 Improvements - Placer County Water Agency</v>
      </c>
      <c r="C325" s="468">
        <f>Bonus!G320</f>
        <v>1</v>
      </c>
      <c r="D325" s="468">
        <f>GAAP!G320</f>
        <v>1</v>
      </c>
      <c r="E325" s="387">
        <f>Bonus!I320</f>
        <v>185000</v>
      </c>
      <c r="F325" s="388">
        <f>Bonus!F320</f>
        <v>114485.82</v>
      </c>
      <c r="G325" s="388">
        <f t="shared" ref="G325" si="343">E325-F325</f>
        <v>70514.179999999993</v>
      </c>
      <c r="H325" s="388"/>
      <c r="I325" s="388">
        <f>GAAP!I320</f>
        <v>185000</v>
      </c>
      <c r="J325" s="388">
        <f>GAAP!F320</f>
        <v>114485.82</v>
      </c>
      <c r="K325" s="388">
        <f t="shared" ref="K325" si="344">I325-J325</f>
        <v>70514.179999999993</v>
      </c>
      <c r="L325" s="388"/>
      <c r="M325" s="389">
        <f t="shared" ref="M325" si="345">E325-I325</f>
        <v>0</v>
      </c>
      <c r="N325" s="390">
        <f t="shared" ref="N325" si="346">F325-J325</f>
        <v>0</v>
      </c>
      <c r="O325" s="390">
        <f t="shared" ref="O325" si="347">G325-K325</f>
        <v>0</v>
      </c>
      <c r="P325" s="379"/>
      <c r="Q325" s="387">
        <f t="shared" ref="Q325" si="348">R325+S325</f>
        <v>20413.150491165274</v>
      </c>
      <c r="R325" s="388">
        <f>Bonus!Q320</f>
        <v>644.2100000000064</v>
      </c>
      <c r="S325" s="388">
        <f>Bonus!S320</f>
        <v>19768.940491165267</v>
      </c>
      <c r="T325" s="388"/>
      <c r="U325" s="388">
        <f t="shared" ref="U325" si="349">V325+W325</f>
        <v>20413.150491165274</v>
      </c>
      <c r="V325" s="388">
        <f>GAAP!Q320</f>
        <v>644.2100000000064</v>
      </c>
      <c r="W325" s="388">
        <f>GAAP!S320</f>
        <v>19768.940491165267</v>
      </c>
      <c r="X325" s="388"/>
      <c r="Y325" s="389">
        <f t="shared" ref="Y325" si="350">Q325-U325</f>
        <v>0</v>
      </c>
      <c r="Z325" s="390">
        <f t="shared" ref="Z325" si="351">R325-V325</f>
        <v>0</v>
      </c>
      <c r="AA325" s="391">
        <f t="shared" ref="AA325" si="352">S325-W325</f>
        <v>0</v>
      </c>
      <c r="AC325" s="621">
        <f t="shared" ref="AC325:AC388" si="353">O325-AA325</f>
        <v>0</v>
      </c>
    </row>
    <row r="326" spans="1:29" ht="15" customHeight="1">
      <c r="A326" s="385">
        <f>Bonus!A321</f>
        <v>56.100299999999997</v>
      </c>
      <c r="B326" s="386" t="str">
        <f>Bonus!B321</f>
        <v>Con J. Franke Electric, Inc. - Well 22 GAC Water Treatment</v>
      </c>
      <c r="C326" s="468">
        <f>Bonus!G321</f>
        <v>1</v>
      </c>
      <c r="D326" s="468">
        <f>GAAP!G321</f>
        <v>1</v>
      </c>
      <c r="E326" s="387">
        <f>Bonus!I321</f>
        <v>332901</v>
      </c>
      <c r="F326" s="388">
        <f>Bonus!F321</f>
        <v>223395.74</v>
      </c>
      <c r="G326" s="388">
        <f t="shared" ref="G326:G387" si="354">E326-F326</f>
        <v>109505.26000000001</v>
      </c>
      <c r="H326" s="388"/>
      <c r="I326" s="388">
        <f>GAAP!I321</f>
        <v>332901</v>
      </c>
      <c r="J326" s="388">
        <f>GAAP!F321</f>
        <v>223395.74</v>
      </c>
      <c r="K326" s="388">
        <f t="shared" ref="K326:K387" si="355">I326-J326</f>
        <v>109505.26000000001</v>
      </c>
      <c r="L326" s="388"/>
      <c r="M326" s="389">
        <f t="shared" ref="M326:M387" si="356">E326-I326</f>
        <v>0</v>
      </c>
      <c r="N326" s="390">
        <f t="shared" ref="N326:N387" si="357">F326-J326</f>
        <v>0</v>
      </c>
      <c r="O326" s="390">
        <f t="shared" ref="O326:O387" si="358">G326-K326</f>
        <v>0</v>
      </c>
      <c r="P326" s="379"/>
      <c r="Q326" s="387">
        <f t="shared" ref="Q326:Q387" si="359">R326+S326</f>
        <v>113346.72367440039</v>
      </c>
      <c r="R326" s="388">
        <f>Bonus!Q321</f>
        <v>68302.449999999983</v>
      </c>
      <c r="S326" s="388">
        <f>Bonus!S321</f>
        <v>45044.273674400407</v>
      </c>
      <c r="T326" s="388"/>
      <c r="U326" s="388">
        <f t="shared" ref="U326:U387" si="360">V326+W326</f>
        <v>113346.72367440039</v>
      </c>
      <c r="V326" s="388">
        <f>GAAP!Q321</f>
        <v>68302.449999999983</v>
      </c>
      <c r="W326" s="388">
        <f>GAAP!S321</f>
        <v>45044.273674400407</v>
      </c>
      <c r="X326" s="388"/>
      <c r="Y326" s="389">
        <f t="shared" ref="Y326:Y387" si="361">Q326-U326</f>
        <v>0</v>
      </c>
      <c r="Z326" s="390">
        <f t="shared" ref="Z326:Z387" si="362">R326-V326</f>
        <v>0</v>
      </c>
      <c r="AA326" s="391">
        <f t="shared" ref="AA326:AA387" si="363">S326-W326</f>
        <v>0</v>
      </c>
      <c r="AC326" s="621">
        <f t="shared" si="353"/>
        <v>0</v>
      </c>
    </row>
    <row r="327" spans="1:29" ht="15" customHeight="1">
      <c r="A327" s="385">
        <f>Bonus!A322</f>
        <v>56.100700000000003</v>
      </c>
      <c r="B327" s="386" t="str">
        <f>Bonus!B322</f>
        <v>Fusion Electric - Waterman WTP Ozone System Improvements - City of Fairfield</v>
      </c>
      <c r="C327" s="468">
        <f>Bonus!G322</f>
        <v>1</v>
      </c>
      <c r="D327" s="468">
        <f>GAAP!G322</f>
        <v>1</v>
      </c>
      <c r="E327" s="387">
        <f>Bonus!I322</f>
        <v>16814</v>
      </c>
      <c r="F327" s="388">
        <f>Bonus!F322</f>
        <v>19362.98</v>
      </c>
      <c r="G327" s="388">
        <f t="shared" si="354"/>
        <v>-2548.9799999999996</v>
      </c>
      <c r="H327" s="388"/>
      <c r="I327" s="388">
        <f>GAAP!I322</f>
        <v>16814</v>
      </c>
      <c r="J327" s="388">
        <f>GAAP!F322</f>
        <v>19362.98</v>
      </c>
      <c r="K327" s="388">
        <f t="shared" si="355"/>
        <v>-2548.9799999999996</v>
      </c>
      <c r="L327" s="388"/>
      <c r="M327" s="389">
        <f t="shared" si="356"/>
        <v>0</v>
      </c>
      <c r="N327" s="390">
        <f t="shared" si="357"/>
        <v>0</v>
      </c>
      <c r="O327" s="390">
        <f t="shared" si="358"/>
        <v>0</v>
      </c>
      <c r="P327" s="379"/>
      <c r="Q327" s="387">
        <f t="shared" si="359"/>
        <v>-680.04102239655913</v>
      </c>
      <c r="R327" s="388">
        <f>Bonus!Q322</f>
        <v>5046.3799999999992</v>
      </c>
      <c r="S327" s="388">
        <f>Bonus!S322</f>
        <v>-5726.4210223965583</v>
      </c>
      <c r="T327" s="388"/>
      <c r="U327" s="388">
        <f t="shared" si="360"/>
        <v>-680.04102239655913</v>
      </c>
      <c r="V327" s="388">
        <f>GAAP!Q322</f>
        <v>5046.3799999999992</v>
      </c>
      <c r="W327" s="388">
        <f>GAAP!S322</f>
        <v>-5726.4210223965583</v>
      </c>
      <c r="X327" s="388"/>
      <c r="Y327" s="389">
        <f t="shared" si="361"/>
        <v>0</v>
      </c>
      <c r="Z327" s="390">
        <f t="shared" si="362"/>
        <v>0</v>
      </c>
      <c r="AA327" s="391">
        <f t="shared" si="363"/>
        <v>0</v>
      </c>
      <c r="AC327" s="621">
        <f t="shared" si="353"/>
        <v>0</v>
      </c>
    </row>
    <row r="328" spans="1:29" ht="15" customHeight="1">
      <c r="A328" s="385">
        <f>Bonus!A323</f>
        <v>56.1008</v>
      </c>
      <c r="B328" s="386" t="str">
        <f>Bonus!B323</f>
        <v>SD Electric, Inc. - Treatment Plant Seismic Retrofit of Secondary Clarifiers</v>
      </c>
      <c r="C328" s="468">
        <f>Bonus!G323</f>
        <v>1</v>
      </c>
      <c r="D328" s="468">
        <f>GAAP!G323</f>
        <v>1</v>
      </c>
      <c r="E328" s="387">
        <f>Bonus!I323</f>
        <v>55000</v>
      </c>
      <c r="F328" s="388">
        <f>Bonus!F323</f>
        <v>30551.919999999998</v>
      </c>
      <c r="G328" s="388">
        <f t="shared" si="354"/>
        <v>24448.080000000002</v>
      </c>
      <c r="H328" s="388"/>
      <c r="I328" s="388">
        <f>GAAP!I323</f>
        <v>55000</v>
      </c>
      <c r="J328" s="388">
        <f>GAAP!F323</f>
        <v>30551.919999999998</v>
      </c>
      <c r="K328" s="388">
        <f t="shared" si="355"/>
        <v>24448.080000000002</v>
      </c>
      <c r="L328" s="388"/>
      <c r="M328" s="389">
        <f t="shared" si="356"/>
        <v>0</v>
      </c>
      <c r="N328" s="390">
        <f t="shared" si="357"/>
        <v>0</v>
      </c>
      <c r="O328" s="390">
        <f t="shared" si="358"/>
        <v>0</v>
      </c>
      <c r="P328" s="379"/>
      <c r="Q328" s="387">
        <f t="shared" si="359"/>
        <v>1480.7976460805294</v>
      </c>
      <c r="R328" s="388">
        <f>Bonus!Q323</f>
        <v>126.73999999999796</v>
      </c>
      <c r="S328" s="388">
        <f>Bonus!S323</f>
        <v>1354.0576460805314</v>
      </c>
      <c r="T328" s="388"/>
      <c r="U328" s="388">
        <f t="shared" si="360"/>
        <v>1480.7976460805294</v>
      </c>
      <c r="V328" s="388">
        <f>GAAP!Q323</f>
        <v>126.73999999999796</v>
      </c>
      <c r="W328" s="388">
        <f>GAAP!S323</f>
        <v>1354.0576460805314</v>
      </c>
      <c r="X328" s="388"/>
      <c r="Y328" s="389">
        <f t="shared" si="361"/>
        <v>0</v>
      </c>
      <c r="Z328" s="390">
        <f t="shared" si="362"/>
        <v>0</v>
      </c>
      <c r="AA328" s="391">
        <f t="shared" si="363"/>
        <v>0</v>
      </c>
      <c r="AC328" s="621">
        <f t="shared" si="353"/>
        <v>0</v>
      </c>
    </row>
    <row r="329" spans="1:29" ht="15" customHeight="1">
      <c r="A329" s="385" t="str">
        <f>Bonus!A324</f>
        <v>56.1010.01</v>
      </c>
      <c r="B329" s="386" t="str">
        <f>Bonus!B324</f>
        <v>Placer County Water Agency - Auburn WTP Removal of 531s from Filter Control Panels</v>
      </c>
      <c r="C329" s="468">
        <f>Bonus!G324</f>
        <v>1</v>
      </c>
      <c r="D329" s="468">
        <f>GAAP!G324</f>
        <v>1</v>
      </c>
      <c r="E329" s="387">
        <f>Bonus!I324</f>
        <v>9569</v>
      </c>
      <c r="F329" s="388">
        <f>Bonus!F324</f>
        <v>7097.1</v>
      </c>
      <c r="G329" s="388">
        <f t="shared" si="354"/>
        <v>2471.8999999999996</v>
      </c>
      <c r="H329" s="388"/>
      <c r="I329" s="388">
        <f>GAAP!I324</f>
        <v>9569</v>
      </c>
      <c r="J329" s="388">
        <f>GAAP!F324</f>
        <v>7097.1</v>
      </c>
      <c r="K329" s="388">
        <f t="shared" si="355"/>
        <v>2471.8999999999996</v>
      </c>
      <c r="L329" s="388"/>
      <c r="M329" s="389">
        <f t="shared" si="356"/>
        <v>0</v>
      </c>
      <c r="N329" s="390">
        <f t="shared" si="357"/>
        <v>0</v>
      </c>
      <c r="O329" s="390">
        <f t="shared" si="358"/>
        <v>0</v>
      </c>
      <c r="P329" s="379"/>
      <c r="Q329" s="387">
        <f t="shared" si="359"/>
        <v>6483.9829305610047</v>
      </c>
      <c r="R329" s="388">
        <f>Bonus!Q324</f>
        <v>4631.7300000000005</v>
      </c>
      <c r="S329" s="388">
        <f>Bonus!S324</f>
        <v>1852.252930561004</v>
      </c>
      <c r="T329" s="388"/>
      <c r="U329" s="388">
        <f t="shared" si="360"/>
        <v>6483.9829305610047</v>
      </c>
      <c r="V329" s="388">
        <f>GAAP!Q324</f>
        <v>4631.7300000000005</v>
      </c>
      <c r="W329" s="388">
        <f>GAAP!S324</f>
        <v>1852.252930561004</v>
      </c>
      <c r="X329" s="388"/>
      <c r="Y329" s="389">
        <f t="shared" si="361"/>
        <v>0</v>
      </c>
      <c r="Z329" s="390">
        <f t="shared" si="362"/>
        <v>0</v>
      </c>
      <c r="AA329" s="391">
        <f t="shared" si="363"/>
        <v>0</v>
      </c>
      <c r="AC329" s="621">
        <f t="shared" si="353"/>
        <v>0</v>
      </c>
    </row>
    <row r="330" spans="1:29" ht="15" customHeight="1">
      <c r="A330" s="385">
        <f>Bonus!A325</f>
        <v>56.101599999999998</v>
      </c>
      <c r="B330" s="386" t="str">
        <f>Bonus!B325</f>
        <v>Trabuco Canyon Water Dist. - On-Call Services - Trabuco Canyon Water District</v>
      </c>
      <c r="C330" s="468">
        <f>Bonus!G325</f>
        <v>1</v>
      </c>
      <c r="D330" s="468">
        <f>GAAP!G325</f>
        <v>1</v>
      </c>
      <c r="E330" s="387">
        <f>Bonus!I325</f>
        <v>150064.25</v>
      </c>
      <c r="F330" s="388">
        <f>Bonus!F325</f>
        <v>110083.62000000001</v>
      </c>
      <c r="G330" s="388">
        <f t="shared" si="354"/>
        <v>39980.62999999999</v>
      </c>
      <c r="H330" s="388"/>
      <c r="I330" s="388">
        <f>GAAP!I325</f>
        <v>150064.25</v>
      </c>
      <c r="J330" s="388">
        <f>GAAP!F325</f>
        <v>110083.62000000001</v>
      </c>
      <c r="K330" s="388">
        <f t="shared" si="355"/>
        <v>39980.62999999999</v>
      </c>
      <c r="L330" s="388"/>
      <c r="M330" s="389">
        <f t="shared" si="356"/>
        <v>0</v>
      </c>
      <c r="N330" s="390">
        <f t="shared" si="357"/>
        <v>0</v>
      </c>
      <c r="O330" s="390">
        <f t="shared" si="358"/>
        <v>0</v>
      </c>
      <c r="P330" s="379"/>
      <c r="Q330" s="387">
        <f t="shared" si="359"/>
        <v>78249.75</v>
      </c>
      <c r="R330" s="388">
        <f>Bonus!Q325</f>
        <v>53012.48000000001</v>
      </c>
      <c r="S330" s="388">
        <f>Bonus!S325</f>
        <v>25237.26999999999</v>
      </c>
      <c r="T330" s="388"/>
      <c r="U330" s="388">
        <f t="shared" si="360"/>
        <v>78249.75</v>
      </c>
      <c r="V330" s="388">
        <f>GAAP!Q325</f>
        <v>53012.48000000001</v>
      </c>
      <c r="W330" s="388">
        <f>GAAP!S325</f>
        <v>25237.26999999999</v>
      </c>
      <c r="X330" s="388"/>
      <c r="Y330" s="389">
        <f t="shared" si="361"/>
        <v>0</v>
      </c>
      <c r="Z330" s="390">
        <f t="shared" si="362"/>
        <v>0</v>
      </c>
      <c r="AA330" s="391">
        <f t="shared" si="363"/>
        <v>0</v>
      </c>
      <c r="AC330" s="621">
        <f t="shared" si="353"/>
        <v>0</v>
      </c>
    </row>
    <row r="331" spans="1:29" ht="15" customHeight="1">
      <c r="A331" s="385">
        <f>Bonus!A326</f>
        <v>56.101900000000001</v>
      </c>
      <c r="B331" s="386" t="str">
        <f>Bonus!B326</f>
        <v>Conco-West - Monte Vista Collection Subdivision (Onsite) - Stanislaus Co.</v>
      </c>
      <c r="C331" s="468">
        <f>Bonus!G326</f>
        <v>1</v>
      </c>
      <c r="D331" s="468">
        <f>GAAP!G326</f>
        <v>1</v>
      </c>
      <c r="E331" s="387">
        <f>Bonus!I326</f>
        <v>193845</v>
      </c>
      <c r="F331" s="388">
        <f>Bonus!F326</f>
        <v>143764.57999999999</v>
      </c>
      <c r="G331" s="388">
        <f t="shared" si="354"/>
        <v>50080.420000000013</v>
      </c>
      <c r="H331" s="388"/>
      <c r="I331" s="388">
        <f>GAAP!I326</f>
        <v>193845</v>
      </c>
      <c r="J331" s="388">
        <f>GAAP!F326</f>
        <v>143764.57999999999</v>
      </c>
      <c r="K331" s="388">
        <f t="shared" si="355"/>
        <v>50080.420000000013</v>
      </c>
      <c r="L331" s="388"/>
      <c r="M331" s="389">
        <f t="shared" si="356"/>
        <v>0</v>
      </c>
      <c r="N331" s="390">
        <f t="shared" si="357"/>
        <v>0</v>
      </c>
      <c r="O331" s="390">
        <f t="shared" si="358"/>
        <v>0</v>
      </c>
      <c r="P331" s="379"/>
      <c r="Q331" s="387">
        <f t="shared" si="359"/>
        <v>173402.47999999998</v>
      </c>
      <c r="R331" s="388">
        <f>Bonus!Q326</f>
        <v>123322.05999999998</v>
      </c>
      <c r="S331" s="388">
        <f>Bonus!S326</f>
        <v>50080.420000000013</v>
      </c>
      <c r="T331" s="388"/>
      <c r="U331" s="388">
        <f t="shared" si="360"/>
        <v>168807.68573803117</v>
      </c>
      <c r="V331" s="388">
        <f>GAAP!Q326</f>
        <v>123322.05999999998</v>
      </c>
      <c r="W331" s="388">
        <f>GAAP!S326</f>
        <v>45485.625738031202</v>
      </c>
      <c r="X331" s="388"/>
      <c r="Y331" s="389">
        <f t="shared" si="361"/>
        <v>4594.794261968811</v>
      </c>
      <c r="Z331" s="390">
        <f t="shared" si="362"/>
        <v>0</v>
      </c>
      <c r="AA331" s="391">
        <f t="shared" si="363"/>
        <v>4594.794261968811</v>
      </c>
      <c r="AC331" s="621">
        <f t="shared" si="353"/>
        <v>-4594.794261968811</v>
      </c>
    </row>
    <row r="332" spans="1:29" ht="15" customHeight="1">
      <c r="A332" s="385">
        <f>Bonus!A327</f>
        <v>56.1021</v>
      </c>
      <c r="B332" s="386" t="str">
        <f>Bonus!B327</f>
        <v>Darrel Varni Electric, Inc. - City of Santa Cruz – Rail Trail Segment 7 – Phase 2</v>
      </c>
      <c r="C332" s="468">
        <f>Bonus!G327</f>
        <v>1</v>
      </c>
      <c r="D332" s="468">
        <f>GAAP!G327</f>
        <v>1</v>
      </c>
      <c r="E332" s="387">
        <f>Bonus!I327</f>
        <v>244760</v>
      </c>
      <c r="F332" s="388">
        <f>Bonus!F327</f>
        <v>116752.52</v>
      </c>
      <c r="G332" s="388">
        <f t="shared" si="354"/>
        <v>128007.48</v>
      </c>
      <c r="H332" s="388"/>
      <c r="I332" s="388">
        <f>GAAP!I327</f>
        <v>244760</v>
      </c>
      <c r="J332" s="388">
        <f>GAAP!F327</f>
        <v>116752.52</v>
      </c>
      <c r="K332" s="388">
        <f t="shared" si="355"/>
        <v>128007.48</v>
      </c>
      <c r="L332" s="388"/>
      <c r="M332" s="389">
        <f t="shared" si="356"/>
        <v>0</v>
      </c>
      <c r="N332" s="390">
        <f t="shared" si="357"/>
        <v>0</v>
      </c>
      <c r="O332" s="390">
        <f t="shared" si="358"/>
        <v>0</v>
      </c>
      <c r="P332" s="379"/>
      <c r="Q332" s="387">
        <f t="shared" si="359"/>
        <v>92166.050737120255</v>
      </c>
      <c r="R332" s="388">
        <f>Bonus!Q327</f>
        <v>3037.1100000000006</v>
      </c>
      <c r="S332" s="388">
        <f>Bonus!S327</f>
        <v>89128.940737120254</v>
      </c>
      <c r="T332" s="388"/>
      <c r="U332" s="388">
        <f t="shared" si="360"/>
        <v>92166.050737120255</v>
      </c>
      <c r="V332" s="388">
        <f>GAAP!Q327</f>
        <v>3037.1100000000006</v>
      </c>
      <c r="W332" s="388">
        <f>GAAP!S327</f>
        <v>89128.940737120254</v>
      </c>
      <c r="X332" s="388"/>
      <c r="Y332" s="389">
        <f t="shared" si="361"/>
        <v>0</v>
      </c>
      <c r="Z332" s="390">
        <f t="shared" si="362"/>
        <v>0</v>
      </c>
      <c r="AA332" s="391">
        <f t="shared" si="363"/>
        <v>0</v>
      </c>
      <c r="AC332" s="621">
        <f t="shared" si="353"/>
        <v>0</v>
      </c>
    </row>
    <row r="333" spans="1:29" ht="15" customHeight="1">
      <c r="A333" s="385">
        <f>Bonus!A328</f>
        <v>56.102200000000003</v>
      </c>
      <c r="B333" s="386" t="str">
        <f>Bonus!B328</f>
        <v>W.M. Lyles Co. - Graham Hill WTP Facility Improvements - City of Santa Cruz</v>
      </c>
      <c r="C333" s="468">
        <f>Bonus!G328</f>
        <v>0</v>
      </c>
      <c r="D333" s="468">
        <f>GAAP!G328</f>
        <v>0</v>
      </c>
      <c r="E333" s="387">
        <f>Bonus!I328</f>
        <v>0</v>
      </c>
      <c r="F333" s="388">
        <f>Bonus!F328</f>
        <v>0</v>
      </c>
      <c r="G333" s="388">
        <f t="shared" si="354"/>
        <v>0</v>
      </c>
      <c r="H333" s="388"/>
      <c r="I333" s="388">
        <f>GAAP!I328</f>
        <v>0</v>
      </c>
      <c r="J333" s="388">
        <f>GAAP!F328</f>
        <v>0</v>
      </c>
      <c r="K333" s="388">
        <f t="shared" si="355"/>
        <v>0</v>
      </c>
      <c r="L333" s="388"/>
      <c r="M333" s="389">
        <f t="shared" si="356"/>
        <v>0</v>
      </c>
      <c r="N333" s="390">
        <f t="shared" si="357"/>
        <v>0</v>
      </c>
      <c r="O333" s="390">
        <f t="shared" si="358"/>
        <v>0</v>
      </c>
      <c r="P333" s="379"/>
      <c r="Q333" s="387">
        <f t="shared" si="359"/>
        <v>-88093.56</v>
      </c>
      <c r="R333" s="388">
        <f>Bonus!Q328</f>
        <v>-88093.56</v>
      </c>
      <c r="S333" s="388">
        <f>Bonus!S328</f>
        <v>0</v>
      </c>
      <c r="T333" s="388"/>
      <c r="U333" s="388">
        <f t="shared" si="360"/>
        <v>-88093.56</v>
      </c>
      <c r="V333" s="388">
        <f>GAAP!Q328</f>
        <v>-88093.56</v>
      </c>
      <c r="W333" s="388">
        <f>GAAP!S328</f>
        <v>0</v>
      </c>
      <c r="X333" s="388"/>
      <c r="Y333" s="389">
        <f t="shared" si="361"/>
        <v>0</v>
      </c>
      <c r="Z333" s="390">
        <f t="shared" si="362"/>
        <v>0</v>
      </c>
      <c r="AA333" s="391">
        <f t="shared" si="363"/>
        <v>0</v>
      </c>
      <c r="AC333" s="621">
        <f t="shared" si="353"/>
        <v>0</v>
      </c>
    </row>
    <row r="334" spans="1:29" ht="15" customHeight="1">
      <c r="A334" s="385">
        <f>Bonus!A329</f>
        <v>56.1023</v>
      </c>
      <c r="B334" s="386" t="str">
        <f>Bonus!B329</f>
        <v>Cal Electro Inc. - 13th Street OC Pumping Plant Upgrade</v>
      </c>
      <c r="C334" s="468">
        <f>Bonus!G329</f>
        <v>1</v>
      </c>
      <c r="D334" s="468">
        <f>GAAP!G329</f>
        <v>1</v>
      </c>
      <c r="E334" s="387">
        <f>Bonus!I329</f>
        <v>220390</v>
      </c>
      <c r="F334" s="388">
        <f>Bonus!F329</f>
        <v>150504.73000000001</v>
      </c>
      <c r="G334" s="388">
        <f t="shared" si="354"/>
        <v>69885.26999999999</v>
      </c>
      <c r="H334" s="388"/>
      <c r="I334" s="388">
        <f>GAAP!I329</f>
        <v>220390</v>
      </c>
      <c r="J334" s="388">
        <f>GAAP!F329</f>
        <v>150504.73000000001</v>
      </c>
      <c r="K334" s="388">
        <f t="shared" si="355"/>
        <v>69885.26999999999</v>
      </c>
      <c r="L334" s="388"/>
      <c r="M334" s="389">
        <f t="shared" si="356"/>
        <v>0</v>
      </c>
      <c r="N334" s="390">
        <f t="shared" si="357"/>
        <v>0</v>
      </c>
      <c r="O334" s="390">
        <f t="shared" si="358"/>
        <v>0</v>
      </c>
      <c r="P334" s="379"/>
      <c r="Q334" s="387">
        <f t="shared" si="359"/>
        <v>68197.387458718993</v>
      </c>
      <c r="R334" s="388">
        <f>Bonus!Q329</f>
        <v>38407.430000000008</v>
      </c>
      <c r="S334" s="388">
        <f>Bonus!S329</f>
        <v>29789.957458718978</v>
      </c>
      <c r="T334" s="388"/>
      <c r="U334" s="388">
        <f t="shared" si="360"/>
        <v>68197.387458718993</v>
      </c>
      <c r="V334" s="388">
        <f>GAAP!Q329</f>
        <v>38407.430000000008</v>
      </c>
      <c r="W334" s="388">
        <f>GAAP!S329</f>
        <v>29789.957458718978</v>
      </c>
      <c r="X334" s="388"/>
      <c r="Y334" s="389">
        <f t="shared" si="361"/>
        <v>0</v>
      </c>
      <c r="Z334" s="390">
        <f t="shared" si="362"/>
        <v>0</v>
      </c>
      <c r="AA334" s="391">
        <f t="shared" si="363"/>
        <v>0</v>
      </c>
      <c r="AC334" s="621">
        <f t="shared" si="353"/>
        <v>0</v>
      </c>
    </row>
    <row r="335" spans="1:29" ht="15" customHeight="1">
      <c r="A335" s="385">
        <f>Bonus!A330</f>
        <v>56.103000000000002</v>
      </c>
      <c r="B335" s="386" t="str">
        <f>Bonus!B330</f>
        <v>AIC - Core Electrical Services, Inc. - Corte Madera, Town of - Paradise PS RehabiProject</v>
      </c>
      <c r="C335" s="468">
        <f>Bonus!G330</f>
        <v>1</v>
      </c>
      <c r="D335" s="468">
        <f>GAAP!G330</f>
        <v>1</v>
      </c>
      <c r="E335" s="387">
        <f>Bonus!I330</f>
        <v>689578.64</v>
      </c>
      <c r="F335" s="388">
        <f>Bonus!F330</f>
        <v>689578.64</v>
      </c>
      <c r="G335" s="388">
        <f t="shared" si="354"/>
        <v>0</v>
      </c>
      <c r="H335" s="388"/>
      <c r="I335" s="388">
        <f>GAAP!I330</f>
        <v>689578.64</v>
      </c>
      <c r="J335" s="388">
        <f>GAAP!F330</f>
        <v>689578.64</v>
      </c>
      <c r="K335" s="388">
        <f t="shared" si="355"/>
        <v>0</v>
      </c>
      <c r="L335" s="388"/>
      <c r="M335" s="389">
        <f t="shared" si="356"/>
        <v>0</v>
      </c>
      <c r="N335" s="390">
        <f t="shared" si="357"/>
        <v>0</v>
      </c>
      <c r="O335" s="390">
        <f t="shared" si="358"/>
        <v>0</v>
      </c>
      <c r="P335" s="379"/>
      <c r="Q335" s="387">
        <f t="shared" si="359"/>
        <v>567471.07000000007</v>
      </c>
      <c r="R335" s="388">
        <f>Bonus!Q330</f>
        <v>567471.07000000007</v>
      </c>
      <c r="S335" s="388">
        <f>Bonus!S330</f>
        <v>0</v>
      </c>
      <c r="T335" s="388"/>
      <c r="U335" s="388">
        <f t="shared" si="360"/>
        <v>549437.0509768211</v>
      </c>
      <c r="V335" s="388">
        <f>GAAP!Q330</f>
        <v>567471.07000000007</v>
      </c>
      <c r="W335" s="388">
        <f>GAAP!S330</f>
        <v>-18034.019023179</v>
      </c>
      <c r="X335" s="388"/>
      <c r="Y335" s="389">
        <f t="shared" si="361"/>
        <v>18034.01902317896</v>
      </c>
      <c r="Z335" s="390">
        <f t="shared" si="362"/>
        <v>0</v>
      </c>
      <c r="AA335" s="391">
        <f t="shared" si="363"/>
        <v>18034.019023179</v>
      </c>
      <c r="AC335" s="621">
        <f t="shared" si="353"/>
        <v>-18034.019023179</v>
      </c>
    </row>
    <row r="336" spans="1:29" ht="15" customHeight="1">
      <c r="A336" s="385">
        <f>Bonus!A331</f>
        <v>56.104100000000003</v>
      </c>
      <c r="B336" s="386" t="str">
        <f>Bonus!B331</f>
        <v>AIC - Irvin Rranch District - MWRP Fueling Facility CP-100 Programming</v>
      </c>
      <c r="C336" s="468">
        <f>Bonus!G331</f>
        <v>1</v>
      </c>
      <c r="D336" s="468">
        <f>GAAP!G331</f>
        <v>1</v>
      </c>
      <c r="E336" s="387">
        <f>Bonus!I331</f>
        <v>20016.78</v>
      </c>
      <c r="F336" s="388">
        <f>Bonus!F331</f>
        <v>20016.78</v>
      </c>
      <c r="G336" s="388">
        <f t="shared" si="354"/>
        <v>0</v>
      </c>
      <c r="H336" s="388"/>
      <c r="I336" s="388">
        <f>GAAP!I331</f>
        <v>20016.78</v>
      </c>
      <c r="J336" s="388">
        <f>GAAP!F331</f>
        <v>20016.78</v>
      </c>
      <c r="K336" s="388">
        <f t="shared" si="355"/>
        <v>0</v>
      </c>
      <c r="L336" s="388"/>
      <c r="M336" s="389">
        <f t="shared" si="356"/>
        <v>0</v>
      </c>
      <c r="N336" s="390">
        <f t="shared" si="357"/>
        <v>0</v>
      </c>
      <c r="O336" s="390">
        <f t="shared" si="358"/>
        <v>0</v>
      </c>
      <c r="P336" s="379"/>
      <c r="Q336" s="387">
        <f t="shared" si="359"/>
        <v>3887.4119563728145</v>
      </c>
      <c r="R336" s="388">
        <f>Bonus!Q331</f>
        <v>10889.65</v>
      </c>
      <c r="S336" s="388">
        <f>Bonus!S331</f>
        <v>-7002.2380436271851</v>
      </c>
      <c r="T336" s="388"/>
      <c r="U336" s="388">
        <f t="shared" si="360"/>
        <v>3887.4119563728145</v>
      </c>
      <c r="V336" s="388">
        <f>GAAP!Q331</f>
        <v>10889.65</v>
      </c>
      <c r="W336" s="388">
        <f>GAAP!S331</f>
        <v>-7002.2380436271851</v>
      </c>
      <c r="X336" s="388"/>
      <c r="Y336" s="389">
        <f t="shared" si="361"/>
        <v>0</v>
      </c>
      <c r="Z336" s="390">
        <f t="shared" si="362"/>
        <v>0</v>
      </c>
      <c r="AA336" s="391">
        <f t="shared" si="363"/>
        <v>0</v>
      </c>
      <c r="AC336" s="621">
        <f t="shared" si="353"/>
        <v>0</v>
      </c>
    </row>
    <row r="337" spans="1:29" ht="15" customHeight="1">
      <c r="A337" s="385">
        <f>Bonus!A332</f>
        <v>56.1051</v>
      </c>
      <c r="B337" s="386" t="str">
        <f>Bonus!B332</f>
        <v>Las Gallinas Valley Sanitary District - PE Pump Variable Frequency Drives</v>
      </c>
      <c r="C337" s="468">
        <f>Bonus!G332</f>
        <v>1</v>
      </c>
      <c r="D337" s="468">
        <f>GAAP!G332</f>
        <v>1</v>
      </c>
      <c r="E337" s="387">
        <f>Bonus!I332</f>
        <v>136875</v>
      </c>
      <c r="F337" s="388">
        <f>Bonus!F332</f>
        <v>98718.18</v>
      </c>
      <c r="G337" s="388">
        <f t="shared" si="354"/>
        <v>38156.820000000007</v>
      </c>
      <c r="H337" s="388"/>
      <c r="I337" s="388">
        <f>GAAP!I332</f>
        <v>136875</v>
      </c>
      <c r="J337" s="388">
        <f>GAAP!F332</f>
        <v>98718.18</v>
      </c>
      <c r="K337" s="388">
        <f t="shared" si="355"/>
        <v>38156.820000000007</v>
      </c>
      <c r="L337" s="388"/>
      <c r="M337" s="389">
        <f t="shared" si="356"/>
        <v>0</v>
      </c>
      <c r="N337" s="390">
        <f t="shared" si="357"/>
        <v>0</v>
      </c>
      <c r="O337" s="390">
        <f t="shared" si="358"/>
        <v>0</v>
      </c>
      <c r="P337" s="379"/>
      <c r="Q337" s="387">
        <f t="shared" si="359"/>
        <v>81400.150201282333</v>
      </c>
      <c r="R337" s="388">
        <f>Bonus!Q332</f>
        <v>59463.869999999995</v>
      </c>
      <c r="S337" s="388">
        <f>Bonus!S332</f>
        <v>21936.280201282334</v>
      </c>
      <c r="T337" s="388"/>
      <c r="U337" s="388">
        <f t="shared" si="360"/>
        <v>81400.150201282333</v>
      </c>
      <c r="V337" s="388">
        <f>GAAP!Q332</f>
        <v>59463.869999999995</v>
      </c>
      <c r="W337" s="388">
        <f>GAAP!S332</f>
        <v>21936.280201282334</v>
      </c>
      <c r="X337" s="388"/>
      <c r="Y337" s="389">
        <f t="shared" si="361"/>
        <v>0</v>
      </c>
      <c r="Z337" s="390">
        <f t="shared" si="362"/>
        <v>0</v>
      </c>
      <c r="AA337" s="391">
        <f t="shared" si="363"/>
        <v>0</v>
      </c>
      <c r="AC337" s="621">
        <f t="shared" si="353"/>
        <v>0</v>
      </c>
    </row>
    <row r="338" spans="1:29" ht="15" customHeight="1">
      <c r="A338" s="385">
        <f>Bonus!A333</f>
        <v>56.105200000000004</v>
      </c>
      <c r="B338" s="386" t="str">
        <f>Bonus!B333</f>
        <v>San Jose Water - Williams Back ATS Replacement</v>
      </c>
      <c r="C338" s="468">
        <f>Bonus!G333</f>
        <v>1</v>
      </c>
      <c r="D338" s="468">
        <f>GAAP!G333</f>
        <v>1</v>
      </c>
      <c r="E338" s="387">
        <f>Bonus!I333</f>
        <v>8887</v>
      </c>
      <c r="F338" s="388">
        <f>Bonus!F333</f>
        <v>6400.94</v>
      </c>
      <c r="G338" s="388">
        <f t="shared" si="354"/>
        <v>2486.0600000000004</v>
      </c>
      <c r="H338" s="388"/>
      <c r="I338" s="388">
        <f>GAAP!I333</f>
        <v>8887</v>
      </c>
      <c r="J338" s="388">
        <f>GAAP!F333</f>
        <v>6400.94</v>
      </c>
      <c r="K338" s="388">
        <f t="shared" si="355"/>
        <v>2486.0600000000004</v>
      </c>
      <c r="L338" s="388"/>
      <c r="M338" s="389">
        <f t="shared" si="356"/>
        <v>0</v>
      </c>
      <c r="N338" s="390">
        <f t="shared" si="357"/>
        <v>0</v>
      </c>
      <c r="O338" s="390">
        <f t="shared" si="358"/>
        <v>0</v>
      </c>
      <c r="P338" s="379"/>
      <c r="Q338" s="387">
        <f t="shared" si="359"/>
        <v>2603.2163741781237</v>
      </c>
      <c r="R338" s="388">
        <f>Bonus!Q333</f>
        <v>486.25</v>
      </c>
      <c r="S338" s="388">
        <f>Bonus!S333</f>
        <v>2116.9663741781237</v>
      </c>
      <c r="T338" s="388"/>
      <c r="U338" s="388">
        <f t="shared" si="360"/>
        <v>2603.2163741781237</v>
      </c>
      <c r="V338" s="388">
        <f>GAAP!Q333</f>
        <v>486.25</v>
      </c>
      <c r="W338" s="388">
        <f>GAAP!S333</f>
        <v>2116.9663741781237</v>
      </c>
      <c r="X338" s="388"/>
      <c r="Y338" s="389">
        <f t="shared" si="361"/>
        <v>0</v>
      </c>
      <c r="Z338" s="390">
        <f t="shared" si="362"/>
        <v>0</v>
      </c>
      <c r="AA338" s="391">
        <f t="shared" si="363"/>
        <v>0</v>
      </c>
      <c r="AC338" s="621">
        <f t="shared" si="353"/>
        <v>0</v>
      </c>
    </row>
    <row r="339" spans="1:29" ht="15" customHeight="1">
      <c r="A339" s="385">
        <f>Bonus!A334</f>
        <v>56.1053</v>
      </c>
      <c r="B339" s="386" t="str">
        <f>Bonus!B334</f>
        <v>Bay Tech Engineering - San Francisco Public Utilities Commission (SFPUC) - Geary Un</v>
      </c>
      <c r="C339" s="468">
        <f>Bonus!G334</f>
        <v>1</v>
      </c>
      <c r="D339" s="468">
        <f>GAAP!G334</f>
        <v>1</v>
      </c>
      <c r="E339" s="387">
        <f>Bonus!I334</f>
        <v>35000</v>
      </c>
      <c r="F339" s="388">
        <f>Bonus!F334</f>
        <v>19964.78</v>
      </c>
      <c r="G339" s="388">
        <f t="shared" si="354"/>
        <v>15035.220000000001</v>
      </c>
      <c r="H339" s="388"/>
      <c r="I339" s="388">
        <f>GAAP!I334</f>
        <v>35000</v>
      </c>
      <c r="J339" s="388">
        <f>GAAP!F334</f>
        <v>19964.78</v>
      </c>
      <c r="K339" s="388">
        <f t="shared" si="355"/>
        <v>15035.220000000001</v>
      </c>
      <c r="L339" s="388"/>
      <c r="M339" s="389">
        <f t="shared" si="356"/>
        <v>0</v>
      </c>
      <c r="N339" s="390">
        <f t="shared" si="357"/>
        <v>0</v>
      </c>
      <c r="O339" s="390">
        <f t="shared" si="358"/>
        <v>0</v>
      </c>
      <c r="P339" s="379"/>
      <c r="Q339" s="387">
        <f t="shared" si="359"/>
        <v>29289.5</v>
      </c>
      <c r="R339" s="388">
        <f>Bonus!Q334</f>
        <v>14254.279999999999</v>
      </c>
      <c r="S339" s="388">
        <f>Bonus!S334</f>
        <v>15035.220000000001</v>
      </c>
      <c r="T339" s="388"/>
      <c r="U339" s="388">
        <f t="shared" si="360"/>
        <v>25102.139355222105</v>
      </c>
      <c r="V339" s="388">
        <f>GAAP!Q334</f>
        <v>14254.279999999999</v>
      </c>
      <c r="W339" s="388">
        <f>GAAP!S334</f>
        <v>10847.859355222108</v>
      </c>
      <c r="X339" s="388"/>
      <c r="Y339" s="389">
        <f t="shared" si="361"/>
        <v>4187.3606447778948</v>
      </c>
      <c r="Z339" s="390">
        <f t="shared" si="362"/>
        <v>0</v>
      </c>
      <c r="AA339" s="391">
        <f t="shared" si="363"/>
        <v>4187.360644777893</v>
      </c>
      <c r="AC339" s="621">
        <f t="shared" si="353"/>
        <v>-4187.360644777893</v>
      </c>
    </row>
    <row r="340" spans="1:29" ht="15" customHeight="1">
      <c r="A340" s="385">
        <f>Bonus!A335</f>
        <v>56.105400000000003</v>
      </c>
      <c r="B340" s="386" t="str">
        <f>Bonus!B335</f>
        <v>AIC - Riverside Public Works - Digester 5 Rehab</v>
      </c>
      <c r="C340" s="468">
        <f>Bonus!G335</f>
        <v>1</v>
      </c>
      <c r="D340" s="468">
        <f>GAAP!G335</f>
        <v>1</v>
      </c>
      <c r="E340" s="387">
        <f>Bonus!I335</f>
        <v>37648.03</v>
      </c>
      <c r="F340" s="388">
        <f>Bonus!F335</f>
        <v>37648.03</v>
      </c>
      <c r="G340" s="388">
        <f t="shared" si="354"/>
        <v>0</v>
      </c>
      <c r="H340" s="388"/>
      <c r="I340" s="388">
        <f>GAAP!I335</f>
        <v>37648.03</v>
      </c>
      <c r="J340" s="388">
        <f>GAAP!F335</f>
        <v>37648.03</v>
      </c>
      <c r="K340" s="388">
        <f t="shared" si="355"/>
        <v>0</v>
      </c>
      <c r="L340" s="388"/>
      <c r="M340" s="389">
        <f t="shared" si="356"/>
        <v>0</v>
      </c>
      <c r="N340" s="390">
        <f t="shared" si="357"/>
        <v>0</v>
      </c>
      <c r="O340" s="390">
        <f t="shared" si="358"/>
        <v>0</v>
      </c>
      <c r="P340" s="379"/>
      <c r="Q340" s="387">
        <f t="shared" si="359"/>
        <v>26897.97</v>
      </c>
      <c r="R340" s="388">
        <f>Bonus!Q335</f>
        <v>26897.97</v>
      </c>
      <c r="S340" s="388">
        <f>Bonus!S335</f>
        <v>0</v>
      </c>
      <c r="T340" s="388"/>
      <c r="U340" s="388">
        <f t="shared" si="360"/>
        <v>26897.97</v>
      </c>
      <c r="V340" s="388">
        <f>GAAP!Q335</f>
        <v>26897.97</v>
      </c>
      <c r="W340" s="388">
        <f>GAAP!S335</f>
        <v>0</v>
      </c>
      <c r="X340" s="388"/>
      <c r="Y340" s="389">
        <f t="shared" si="361"/>
        <v>0</v>
      </c>
      <c r="Z340" s="390">
        <f t="shared" si="362"/>
        <v>0</v>
      </c>
      <c r="AA340" s="391">
        <f t="shared" si="363"/>
        <v>0</v>
      </c>
      <c r="AC340" s="621">
        <f t="shared" si="353"/>
        <v>0</v>
      </c>
    </row>
    <row r="341" spans="1:29" ht="15" customHeight="1">
      <c r="A341" s="385">
        <f>Bonus!A336</f>
        <v>56.105600000000003</v>
      </c>
      <c r="B341" s="386" t="str">
        <f>Bonus!B336</f>
        <v>AIC - Irvine Ranch Water District - Michelson Water Recycling Plan</v>
      </c>
      <c r="C341" s="468">
        <f>Bonus!G336</f>
        <v>1</v>
      </c>
      <c r="D341" s="468">
        <f>GAAP!G336</f>
        <v>1</v>
      </c>
      <c r="E341" s="387">
        <f>Bonus!I336</f>
        <v>98280.63</v>
      </c>
      <c r="F341" s="388">
        <f>Bonus!F336</f>
        <v>98280.63</v>
      </c>
      <c r="G341" s="388">
        <f t="shared" si="354"/>
        <v>0</v>
      </c>
      <c r="H341" s="388"/>
      <c r="I341" s="388">
        <f>GAAP!I336</f>
        <v>98280.63</v>
      </c>
      <c r="J341" s="388">
        <f>GAAP!F336</f>
        <v>98280.63</v>
      </c>
      <c r="K341" s="388">
        <f t="shared" si="355"/>
        <v>0</v>
      </c>
      <c r="L341" s="388"/>
      <c r="M341" s="389">
        <f t="shared" si="356"/>
        <v>0</v>
      </c>
      <c r="N341" s="390">
        <f t="shared" si="357"/>
        <v>0</v>
      </c>
      <c r="O341" s="390">
        <f t="shared" si="358"/>
        <v>0</v>
      </c>
      <c r="P341" s="379"/>
      <c r="Q341" s="387">
        <f t="shared" si="359"/>
        <v>66850.820000000007</v>
      </c>
      <c r="R341" s="388">
        <f>Bonus!Q336</f>
        <v>66850.820000000007</v>
      </c>
      <c r="S341" s="388">
        <f>Bonus!S336</f>
        <v>0</v>
      </c>
      <c r="T341" s="388"/>
      <c r="U341" s="388">
        <f t="shared" si="360"/>
        <v>46299.244296920471</v>
      </c>
      <c r="V341" s="388">
        <f>GAAP!Q336</f>
        <v>66850.820000000007</v>
      </c>
      <c r="W341" s="388">
        <f>GAAP!S336</f>
        <v>-20551.575703079532</v>
      </c>
      <c r="X341" s="388"/>
      <c r="Y341" s="389">
        <f t="shared" si="361"/>
        <v>20551.575703079536</v>
      </c>
      <c r="Z341" s="390">
        <f t="shared" si="362"/>
        <v>0</v>
      </c>
      <c r="AA341" s="391">
        <f t="shared" si="363"/>
        <v>20551.575703079532</v>
      </c>
      <c r="AC341" s="621">
        <f t="shared" si="353"/>
        <v>-20551.575703079532</v>
      </c>
    </row>
    <row r="342" spans="1:29" ht="15" customHeight="1">
      <c r="A342" s="385">
        <f>Bonus!A337</f>
        <v>56.105699999999999</v>
      </c>
      <c r="B342" s="386" t="str">
        <f>Bonus!B337</f>
        <v>A-C Electric Company - Caltrans District 06 - Olive Avenue Pumping Plant</v>
      </c>
      <c r="C342" s="468">
        <f>Bonus!G337</f>
        <v>0</v>
      </c>
      <c r="D342" s="468">
        <f>GAAP!G337</f>
        <v>0</v>
      </c>
      <c r="E342" s="387">
        <f>Bonus!I337</f>
        <v>0</v>
      </c>
      <c r="F342" s="388">
        <f>Bonus!F337</f>
        <v>0</v>
      </c>
      <c r="G342" s="388">
        <f t="shared" si="354"/>
        <v>0</v>
      </c>
      <c r="H342" s="388"/>
      <c r="I342" s="388">
        <f>GAAP!I337</f>
        <v>0</v>
      </c>
      <c r="J342" s="388">
        <f>GAAP!F337</f>
        <v>0</v>
      </c>
      <c r="K342" s="388">
        <f t="shared" si="355"/>
        <v>0</v>
      </c>
      <c r="L342" s="388"/>
      <c r="M342" s="389">
        <f t="shared" si="356"/>
        <v>0</v>
      </c>
      <c r="N342" s="390">
        <f t="shared" si="357"/>
        <v>0</v>
      </c>
      <c r="O342" s="390">
        <f t="shared" si="358"/>
        <v>0</v>
      </c>
      <c r="P342" s="379"/>
      <c r="Q342" s="387">
        <f t="shared" si="359"/>
        <v>-16238.75</v>
      </c>
      <c r="R342" s="388">
        <f>Bonus!Q337</f>
        <v>-16238.75</v>
      </c>
      <c r="S342" s="388">
        <f>Bonus!S337</f>
        <v>0</v>
      </c>
      <c r="T342" s="388"/>
      <c r="U342" s="388">
        <f t="shared" si="360"/>
        <v>-16238.75</v>
      </c>
      <c r="V342" s="388">
        <f>GAAP!Q337</f>
        <v>-16238.75</v>
      </c>
      <c r="W342" s="388">
        <f>GAAP!S337</f>
        <v>0</v>
      </c>
      <c r="X342" s="388"/>
      <c r="Y342" s="389">
        <f t="shared" si="361"/>
        <v>0</v>
      </c>
      <c r="Z342" s="390">
        <f t="shared" si="362"/>
        <v>0</v>
      </c>
      <c r="AA342" s="391">
        <f t="shared" si="363"/>
        <v>0</v>
      </c>
      <c r="AC342" s="621">
        <f t="shared" si="353"/>
        <v>0</v>
      </c>
    </row>
    <row r="343" spans="1:29" ht="15" customHeight="1">
      <c r="A343" s="385">
        <f>Bonus!A338</f>
        <v>56.106099999999998</v>
      </c>
      <c r="B343" s="386" t="str">
        <f>Bonus!B338</f>
        <v>San Jose Water - PLC System Assessment</v>
      </c>
      <c r="C343" s="468">
        <f>Bonus!G338</f>
        <v>1</v>
      </c>
      <c r="D343" s="468">
        <f>GAAP!G338</f>
        <v>1</v>
      </c>
      <c r="E343" s="387">
        <f>Bonus!I338</f>
        <v>11269</v>
      </c>
      <c r="F343" s="388">
        <f>Bonus!F338</f>
        <v>5582.66</v>
      </c>
      <c r="G343" s="388">
        <f t="shared" si="354"/>
        <v>5686.34</v>
      </c>
      <c r="H343" s="388"/>
      <c r="I343" s="388">
        <f>GAAP!I338</f>
        <v>11269</v>
      </c>
      <c r="J343" s="388">
        <f>GAAP!F338</f>
        <v>5582.66</v>
      </c>
      <c r="K343" s="388">
        <f t="shared" si="355"/>
        <v>5686.34</v>
      </c>
      <c r="L343" s="388"/>
      <c r="M343" s="389">
        <f t="shared" si="356"/>
        <v>0</v>
      </c>
      <c r="N343" s="390">
        <f t="shared" si="357"/>
        <v>0</v>
      </c>
      <c r="O343" s="390">
        <f t="shared" si="358"/>
        <v>0</v>
      </c>
      <c r="P343" s="379"/>
      <c r="Q343" s="387">
        <f t="shared" si="359"/>
        <v>1024.0696188942557</v>
      </c>
      <c r="R343" s="388">
        <f>Bonus!Q338</f>
        <v>501.55999999999949</v>
      </c>
      <c r="S343" s="388">
        <f>Bonus!S338</f>
        <v>522.50961889425616</v>
      </c>
      <c r="T343" s="388"/>
      <c r="U343" s="388">
        <f t="shared" si="360"/>
        <v>1024.0696188942557</v>
      </c>
      <c r="V343" s="388">
        <f>GAAP!Q338</f>
        <v>501.55999999999949</v>
      </c>
      <c r="W343" s="388">
        <f>GAAP!S338</f>
        <v>522.50961889425616</v>
      </c>
      <c r="X343" s="388"/>
      <c r="Y343" s="389">
        <f t="shared" si="361"/>
        <v>0</v>
      </c>
      <c r="Z343" s="390">
        <f t="shared" si="362"/>
        <v>0</v>
      </c>
      <c r="AA343" s="391">
        <f t="shared" si="363"/>
        <v>0</v>
      </c>
      <c r="AC343" s="621">
        <f t="shared" si="353"/>
        <v>0</v>
      </c>
    </row>
    <row r="344" spans="1:29" ht="15" customHeight="1">
      <c r="A344" s="385">
        <f>Bonus!A339</f>
        <v>56.106200000000001</v>
      </c>
      <c r="B344" s="386" t="str">
        <f>Bonus!B339</f>
        <v>AIC - SCADA System Upgrade - City of Brentwood</v>
      </c>
      <c r="C344" s="468">
        <f>Bonus!G339</f>
        <v>1</v>
      </c>
      <c r="D344" s="468">
        <f>GAAP!G339</f>
        <v>1</v>
      </c>
      <c r="E344" s="387">
        <f>Bonus!I339</f>
        <v>409988.07</v>
      </c>
      <c r="F344" s="388">
        <f>Bonus!F339</f>
        <v>409988.07</v>
      </c>
      <c r="G344" s="388">
        <f t="shared" si="354"/>
        <v>0</v>
      </c>
      <c r="H344" s="388"/>
      <c r="I344" s="388">
        <f>GAAP!I339</f>
        <v>409988.07</v>
      </c>
      <c r="J344" s="388">
        <f>GAAP!F339</f>
        <v>409988.07</v>
      </c>
      <c r="K344" s="388">
        <f t="shared" si="355"/>
        <v>0</v>
      </c>
      <c r="L344" s="388"/>
      <c r="M344" s="389">
        <f t="shared" si="356"/>
        <v>0</v>
      </c>
      <c r="N344" s="390">
        <f t="shared" si="357"/>
        <v>0</v>
      </c>
      <c r="O344" s="390">
        <f t="shared" si="358"/>
        <v>0</v>
      </c>
      <c r="P344" s="379"/>
      <c r="Q344" s="387">
        <f t="shared" si="359"/>
        <v>383762.17</v>
      </c>
      <c r="R344" s="388">
        <f>Bonus!Q339</f>
        <v>383762.17</v>
      </c>
      <c r="S344" s="388">
        <f>Bonus!S339</f>
        <v>0</v>
      </c>
      <c r="T344" s="388"/>
      <c r="U344" s="388">
        <f t="shared" si="360"/>
        <v>383762.17</v>
      </c>
      <c r="V344" s="388">
        <f>GAAP!Q339</f>
        <v>383762.17</v>
      </c>
      <c r="W344" s="388">
        <f>GAAP!S339</f>
        <v>0</v>
      </c>
      <c r="X344" s="388"/>
      <c r="Y344" s="389">
        <f t="shared" si="361"/>
        <v>0</v>
      </c>
      <c r="Z344" s="390">
        <f t="shared" si="362"/>
        <v>0</v>
      </c>
      <c r="AA344" s="391">
        <f t="shared" si="363"/>
        <v>0</v>
      </c>
      <c r="AC344" s="621">
        <f t="shared" si="353"/>
        <v>0</v>
      </c>
    </row>
    <row r="345" spans="1:29" ht="15" customHeight="1">
      <c r="A345" s="385">
        <f>Bonus!A340</f>
        <v>56.106400000000001</v>
      </c>
      <c r="B345" s="386" t="str">
        <f>Bonus!B340</f>
        <v>South Orange County Water Agency - CTP &amp; JBL SCADA Upgrade</v>
      </c>
      <c r="C345" s="468">
        <f>Bonus!G340</f>
        <v>1</v>
      </c>
      <c r="D345" s="468">
        <f>GAAP!G340</f>
        <v>1</v>
      </c>
      <c r="E345" s="387">
        <f>Bonus!I340</f>
        <v>435153</v>
      </c>
      <c r="F345" s="388">
        <f>Bonus!F340</f>
        <v>202266.4</v>
      </c>
      <c r="G345" s="388">
        <f t="shared" si="354"/>
        <v>232886.6</v>
      </c>
      <c r="H345" s="388"/>
      <c r="I345" s="388">
        <f>GAAP!I340</f>
        <v>435153</v>
      </c>
      <c r="J345" s="388">
        <f>GAAP!F340</f>
        <v>202266.4</v>
      </c>
      <c r="K345" s="388">
        <f t="shared" si="355"/>
        <v>232886.6</v>
      </c>
      <c r="L345" s="388"/>
      <c r="M345" s="389">
        <f t="shared" si="356"/>
        <v>0</v>
      </c>
      <c r="N345" s="390">
        <f t="shared" si="357"/>
        <v>0</v>
      </c>
      <c r="O345" s="390">
        <f t="shared" si="358"/>
        <v>0</v>
      </c>
      <c r="P345" s="379"/>
      <c r="Q345" s="387">
        <f t="shared" si="359"/>
        <v>241255.30038246204</v>
      </c>
      <c r="R345" s="388">
        <f>Bonus!Q340</f>
        <v>77865.189999999988</v>
      </c>
      <c r="S345" s="388">
        <f>Bonus!S340</f>
        <v>163390.11038246204</v>
      </c>
      <c r="T345" s="388"/>
      <c r="U345" s="388">
        <f t="shared" si="360"/>
        <v>241255.30038246204</v>
      </c>
      <c r="V345" s="388">
        <f>GAAP!Q340</f>
        <v>77865.189999999988</v>
      </c>
      <c r="W345" s="388">
        <f>GAAP!S340</f>
        <v>163390.11038246204</v>
      </c>
      <c r="X345" s="388"/>
      <c r="Y345" s="389">
        <f t="shared" si="361"/>
        <v>0</v>
      </c>
      <c r="Z345" s="390">
        <f t="shared" si="362"/>
        <v>0</v>
      </c>
      <c r="AA345" s="391">
        <f t="shared" si="363"/>
        <v>0</v>
      </c>
      <c r="AC345" s="621">
        <f t="shared" si="353"/>
        <v>0</v>
      </c>
    </row>
    <row r="346" spans="1:29" ht="15" customHeight="1">
      <c r="A346" s="385">
        <f>Bonus!A341</f>
        <v>56.106499999999997</v>
      </c>
      <c r="B346" s="386" t="str">
        <f>Bonus!B341</f>
        <v>TNT Industrial Contractors Inc. - WWTF Sodium Hypochlorite Improvements / Chlorine Contact</v>
      </c>
      <c r="C346" s="468">
        <f>Bonus!G341</f>
        <v>1</v>
      </c>
      <c r="D346" s="468">
        <f>GAAP!G341</f>
        <v>1</v>
      </c>
      <c r="E346" s="387">
        <f>Bonus!I341</f>
        <v>226400.8</v>
      </c>
      <c r="F346" s="388">
        <f>Bonus!F341</f>
        <v>192023.81</v>
      </c>
      <c r="G346" s="388">
        <f t="shared" si="354"/>
        <v>34376.989999999991</v>
      </c>
      <c r="H346" s="388"/>
      <c r="I346" s="388">
        <f>GAAP!I341</f>
        <v>226400.8</v>
      </c>
      <c r="J346" s="388">
        <f>GAAP!F341</f>
        <v>192023.81</v>
      </c>
      <c r="K346" s="388">
        <f t="shared" si="355"/>
        <v>34376.989999999991</v>
      </c>
      <c r="L346" s="388"/>
      <c r="M346" s="389">
        <f t="shared" si="356"/>
        <v>0</v>
      </c>
      <c r="N346" s="390">
        <f t="shared" si="357"/>
        <v>0</v>
      </c>
      <c r="O346" s="390">
        <f t="shared" si="358"/>
        <v>0</v>
      </c>
      <c r="P346" s="379"/>
      <c r="Q346" s="387">
        <f t="shared" si="359"/>
        <v>210538.16999999998</v>
      </c>
      <c r="R346" s="388">
        <f>Bonus!Q341</f>
        <v>176161.18</v>
      </c>
      <c r="S346" s="388">
        <f>Bonus!S341</f>
        <v>34376.989999999991</v>
      </c>
      <c r="T346" s="388"/>
      <c r="U346" s="388">
        <f t="shared" si="360"/>
        <v>210538.16999999998</v>
      </c>
      <c r="V346" s="388">
        <f>GAAP!Q341</f>
        <v>176161.18</v>
      </c>
      <c r="W346" s="388">
        <f>GAAP!S341</f>
        <v>34376.989999999991</v>
      </c>
      <c r="X346" s="388"/>
      <c r="Y346" s="389">
        <f t="shared" si="361"/>
        <v>0</v>
      </c>
      <c r="Z346" s="390">
        <f t="shared" si="362"/>
        <v>0</v>
      </c>
      <c r="AA346" s="391">
        <f t="shared" si="363"/>
        <v>0</v>
      </c>
      <c r="AC346" s="621">
        <f t="shared" si="353"/>
        <v>0</v>
      </c>
    </row>
    <row r="347" spans="1:29" ht="15" customHeight="1">
      <c r="A347" s="385">
        <f>Bonus!A342</f>
        <v>56.106900000000003</v>
      </c>
      <c r="B347" s="386" t="str">
        <f>Bonus!B342</f>
        <v>AIC - City of Brentwood - Brentwood, City of - On-Call Agreement</v>
      </c>
      <c r="C347" s="468">
        <f>Bonus!G342</f>
        <v>1</v>
      </c>
      <c r="D347" s="468">
        <f>GAAP!G342</f>
        <v>1</v>
      </c>
      <c r="E347" s="387">
        <f>Bonus!I342</f>
        <v>2525</v>
      </c>
      <c r="F347" s="388">
        <f>Bonus!F342</f>
        <v>3821.46</v>
      </c>
      <c r="G347" s="388">
        <f t="shared" si="354"/>
        <v>-1296.46</v>
      </c>
      <c r="H347" s="388"/>
      <c r="I347" s="388">
        <f>GAAP!I342</f>
        <v>2525</v>
      </c>
      <c r="J347" s="388">
        <f>GAAP!F342</f>
        <v>3821.46</v>
      </c>
      <c r="K347" s="388">
        <f t="shared" si="355"/>
        <v>-1296.46</v>
      </c>
      <c r="L347" s="388"/>
      <c r="M347" s="389">
        <f t="shared" si="356"/>
        <v>0</v>
      </c>
      <c r="N347" s="390">
        <f t="shared" si="357"/>
        <v>0</v>
      </c>
      <c r="O347" s="390">
        <f t="shared" si="358"/>
        <v>0</v>
      </c>
      <c r="P347" s="379"/>
      <c r="Q347" s="387">
        <f t="shared" si="359"/>
        <v>2525</v>
      </c>
      <c r="R347" s="388">
        <f>Bonus!Q342</f>
        <v>3821.46</v>
      </c>
      <c r="S347" s="388">
        <f>Bonus!S342</f>
        <v>-1296.46</v>
      </c>
      <c r="T347" s="388"/>
      <c r="U347" s="388">
        <f t="shared" si="360"/>
        <v>2525</v>
      </c>
      <c r="V347" s="388">
        <f>GAAP!Q342</f>
        <v>3821.46</v>
      </c>
      <c r="W347" s="388">
        <f>GAAP!S342</f>
        <v>-1296.46</v>
      </c>
      <c r="X347" s="388"/>
      <c r="Y347" s="389">
        <f t="shared" si="361"/>
        <v>0</v>
      </c>
      <c r="Z347" s="390">
        <f t="shared" si="362"/>
        <v>0</v>
      </c>
      <c r="AA347" s="391">
        <f t="shared" si="363"/>
        <v>0</v>
      </c>
      <c r="AC347" s="621">
        <f t="shared" si="353"/>
        <v>0</v>
      </c>
    </row>
    <row r="348" spans="1:29" ht="15" customHeight="1">
      <c r="A348" s="385">
        <f>Bonus!A343</f>
        <v>56.107100000000003</v>
      </c>
      <c r="B348" s="386" t="str">
        <f>Bonus!B343</f>
        <v>San Jose Water Co. - 3 Mile Station 3000 Amp Switchboard</v>
      </c>
      <c r="C348" s="468">
        <f>Bonus!G343</f>
        <v>0.99999999999999967</v>
      </c>
      <c r="D348" s="468">
        <f>GAAP!G343</f>
        <v>0.99999999999999967</v>
      </c>
      <c r="E348" s="387">
        <f>Bonus!I343</f>
        <v>33999.999999999985</v>
      </c>
      <c r="F348" s="388">
        <f>Bonus!F343</f>
        <v>3596.56</v>
      </c>
      <c r="G348" s="388">
        <f t="shared" si="354"/>
        <v>30403.439999999984</v>
      </c>
      <c r="H348" s="388"/>
      <c r="I348" s="388">
        <f>GAAP!I343</f>
        <v>33999.999999999985</v>
      </c>
      <c r="J348" s="388">
        <f>GAAP!F343</f>
        <v>3596.56</v>
      </c>
      <c r="K348" s="388">
        <f t="shared" si="355"/>
        <v>30403.439999999984</v>
      </c>
      <c r="L348" s="388"/>
      <c r="M348" s="389">
        <f t="shared" si="356"/>
        <v>0</v>
      </c>
      <c r="N348" s="390">
        <f t="shared" si="357"/>
        <v>0</v>
      </c>
      <c r="O348" s="390">
        <f t="shared" si="358"/>
        <v>0</v>
      </c>
      <c r="P348" s="379"/>
      <c r="Q348" s="387">
        <f t="shared" si="359"/>
        <v>33683.499999999985</v>
      </c>
      <c r="R348" s="388">
        <f>Bonus!Q343</f>
        <v>3280.06</v>
      </c>
      <c r="S348" s="388">
        <f>Bonus!S343</f>
        <v>30403.439999999988</v>
      </c>
      <c r="T348" s="388"/>
      <c r="U348" s="388">
        <f t="shared" si="360"/>
        <v>33683.499999999985</v>
      </c>
      <c r="V348" s="388">
        <f>GAAP!Q343</f>
        <v>3280.06</v>
      </c>
      <c r="W348" s="388">
        <f>GAAP!S343</f>
        <v>30403.439999999988</v>
      </c>
      <c r="X348" s="388"/>
      <c r="Y348" s="389">
        <f t="shared" si="361"/>
        <v>0</v>
      </c>
      <c r="Z348" s="390">
        <f t="shared" si="362"/>
        <v>0</v>
      </c>
      <c r="AA348" s="391">
        <f t="shared" si="363"/>
        <v>0</v>
      </c>
      <c r="AC348" s="621">
        <f t="shared" si="353"/>
        <v>0</v>
      </c>
    </row>
    <row r="349" spans="1:29" ht="15" customHeight="1">
      <c r="A349" s="385">
        <f>Bonus!A344</f>
        <v>56.107199999999999</v>
      </c>
      <c r="B349" s="386" t="str">
        <f>Bonus!B344</f>
        <v>Bullert Industrial Electric, Inc. - Washwater Equalizer Tank Replacement Project – Paradise Irri</v>
      </c>
      <c r="C349" s="468">
        <f>Bonus!G344</f>
        <v>1</v>
      </c>
      <c r="D349" s="468">
        <f>GAAP!G344</f>
        <v>1</v>
      </c>
      <c r="E349" s="387">
        <f>Bonus!I344</f>
        <v>65960</v>
      </c>
      <c r="F349" s="388">
        <f>Bonus!F344</f>
        <v>41538.839999999997</v>
      </c>
      <c r="G349" s="388">
        <f t="shared" si="354"/>
        <v>24421.160000000003</v>
      </c>
      <c r="H349" s="388"/>
      <c r="I349" s="388">
        <f>GAAP!I344</f>
        <v>65960</v>
      </c>
      <c r="J349" s="388">
        <f>GAAP!F344</f>
        <v>41538.839999999997</v>
      </c>
      <c r="K349" s="388">
        <f t="shared" si="355"/>
        <v>24421.160000000003</v>
      </c>
      <c r="L349" s="388"/>
      <c r="M349" s="389">
        <f t="shared" si="356"/>
        <v>0</v>
      </c>
      <c r="N349" s="390">
        <f t="shared" si="357"/>
        <v>0</v>
      </c>
      <c r="O349" s="390">
        <f t="shared" si="358"/>
        <v>0</v>
      </c>
      <c r="P349" s="379"/>
      <c r="Q349" s="387">
        <f t="shared" si="359"/>
        <v>64717.9</v>
      </c>
      <c r="R349" s="388">
        <f>Bonus!Q344</f>
        <v>40296.74</v>
      </c>
      <c r="S349" s="388">
        <f>Bonus!S344</f>
        <v>24421.160000000003</v>
      </c>
      <c r="T349" s="388"/>
      <c r="U349" s="388">
        <f t="shared" si="360"/>
        <v>64717.9</v>
      </c>
      <c r="V349" s="388">
        <f>GAAP!Q344</f>
        <v>40296.74</v>
      </c>
      <c r="W349" s="388">
        <f>GAAP!S344</f>
        <v>24421.160000000003</v>
      </c>
      <c r="X349" s="388"/>
      <c r="Y349" s="389">
        <f t="shared" si="361"/>
        <v>0</v>
      </c>
      <c r="Z349" s="390">
        <f t="shared" si="362"/>
        <v>0</v>
      </c>
      <c r="AA349" s="391">
        <f t="shared" si="363"/>
        <v>0</v>
      </c>
      <c r="AC349" s="621">
        <f t="shared" si="353"/>
        <v>0</v>
      </c>
    </row>
    <row r="350" spans="1:29" ht="15" customHeight="1">
      <c r="A350" s="385">
        <f>Bonus!A345</f>
        <v>56.107399999999998</v>
      </c>
      <c r="B350" s="386" t="str">
        <f>Bonus!B345</f>
        <v>San Gabriel Valley Water Co. - Power Monitor Replacement at B24 Hydro – San Gabriel Valley</v>
      </c>
      <c r="C350" s="468">
        <f>Bonus!G345</f>
        <v>1</v>
      </c>
      <c r="D350" s="468">
        <f>GAAP!G345</f>
        <v>1</v>
      </c>
      <c r="E350" s="387">
        <f>Bonus!I345</f>
        <v>12650</v>
      </c>
      <c r="F350" s="388">
        <f>Bonus!F345</f>
        <v>10641.86</v>
      </c>
      <c r="G350" s="388">
        <f t="shared" si="354"/>
        <v>2008.1399999999994</v>
      </c>
      <c r="H350" s="388"/>
      <c r="I350" s="388">
        <f>GAAP!I345</f>
        <v>12650</v>
      </c>
      <c r="J350" s="388">
        <f>GAAP!F345</f>
        <v>10641.86</v>
      </c>
      <c r="K350" s="388">
        <f t="shared" si="355"/>
        <v>2008.1399999999994</v>
      </c>
      <c r="L350" s="388"/>
      <c r="M350" s="389">
        <f t="shared" si="356"/>
        <v>0</v>
      </c>
      <c r="N350" s="390">
        <f t="shared" si="357"/>
        <v>0</v>
      </c>
      <c r="O350" s="390">
        <f t="shared" si="358"/>
        <v>0</v>
      </c>
      <c r="P350" s="379"/>
      <c r="Q350" s="387">
        <f t="shared" si="359"/>
        <v>4653.0319019552817</v>
      </c>
      <c r="R350" s="388">
        <f>Bonus!Q345</f>
        <v>3884.5800000000008</v>
      </c>
      <c r="S350" s="388">
        <f>Bonus!S345</f>
        <v>768.45190195528062</v>
      </c>
      <c r="T350" s="388"/>
      <c r="U350" s="388">
        <f t="shared" si="360"/>
        <v>4653.0319019552817</v>
      </c>
      <c r="V350" s="388">
        <f>GAAP!Q345</f>
        <v>3884.5800000000008</v>
      </c>
      <c r="W350" s="388">
        <f>GAAP!S345</f>
        <v>768.45190195528062</v>
      </c>
      <c r="X350" s="388"/>
      <c r="Y350" s="389">
        <f t="shared" si="361"/>
        <v>0</v>
      </c>
      <c r="Z350" s="390">
        <f t="shared" si="362"/>
        <v>0</v>
      </c>
      <c r="AA350" s="391">
        <f t="shared" si="363"/>
        <v>0</v>
      </c>
      <c r="AC350" s="621">
        <f t="shared" si="353"/>
        <v>0</v>
      </c>
    </row>
    <row r="351" spans="1:29" ht="15" customHeight="1">
      <c r="A351" s="385">
        <f>Bonus!A346</f>
        <v>56.107599999999998</v>
      </c>
      <c r="B351" s="386" t="str">
        <f>Bonus!B346</f>
        <v>San Jose Water Co. - Saratoga Plant Feed Pump 1 VFD Replacement</v>
      </c>
      <c r="C351" s="468">
        <f>Bonus!G346</f>
        <v>1</v>
      </c>
      <c r="D351" s="468">
        <f>GAAP!G346</f>
        <v>1</v>
      </c>
      <c r="E351" s="387">
        <f>Bonus!I346</f>
        <v>19200</v>
      </c>
      <c r="F351" s="388">
        <f>Bonus!F346</f>
        <v>11577.77</v>
      </c>
      <c r="G351" s="388">
        <f t="shared" si="354"/>
        <v>7622.23</v>
      </c>
      <c r="H351" s="388"/>
      <c r="I351" s="388">
        <f>GAAP!I346</f>
        <v>19200</v>
      </c>
      <c r="J351" s="388">
        <f>GAAP!F346</f>
        <v>11577.77</v>
      </c>
      <c r="K351" s="388">
        <f t="shared" si="355"/>
        <v>7622.23</v>
      </c>
      <c r="L351" s="388"/>
      <c r="M351" s="389">
        <f t="shared" si="356"/>
        <v>0</v>
      </c>
      <c r="N351" s="390">
        <f t="shared" si="357"/>
        <v>0</v>
      </c>
      <c r="O351" s="390">
        <f t="shared" si="358"/>
        <v>0</v>
      </c>
      <c r="P351" s="379"/>
      <c r="Q351" s="387">
        <f t="shared" si="359"/>
        <v>18595.190000000002</v>
      </c>
      <c r="R351" s="388">
        <f>Bonus!Q346</f>
        <v>10972.960000000001</v>
      </c>
      <c r="S351" s="388">
        <f>Bonus!S346</f>
        <v>7622.23</v>
      </c>
      <c r="T351" s="388"/>
      <c r="U351" s="388">
        <f t="shared" si="360"/>
        <v>18595.190000000002</v>
      </c>
      <c r="V351" s="388">
        <f>GAAP!Q346</f>
        <v>10972.960000000001</v>
      </c>
      <c r="W351" s="388">
        <f>GAAP!S346</f>
        <v>7622.23</v>
      </c>
      <c r="X351" s="388"/>
      <c r="Y351" s="389">
        <f t="shared" si="361"/>
        <v>0</v>
      </c>
      <c r="Z351" s="390">
        <f t="shared" si="362"/>
        <v>0</v>
      </c>
      <c r="AA351" s="391">
        <f t="shared" si="363"/>
        <v>0</v>
      </c>
      <c r="AC351" s="621">
        <f t="shared" si="353"/>
        <v>0</v>
      </c>
    </row>
    <row r="352" spans="1:29" ht="15" customHeight="1">
      <c r="A352" s="385">
        <f>Bonus!A347</f>
        <v>56.107700000000001</v>
      </c>
      <c r="B352" s="386" t="str">
        <f>Bonus!B347</f>
        <v>System Integration Overhead 2025</v>
      </c>
      <c r="C352" s="468">
        <f>Bonus!G347</f>
        <v>1</v>
      </c>
      <c r="D352" s="468">
        <f>GAAP!G347</f>
        <v>1</v>
      </c>
      <c r="E352" s="387">
        <f>Bonus!I347</f>
        <v>0</v>
      </c>
      <c r="F352" s="388">
        <f>Bonus!F347</f>
        <v>4370841.4000000004</v>
      </c>
      <c r="G352" s="388">
        <f t="shared" ref="G352" si="364">E352-F352</f>
        <v>-4370841.4000000004</v>
      </c>
      <c r="H352" s="388"/>
      <c r="I352" s="388">
        <f>GAAP!I347</f>
        <v>0</v>
      </c>
      <c r="J352" s="388">
        <f>GAAP!F347</f>
        <v>4370841.4000000004</v>
      </c>
      <c r="K352" s="388">
        <f t="shared" ref="K352" si="365">I352-J352</f>
        <v>-4370841.4000000004</v>
      </c>
      <c r="L352" s="388"/>
      <c r="M352" s="389">
        <f t="shared" ref="M352" si="366">E352-I352</f>
        <v>0</v>
      </c>
      <c r="N352" s="390">
        <f t="shared" ref="N352" si="367">F352-J352</f>
        <v>0</v>
      </c>
      <c r="O352" s="390">
        <f t="shared" ref="O352" si="368">G352-K352</f>
        <v>0</v>
      </c>
      <c r="P352" s="379"/>
      <c r="Q352" s="387">
        <f t="shared" ref="Q352" si="369">R352+S352</f>
        <v>0</v>
      </c>
      <c r="R352" s="388">
        <f>Bonus!Q347</f>
        <v>4370841.4000000004</v>
      </c>
      <c r="S352" s="388">
        <f>Bonus!S347</f>
        <v>-4370841.4000000004</v>
      </c>
      <c r="T352" s="388"/>
      <c r="U352" s="388">
        <f t="shared" ref="U352" si="370">V352+W352</f>
        <v>0</v>
      </c>
      <c r="V352" s="388">
        <f>GAAP!Q347</f>
        <v>4370841.4000000004</v>
      </c>
      <c r="W352" s="388">
        <f>GAAP!S347</f>
        <v>-4370841.4000000004</v>
      </c>
      <c r="X352" s="388"/>
      <c r="Y352" s="389">
        <f t="shared" ref="Y352" si="371">Q352-U352</f>
        <v>0</v>
      </c>
      <c r="Z352" s="390">
        <f t="shared" ref="Z352" si="372">R352-V352</f>
        <v>0</v>
      </c>
      <c r="AA352" s="391">
        <f t="shared" ref="AA352" si="373">S352-W352</f>
        <v>0</v>
      </c>
      <c r="AC352" s="621">
        <f t="shared" si="353"/>
        <v>0</v>
      </c>
    </row>
    <row r="353" spans="1:29" ht="15" customHeight="1">
      <c r="A353" s="385">
        <f>Bonus!A348</f>
        <v>56.107900000000001</v>
      </c>
      <c r="B353" s="386" t="str">
        <f>Bonus!B348</f>
        <v>AIC - San Jose Water Co - Montevina PLC Upgrade</v>
      </c>
      <c r="C353" s="468">
        <f>Bonus!G348</f>
        <v>1</v>
      </c>
      <c r="D353" s="468">
        <f>GAAP!G348</f>
        <v>1</v>
      </c>
      <c r="E353" s="387">
        <f>Bonus!I348</f>
        <v>29235.63</v>
      </c>
      <c r="F353" s="388">
        <f>Bonus!F348</f>
        <v>29235.63</v>
      </c>
      <c r="G353" s="388">
        <f t="shared" si="354"/>
        <v>0</v>
      </c>
      <c r="H353" s="388"/>
      <c r="I353" s="388">
        <f>GAAP!I348</f>
        <v>29235.63</v>
      </c>
      <c r="J353" s="388">
        <f>GAAP!F348</f>
        <v>29235.63</v>
      </c>
      <c r="K353" s="388">
        <f t="shared" si="355"/>
        <v>0</v>
      </c>
      <c r="L353" s="388"/>
      <c r="M353" s="389">
        <f t="shared" si="356"/>
        <v>0</v>
      </c>
      <c r="N353" s="390">
        <f t="shared" si="357"/>
        <v>0</v>
      </c>
      <c r="O353" s="390">
        <f t="shared" si="358"/>
        <v>0</v>
      </c>
      <c r="P353" s="379"/>
      <c r="Q353" s="387">
        <f t="shared" si="359"/>
        <v>29235.63</v>
      </c>
      <c r="R353" s="388">
        <f>Bonus!Q348</f>
        <v>29235.63</v>
      </c>
      <c r="S353" s="388">
        <f>Bonus!S348</f>
        <v>0</v>
      </c>
      <c r="T353" s="388"/>
      <c r="U353" s="388">
        <f t="shared" si="360"/>
        <v>29235.63</v>
      </c>
      <c r="V353" s="388">
        <f>GAAP!Q348</f>
        <v>29235.63</v>
      </c>
      <c r="W353" s="388">
        <f>GAAP!S348</f>
        <v>0</v>
      </c>
      <c r="X353" s="388"/>
      <c r="Y353" s="389">
        <f t="shared" si="361"/>
        <v>0</v>
      </c>
      <c r="Z353" s="390">
        <f t="shared" si="362"/>
        <v>0</v>
      </c>
      <c r="AA353" s="391">
        <f t="shared" si="363"/>
        <v>0</v>
      </c>
      <c r="AC353" s="621">
        <f t="shared" si="353"/>
        <v>0</v>
      </c>
    </row>
    <row r="354" spans="1:29" ht="15" customHeight="1">
      <c r="A354" s="385">
        <f>Bonus!A349</f>
        <v>56.107999999999997</v>
      </c>
      <c r="B354" s="386" t="str">
        <f>Bonus!B349</f>
        <v>AIC - San Jose Water Co - PLC System Assessment</v>
      </c>
      <c r="C354" s="468">
        <f>Bonus!G349</f>
        <v>1</v>
      </c>
      <c r="D354" s="468">
        <f>GAAP!G349</f>
        <v>1</v>
      </c>
      <c r="E354" s="387">
        <f>Bonus!I349</f>
        <v>359469</v>
      </c>
      <c r="F354" s="388">
        <f>Bonus!F349</f>
        <v>359469</v>
      </c>
      <c r="G354" s="388">
        <f t="shared" si="354"/>
        <v>0</v>
      </c>
      <c r="H354" s="388"/>
      <c r="I354" s="388">
        <f>GAAP!I349</f>
        <v>359469</v>
      </c>
      <c r="J354" s="388">
        <f>GAAP!F349</f>
        <v>359469</v>
      </c>
      <c r="K354" s="388">
        <f t="shared" si="355"/>
        <v>0</v>
      </c>
      <c r="L354" s="388"/>
      <c r="M354" s="389">
        <f t="shared" si="356"/>
        <v>0</v>
      </c>
      <c r="N354" s="390">
        <f t="shared" si="357"/>
        <v>0</v>
      </c>
      <c r="O354" s="390">
        <f t="shared" si="358"/>
        <v>0</v>
      </c>
      <c r="P354" s="379"/>
      <c r="Q354" s="387">
        <f t="shared" si="359"/>
        <v>359469</v>
      </c>
      <c r="R354" s="388">
        <f>Bonus!Q349</f>
        <v>359469</v>
      </c>
      <c r="S354" s="388">
        <f>Bonus!S349</f>
        <v>0</v>
      </c>
      <c r="T354" s="388"/>
      <c r="U354" s="388">
        <f t="shared" si="360"/>
        <v>359469</v>
      </c>
      <c r="V354" s="388">
        <f>GAAP!Q349</f>
        <v>359469</v>
      </c>
      <c r="W354" s="388">
        <f>GAAP!S349</f>
        <v>0</v>
      </c>
      <c r="X354" s="388"/>
      <c r="Y354" s="389">
        <f t="shared" si="361"/>
        <v>0</v>
      </c>
      <c r="Z354" s="390">
        <f t="shared" si="362"/>
        <v>0</v>
      </c>
      <c r="AA354" s="391">
        <f t="shared" si="363"/>
        <v>0</v>
      </c>
      <c r="AC354" s="621">
        <f t="shared" si="353"/>
        <v>0</v>
      </c>
    </row>
    <row r="355" spans="1:29" ht="15" customHeight="1">
      <c r="A355" s="385">
        <f>Bonus!A350</f>
        <v>56.108199999999997</v>
      </c>
      <c r="B355" s="386" t="str">
        <f>Bonus!B350</f>
        <v>City of Clovis - Pump Station E New Pump 5 VFD Startup</v>
      </c>
      <c r="C355" s="468">
        <f>Bonus!G350</f>
        <v>1</v>
      </c>
      <c r="D355" s="468">
        <f>GAAP!G350</f>
        <v>1</v>
      </c>
      <c r="E355" s="387">
        <f>Bonus!I350</f>
        <v>19800</v>
      </c>
      <c r="F355" s="388">
        <f>Bonus!F350</f>
        <v>20583.039999999997</v>
      </c>
      <c r="G355" s="388">
        <f t="shared" si="354"/>
        <v>-783.03999999999724</v>
      </c>
      <c r="H355" s="388"/>
      <c r="I355" s="388">
        <f>GAAP!I350</f>
        <v>19800</v>
      </c>
      <c r="J355" s="388">
        <f>GAAP!F350</f>
        <v>20583.039999999997</v>
      </c>
      <c r="K355" s="388">
        <f t="shared" si="355"/>
        <v>-783.03999999999724</v>
      </c>
      <c r="L355" s="388"/>
      <c r="M355" s="389">
        <f t="shared" si="356"/>
        <v>0</v>
      </c>
      <c r="N355" s="390">
        <f t="shared" si="357"/>
        <v>0</v>
      </c>
      <c r="O355" s="390">
        <f t="shared" si="358"/>
        <v>0</v>
      </c>
      <c r="P355" s="379"/>
      <c r="Q355" s="387">
        <f t="shared" si="359"/>
        <v>19800</v>
      </c>
      <c r="R355" s="388">
        <f>Bonus!Q350</f>
        <v>20583.039999999997</v>
      </c>
      <c r="S355" s="388">
        <f>Bonus!S350</f>
        <v>-783.03999999999724</v>
      </c>
      <c r="T355" s="388"/>
      <c r="U355" s="388">
        <f t="shared" si="360"/>
        <v>19800</v>
      </c>
      <c r="V355" s="388">
        <f>GAAP!Q350</f>
        <v>20583.039999999997</v>
      </c>
      <c r="W355" s="388">
        <f>GAAP!S350</f>
        <v>-783.03999999999724</v>
      </c>
      <c r="X355" s="388"/>
      <c r="Y355" s="389">
        <f t="shared" si="361"/>
        <v>0</v>
      </c>
      <c r="Z355" s="390">
        <f t="shared" si="362"/>
        <v>0</v>
      </c>
      <c r="AA355" s="391">
        <f t="shared" si="363"/>
        <v>0</v>
      </c>
      <c r="AC355" s="621">
        <f t="shared" si="353"/>
        <v>0</v>
      </c>
    </row>
    <row r="356" spans="1:29" ht="15" customHeight="1">
      <c r="A356" s="385">
        <f>Bonus!A351</f>
        <v>56.108400000000003</v>
      </c>
      <c r="B356" s="386" t="str">
        <f>Bonus!B351</f>
        <v>South Orange County Water Authority - PLC Programming Support - South Orange County Wastewater Aut</v>
      </c>
      <c r="C356" s="468">
        <f>Bonus!G351</f>
        <v>1</v>
      </c>
      <c r="D356" s="468">
        <f>GAAP!G351</f>
        <v>1</v>
      </c>
      <c r="E356" s="387">
        <f>Bonus!I351</f>
        <v>8000</v>
      </c>
      <c r="F356" s="388">
        <f>Bonus!F351</f>
        <v>4228.13</v>
      </c>
      <c r="G356" s="388">
        <f t="shared" si="354"/>
        <v>3771.87</v>
      </c>
      <c r="H356" s="388"/>
      <c r="I356" s="388">
        <f>GAAP!I351</f>
        <v>8000</v>
      </c>
      <c r="J356" s="388">
        <f>GAAP!F351</f>
        <v>4228.13</v>
      </c>
      <c r="K356" s="388">
        <f t="shared" si="355"/>
        <v>3771.87</v>
      </c>
      <c r="L356" s="388"/>
      <c r="M356" s="389">
        <f t="shared" si="356"/>
        <v>0</v>
      </c>
      <c r="N356" s="390">
        <f t="shared" si="357"/>
        <v>0</v>
      </c>
      <c r="O356" s="390">
        <f t="shared" si="358"/>
        <v>0</v>
      </c>
      <c r="P356" s="379"/>
      <c r="Q356" s="387">
        <f t="shared" si="359"/>
        <v>8000</v>
      </c>
      <c r="R356" s="388">
        <f>Bonus!Q351</f>
        <v>4228.13</v>
      </c>
      <c r="S356" s="388">
        <f>Bonus!S351</f>
        <v>3771.87</v>
      </c>
      <c r="T356" s="388"/>
      <c r="U356" s="388">
        <f t="shared" si="360"/>
        <v>8000</v>
      </c>
      <c r="V356" s="388">
        <f>GAAP!Q351</f>
        <v>4228.13</v>
      </c>
      <c r="W356" s="388">
        <f>GAAP!S351</f>
        <v>3771.87</v>
      </c>
      <c r="X356" s="388"/>
      <c r="Y356" s="389">
        <f t="shared" si="361"/>
        <v>0</v>
      </c>
      <c r="Z356" s="390">
        <f t="shared" si="362"/>
        <v>0</v>
      </c>
      <c r="AA356" s="391">
        <f t="shared" si="363"/>
        <v>0</v>
      </c>
      <c r="AC356" s="621">
        <f t="shared" si="353"/>
        <v>0</v>
      </c>
    </row>
    <row r="357" spans="1:29" ht="15" customHeight="1">
      <c r="A357" s="385">
        <f>Bonus!A352</f>
        <v>56.110199999999999</v>
      </c>
      <c r="B357" s="386" t="str">
        <f>Bonus!B352</f>
        <v>AIC - San Benito County Water District - West Hills WTP Exp. - San Benito County WD - Royal</v>
      </c>
      <c r="C357" s="468">
        <f>Bonus!G352</f>
        <v>1</v>
      </c>
      <c r="D357" s="468">
        <f>GAAP!G352</f>
        <v>1</v>
      </c>
      <c r="E357" s="387">
        <f>Bonus!I352</f>
        <v>19815.939999999999</v>
      </c>
      <c r="F357" s="388">
        <f>Bonus!F352</f>
        <v>19815.939999999999</v>
      </c>
      <c r="G357" s="388">
        <f t="shared" si="354"/>
        <v>0</v>
      </c>
      <c r="H357" s="388"/>
      <c r="I357" s="388">
        <f>GAAP!I352</f>
        <v>19815.939999999999</v>
      </c>
      <c r="J357" s="388">
        <f>GAAP!F352</f>
        <v>19815.939999999999</v>
      </c>
      <c r="K357" s="388">
        <f t="shared" si="355"/>
        <v>0</v>
      </c>
      <c r="L357" s="388"/>
      <c r="M357" s="389">
        <f t="shared" si="356"/>
        <v>0</v>
      </c>
      <c r="N357" s="390">
        <f t="shared" si="357"/>
        <v>0</v>
      </c>
      <c r="O357" s="390">
        <f t="shared" si="358"/>
        <v>0</v>
      </c>
      <c r="P357" s="379"/>
      <c r="Q357" s="387">
        <f t="shared" si="359"/>
        <v>19815.939999999999</v>
      </c>
      <c r="R357" s="388">
        <f>Bonus!Q352</f>
        <v>19815.939999999999</v>
      </c>
      <c r="S357" s="388">
        <f>Bonus!S352</f>
        <v>0</v>
      </c>
      <c r="T357" s="388"/>
      <c r="U357" s="388">
        <f t="shared" si="360"/>
        <v>19815.939999999999</v>
      </c>
      <c r="V357" s="388">
        <f>GAAP!Q352</f>
        <v>19815.939999999999</v>
      </c>
      <c r="W357" s="388">
        <f>GAAP!S352</f>
        <v>0</v>
      </c>
      <c r="X357" s="388"/>
      <c r="Y357" s="389">
        <f t="shared" si="361"/>
        <v>0</v>
      </c>
      <c r="Z357" s="390">
        <f t="shared" si="362"/>
        <v>0</v>
      </c>
      <c r="AA357" s="391">
        <f t="shared" si="363"/>
        <v>0</v>
      </c>
      <c r="AC357" s="621">
        <f t="shared" si="353"/>
        <v>0</v>
      </c>
    </row>
    <row r="358" spans="1:29" ht="15" customHeight="1">
      <c r="A358" s="385">
        <f>Bonus!A353</f>
        <v>56.110300000000002</v>
      </c>
      <c r="B358" s="386" t="str">
        <f>Bonus!B353</f>
        <v>AIC - Willitts Equipment &amp; Engineering Co., Inc. - Washington &amp; S. Union PP Repair- Caltrans District</v>
      </c>
      <c r="C358" s="468">
        <f>Bonus!G353</f>
        <v>1</v>
      </c>
      <c r="D358" s="468">
        <f>GAAP!G353</f>
        <v>1</v>
      </c>
      <c r="E358" s="387">
        <f>Bonus!I353</f>
        <v>55855.24</v>
      </c>
      <c r="F358" s="388">
        <f>Bonus!F353</f>
        <v>55855.24</v>
      </c>
      <c r="G358" s="388">
        <f t="shared" si="354"/>
        <v>0</v>
      </c>
      <c r="H358" s="388"/>
      <c r="I358" s="388">
        <f>GAAP!I353</f>
        <v>55855.24</v>
      </c>
      <c r="J358" s="388">
        <f>GAAP!F353</f>
        <v>55855.24</v>
      </c>
      <c r="K358" s="388">
        <f t="shared" si="355"/>
        <v>0</v>
      </c>
      <c r="L358" s="388"/>
      <c r="M358" s="389">
        <f t="shared" si="356"/>
        <v>0</v>
      </c>
      <c r="N358" s="390">
        <f t="shared" si="357"/>
        <v>0</v>
      </c>
      <c r="O358" s="390">
        <f t="shared" si="358"/>
        <v>0</v>
      </c>
      <c r="P358" s="379"/>
      <c r="Q358" s="387">
        <f t="shared" si="359"/>
        <v>55855.24</v>
      </c>
      <c r="R358" s="388">
        <f>Bonus!Q353</f>
        <v>55855.24</v>
      </c>
      <c r="S358" s="388">
        <f>Bonus!S353</f>
        <v>0</v>
      </c>
      <c r="T358" s="388"/>
      <c r="U358" s="388">
        <f t="shared" si="360"/>
        <v>55855.24</v>
      </c>
      <c r="V358" s="388">
        <f>GAAP!Q353</f>
        <v>55855.24</v>
      </c>
      <c r="W358" s="388">
        <f>GAAP!S353</f>
        <v>0</v>
      </c>
      <c r="X358" s="388"/>
      <c r="Y358" s="389">
        <f t="shared" si="361"/>
        <v>0</v>
      </c>
      <c r="Z358" s="390">
        <f t="shared" si="362"/>
        <v>0</v>
      </c>
      <c r="AA358" s="391">
        <f t="shared" si="363"/>
        <v>0</v>
      </c>
      <c r="AC358" s="621">
        <f t="shared" si="353"/>
        <v>0</v>
      </c>
    </row>
    <row r="359" spans="1:29" ht="15" customHeight="1">
      <c r="A359" s="385">
        <f>Bonus!A354</f>
        <v>56.110399999999998</v>
      </c>
      <c r="B359" s="386" t="str">
        <f>Bonus!B354</f>
        <v>AIC - Monterey Mechanical Co. - Tunnel SCADA Integration Config - Caltrans Distric</v>
      </c>
      <c r="C359" s="468">
        <f>Bonus!G354</f>
        <v>1</v>
      </c>
      <c r="D359" s="468">
        <f>GAAP!G354</f>
        <v>1</v>
      </c>
      <c r="E359" s="387">
        <f>Bonus!I354</f>
        <v>9500.31</v>
      </c>
      <c r="F359" s="388">
        <f>Bonus!F354</f>
        <v>9500.31</v>
      </c>
      <c r="G359" s="388">
        <f t="shared" si="354"/>
        <v>0</v>
      </c>
      <c r="H359" s="388"/>
      <c r="I359" s="388">
        <f>GAAP!I354</f>
        <v>9500.31</v>
      </c>
      <c r="J359" s="388">
        <f>GAAP!F354</f>
        <v>9500.31</v>
      </c>
      <c r="K359" s="388">
        <f t="shared" si="355"/>
        <v>0</v>
      </c>
      <c r="L359" s="388"/>
      <c r="M359" s="389">
        <f t="shared" si="356"/>
        <v>0</v>
      </c>
      <c r="N359" s="390">
        <f t="shared" si="357"/>
        <v>0</v>
      </c>
      <c r="O359" s="390">
        <f t="shared" si="358"/>
        <v>0</v>
      </c>
      <c r="P359" s="379"/>
      <c r="Q359" s="387">
        <f t="shared" si="359"/>
        <v>9500.31</v>
      </c>
      <c r="R359" s="388">
        <f>Bonus!Q354</f>
        <v>9500.31</v>
      </c>
      <c r="S359" s="388">
        <f>Bonus!S354</f>
        <v>0</v>
      </c>
      <c r="T359" s="388"/>
      <c r="U359" s="388">
        <f t="shared" si="360"/>
        <v>9500.31</v>
      </c>
      <c r="V359" s="388">
        <f>GAAP!Q354</f>
        <v>9500.31</v>
      </c>
      <c r="W359" s="388">
        <f>GAAP!S354</f>
        <v>0</v>
      </c>
      <c r="X359" s="388"/>
      <c r="Y359" s="389">
        <f t="shared" si="361"/>
        <v>0</v>
      </c>
      <c r="Z359" s="390">
        <f t="shared" si="362"/>
        <v>0</v>
      </c>
      <c r="AA359" s="391">
        <f t="shared" si="363"/>
        <v>0</v>
      </c>
      <c r="AC359" s="621">
        <f t="shared" si="353"/>
        <v>0</v>
      </c>
    </row>
    <row r="360" spans="1:29" ht="15" customHeight="1">
      <c r="A360" s="385">
        <f>Bonus!A355</f>
        <v>56.110500000000002</v>
      </c>
      <c r="B360" s="386" t="str">
        <f>Bonus!B355</f>
        <v>AIC - Koch &amp; Koch, Inc. - Monte Vista Tank Replacement Project – Placer Coun</v>
      </c>
      <c r="C360" s="468">
        <f>Bonus!G355</f>
        <v>1</v>
      </c>
      <c r="D360" s="468">
        <f>GAAP!G355</f>
        <v>1</v>
      </c>
      <c r="E360" s="387">
        <f>Bonus!I355</f>
        <v>30502.53</v>
      </c>
      <c r="F360" s="388">
        <f>Bonus!F355</f>
        <v>30502.53</v>
      </c>
      <c r="G360" s="388">
        <f t="shared" si="354"/>
        <v>0</v>
      </c>
      <c r="H360" s="388"/>
      <c r="I360" s="388">
        <f>GAAP!I355</f>
        <v>30502.53</v>
      </c>
      <c r="J360" s="388">
        <f>GAAP!F355</f>
        <v>30502.53</v>
      </c>
      <c r="K360" s="388">
        <f t="shared" si="355"/>
        <v>0</v>
      </c>
      <c r="L360" s="388"/>
      <c r="M360" s="389">
        <f t="shared" si="356"/>
        <v>0</v>
      </c>
      <c r="N360" s="390">
        <f t="shared" si="357"/>
        <v>0</v>
      </c>
      <c r="O360" s="390">
        <f t="shared" si="358"/>
        <v>0</v>
      </c>
      <c r="P360" s="379"/>
      <c r="Q360" s="387">
        <f t="shared" si="359"/>
        <v>30502.53</v>
      </c>
      <c r="R360" s="388">
        <f>Bonus!Q355</f>
        <v>30502.53</v>
      </c>
      <c r="S360" s="388">
        <f>Bonus!S355</f>
        <v>0</v>
      </c>
      <c r="T360" s="388"/>
      <c r="U360" s="388">
        <f t="shared" si="360"/>
        <v>30502.53</v>
      </c>
      <c r="V360" s="388">
        <f>GAAP!Q355</f>
        <v>30502.53</v>
      </c>
      <c r="W360" s="388">
        <f>GAAP!S355</f>
        <v>0</v>
      </c>
      <c r="X360" s="388"/>
      <c r="Y360" s="389">
        <f t="shared" si="361"/>
        <v>0</v>
      </c>
      <c r="Z360" s="390">
        <f t="shared" si="362"/>
        <v>0</v>
      </c>
      <c r="AA360" s="391">
        <f t="shared" si="363"/>
        <v>0</v>
      </c>
      <c r="AC360" s="621">
        <f t="shared" si="353"/>
        <v>0</v>
      </c>
    </row>
    <row r="361" spans="1:29" ht="15" customHeight="1">
      <c r="A361" s="385">
        <f>Bonus!A356</f>
        <v>56.110599999999998</v>
      </c>
      <c r="B361" s="386" t="str">
        <f>Bonus!B356</f>
        <v>AIC - Cal Signal Corp - SR211 Fernbridge Eel River Bridge Seismic Gates -</v>
      </c>
      <c r="C361" s="468">
        <f>Bonus!G356</f>
        <v>1</v>
      </c>
      <c r="D361" s="468">
        <f>GAAP!G356</f>
        <v>1</v>
      </c>
      <c r="E361" s="387">
        <f>Bonus!I356</f>
        <v>54742.18</v>
      </c>
      <c r="F361" s="388">
        <f>Bonus!F356</f>
        <v>54742.18</v>
      </c>
      <c r="G361" s="388">
        <f t="shared" si="354"/>
        <v>0</v>
      </c>
      <c r="H361" s="388"/>
      <c r="I361" s="388">
        <f>GAAP!I356</f>
        <v>54742.18</v>
      </c>
      <c r="J361" s="388">
        <f>GAAP!F356</f>
        <v>54742.18</v>
      </c>
      <c r="K361" s="388">
        <f t="shared" si="355"/>
        <v>0</v>
      </c>
      <c r="L361" s="388"/>
      <c r="M361" s="389">
        <f t="shared" si="356"/>
        <v>0</v>
      </c>
      <c r="N361" s="390">
        <f t="shared" si="357"/>
        <v>0</v>
      </c>
      <c r="O361" s="390">
        <f t="shared" si="358"/>
        <v>0</v>
      </c>
      <c r="P361" s="379"/>
      <c r="Q361" s="387">
        <f t="shared" si="359"/>
        <v>54742.18</v>
      </c>
      <c r="R361" s="388">
        <f>Bonus!Q356</f>
        <v>54742.18</v>
      </c>
      <c r="S361" s="388">
        <f>Bonus!S356</f>
        <v>0</v>
      </c>
      <c r="T361" s="388"/>
      <c r="U361" s="388">
        <f t="shared" si="360"/>
        <v>54742.18</v>
      </c>
      <c r="V361" s="388">
        <f>GAAP!Q356</f>
        <v>54742.18</v>
      </c>
      <c r="W361" s="388">
        <f>GAAP!S356</f>
        <v>0</v>
      </c>
      <c r="X361" s="388"/>
      <c r="Y361" s="389">
        <f t="shared" si="361"/>
        <v>0</v>
      </c>
      <c r="Z361" s="390">
        <f t="shared" si="362"/>
        <v>0</v>
      </c>
      <c r="AA361" s="391">
        <f t="shared" si="363"/>
        <v>0</v>
      </c>
      <c r="AC361" s="621">
        <f t="shared" si="353"/>
        <v>0</v>
      </c>
    </row>
    <row r="362" spans="1:29" ht="15" customHeight="1">
      <c r="A362" s="385">
        <f>Bonus!A357</f>
        <v>56.110700000000001</v>
      </c>
      <c r="B362" s="386" t="str">
        <f>Bonus!B357</f>
        <v>AIC - San Joaquin Electric - Pkg 4 Livermore &amp; Stockton PFAS RFP – California W</v>
      </c>
      <c r="C362" s="468">
        <f>Bonus!G357</f>
        <v>1</v>
      </c>
      <c r="D362" s="468">
        <f>GAAP!G357</f>
        <v>1</v>
      </c>
      <c r="E362" s="387">
        <f>Bonus!I357</f>
        <v>3429.06</v>
      </c>
      <c r="F362" s="388">
        <f>Bonus!F357</f>
        <v>3429.06</v>
      </c>
      <c r="G362" s="388">
        <f t="shared" si="354"/>
        <v>0</v>
      </c>
      <c r="H362" s="388"/>
      <c r="I362" s="388">
        <f>GAAP!I357</f>
        <v>3429.06</v>
      </c>
      <c r="J362" s="388">
        <f>GAAP!F357</f>
        <v>3429.06</v>
      </c>
      <c r="K362" s="388">
        <f t="shared" si="355"/>
        <v>0</v>
      </c>
      <c r="L362" s="388"/>
      <c r="M362" s="389">
        <f t="shared" si="356"/>
        <v>0</v>
      </c>
      <c r="N362" s="390">
        <f t="shared" si="357"/>
        <v>0</v>
      </c>
      <c r="O362" s="390">
        <f t="shared" si="358"/>
        <v>0</v>
      </c>
      <c r="P362" s="379"/>
      <c r="Q362" s="387">
        <f t="shared" si="359"/>
        <v>3429.06</v>
      </c>
      <c r="R362" s="388">
        <f>Bonus!Q357</f>
        <v>3429.06</v>
      </c>
      <c r="S362" s="388">
        <f>Bonus!S357</f>
        <v>0</v>
      </c>
      <c r="T362" s="388"/>
      <c r="U362" s="388">
        <f t="shared" si="360"/>
        <v>3429.06</v>
      </c>
      <c r="V362" s="388">
        <f>GAAP!Q357</f>
        <v>3429.06</v>
      </c>
      <c r="W362" s="388">
        <f>GAAP!S357</f>
        <v>0</v>
      </c>
      <c r="X362" s="388"/>
      <c r="Y362" s="389">
        <f t="shared" si="361"/>
        <v>0</v>
      </c>
      <c r="Z362" s="390">
        <f t="shared" si="362"/>
        <v>0</v>
      </c>
      <c r="AA362" s="391">
        <f t="shared" si="363"/>
        <v>0</v>
      </c>
      <c r="AC362" s="621">
        <f t="shared" si="353"/>
        <v>0</v>
      </c>
    </row>
    <row r="363" spans="1:29" ht="15" customHeight="1">
      <c r="A363" s="385">
        <f>Bonus!A358</f>
        <v>56.110799999999998</v>
      </c>
      <c r="B363" s="386" t="str">
        <f>Bonus!B358</f>
        <v>AIC - City of Davis - Programming and Panel Modifications at Turnout Sit</v>
      </c>
      <c r="C363" s="468">
        <f>Bonus!G358</f>
        <v>1</v>
      </c>
      <c r="D363" s="468">
        <f>GAAP!G358</f>
        <v>1</v>
      </c>
      <c r="E363" s="387">
        <f>Bonus!I358</f>
        <v>20729.84</v>
      </c>
      <c r="F363" s="388">
        <f>Bonus!F358</f>
        <v>20729.84</v>
      </c>
      <c r="G363" s="388">
        <f t="shared" si="354"/>
        <v>0</v>
      </c>
      <c r="H363" s="388"/>
      <c r="I363" s="388">
        <f>GAAP!I358</f>
        <v>20729.84</v>
      </c>
      <c r="J363" s="388">
        <f>GAAP!F358</f>
        <v>20729.84</v>
      </c>
      <c r="K363" s="388">
        <f t="shared" si="355"/>
        <v>0</v>
      </c>
      <c r="L363" s="388"/>
      <c r="M363" s="389">
        <f t="shared" si="356"/>
        <v>0</v>
      </c>
      <c r="N363" s="390">
        <f t="shared" si="357"/>
        <v>0</v>
      </c>
      <c r="O363" s="390">
        <f t="shared" si="358"/>
        <v>0</v>
      </c>
      <c r="P363" s="379"/>
      <c r="Q363" s="387">
        <f t="shared" si="359"/>
        <v>20729.84</v>
      </c>
      <c r="R363" s="388">
        <f>Bonus!Q358</f>
        <v>20729.84</v>
      </c>
      <c r="S363" s="388">
        <f>Bonus!S358</f>
        <v>0</v>
      </c>
      <c r="T363" s="388"/>
      <c r="U363" s="388">
        <f t="shared" si="360"/>
        <v>20729.84</v>
      </c>
      <c r="V363" s="388">
        <f>GAAP!Q358</f>
        <v>20729.84</v>
      </c>
      <c r="W363" s="388">
        <f>GAAP!S358</f>
        <v>0</v>
      </c>
      <c r="X363" s="388"/>
      <c r="Y363" s="389">
        <f t="shared" si="361"/>
        <v>0</v>
      </c>
      <c r="Z363" s="390">
        <f t="shared" si="362"/>
        <v>0</v>
      </c>
      <c r="AA363" s="391">
        <f t="shared" si="363"/>
        <v>0</v>
      </c>
      <c r="AC363" s="621">
        <f t="shared" si="353"/>
        <v>0</v>
      </c>
    </row>
    <row r="364" spans="1:29" ht="15" customHeight="1">
      <c r="A364" s="385">
        <f>Bonus!A359</f>
        <v>56.110900000000001</v>
      </c>
      <c r="B364" s="386" t="str">
        <f>Bonus!B359</f>
        <v>AIC - Fusion Electric, Inc.. - Moccasin WWTP Replacement - San Francisco Public U</v>
      </c>
      <c r="C364" s="468">
        <f>Bonus!G359</f>
        <v>1</v>
      </c>
      <c r="D364" s="468">
        <f>GAAP!G359</f>
        <v>1</v>
      </c>
      <c r="E364" s="387">
        <f>Bonus!I359</f>
        <v>14772.26</v>
      </c>
      <c r="F364" s="388">
        <f>Bonus!F359</f>
        <v>14772.26</v>
      </c>
      <c r="G364" s="388">
        <f t="shared" si="354"/>
        <v>0</v>
      </c>
      <c r="H364" s="388"/>
      <c r="I364" s="388">
        <f>GAAP!I359</f>
        <v>14772.26</v>
      </c>
      <c r="J364" s="388">
        <f>GAAP!F359</f>
        <v>14772.26</v>
      </c>
      <c r="K364" s="388">
        <f t="shared" si="355"/>
        <v>0</v>
      </c>
      <c r="L364" s="388"/>
      <c r="M364" s="389">
        <f t="shared" si="356"/>
        <v>0</v>
      </c>
      <c r="N364" s="390">
        <f t="shared" si="357"/>
        <v>0</v>
      </c>
      <c r="O364" s="390">
        <f t="shared" si="358"/>
        <v>0</v>
      </c>
      <c r="P364" s="379"/>
      <c r="Q364" s="387">
        <f t="shared" si="359"/>
        <v>14772.26</v>
      </c>
      <c r="R364" s="388">
        <f>Bonus!Q359</f>
        <v>14772.26</v>
      </c>
      <c r="S364" s="388">
        <f>Bonus!S359</f>
        <v>0</v>
      </c>
      <c r="T364" s="388"/>
      <c r="U364" s="388">
        <f t="shared" si="360"/>
        <v>14772.26</v>
      </c>
      <c r="V364" s="388">
        <f>GAAP!Q359</f>
        <v>14772.26</v>
      </c>
      <c r="W364" s="388">
        <f>GAAP!S359</f>
        <v>0</v>
      </c>
      <c r="X364" s="388"/>
      <c r="Y364" s="389">
        <f t="shared" si="361"/>
        <v>0</v>
      </c>
      <c r="Z364" s="390">
        <f t="shared" si="362"/>
        <v>0</v>
      </c>
      <c r="AA364" s="391">
        <f t="shared" si="363"/>
        <v>0</v>
      </c>
      <c r="AC364" s="621">
        <f t="shared" si="353"/>
        <v>0</v>
      </c>
    </row>
    <row r="365" spans="1:29" ht="15" customHeight="1">
      <c r="A365" s="385">
        <f>Bonus!A360</f>
        <v>56.110999999999997</v>
      </c>
      <c r="B365" s="386" t="str">
        <f>Bonus!B360</f>
        <v>AIC - Al Fresco Landscape Management Inc. - East Garrison Autodialer Replacement - County of M</v>
      </c>
      <c r="C365" s="468">
        <f>Bonus!G360</f>
        <v>1</v>
      </c>
      <c r="D365" s="468">
        <f>GAAP!G360</f>
        <v>1</v>
      </c>
      <c r="E365" s="387">
        <f>Bonus!I360</f>
        <v>4596.42</v>
      </c>
      <c r="F365" s="388">
        <f>Bonus!F360</f>
        <v>4596.42</v>
      </c>
      <c r="G365" s="388">
        <f t="shared" si="354"/>
        <v>0</v>
      </c>
      <c r="H365" s="388"/>
      <c r="I365" s="388">
        <f>GAAP!I360</f>
        <v>4596.42</v>
      </c>
      <c r="J365" s="388">
        <f>GAAP!F360</f>
        <v>4596.42</v>
      </c>
      <c r="K365" s="388">
        <f t="shared" si="355"/>
        <v>0</v>
      </c>
      <c r="L365" s="388"/>
      <c r="M365" s="389">
        <f t="shared" si="356"/>
        <v>0</v>
      </c>
      <c r="N365" s="390">
        <f t="shared" si="357"/>
        <v>0</v>
      </c>
      <c r="O365" s="390">
        <f t="shared" si="358"/>
        <v>0</v>
      </c>
      <c r="P365" s="379"/>
      <c r="Q365" s="387">
        <f t="shared" si="359"/>
        <v>4596.42</v>
      </c>
      <c r="R365" s="388">
        <f>Bonus!Q360</f>
        <v>4596.42</v>
      </c>
      <c r="S365" s="388">
        <f>Bonus!S360</f>
        <v>0</v>
      </c>
      <c r="T365" s="388"/>
      <c r="U365" s="388">
        <f t="shared" si="360"/>
        <v>4596.42</v>
      </c>
      <c r="V365" s="388">
        <f>GAAP!Q360</f>
        <v>4596.42</v>
      </c>
      <c r="W365" s="388">
        <f>GAAP!S360</f>
        <v>0</v>
      </c>
      <c r="X365" s="388"/>
      <c r="Y365" s="389">
        <f t="shared" si="361"/>
        <v>0</v>
      </c>
      <c r="Z365" s="390">
        <f t="shared" si="362"/>
        <v>0</v>
      </c>
      <c r="AA365" s="391">
        <f t="shared" si="363"/>
        <v>0</v>
      </c>
      <c r="AC365" s="621">
        <f t="shared" si="353"/>
        <v>0</v>
      </c>
    </row>
    <row r="366" spans="1:29" ht="15" customHeight="1">
      <c r="A366" s="385">
        <f>Bonus!A361</f>
        <v>56.1111</v>
      </c>
      <c r="B366" s="386" t="str">
        <f>Bonus!B361</f>
        <v>AIC - California American Water - Luzern Well Treatment Design</v>
      </c>
      <c r="C366" s="468">
        <f>Bonus!G361</f>
        <v>1</v>
      </c>
      <c r="D366" s="468">
        <f>GAAP!G361</f>
        <v>1</v>
      </c>
      <c r="E366" s="387">
        <f>Bonus!I361</f>
        <v>17210.009999999998</v>
      </c>
      <c r="F366" s="388">
        <f>Bonus!F361</f>
        <v>17210.009999999998</v>
      </c>
      <c r="G366" s="388">
        <f t="shared" si="354"/>
        <v>0</v>
      </c>
      <c r="H366" s="388"/>
      <c r="I366" s="388">
        <f>GAAP!I361</f>
        <v>17210.009999999998</v>
      </c>
      <c r="J366" s="388">
        <f>GAAP!F361</f>
        <v>17210.009999999998</v>
      </c>
      <c r="K366" s="388">
        <f t="shared" si="355"/>
        <v>0</v>
      </c>
      <c r="L366" s="388"/>
      <c r="M366" s="389">
        <f t="shared" si="356"/>
        <v>0</v>
      </c>
      <c r="N366" s="390">
        <f t="shared" si="357"/>
        <v>0</v>
      </c>
      <c r="O366" s="390">
        <f t="shared" si="358"/>
        <v>0</v>
      </c>
      <c r="P366" s="379"/>
      <c r="Q366" s="387">
        <f t="shared" si="359"/>
        <v>17210.009999999998</v>
      </c>
      <c r="R366" s="388">
        <f>Bonus!Q361</f>
        <v>17210.009999999998</v>
      </c>
      <c r="S366" s="388">
        <f>Bonus!S361</f>
        <v>0</v>
      </c>
      <c r="T366" s="388"/>
      <c r="U366" s="388">
        <f t="shared" si="360"/>
        <v>17210.009999999998</v>
      </c>
      <c r="V366" s="388">
        <f>GAAP!Q361</f>
        <v>17210.009999999998</v>
      </c>
      <c r="W366" s="388">
        <f>GAAP!S361</f>
        <v>0</v>
      </c>
      <c r="X366" s="388"/>
      <c r="Y366" s="389">
        <f t="shared" si="361"/>
        <v>0</v>
      </c>
      <c r="Z366" s="390">
        <f t="shared" si="362"/>
        <v>0</v>
      </c>
      <c r="AA366" s="391">
        <f t="shared" si="363"/>
        <v>0</v>
      </c>
      <c r="AC366" s="621">
        <f t="shared" si="353"/>
        <v>0</v>
      </c>
    </row>
    <row r="367" spans="1:29" ht="15" customHeight="1">
      <c r="A367" s="385">
        <f>Bonus!A362</f>
        <v>56.111199999999997</v>
      </c>
      <c r="B367" s="386" t="str">
        <f>Bonus!B362</f>
        <v>AIC - Westside Water Authority - Pump Station A On-Site Support - Westside Water Au</v>
      </c>
      <c r="C367" s="468">
        <f>Bonus!G362</f>
        <v>1</v>
      </c>
      <c r="D367" s="468">
        <f>GAAP!G362</f>
        <v>1</v>
      </c>
      <c r="E367" s="387">
        <f>Bonus!I362</f>
        <v>27241.58</v>
      </c>
      <c r="F367" s="388">
        <f>Bonus!F362</f>
        <v>27241.58</v>
      </c>
      <c r="G367" s="388">
        <f t="shared" si="354"/>
        <v>0</v>
      </c>
      <c r="H367" s="388"/>
      <c r="I367" s="388">
        <f>GAAP!I362</f>
        <v>27241.58</v>
      </c>
      <c r="J367" s="388">
        <f>GAAP!F362</f>
        <v>27241.58</v>
      </c>
      <c r="K367" s="388">
        <f t="shared" si="355"/>
        <v>0</v>
      </c>
      <c r="L367" s="388"/>
      <c r="M367" s="389">
        <f t="shared" si="356"/>
        <v>0</v>
      </c>
      <c r="N367" s="390">
        <f t="shared" si="357"/>
        <v>0</v>
      </c>
      <c r="O367" s="390">
        <f t="shared" si="358"/>
        <v>0</v>
      </c>
      <c r="P367" s="379"/>
      <c r="Q367" s="387">
        <f t="shared" si="359"/>
        <v>27241.58</v>
      </c>
      <c r="R367" s="388">
        <f>Bonus!Q362</f>
        <v>27241.58</v>
      </c>
      <c r="S367" s="388">
        <f>Bonus!S362</f>
        <v>0</v>
      </c>
      <c r="T367" s="388"/>
      <c r="U367" s="388">
        <f t="shared" si="360"/>
        <v>27241.58</v>
      </c>
      <c r="V367" s="388">
        <f>GAAP!Q362</f>
        <v>27241.58</v>
      </c>
      <c r="W367" s="388">
        <f>GAAP!S362</f>
        <v>0</v>
      </c>
      <c r="X367" s="388"/>
      <c r="Y367" s="389">
        <f t="shared" si="361"/>
        <v>0</v>
      </c>
      <c r="Z367" s="390">
        <f t="shared" si="362"/>
        <v>0</v>
      </c>
      <c r="AA367" s="391">
        <f t="shared" si="363"/>
        <v>0</v>
      </c>
      <c r="AC367" s="621">
        <f t="shared" si="353"/>
        <v>0</v>
      </c>
    </row>
    <row r="368" spans="1:29" ht="15" customHeight="1">
      <c r="A368" s="385">
        <f>Bonus!A363</f>
        <v>56.1113</v>
      </c>
      <c r="B368" s="386" t="str">
        <f>Bonus!B363</f>
        <v>AIC - Central Sierra Electric Co., Inc. - Industrial WWTF - City of Gonzales - Central Sierr</v>
      </c>
      <c r="C368" s="468">
        <f>Bonus!G363</f>
        <v>1</v>
      </c>
      <c r="D368" s="468">
        <f>GAAP!G363</f>
        <v>1</v>
      </c>
      <c r="E368" s="387">
        <f>Bonus!I363</f>
        <v>49233.440000000002</v>
      </c>
      <c r="F368" s="388">
        <f>Bonus!F363</f>
        <v>49233.440000000002</v>
      </c>
      <c r="G368" s="388">
        <f t="shared" si="354"/>
        <v>0</v>
      </c>
      <c r="H368" s="388"/>
      <c r="I368" s="388">
        <f>GAAP!I363</f>
        <v>49233.440000000002</v>
      </c>
      <c r="J368" s="388">
        <f>GAAP!F363</f>
        <v>49233.440000000002</v>
      </c>
      <c r="K368" s="388">
        <f t="shared" si="355"/>
        <v>0</v>
      </c>
      <c r="L368" s="388"/>
      <c r="M368" s="389">
        <f t="shared" si="356"/>
        <v>0</v>
      </c>
      <c r="N368" s="390">
        <f t="shared" si="357"/>
        <v>0</v>
      </c>
      <c r="O368" s="390">
        <f t="shared" si="358"/>
        <v>0</v>
      </c>
      <c r="P368" s="379"/>
      <c r="Q368" s="387">
        <f t="shared" si="359"/>
        <v>49233.440000000002</v>
      </c>
      <c r="R368" s="388">
        <f>Bonus!Q363</f>
        <v>49233.440000000002</v>
      </c>
      <c r="S368" s="388">
        <f>Bonus!S363</f>
        <v>0</v>
      </c>
      <c r="T368" s="388"/>
      <c r="U368" s="388">
        <f t="shared" si="360"/>
        <v>49233.440000000002</v>
      </c>
      <c r="V368" s="388">
        <f>GAAP!Q363</f>
        <v>49233.440000000002</v>
      </c>
      <c r="W368" s="388">
        <f>GAAP!S363</f>
        <v>0</v>
      </c>
      <c r="X368" s="388"/>
      <c r="Y368" s="389">
        <f t="shared" si="361"/>
        <v>0</v>
      </c>
      <c r="Z368" s="390">
        <f t="shared" si="362"/>
        <v>0</v>
      </c>
      <c r="AA368" s="391">
        <f t="shared" si="363"/>
        <v>0</v>
      </c>
      <c r="AC368" s="621">
        <f t="shared" si="353"/>
        <v>0</v>
      </c>
    </row>
    <row r="369" spans="1:29" ht="15" customHeight="1">
      <c r="A369" s="385">
        <f>Bonus!A364</f>
        <v>56.111499999999999</v>
      </c>
      <c r="B369" s="386" t="str">
        <f>Bonus!B364</f>
        <v>AIC - UC Davis - WWTP Annual Instrument Calibrations</v>
      </c>
      <c r="C369" s="468">
        <f>Bonus!G364</f>
        <v>1</v>
      </c>
      <c r="D369" s="468">
        <f>GAAP!G364</f>
        <v>1</v>
      </c>
      <c r="E369" s="387">
        <f>Bonus!I364</f>
        <v>5895.77</v>
      </c>
      <c r="F369" s="388">
        <f>Bonus!F364</f>
        <v>5895.77</v>
      </c>
      <c r="G369" s="388">
        <f t="shared" si="354"/>
        <v>0</v>
      </c>
      <c r="H369" s="388"/>
      <c r="I369" s="388">
        <f>GAAP!I364</f>
        <v>5895.77</v>
      </c>
      <c r="J369" s="388">
        <f>GAAP!F364</f>
        <v>5895.77</v>
      </c>
      <c r="K369" s="388">
        <f t="shared" si="355"/>
        <v>0</v>
      </c>
      <c r="L369" s="388"/>
      <c r="M369" s="389">
        <f t="shared" si="356"/>
        <v>0</v>
      </c>
      <c r="N369" s="390">
        <f t="shared" si="357"/>
        <v>0</v>
      </c>
      <c r="O369" s="390">
        <f t="shared" si="358"/>
        <v>0</v>
      </c>
      <c r="P369" s="379"/>
      <c r="Q369" s="387">
        <f t="shared" si="359"/>
        <v>5895.77</v>
      </c>
      <c r="R369" s="388">
        <f>Bonus!Q364</f>
        <v>5895.77</v>
      </c>
      <c r="S369" s="388">
        <f>Bonus!S364</f>
        <v>0</v>
      </c>
      <c r="T369" s="388"/>
      <c r="U369" s="388">
        <f t="shared" si="360"/>
        <v>5895.77</v>
      </c>
      <c r="V369" s="388">
        <f>GAAP!Q364</f>
        <v>5895.77</v>
      </c>
      <c r="W369" s="388">
        <f>GAAP!S364</f>
        <v>0</v>
      </c>
      <c r="X369" s="388"/>
      <c r="Y369" s="389">
        <f t="shared" si="361"/>
        <v>0</v>
      </c>
      <c r="Z369" s="390">
        <f t="shared" si="362"/>
        <v>0</v>
      </c>
      <c r="AA369" s="391">
        <f t="shared" si="363"/>
        <v>0</v>
      </c>
      <c r="AC369" s="621">
        <f t="shared" si="353"/>
        <v>0</v>
      </c>
    </row>
    <row r="370" spans="1:29" ht="15" customHeight="1">
      <c r="A370" s="385">
        <f>Bonus!A365</f>
        <v>56.111899999999999</v>
      </c>
      <c r="B370" s="386" t="str">
        <f>Bonus!B365</f>
        <v>AIC - SD Electric Inc. - Chrysler Stormwater Pump Station Switchboard - Cit</v>
      </c>
      <c r="C370" s="468">
        <f>Bonus!G365</f>
        <v>1</v>
      </c>
      <c r="D370" s="468">
        <f>GAAP!G365</f>
        <v>1</v>
      </c>
      <c r="E370" s="387">
        <f>Bonus!I365</f>
        <v>22184.06</v>
      </c>
      <c r="F370" s="388">
        <f>Bonus!F365</f>
        <v>22184.06</v>
      </c>
      <c r="G370" s="388">
        <f t="shared" si="354"/>
        <v>0</v>
      </c>
      <c r="H370" s="388"/>
      <c r="I370" s="388">
        <f>GAAP!I365</f>
        <v>22184.06</v>
      </c>
      <c r="J370" s="388">
        <f>GAAP!F365</f>
        <v>22184.06</v>
      </c>
      <c r="K370" s="388">
        <f t="shared" si="355"/>
        <v>0</v>
      </c>
      <c r="L370" s="388"/>
      <c r="M370" s="389">
        <f t="shared" si="356"/>
        <v>0</v>
      </c>
      <c r="N370" s="390">
        <f t="shared" si="357"/>
        <v>0</v>
      </c>
      <c r="O370" s="390">
        <f t="shared" si="358"/>
        <v>0</v>
      </c>
      <c r="P370" s="379"/>
      <c r="Q370" s="387">
        <f t="shared" si="359"/>
        <v>22184.06</v>
      </c>
      <c r="R370" s="388">
        <f>Bonus!Q365</f>
        <v>22184.06</v>
      </c>
      <c r="S370" s="388">
        <f>Bonus!S365</f>
        <v>0</v>
      </c>
      <c r="T370" s="388"/>
      <c r="U370" s="388">
        <f t="shared" si="360"/>
        <v>22184.06</v>
      </c>
      <c r="V370" s="388">
        <f>GAAP!Q365</f>
        <v>22184.06</v>
      </c>
      <c r="W370" s="388">
        <f>GAAP!S365</f>
        <v>0</v>
      </c>
      <c r="X370" s="388"/>
      <c r="Y370" s="389">
        <f t="shared" si="361"/>
        <v>0</v>
      </c>
      <c r="Z370" s="390">
        <f t="shared" si="362"/>
        <v>0</v>
      </c>
      <c r="AA370" s="391">
        <f t="shared" si="363"/>
        <v>0</v>
      </c>
      <c r="AC370" s="621">
        <f t="shared" si="353"/>
        <v>0</v>
      </c>
    </row>
    <row r="371" spans="1:29" ht="15" customHeight="1">
      <c r="A371" s="385">
        <f>Bonus!A366</f>
        <v>56.112000000000002</v>
      </c>
      <c r="B371" s="386" t="str">
        <f>Bonus!B366</f>
        <v>AIC - Strategic Mechanical - Construction Plans for 2-Water Booster Pump Statio</v>
      </c>
      <c r="C371" s="468">
        <f>Bonus!G366</f>
        <v>1</v>
      </c>
      <c r="D371" s="468">
        <f>GAAP!G366</f>
        <v>1</v>
      </c>
      <c r="E371" s="387">
        <f>Bonus!I366</f>
        <v>1045.6300000000001</v>
      </c>
      <c r="F371" s="388">
        <f>Bonus!F366</f>
        <v>1045.6300000000001</v>
      </c>
      <c r="G371" s="388">
        <f t="shared" si="354"/>
        <v>0</v>
      </c>
      <c r="H371" s="388"/>
      <c r="I371" s="388">
        <f>GAAP!I366</f>
        <v>1045.6300000000001</v>
      </c>
      <c r="J371" s="388">
        <f>GAAP!F366</f>
        <v>1045.6300000000001</v>
      </c>
      <c r="K371" s="388">
        <f t="shared" si="355"/>
        <v>0</v>
      </c>
      <c r="L371" s="388"/>
      <c r="M371" s="389">
        <f t="shared" si="356"/>
        <v>0</v>
      </c>
      <c r="N371" s="390">
        <f t="shared" si="357"/>
        <v>0</v>
      </c>
      <c r="O371" s="390">
        <f t="shared" si="358"/>
        <v>0</v>
      </c>
      <c r="P371" s="379"/>
      <c r="Q371" s="387">
        <f t="shared" si="359"/>
        <v>1045.6300000000001</v>
      </c>
      <c r="R371" s="388">
        <f>Bonus!Q366</f>
        <v>1045.6300000000001</v>
      </c>
      <c r="S371" s="388">
        <f>Bonus!S366</f>
        <v>0</v>
      </c>
      <c r="T371" s="388"/>
      <c r="U371" s="388">
        <f t="shared" si="360"/>
        <v>1045.6300000000001</v>
      </c>
      <c r="V371" s="388">
        <f>GAAP!Q366</f>
        <v>1045.6300000000001</v>
      </c>
      <c r="W371" s="388">
        <f>GAAP!S366</f>
        <v>0</v>
      </c>
      <c r="X371" s="388"/>
      <c r="Y371" s="389">
        <f t="shared" si="361"/>
        <v>0</v>
      </c>
      <c r="Z371" s="390">
        <f t="shared" si="362"/>
        <v>0</v>
      </c>
      <c r="AA371" s="391">
        <f t="shared" si="363"/>
        <v>0</v>
      </c>
      <c r="AC371" s="621">
        <f t="shared" si="353"/>
        <v>0</v>
      </c>
    </row>
    <row r="372" spans="1:29" ht="15" customHeight="1">
      <c r="A372" s="385">
        <f>Bonus!A367</f>
        <v>56.112099999999998</v>
      </c>
      <c r="B372" s="386" t="str">
        <f>Bonus!B367</f>
        <v>AIC - San Joaquin Electric, Inc.  -WQCF Sludge Thickener and Dewatering Unit No. 3 Pro</v>
      </c>
      <c r="C372" s="468">
        <f>Bonus!G367</f>
        <v>1</v>
      </c>
      <c r="D372" s="468">
        <f>GAAP!G367</f>
        <v>1</v>
      </c>
      <c r="E372" s="387">
        <f>Bonus!I367</f>
        <v>22824.38</v>
      </c>
      <c r="F372" s="388">
        <f>Bonus!F367</f>
        <v>22824.38</v>
      </c>
      <c r="G372" s="388">
        <f t="shared" si="354"/>
        <v>0</v>
      </c>
      <c r="H372" s="388"/>
      <c r="I372" s="388">
        <f>GAAP!I367</f>
        <v>22824.38</v>
      </c>
      <c r="J372" s="388">
        <f>GAAP!F367</f>
        <v>22824.38</v>
      </c>
      <c r="K372" s="388">
        <f t="shared" si="355"/>
        <v>0</v>
      </c>
      <c r="L372" s="388"/>
      <c r="M372" s="389">
        <f t="shared" si="356"/>
        <v>0</v>
      </c>
      <c r="N372" s="390">
        <f t="shared" si="357"/>
        <v>0</v>
      </c>
      <c r="O372" s="390">
        <f t="shared" si="358"/>
        <v>0</v>
      </c>
      <c r="P372" s="379"/>
      <c r="Q372" s="387">
        <f t="shared" si="359"/>
        <v>22824.38</v>
      </c>
      <c r="R372" s="388">
        <f>Bonus!Q367</f>
        <v>22824.38</v>
      </c>
      <c r="S372" s="388">
        <f>Bonus!S367</f>
        <v>0</v>
      </c>
      <c r="T372" s="388"/>
      <c r="U372" s="388">
        <f t="shared" si="360"/>
        <v>22824.38</v>
      </c>
      <c r="V372" s="388">
        <f>GAAP!Q367</f>
        <v>22824.38</v>
      </c>
      <c r="W372" s="388">
        <f>GAAP!S367</f>
        <v>0</v>
      </c>
      <c r="X372" s="388"/>
      <c r="Y372" s="389">
        <f t="shared" si="361"/>
        <v>0</v>
      </c>
      <c r="Z372" s="390">
        <f t="shared" si="362"/>
        <v>0</v>
      </c>
      <c r="AA372" s="391">
        <f t="shared" si="363"/>
        <v>0</v>
      </c>
      <c r="AC372" s="621">
        <f t="shared" si="353"/>
        <v>0</v>
      </c>
    </row>
    <row r="373" spans="1:29" ht="15" customHeight="1">
      <c r="A373" s="385">
        <f>Bonus!A368</f>
        <v>56.112200000000001</v>
      </c>
      <c r="B373" s="386" t="str">
        <f>Bonus!B368</f>
        <v>AIC - West Bay Sanitary District  - West Bay Sanitary District - Soft Starter Retrofit</v>
      </c>
      <c r="C373" s="468">
        <f>Bonus!G368</f>
        <v>1</v>
      </c>
      <c r="D373" s="468">
        <f>GAAP!G368</f>
        <v>1</v>
      </c>
      <c r="E373" s="387">
        <f>Bonus!I368</f>
        <v>6289.38</v>
      </c>
      <c r="F373" s="388">
        <f>Bonus!F368</f>
        <v>6289.38</v>
      </c>
      <c r="G373" s="388">
        <f t="shared" si="354"/>
        <v>0</v>
      </c>
      <c r="H373" s="388"/>
      <c r="I373" s="388">
        <f>GAAP!I368</f>
        <v>6289.38</v>
      </c>
      <c r="J373" s="388">
        <f>GAAP!F368</f>
        <v>6289.38</v>
      </c>
      <c r="K373" s="388">
        <f t="shared" si="355"/>
        <v>0</v>
      </c>
      <c r="L373" s="388"/>
      <c r="M373" s="389">
        <f t="shared" si="356"/>
        <v>0</v>
      </c>
      <c r="N373" s="390">
        <f t="shared" si="357"/>
        <v>0</v>
      </c>
      <c r="O373" s="390">
        <f t="shared" si="358"/>
        <v>0</v>
      </c>
      <c r="P373" s="379"/>
      <c r="Q373" s="387">
        <f t="shared" si="359"/>
        <v>6289.38</v>
      </c>
      <c r="R373" s="388">
        <f>Bonus!Q368</f>
        <v>6289.38</v>
      </c>
      <c r="S373" s="388">
        <f>Bonus!S368</f>
        <v>0</v>
      </c>
      <c r="T373" s="388"/>
      <c r="U373" s="388">
        <f t="shared" si="360"/>
        <v>6289.38</v>
      </c>
      <c r="V373" s="388">
        <f>GAAP!Q368</f>
        <v>6289.38</v>
      </c>
      <c r="W373" s="388">
        <f>GAAP!S368</f>
        <v>0</v>
      </c>
      <c r="X373" s="388"/>
      <c r="Y373" s="389">
        <f t="shared" si="361"/>
        <v>0</v>
      </c>
      <c r="Z373" s="390">
        <f t="shared" si="362"/>
        <v>0</v>
      </c>
      <c r="AA373" s="391">
        <f t="shared" si="363"/>
        <v>0</v>
      </c>
      <c r="AC373" s="621">
        <f t="shared" si="353"/>
        <v>0</v>
      </c>
    </row>
    <row r="374" spans="1:29" ht="15" customHeight="1">
      <c r="A374" s="385">
        <f>Bonus!A369</f>
        <v>56.112299999999998</v>
      </c>
      <c r="B374" s="386" t="str">
        <f>Bonus!B369</f>
        <v>AIC - UC Davis  - Landfill Flare PLC &amp; SCADA Integration - UC Davis</v>
      </c>
      <c r="C374" s="468">
        <f>Bonus!G369</f>
        <v>1</v>
      </c>
      <c r="D374" s="468">
        <f>GAAP!G369</f>
        <v>1</v>
      </c>
      <c r="E374" s="387">
        <f>Bonus!I369</f>
        <v>3772.82</v>
      </c>
      <c r="F374" s="388">
        <f>Bonus!F369</f>
        <v>3772.82</v>
      </c>
      <c r="G374" s="388">
        <f t="shared" si="354"/>
        <v>0</v>
      </c>
      <c r="H374" s="388"/>
      <c r="I374" s="388">
        <f>GAAP!I369</f>
        <v>3772.82</v>
      </c>
      <c r="J374" s="388">
        <f>GAAP!F369</f>
        <v>3772.82</v>
      </c>
      <c r="K374" s="388">
        <f t="shared" si="355"/>
        <v>0</v>
      </c>
      <c r="L374" s="388"/>
      <c r="M374" s="389">
        <f t="shared" si="356"/>
        <v>0</v>
      </c>
      <c r="N374" s="390">
        <f t="shared" si="357"/>
        <v>0</v>
      </c>
      <c r="O374" s="390">
        <f t="shared" si="358"/>
        <v>0</v>
      </c>
      <c r="P374" s="379"/>
      <c r="Q374" s="387">
        <f t="shared" si="359"/>
        <v>3772.82</v>
      </c>
      <c r="R374" s="388">
        <f>Bonus!Q369</f>
        <v>3772.82</v>
      </c>
      <c r="S374" s="388">
        <f>Bonus!S369</f>
        <v>0</v>
      </c>
      <c r="T374" s="388"/>
      <c r="U374" s="388">
        <f t="shared" si="360"/>
        <v>3772.82</v>
      </c>
      <c r="V374" s="388">
        <f>GAAP!Q369</f>
        <v>3772.82</v>
      </c>
      <c r="W374" s="388">
        <f>GAAP!S369</f>
        <v>0</v>
      </c>
      <c r="X374" s="388"/>
      <c r="Y374" s="389">
        <f t="shared" si="361"/>
        <v>0</v>
      </c>
      <c r="Z374" s="390">
        <f t="shared" si="362"/>
        <v>0</v>
      </c>
      <c r="AA374" s="391">
        <f t="shared" si="363"/>
        <v>0</v>
      </c>
      <c r="AC374" s="621">
        <f t="shared" si="353"/>
        <v>0</v>
      </c>
    </row>
    <row r="375" spans="1:29" ht="15" customHeight="1">
      <c r="A375" s="385">
        <f>Bonus!A370</f>
        <v>56.112400000000001</v>
      </c>
      <c r="B375" s="386" t="str">
        <f>Bonus!B370</f>
        <v>AIC - Cupertino Electric Inc.- Eagle Rock Aggregrates Oakland Terminal - Port of</v>
      </c>
      <c r="C375" s="468">
        <f>Bonus!G370</f>
        <v>1</v>
      </c>
      <c r="D375" s="468">
        <f>GAAP!G370</f>
        <v>1</v>
      </c>
      <c r="E375" s="387">
        <f>Bonus!I370</f>
        <v>28950</v>
      </c>
      <c r="F375" s="388">
        <f>Bonus!F370</f>
        <v>28950</v>
      </c>
      <c r="G375" s="388">
        <f t="shared" si="354"/>
        <v>0</v>
      </c>
      <c r="H375" s="388"/>
      <c r="I375" s="388">
        <f>GAAP!I370</f>
        <v>28950</v>
      </c>
      <c r="J375" s="388">
        <f>GAAP!F370</f>
        <v>28950</v>
      </c>
      <c r="K375" s="388">
        <f t="shared" si="355"/>
        <v>0</v>
      </c>
      <c r="L375" s="388"/>
      <c r="M375" s="389">
        <f t="shared" si="356"/>
        <v>0</v>
      </c>
      <c r="N375" s="390">
        <f t="shared" si="357"/>
        <v>0</v>
      </c>
      <c r="O375" s="390">
        <f t="shared" si="358"/>
        <v>0</v>
      </c>
      <c r="P375" s="379"/>
      <c r="Q375" s="387">
        <f t="shared" si="359"/>
        <v>28950</v>
      </c>
      <c r="R375" s="388">
        <f>Bonus!Q370</f>
        <v>28950</v>
      </c>
      <c r="S375" s="388">
        <f>Bonus!S370</f>
        <v>0</v>
      </c>
      <c r="T375" s="388"/>
      <c r="U375" s="388">
        <f t="shared" si="360"/>
        <v>28950</v>
      </c>
      <c r="V375" s="388">
        <f>GAAP!Q370</f>
        <v>28950</v>
      </c>
      <c r="W375" s="388">
        <f>GAAP!S370</f>
        <v>0</v>
      </c>
      <c r="X375" s="388"/>
      <c r="Y375" s="389">
        <f t="shared" si="361"/>
        <v>0</v>
      </c>
      <c r="Z375" s="390">
        <f t="shared" si="362"/>
        <v>0</v>
      </c>
      <c r="AA375" s="391">
        <f t="shared" si="363"/>
        <v>0</v>
      </c>
      <c r="AC375" s="621">
        <f t="shared" si="353"/>
        <v>0</v>
      </c>
    </row>
    <row r="376" spans="1:29" ht="15" customHeight="1">
      <c r="A376" s="385">
        <f>Bonus!A371</f>
        <v>56.112499999999997</v>
      </c>
      <c r="B376" s="386" t="str">
        <f>Bonus!B371</f>
        <v>AIC - Fowler Electric Services Inc.  - Third Street Pump Station - San Rafael Sanitation</v>
      </c>
      <c r="C376" s="468">
        <f>Bonus!G371</f>
        <v>1</v>
      </c>
      <c r="D376" s="468">
        <f>GAAP!G371</f>
        <v>1</v>
      </c>
      <c r="E376" s="387">
        <f>Bonus!I371</f>
        <v>14229.38</v>
      </c>
      <c r="F376" s="388">
        <f>Bonus!F371</f>
        <v>14229.38</v>
      </c>
      <c r="G376" s="388">
        <f t="shared" si="354"/>
        <v>0</v>
      </c>
      <c r="H376" s="388"/>
      <c r="I376" s="388">
        <f>GAAP!I371</f>
        <v>14229.38</v>
      </c>
      <c r="J376" s="388">
        <f>GAAP!F371</f>
        <v>14229.38</v>
      </c>
      <c r="K376" s="388">
        <f t="shared" si="355"/>
        <v>0</v>
      </c>
      <c r="L376" s="388"/>
      <c r="M376" s="389">
        <f t="shared" si="356"/>
        <v>0</v>
      </c>
      <c r="N376" s="390">
        <f t="shared" si="357"/>
        <v>0</v>
      </c>
      <c r="O376" s="390">
        <f t="shared" si="358"/>
        <v>0</v>
      </c>
      <c r="P376" s="379"/>
      <c r="Q376" s="387">
        <f t="shared" si="359"/>
        <v>14229.38</v>
      </c>
      <c r="R376" s="388">
        <f>Bonus!Q371</f>
        <v>14229.38</v>
      </c>
      <c r="S376" s="388">
        <f>Bonus!S371</f>
        <v>0</v>
      </c>
      <c r="T376" s="388"/>
      <c r="U376" s="388">
        <f t="shared" si="360"/>
        <v>14229.38</v>
      </c>
      <c r="V376" s="388">
        <f>GAAP!Q371</f>
        <v>14229.38</v>
      </c>
      <c r="W376" s="388">
        <f>GAAP!S371</f>
        <v>0</v>
      </c>
      <c r="X376" s="388"/>
      <c r="Y376" s="389">
        <f t="shared" si="361"/>
        <v>0</v>
      </c>
      <c r="Z376" s="390">
        <f t="shared" si="362"/>
        <v>0</v>
      </c>
      <c r="AA376" s="391">
        <f t="shared" si="363"/>
        <v>0</v>
      </c>
      <c r="AC376" s="621">
        <f t="shared" si="353"/>
        <v>0</v>
      </c>
    </row>
    <row r="377" spans="1:29" ht="15" customHeight="1">
      <c r="A377" s="385">
        <f>Bonus!A372</f>
        <v>56.1126</v>
      </c>
      <c r="B377" s="386" t="str">
        <f>Bonus!B372</f>
        <v>AIC - Fowler Electric Services Inc.  - Parr Tank and Pipeline Project – North Gualala Wat</v>
      </c>
      <c r="C377" s="468">
        <f>Bonus!G372</f>
        <v>1</v>
      </c>
      <c r="D377" s="468">
        <f>GAAP!G372</f>
        <v>1</v>
      </c>
      <c r="E377" s="387">
        <f>Bonus!I372</f>
        <v>9526.8799999999992</v>
      </c>
      <c r="F377" s="388">
        <f>Bonus!F372</f>
        <v>9526.8799999999992</v>
      </c>
      <c r="G377" s="388">
        <f t="shared" si="354"/>
        <v>0</v>
      </c>
      <c r="H377" s="388"/>
      <c r="I377" s="388">
        <f>GAAP!I372</f>
        <v>9526.8799999999992</v>
      </c>
      <c r="J377" s="388">
        <f>GAAP!F372</f>
        <v>9526.8799999999992</v>
      </c>
      <c r="K377" s="388">
        <f t="shared" si="355"/>
        <v>0</v>
      </c>
      <c r="L377" s="388"/>
      <c r="M377" s="389">
        <f t="shared" si="356"/>
        <v>0</v>
      </c>
      <c r="N377" s="390">
        <f t="shared" si="357"/>
        <v>0</v>
      </c>
      <c r="O377" s="390">
        <f t="shared" si="358"/>
        <v>0</v>
      </c>
      <c r="P377" s="379"/>
      <c r="Q377" s="387">
        <f t="shared" si="359"/>
        <v>9526.8799999999992</v>
      </c>
      <c r="R377" s="388">
        <f>Bonus!Q372</f>
        <v>9526.8799999999992</v>
      </c>
      <c r="S377" s="388">
        <f>Bonus!S372</f>
        <v>0</v>
      </c>
      <c r="T377" s="388"/>
      <c r="U377" s="388">
        <f t="shared" si="360"/>
        <v>9526.8799999999992</v>
      </c>
      <c r="V377" s="388">
        <f>GAAP!Q372</f>
        <v>9526.8799999999992</v>
      </c>
      <c r="W377" s="388">
        <f>GAAP!S372</f>
        <v>0</v>
      </c>
      <c r="X377" s="388"/>
      <c r="Y377" s="389">
        <f t="shared" si="361"/>
        <v>0</v>
      </c>
      <c r="Z377" s="390">
        <f t="shared" si="362"/>
        <v>0</v>
      </c>
      <c r="AA377" s="391">
        <f t="shared" si="363"/>
        <v>0</v>
      </c>
      <c r="AC377" s="621">
        <f t="shared" si="353"/>
        <v>0</v>
      </c>
    </row>
    <row r="378" spans="1:29" ht="15" customHeight="1">
      <c r="A378" s="385">
        <f>Bonus!A373</f>
        <v>56.112699999999997</v>
      </c>
      <c r="B378" s="386" t="str">
        <f>Bonus!B373</f>
        <v>AIC - Auburn Constructors, LLC - Colfax Water Treatment Plant Replacement Project – Placer Co</v>
      </c>
      <c r="C378" s="468">
        <f>Bonus!G373</f>
        <v>1</v>
      </c>
      <c r="D378" s="468">
        <f>GAAP!G373</f>
        <v>1</v>
      </c>
      <c r="E378" s="387">
        <f>Bonus!I373</f>
        <v>6519.07</v>
      </c>
      <c r="F378" s="388">
        <f>Bonus!F373</f>
        <v>6519.07</v>
      </c>
      <c r="G378" s="388">
        <f t="shared" si="354"/>
        <v>0</v>
      </c>
      <c r="H378" s="388"/>
      <c r="I378" s="388">
        <f>GAAP!I373</f>
        <v>6519.07</v>
      </c>
      <c r="J378" s="388">
        <f>GAAP!F373</f>
        <v>6519.07</v>
      </c>
      <c r="K378" s="388">
        <f t="shared" si="355"/>
        <v>0</v>
      </c>
      <c r="L378" s="388"/>
      <c r="M378" s="389">
        <f t="shared" si="356"/>
        <v>0</v>
      </c>
      <c r="N378" s="390">
        <f t="shared" si="357"/>
        <v>0</v>
      </c>
      <c r="O378" s="390">
        <f t="shared" si="358"/>
        <v>0</v>
      </c>
      <c r="P378" s="379"/>
      <c r="Q378" s="387">
        <f t="shared" si="359"/>
        <v>6519.07</v>
      </c>
      <c r="R378" s="388">
        <f>Bonus!Q373</f>
        <v>6519.07</v>
      </c>
      <c r="S378" s="388">
        <f>Bonus!S373</f>
        <v>0</v>
      </c>
      <c r="T378" s="388"/>
      <c r="U378" s="388">
        <f t="shared" si="360"/>
        <v>6519.07</v>
      </c>
      <c r="V378" s="388">
        <f>GAAP!Q373</f>
        <v>6519.07</v>
      </c>
      <c r="W378" s="388">
        <f>GAAP!S373</f>
        <v>0</v>
      </c>
      <c r="X378" s="388"/>
      <c r="Y378" s="389">
        <f t="shared" si="361"/>
        <v>0</v>
      </c>
      <c r="Z378" s="390">
        <f t="shared" si="362"/>
        <v>0</v>
      </c>
      <c r="AA378" s="391">
        <f t="shared" si="363"/>
        <v>0</v>
      </c>
      <c r="AC378" s="621">
        <f t="shared" si="353"/>
        <v>0</v>
      </c>
    </row>
    <row r="379" spans="1:29" ht="15" customHeight="1">
      <c r="A379" s="385">
        <f>Bonus!A374</f>
        <v>56.1128</v>
      </c>
      <c r="B379" s="386" t="str">
        <f>Bonus!B374</f>
        <v>AIC - Con J. Franke Electric Inc. - San Joaquin Pipeline Valve and Safe Entry Improvements Phase</v>
      </c>
      <c r="C379" s="468">
        <f>Bonus!G374</f>
        <v>1</v>
      </c>
      <c r="D379" s="468">
        <f>GAAP!G374</f>
        <v>1</v>
      </c>
      <c r="E379" s="387">
        <f>Bonus!I374</f>
        <v>4793.13</v>
      </c>
      <c r="F379" s="388">
        <f>Bonus!F374</f>
        <v>4793.13</v>
      </c>
      <c r="G379" s="388">
        <f t="shared" si="354"/>
        <v>0</v>
      </c>
      <c r="H379" s="388"/>
      <c r="I379" s="388">
        <f>GAAP!I374</f>
        <v>4793.13</v>
      </c>
      <c r="J379" s="388">
        <f>GAAP!F374</f>
        <v>4793.13</v>
      </c>
      <c r="K379" s="388">
        <f t="shared" si="355"/>
        <v>0</v>
      </c>
      <c r="L379" s="388"/>
      <c r="M379" s="389">
        <f t="shared" si="356"/>
        <v>0</v>
      </c>
      <c r="N379" s="390">
        <f t="shared" si="357"/>
        <v>0</v>
      </c>
      <c r="O379" s="390">
        <f t="shared" si="358"/>
        <v>0</v>
      </c>
      <c r="P379" s="379"/>
      <c r="Q379" s="387">
        <f t="shared" si="359"/>
        <v>4793.13</v>
      </c>
      <c r="R379" s="388">
        <f>Bonus!Q374</f>
        <v>4793.13</v>
      </c>
      <c r="S379" s="388">
        <f>Bonus!S374</f>
        <v>0</v>
      </c>
      <c r="T379" s="388"/>
      <c r="U379" s="388">
        <f t="shared" si="360"/>
        <v>4793.13</v>
      </c>
      <c r="V379" s="388">
        <f>GAAP!Q374</f>
        <v>4793.13</v>
      </c>
      <c r="W379" s="388">
        <f>GAAP!S374</f>
        <v>0</v>
      </c>
      <c r="X379" s="388"/>
      <c r="Y379" s="389">
        <f t="shared" si="361"/>
        <v>0</v>
      </c>
      <c r="Z379" s="390">
        <f t="shared" si="362"/>
        <v>0</v>
      </c>
      <c r="AA379" s="391">
        <f t="shared" si="363"/>
        <v>0</v>
      </c>
      <c r="AC379" s="621">
        <f t="shared" si="353"/>
        <v>0</v>
      </c>
    </row>
    <row r="380" spans="1:29" ht="15" customHeight="1">
      <c r="A380" s="385">
        <f>Bonus!A375</f>
        <v>56.112900000000003</v>
      </c>
      <c r="B380" s="386" t="str">
        <f>Bonus!B375</f>
        <v>AIC - RMCSD - VEEAM SFTWR</v>
      </c>
      <c r="C380" s="468">
        <f>Bonus!G375</f>
        <v>1</v>
      </c>
      <c r="D380" s="468">
        <f>GAAP!G375</f>
        <v>1</v>
      </c>
      <c r="E380" s="387">
        <f>Bonus!I375</f>
        <v>133.75</v>
      </c>
      <c r="F380" s="388">
        <f>Bonus!F375</f>
        <v>133.75</v>
      </c>
      <c r="G380" s="388">
        <f t="shared" si="354"/>
        <v>0</v>
      </c>
      <c r="H380" s="388"/>
      <c r="I380" s="388">
        <f>GAAP!I375</f>
        <v>133.75</v>
      </c>
      <c r="J380" s="388">
        <f>GAAP!F375</f>
        <v>133.75</v>
      </c>
      <c r="K380" s="388">
        <f t="shared" si="355"/>
        <v>0</v>
      </c>
      <c r="L380" s="388"/>
      <c r="M380" s="389">
        <f t="shared" si="356"/>
        <v>0</v>
      </c>
      <c r="N380" s="390">
        <f t="shared" si="357"/>
        <v>0</v>
      </c>
      <c r="O380" s="390">
        <f t="shared" si="358"/>
        <v>0</v>
      </c>
      <c r="P380" s="379"/>
      <c r="Q380" s="387">
        <f t="shared" si="359"/>
        <v>133.75</v>
      </c>
      <c r="R380" s="388">
        <f>Bonus!Q375</f>
        <v>133.75</v>
      </c>
      <c r="S380" s="388">
        <f>Bonus!S375</f>
        <v>0</v>
      </c>
      <c r="T380" s="388"/>
      <c r="U380" s="388">
        <f t="shared" si="360"/>
        <v>133.75</v>
      </c>
      <c r="V380" s="388">
        <f>GAAP!Q375</f>
        <v>133.75</v>
      </c>
      <c r="W380" s="388">
        <f>GAAP!S375</f>
        <v>0</v>
      </c>
      <c r="X380" s="388"/>
      <c r="Y380" s="389">
        <f t="shared" si="361"/>
        <v>0</v>
      </c>
      <c r="Z380" s="390">
        <f t="shared" si="362"/>
        <v>0</v>
      </c>
      <c r="AA380" s="391">
        <f t="shared" si="363"/>
        <v>0</v>
      </c>
      <c r="AC380" s="621">
        <f t="shared" si="353"/>
        <v>0</v>
      </c>
    </row>
    <row r="381" spans="1:29" ht="15" customHeight="1">
      <c r="A381" s="385">
        <f>Bonus!A376</f>
        <v>56.113</v>
      </c>
      <c r="B381" s="386" t="str">
        <f>Bonus!B376</f>
        <v>System Integration Division Estimating 2025</v>
      </c>
      <c r="C381" s="468">
        <f>Bonus!G376</f>
        <v>1</v>
      </c>
      <c r="D381" s="468">
        <f>GAAP!G376</f>
        <v>1</v>
      </c>
      <c r="E381" s="387">
        <f>Bonus!I376</f>
        <v>0</v>
      </c>
      <c r="F381" s="388">
        <f>Bonus!F376</f>
        <v>267.5</v>
      </c>
      <c r="G381" s="388">
        <f t="shared" si="354"/>
        <v>-267.5</v>
      </c>
      <c r="H381" s="388"/>
      <c r="I381" s="388">
        <f>GAAP!I376</f>
        <v>0</v>
      </c>
      <c r="J381" s="388">
        <f>GAAP!F376</f>
        <v>267.5</v>
      </c>
      <c r="K381" s="388">
        <f t="shared" si="355"/>
        <v>-267.5</v>
      </c>
      <c r="L381" s="388"/>
      <c r="M381" s="389">
        <f t="shared" si="356"/>
        <v>0</v>
      </c>
      <c r="N381" s="390">
        <f t="shared" si="357"/>
        <v>0</v>
      </c>
      <c r="O381" s="390">
        <f t="shared" si="358"/>
        <v>0</v>
      </c>
      <c r="P381" s="379"/>
      <c r="Q381" s="387">
        <f t="shared" si="359"/>
        <v>0</v>
      </c>
      <c r="R381" s="388">
        <f>Bonus!Q376</f>
        <v>267.5</v>
      </c>
      <c r="S381" s="388">
        <f>Bonus!S376</f>
        <v>-267.5</v>
      </c>
      <c r="T381" s="388"/>
      <c r="U381" s="388">
        <f t="shared" si="360"/>
        <v>0</v>
      </c>
      <c r="V381" s="388">
        <f>GAAP!Q376</f>
        <v>267.5</v>
      </c>
      <c r="W381" s="388">
        <f>GAAP!S376</f>
        <v>-267.5</v>
      </c>
      <c r="X381" s="388"/>
      <c r="Y381" s="389">
        <f t="shared" si="361"/>
        <v>0</v>
      </c>
      <c r="Z381" s="390">
        <f t="shared" si="362"/>
        <v>0</v>
      </c>
      <c r="AA381" s="391">
        <f t="shared" si="363"/>
        <v>0</v>
      </c>
      <c r="AC381" s="621">
        <f t="shared" si="353"/>
        <v>0</v>
      </c>
    </row>
    <row r="382" spans="1:29" ht="15" customHeight="1">
      <c r="A382" s="385">
        <f>Bonus!A377</f>
        <v>56.113100000000003</v>
      </c>
      <c r="B382" s="386" t="str">
        <f>Bonus!B377</f>
        <v>AIC - North Star Construction - Sweeney Ranch Pump Station Pumps &amp; Temp Electrical – Sacrame</v>
      </c>
      <c r="C382" s="468">
        <f>Bonus!G377</f>
        <v>1</v>
      </c>
      <c r="D382" s="468">
        <f>GAAP!G377</f>
        <v>1</v>
      </c>
      <c r="E382" s="387">
        <f>Bonus!I377</f>
        <v>2388.75</v>
      </c>
      <c r="F382" s="388">
        <f>Bonus!F377</f>
        <v>2388.75</v>
      </c>
      <c r="G382" s="388">
        <f t="shared" si="354"/>
        <v>0</v>
      </c>
      <c r="H382" s="388"/>
      <c r="I382" s="388">
        <f>GAAP!I377</f>
        <v>2388.75</v>
      </c>
      <c r="J382" s="388">
        <f>GAAP!F377</f>
        <v>2388.75</v>
      </c>
      <c r="K382" s="388">
        <f t="shared" si="355"/>
        <v>0</v>
      </c>
      <c r="L382" s="388"/>
      <c r="M382" s="389">
        <f t="shared" si="356"/>
        <v>0</v>
      </c>
      <c r="N382" s="390">
        <f t="shared" si="357"/>
        <v>0</v>
      </c>
      <c r="O382" s="390">
        <f t="shared" si="358"/>
        <v>0</v>
      </c>
      <c r="P382" s="379"/>
      <c r="Q382" s="387">
        <f t="shared" si="359"/>
        <v>2388.75</v>
      </c>
      <c r="R382" s="388">
        <f>Bonus!Q377</f>
        <v>2388.75</v>
      </c>
      <c r="S382" s="388">
        <f>Bonus!S377</f>
        <v>0</v>
      </c>
      <c r="T382" s="388"/>
      <c r="U382" s="388">
        <f t="shared" si="360"/>
        <v>2388.75</v>
      </c>
      <c r="V382" s="388">
        <f>GAAP!Q377</f>
        <v>2388.75</v>
      </c>
      <c r="W382" s="388">
        <f>GAAP!S377</f>
        <v>0</v>
      </c>
      <c r="X382" s="388"/>
      <c r="Y382" s="389">
        <f t="shared" si="361"/>
        <v>0</v>
      </c>
      <c r="Z382" s="390">
        <f t="shared" si="362"/>
        <v>0</v>
      </c>
      <c r="AA382" s="391">
        <f t="shared" si="363"/>
        <v>0</v>
      </c>
      <c r="AC382" s="621">
        <f t="shared" si="353"/>
        <v>0</v>
      </c>
    </row>
    <row r="383" spans="1:29" ht="15" customHeight="1">
      <c r="A383" s="385">
        <f>Bonus!A378</f>
        <v>56.113199999999999</v>
      </c>
      <c r="B383" s="386" t="str">
        <f>Bonus!B378</f>
        <v xml:space="preserve">AIC - UC Davis  - CABA Well Pump Station Rehabilitation – UC Davis </v>
      </c>
      <c r="C383" s="468">
        <f>Bonus!G378</f>
        <v>1</v>
      </c>
      <c r="D383" s="468">
        <f>GAAP!G378</f>
        <v>1</v>
      </c>
      <c r="E383" s="387">
        <f>Bonus!I378</f>
        <v>585</v>
      </c>
      <c r="F383" s="388">
        <f>Bonus!F378</f>
        <v>585</v>
      </c>
      <c r="G383" s="388">
        <f t="shared" si="354"/>
        <v>0</v>
      </c>
      <c r="H383" s="388"/>
      <c r="I383" s="388">
        <f>GAAP!I378</f>
        <v>585</v>
      </c>
      <c r="J383" s="388">
        <f>GAAP!F378</f>
        <v>585</v>
      </c>
      <c r="K383" s="388">
        <f t="shared" si="355"/>
        <v>0</v>
      </c>
      <c r="L383" s="388"/>
      <c r="M383" s="389">
        <f t="shared" si="356"/>
        <v>0</v>
      </c>
      <c r="N383" s="390">
        <f t="shared" si="357"/>
        <v>0</v>
      </c>
      <c r="O383" s="390">
        <f t="shared" si="358"/>
        <v>0</v>
      </c>
      <c r="P383" s="379"/>
      <c r="Q383" s="387">
        <f t="shared" si="359"/>
        <v>585</v>
      </c>
      <c r="R383" s="388">
        <f>Bonus!Q378</f>
        <v>585</v>
      </c>
      <c r="S383" s="388">
        <f>Bonus!S378</f>
        <v>0</v>
      </c>
      <c r="T383" s="388"/>
      <c r="U383" s="388">
        <f t="shared" si="360"/>
        <v>585</v>
      </c>
      <c r="V383" s="388">
        <f>GAAP!Q378</f>
        <v>585</v>
      </c>
      <c r="W383" s="388">
        <f>GAAP!S378</f>
        <v>0</v>
      </c>
      <c r="X383" s="388"/>
      <c r="Y383" s="389">
        <f t="shared" si="361"/>
        <v>0</v>
      </c>
      <c r="Z383" s="390">
        <f t="shared" si="362"/>
        <v>0</v>
      </c>
      <c r="AA383" s="391">
        <f t="shared" si="363"/>
        <v>0</v>
      </c>
      <c r="AC383" s="621">
        <f t="shared" si="353"/>
        <v>0</v>
      </c>
    </row>
    <row r="384" spans="1:29" ht="15" customHeight="1">
      <c r="A384" s="385">
        <f>Bonus!A379</f>
        <v>56.113300000000002</v>
      </c>
      <c r="B384" s="386" t="str">
        <f>Bonus!B379</f>
        <v>AIC - UC Davis  - CABA Ag Pump Station Rehabilitation – UC Davis</v>
      </c>
      <c r="C384" s="468">
        <f>Bonus!G379</f>
        <v>1</v>
      </c>
      <c r="D384" s="468">
        <f>GAAP!G379</f>
        <v>1</v>
      </c>
      <c r="E384" s="387">
        <f>Bonus!I379</f>
        <v>2827.5</v>
      </c>
      <c r="F384" s="388">
        <f>Bonus!F379</f>
        <v>2827.5</v>
      </c>
      <c r="G384" s="388">
        <f t="shared" si="354"/>
        <v>0</v>
      </c>
      <c r="H384" s="388"/>
      <c r="I384" s="388">
        <f>GAAP!I379</f>
        <v>2827.5</v>
      </c>
      <c r="J384" s="388">
        <f>GAAP!F379</f>
        <v>2827.5</v>
      </c>
      <c r="K384" s="388">
        <f t="shared" si="355"/>
        <v>0</v>
      </c>
      <c r="L384" s="388"/>
      <c r="M384" s="389">
        <f t="shared" si="356"/>
        <v>0</v>
      </c>
      <c r="N384" s="390">
        <f t="shared" si="357"/>
        <v>0</v>
      </c>
      <c r="O384" s="390">
        <f t="shared" si="358"/>
        <v>0</v>
      </c>
      <c r="P384" s="379"/>
      <c r="Q384" s="387">
        <f t="shared" si="359"/>
        <v>2827.5</v>
      </c>
      <c r="R384" s="388">
        <f>Bonus!Q379</f>
        <v>2827.5</v>
      </c>
      <c r="S384" s="388">
        <f>Bonus!S379</f>
        <v>0</v>
      </c>
      <c r="T384" s="388"/>
      <c r="U384" s="388">
        <f t="shared" si="360"/>
        <v>2827.5</v>
      </c>
      <c r="V384" s="388">
        <f>GAAP!Q379</f>
        <v>2827.5</v>
      </c>
      <c r="W384" s="388">
        <f>GAAP!S379</f>
        <v>0</v>
      </c>
      <c r="X384" s="388"/>
      <c r="Y384" s="389">
        <f t="shared" si="361"/>
        <v>0</v>
      </c>
      <c r="Z384" s="390">
        <f t="shared" si="362"/>
        <v>0</v>
      </c>
      <c r="AA384" s="391">
        <f t="shared" si="363"/>
        <v>0</v>
      </c>
      <c r="AC384" s="621">
        <f t="shared" si="353"/>
        <v>0</v>
      </c>
    </row>
    <row r="385" spans="1:29" ht="15" customHeight="1">
      <c r="A385" s="385">
        <f>Bonus!A380</f>
        <v>56.113399999999999</v>
      </c>
      <c r="B385" s="386" t="str">
        <f>Bonus!B380</f>
        <v>AIC - Cupertino Electric Inc. - Headworks (Cupertino Troubleshooting Project) - San Francisc</v>
      </c>
      <c r="C385" s="468">
        <f>Bonus!G380</f>
        <v>1</v>
      </c>
      <c r="D385" s="468">
        <f>GAAP!G380</f>
        <v>1</v>
      </c>
      <c r="E385" s="387">
        <f>Bonus!I380</f>
        <v>965.51</v>
      </c>
      <c r="F385" s="388">
        <f>Bonus!F380</f>
        <v>965.51</v>
      </c>
      <c r="G385" s="388">
        <f t="shared" si="354"/>
        <v>0</v>
      </c>
      <c r="H385" s="388"/>
      <c r="I385" s="388">
        <f>GAAP!I380</f>
        <v>965.51</v>
      </c>
      <c r="J385" s="388">
        <f>GAAP!F380</f>
        <v>965.51</v>
      </c>
      <c r="K385" s="388">
        <f t="shared" si="355"/>
        <v>0</v>
      </c>
      <c r="L385" s="388"/>
      <c r="M385" s="389">
        <f t="shared" si="356"/>
        <v>0</v>
      </c>
      <c r="N385" s="390">
        <f t="shared" si="357"/>
        <v>0</v>
      </c>
      <c r="O385" s="390">
        <f t="shared" si="358"/>
        <v>0</v>
      </c>
      <c r="P385" s="379"/>
      <c r="Q385" s="387">
        <f t="shared" si="359"/>
        <v>965.51</v>
      </c>
      <c r="R385" s="388">
        <f>Bonus!Q380</f>
        <v>965.51</v>
      </c>
      <c r="S385" s="388">
        <f>Bonus!S380</f>
        <v>0</v>
      </c>
      <c r="T385" s="388"/>
      <c r="U385" s="388">
        <f t="shared" si="360"/>
        <v>965.51</v>
      </c>
      <c r="V385" s="388">
        <f>GAAP!Q380</f>
        <v>965.51</v>
      </c>
      <c r="W385" s="388">
        <f>GAAP!S380</f>
        <v>0</v>
      </c>
      <c r="X385" s="388"/>
      <c r="Y385" s="389">
        <f t="shared" si="361"/>
        <v>0</v>
      </c>
      <c r="Z385" s="390">
        <f t="shared" si="362"/>
        <v>0</v>
      </c>
      <c r="AA385" s="391">
        <f t="shared" si="363"/>
        <v>0</v>
      </c>
      <c r="AC385" s="621">
        <f t="shared" si="353"/>
        <v>0</v>
      </c>
    </row>
    <row r="386" spans="1:29" ht="15" customHeight="1">
      <c r="A386" s="385">
        <f>Bonus!A381</f>
        <v>56.113500000000002</v>
      </c>
      <c r="B386" s="386" t="str">
        <f>Bonus!B381</f>
        <v xml:space="preserve">AIC - San Joaquin Electric - Lurline Check and Siphon Replacement Project - Glenn-Colusa </v>
      </c>
      <c r="C386" s="468">
        <f>Bonus!G381</f>
        <v>1</v>
      </c>
      <c r="D386" s="468">
        <f>GAAP!G381</f>
        <v>1</v>
      </c>
      <c r="E386" s="387">
        <f>Bonus!I381</f>
        <v>112.5</v>
      </c>
      <c r="F386" s="388">
        <f>Bonus!F381</f>
        <v>112.5</v>
      </c>
      <c r="G386" s="388">
        <f t="shared" si="354"/>
        <v>0</v>
      </c>
      <c r="H386" s="388"/>
      <c r="I386" s="388">
        <f>GAAP!I381</f>
        <v>112.5</v>
      </c>
      <c r="J386" s="388">
        <f>GAAP!F381</f>
        <v>112.5</v>
      </c>
      <c r="K386" s="388">
        <f t="shared" si="355"/>
        <v>0</v>
      </c>
      <c r="L386" s="388"/>
      <c r="M386" s="389">
        <f t="shared" si="356"/>
        <v>0</v>
      </c>
      <c r="N386" s="390">
        <f t="shared" si="357"/>
        <v>0</v>
      </c>
      <c r="O386" s="390">
        <f t="shared" si="358"/>
        <v>0</v>
      </c>
      <c r="P386" s="379"/>
      <c r="Q386" s="387">
        <f t="shared" si="359"/>
        <v>112.5</v>
      </c>
      <c r="R386" s="388">
        <f>Bonus!Q381</f>
        <v>112.5</v>
      </c>
      <c r="S386" s="388">
        <f>Bonus!S381</f>
        <v>0</v>
      </c>
      <c r="T386" s="388"/>
      <c r="U386" s="388">
        <f t="shared" si="360"/>
        <v>112.5</v>
      </c>
      <c r="V386" s="388">
        <f>GAAP!Q381</f>
        <v>112.5</v>
      </c>
      <c r="W386" s="388">
        <f>GAAP!S381</f>
        <v>0</v>
      </c>
      <c r="X386" s="388"/>
      <c r="Y386" s="389">
        <f t="shared" si="361"/>
        <v>0</v>
      </c>
      <c r="Z386" s="390">
        <f t="shared" si="362"/>
        <v>0</v>
      </c>
      <c r="AA386" s="391">
        <f t="shared" si="363"/>
        <v>0</v>
      </c>
      <c r="AC386" s="621">
        <f t="shared" si="353"/>
        <v>0</v>
      </c>
    </row>
    <row r="387" spans="1:29" ht="15" customHeight="1">
      <c r="A387" s="385">
        <f>Bonus!A382</f>
        <v>56.114100000000001</v>
      </c>
      <c r="B387" s="386" t="str">
        <f>Bonus!B382</f>
        <v>AIC - Blocka Construction Inc. - Glenview Reservoir Recoating and Tank Improvements - San Jos</v>
      </c>
      <c r="C387" s="468">
        <f>Bonus!G382</f>
        <v>1</v>
      </c>
      <c r="D387" s="468">
        <f>GAAP!G382</f>
        <v>1</v>
      </c>
      <c r="E387" s="387">
        <f>Bonus!I382</f>
        <v>2827.5</v>
      </c>
      <c r="F387" s="388">
        <f>Bonus!F382</f>
        <v>2827.5</v>
      </c>
      <c r="G387" s="388">
        <f t="shared" si="354"/>
        <v>0</v>
      </c>
      <c r="H387" s="388"/>
      <c r="I387" s="388">
        <f>GAAP!I382</f>
        <v>2827.5</v>
      </c>
      <c r="J387" s="388">
        <f>GAAP!F382</f>
        <v>2827.5</v>
      </c>
      <c r="K387" s="388">
        <f t="shared" si="355"/>
        <v>0</v>
      </c>
      <c r="L387" s="388"/>
      <c r="M387" s="389">
        <f t="shared" si="356"/>
        <v>0</v>
      </c>
      <c r="N387" s="390">
        <f t="shared" si="357"/>
        <v>0</v>
      </c>
      <c r="O387" s="390">
        <f t="shared" si="358"/>
        <v>0</v>
      </c>
      <c r="P387" s="379"/>
      <c r="Q387" s="387">
        <f t="shared" si="359"/>
        <v>2827.5</v>
      </c>
      <c r="R387" s="388">
        <f>Bonus!Q382</f>
        <v>2827.5</v>
      </c>
      <c r="S387" s="388">
        <f>Bonus!S382</f>
        <v>0</v>
      </c>
      <c r="T387" s="388"/>
      <c r="U387" s="388">
        <f t="shared" si="360"/>
        <v>2827.5</v>
      </c>
      <c r="V387" s="388">
        <f>GAAP!Q382</f>
        <v>2827.5</v>
      </c>
      <c r="W387" s="388">
        <f>GAAP!S382</f>
        <v>0</v>
      </c>
      <c r="X387" s="388"/>
      <c r="Y387" s="389">
        <f t="shared" si="361"/>
        <v>0</v>
      </c>
      <c r="Z387" s="390">
        <f t="shared" si="362"/>
        <v>0</v>
      </c>
      <c r="AA387" s="391">
        <f t="shared" si="363"/>
        <v>0</v>
      </c>
      <c r="AC387" s="621">
        <f t="shared" si="353"/>
        <v>0</v>
      </c>
    </row>
    <row r="388" spans="1:29" ht="15" hidden="1" customHeight="1">
      <c r="A388" s="329"/>
      <c r="C388" s="477"/>
      <c r="D388" s="477"/>
      <c r="E388" s="370"/>
      <c r="F388" s="371"/>
      <c r="G388" s="371"/>
      <c r="H388" s="371"/>
      <c r="I388" s="371"/>
      <c r="J388" s="371"/>
      <c r="K388" s="371"/>
      <c r="L388" s="371"/>
      <c r="M388" s="395"/>
      <c r="N388" s="256"/>
      <c r="O388" s="256"/>
      <c r="P388" s="380"/>
      <c r="Q388" s="256"/>
      <c r="R388" s="256"/>
      <c r="S388" s="371"/>
      <c r="T388" s="256"/>
      <c r="U388" s="256"/>
      <c r="V388" s="256"/>
      <c r="W388" s="371"/>
      <c r="X388" s="256"/>
      <c r="Y388" s="395"/>
      <c r="Z388" s="256"/>
      <c r="AA388" s="447"/>
      <c r="AC388" s="380">
        <f t="shared" si="353"/>
        <v>0</v>
      </c>
    </row>
    <row r="389" spans="1:29" ht="15" customHeight="1">
      <c r="A389" s="330" t="s">
        <v>393</v>
      </c>
      <c r="E389" s="372">
        <f>SUM(E325:E388)</f>
        <v>4511779.6499999976</v>
      </c>
      <c r="F389" s="256">
        <f>SUM(F325:F388)</f>
        <v>7995768.9399999985</v>
      </c>
      <c r="G389" s="256">
        <f>SUM(G325:G388)</f>
        <v>-3483989.29</v>
      </c>
      <c r="H389" s="256"/>
      <c r="I389" s="256">
        <f>SUM(I325:I388)</f>
        <v>4511779.6499999976</v>
      </c>
      <c r="J389" s="256">
        <f>SUM(J325:J388)</f>
        <v>7995768.9399999985</v>
      </c>
      <c r="K389" s="256">
        <f>SUM(K325:K388)</f>
        <v>-3483989.29</v>
      </c>
      <c r="L389" s="256"/>
      <c r="M389" s="395">
        <f>SUM(M325:M388)</f>
        <v>0</v>
      </c>
      <c r="N389" s="256">
        <f>SUM(N325:N388)</f>
        <v>0</v>
      </c>
      <c r="O389" s="256">
        <f>SUM(O325:O388)</f>
        <v>0</v>
      </c>
      <c r="P389" s="380"/>
      <c r="Q389" s="256">
        <f>SUM(Q325:Q388)</f>
        <v>3047886.8923507924</v>
      </c>
      <c r="R389" s="256">
        <f>SUM(R325:R388)</f>
        <v>6867182.6099999985</v>
      </c>
      <c r="S389" s="256">
        <f>SUM(S325:S388)</f>
        <v>-3819295.7176492056</v>
      </c>
      <c r="T389" s="256"/>
      <c r="U389" s="256">
        <f>SUM(U325:U388)</f>
        <v>3000519.1427177875</v>
      </c>
      <c r="V389" s="256">
        <f>SUM(V325:V388)</f>
        <v>6867182.6099999985</v>
      </c>
      <c r="W389" s="256">
        <f>SUM(W325:W388)</f>
        <v>-3866663.4672822109</v>
      </c>
      <c r="X389" s="256"/>
      <c r="Y389" s="395">
        <f>SUM(Y325:Y388)</f>
        <v>47367.749633005202</v>
      </c>
      <c r="Z389" s="396">
        <f>SUM(Z325:Z388)</f>
        <v>0</v>
      </c>
      <c r="AA389" s="447">
        <f>SUM(AA325:AA388)</f>
        <v>47367.749633005238</v>
      </c>
      <c r="AC389" s="380">
        <f t="shared" ref="AC389:AC418" si="374">O389-AA389</f>
        <v>-47367.749633005238</v>
      </c>
    </row>
    <row r="390" spans="1:29" ht="15" customHeight="1">
      <c r="A390" s="330" t="s">
        <v>249</v>
      </c>
      <c r="B390" s="240"/>
      <c r="C390" s="240"/>
      <c r="D390" s="240"/>
      <c r="E390" s="372">
        <f>E322+E389</f>
        <v>12078500.351579178</v>
      </c>
      <c r="F390" s="256">
        <f>F322+F389</f>
        <v>14455117.849999998</v>
      </c>
      <c r="G390" s="256">
        <f>G322+G389</f>
        <v>-2376617.4984208201</v>
      </c>
      <c r="H390" s="256"/>
      <c r="I390" s="256">
        <f>I322+I389</f>
        <v>12077619.069641285</v>
      </c>
      <c r="J390" s="256">
        <f>J322+J389</f>
        <v>14455117.849999998</v>
      </c>
      <c r="K390" s="256">
        <f>K322+K389</f>
        <v>-2377498.7803587131</v>
      </c>
      <c r="L390" s="256"/>
      <c r="M390" s="372">
        <f>M322+M389</f>
        <v>881.28193789310171</v>
      </c>
      <c r="N390" s="256">
        <f>N322+N389</f>
        <v>0</v>
      </c>
      <c r="O390" s="256">
        <f>O322+O389</f>
        <v>881.28193789310171</v>
      </c>
      <c r="P390" s="380"/>
      <c r="Q390" s="256">
        <f>Q322+Q389</f>
        <v>9364281.3803019412</v>
      </c>
      <c r="R390" s="256">
        <f>R322+R389</f>
        <v>12323832.989999998</v>
      </c>
      <c r="S390" s="256">
        <f>S322+S389</f>
        <v>-2959551.6096980572</v>
      </c>
      <c r="T390" s="256"/>
      <c r="U390" s="256">
        <f>U322+U389</f>
        <v>9221003.2238251828</v>
      </c>
      <c r="V390" s="256">
        <f>V322+V389</f>
        <v>12323832.989999998</v>
      </c>
      <c r="W390" s="256">
        <f>W322+W389</f>
        <v>-3102829.7661748175</v>
      </c>
      <c r="X390" s="256"/>
      <c r="Y390" s="372">
        <f>Y322+Y389</f>
        <v>143278.15647675999</v>
      </c>
      <c r="Z390" s="256">
        <f>Z322+Z389</f>
        <v>0</v>
      </c>
      <c r="AA390" s="373">
        <f>AA322+AA389</f>
        <v>143278.15647676002</v>
      </c>
      <c r="AC390" s="380">
        <f t="shared" si="374"/>
        <v>-142396.87453886692</v>
      </c>
    </row>
    <row r="391" spans="1:29" ht="15" customHeight="1">
      <c r="A391" s="330"/>
      <c r="B391" s="240"/>
      <c r="C391" s="240"/>
      <c r="D391" s="240"/>
      <c r="E391" s="372"/>
      <c r="F391" s="256"/>
      <c r="G391" s="256"/>
      <c r="H391" s="256"/>
      <c r="I391" s="256"/>
      <c r="J391" s="256"/>
      <c r="K391" s="256"/>
      <c r="L391" s="256"/>
      <c r="M391" s="372"/>
      <c r="N391" s="256"/>
      <c r="O391" s="256"/>
      <c r="P391" s="380"/>
      <c r="Q391" s="256"/>
      <c r="R391" s="256"/>
      <c r="S391" s="256"/>
      <c r="T391" s="256"/>
      <c r="U391" s="256"/>
      <c r="V391" s="256"/>
      <c r="W391" s="256"/>
      <c r="X391" s="256"/>
      <c r="Y391" s="372"/>
      <c r="Z391" s="256"/>
      <c r="AA391" s="373"/>
      <c r="AC391" s="380"/>
    </row>
    <row r="392" spans="1:29" s="240" customFormat="1" ht="15" customHeight="1">
      <c r="A392" s="330" t="s">
        <v>106</v>
      </c>
      <c r="B392" s="235"/>
      <c r="C392" s="235"/>
      <c r="D392" s="235"/>
      <c r="E392" s="370"/>
      <c r="F392" s="371"/>
      <c r="G392" s="371"/>
      <c r="H392" s="371"/>
      <c r="I392" s="371"/>
      <c r="J392" s="371"/>
      <c r="K392" s="371"/>
      <c r="L392" s="371"/>
      <c r="M392" s="372"/>
      <c r="N392" s="256"/>
      <c r="O392" s="256"/>
      <c r="P392" s="379"/>
      <c r="Q392" s="371"/>
      <c r="R392" s="371"/>
      <c r="S392" s="371"/>
      <c r="T392" s="371"/>
      <c r="U392" s="371"/>
      <c r="V392" s="371"/>
      <c r="W392" s="371"/>
      <c r="X392" s="371"/>
      <c r="Y392" s="372"/>
      <c r="Z392" s="256"/>
      <c r="AA392" s="373"/>
      <c r="AC392" s="380"/>
    </row>
    <row r="393" spans="1:29" s="240" customFormat="1" ht="15" customHeight="1">
      <c r="A393" s="385">
        <f>Bonus!A388</f>
        <v>50.054099999999998</v>
      </c>
      <c r="B393" s="386" t="str">
        <f>Bonus!B388</f>
        <v>W.M. Lyles Co. - General Overhead</v>
      </c>
      <c r="C393" s="468">
        <f>Bonus!G388</f>
        <v>1</v>
      </c>
      <c r="D393" s="468">
        <f>GAAP!G388</f>
        <v>1</v>
      </c>
      <c r="E393" s="387">
        <f>Bonus!I388</f>
        <v>0</v>
      </c>
      <c r="F393" s="388">
        <f>Bonus!F388</f>
        <v>3642039.89</v>
      </c>
      <c r="G393" s="388">
        <f>E393-F393</f>
        <v>-3642039.89</v>
      </c>
      <c r="H393" s="388"/>
      <c r="I393" s="388">
        <f>GAAP!I388</f>
        <v>0</v>
      </c>
      <c r="J393" s="388">
        <f>GAAP!F388</f>
        <v>3642039.89</v>
      </c>
      <c r="K393" s="388">
        <f>I393-J393</f>
        <v>-3642039.89</v>
      </c>
      <c r="L393" s="388"/>
      <c r="M393" s="389">
        <f>E393-I393</f>
        <v>0</v>
      </c>
      <c r="N393" s="390">
        <f t="shared" ref="N393" si="375">F393-J393</f>
        <v>0</v>
      </c>
      <c r="O393" s="390">
        <f t="shared" ref="O393" si="376">G393-K393</f>
        <v>0</v>
      </c>
      <c r="P393" s="379"/>
      <c r="Q393" s="387">
        <f t="shared" ref="Q393" si="377">R393+S393</f>
        <v>0</v>
      </c>
      <c r="R393" s="388">
        <f>Bonus!Q388</f>
        <v>3642039.89</v>
      </c>
      <c r="S393" s="388">
        <f>Bonus!S388</f>
        <v>-3642039.89</v>
      </c>
      <c r="T393" s="388"/>
      <c r="U393" s="388">
        <f t="shared" ref="U393" si="378">V393+W393</f>
        <v>0</v>
      </c>
      <c r="V393" s="388">
        <f>GAAP!Q388</f>
        <v>3642039.89</v>
      </c>
      <c r="W393" s="388">
        <f>GAAP!S388</f>
        <v>-3642039.89</v>
      </c>
      <c r="X393" s="388"/>
      <c r="Y393" s="389">
        <f t="shared" ref="Y393" si="379">Q393-U393</f>
        <v>0</v>
      </c>
      <c r="Z393" s="390">
        <f t="shared" ref="Z393" si="380">R393-V393</f>
        <v>0</v>
      </c>
      <c r="AA393" s="391">
        <f t="shared" ref="AA393" si="381">S393-W393</f>
        <v>0</v>
      </c>
      <c r="AC393" s="621">
        <f t="shared" si="374"/>
        <v>0</v>
      </c>
    </row>
    <row r="394" spans="1:29" s="240" customFormat="1" ht="15" customHeight="1">
      <c r="A394" s="385">
        <f>Bonus!A389</f>
        <v>50.054200000000002</v>
      </c>
      <c r="B394" s="386" t="str">
        <f>Bonus!B389</f>
        <v>W.M. Lyles Co. - General Estimating</v>
      </c>
      <c r="C394" s="468">
        <f>Bonus!G389</f>
        <v>1</v>
      </c>
      <c r="D394" s="468">
        <f>GAAP!G389</f>
        <v>1</v>
      </c>
      <c r="E394" s="387">
        <f>Bonus!I389</f>
        <v>0</v>
      </c>
      <c r="F394" s="388">
        <f>Bonus!F389</f>
        <v>100487.45</v>
      </c>
      <c r="G394" s="388">
        <f t="shared" ref="G394:G398" si="382">E394-F394</f>
        <v>-100487.45</v>
      </c>
      <c r="H394" s="388"/>
      <c r="I394" s="388">
        <f>GAAP!I389</f>
        <v>0</v>
      </c>
      <c r="J394" s="388">
        <f>GAAP!F389</f>
        <v>100487.45</v>
      </c>
      <c r="K394" s="388">
        <f t="shared" ref="K394:K398" si="383">I394-J394</f>
        <v>-100487.45</v>
      </c>
      <c r="L394" s="388"/>
      <c r="M394" s="389">
        <f t="shared" ref="M394:M398" si="384">E394-I394</f>
        <v>0</v>
      </c>
      <c r="N394" s="390">
        <f t="shared" ref="N394:N398" si="385">F394-J394</f>
        <v>0</v>
      </c>
      <c r="O394" s="390">
        <f t="shared" ref="O394:O398" si="386">G394-K394</f>
        <v>0</v>
      </c>
      <c r="P394" s="379"/>
      <c r="Q394" s="387">
        <f t="shared" ref="Q394:Q398" si="387">R394+S394</f>
        <v>0</v>
      </c>
      <c r="R394" s="388">
        <f>Bonus!Q389</f>
        <v>100487.45</v>
      </c>
      <c r="S394" s="388">
        <f>Bonus!S389</f>
        <v>-100487.45</v>
      </c>
      <c r="T394" s="388"/>
      <c r="U394" s="388">
        <f t="shared" ref="U394:U398" si="388">V394+W394</f>
        <v>0</v>
      </c>
      <c r="V394" s="388">
        <f>GAAP!Q389</f>
        <v>100487.45</v>
      </c>
      <c r="W394" s="388">
        <f>GAAP!S389</f>
        <v>-100487.45</v>
      </c>
      <c r="X394" s="388"/>
      <c r="Y394" s="389">
        <f t="shared" ref="Y394:Y398" si="389">Q394-U394</f>
        <v>0</v>
      </c>
      <c r="Z394" s="390">
        <f t="shared" ref="Z394:Z398" si="390">R394-V394</f>
        <v>0</v>
      </c>
      <c r="AA394" s="391">
        <f t="shared" ref="AA394:AA398" si="391">S394-W394</f>
        <v>0</v>
      </c>
      <c r="AC394" s="621">
        <f t="shared" si="374"/>
        <v>0</v>
      </c>
    </row>
    <row r="395" spans="1:29" s="240" customFormat="1" ht="15" customHeight="1">
      <c r="A395" s="385">
        <f>Bonus!A390</f>
        <v>50.054299999999998</v>
      </c>
      <c r="B395" s="386" t="str">
        <f>Bonus!B390</f>
        <v>American Paving</v>
      </c>
      <c r="C395" s="468">
        <f>Bonus!G390</f>
        <v>1</v>
      </c>
      <c r="D395" s="468">
        <f>GAAP!G390</f>
        <v>1</v>
      </c>
      <c r="E395" s="387">
        <f>Bonus!I390</f>
        <v>7051.01</v>
      </c>
      <c r="F395" s="388">
        <f>Bonus!F390</f>
        <v>7051.01</v>
      </c>
      <c r="G395" s="388">
        <f t="shared" si="382"/>
        <v>0</v>
      </c>
      <c r="H395" s="388"/>
      <c r="I395" s="388">
        <f>GAAP!I390</f>
        <v>7051.01</v>
      </c>
      <c r="J395" s="388">
        <f>GAAP!F390</f>
        <v>7051.01</v>
      </c>
      <c r="K395" s="388">
        <f t="shared" si="383"/>
        <v>0</v>
      </c>
      <c r="L395" s="388"/>
      <c r="M395" s="389">
        <f t="shared" si="384"/>
        <v>0</v>
      </c>
      <c r="N395" s="390">
        <f t="shared" si="385"/>
        <v>0</v>
      </c>
      <c r="O395" s="390">
        <f t="shared" si="386"/>
        <v>0</v>
      </c>
      <c r="P395" s="379"/>
      <c r="Q395" s="387">
        <f t="shared" si="387"/>
        <v>7051.01</v>
      </c>
      <c r="R395" s="388">
        <f>Bonus!Q390</f>
        <v>7051.01</v>
      </c>
      <c r="S395" s="388">
        <f>Bonus!S390</f>
        <v>0</v>
      </c>
      <c r="T395" s="388"/>
      <c r="U395" s="388">
        <f t="shared" si="388"/>
        <v>7051.01</v>
      </c>
      <c r="V395" s="388">
        <f>GAAP!Q390</f>
        <v>7051.01</v>
      </c>
      <c r="W395" s="388">
        <f>GAAP!S390</f>
        <v>0</v>
      </c>
      <c r="X395" s="388"/>
      <c r="Y395" s="389">
        <f t="shared" si="389"/>
        <v>0</v>
      </c>
      <c r="Z395" s="390">
        <f t="shared" si="390"/>
        <v>0</v>
      </c>
      <c r="AA395" s="391">
        <f t="shared" si="391"/>
        <v>0</v>
      </c>
      <c r="AC395" s="621">
        <f t="shared" si="374"/>
        <v>0</v>
      </c>
    </row>
    <row r="396" spans="1:29" s="240" customFormat="1" ht="15" customHeight="1">
      <c r="A396" s="385">
        <f>Bonus!A391</f>
        <v>50.054400000000001</v>
      </c>
      <c r="B396" s="386" t="str">
        <f>Bonus!B391</f>
        <v>Lyles Services Co.</v>
      </c>
      <c r="C396" s="468">
        <f>Bonus!G391</f>
        <v>1</v>
      </c>
      <c r="D396" s="468">
        <f>GAAP!G391</f>
        <v>1</v>
      </c>
      <c r="E396" s="387">
        <f>Bonus!I391</f>
        <v>13555.8</v>
      </c>
      <c r="F396" s="388">
        <f>Bonus!F391</f>
        <v>13555.8</v>
      </c>
      <c r="G396" s="388">
        <f t="shared" si="382"/>
        <v>0</v>
      </c>
      <c r="H396" s="388"/>
      <c r="I396" s="388">
        <f>GAAP!I391</f>
        <v>13555.8</v>
      </c>
      <c r="J396" s="388">
        <f>GAAP!F391</f>
        <v>13555.8</v>
      </c>
      <c r="K396" s="388">
        <f t="shared" si="383"/>
        <v>0</v>
      </c>
      <c r="L396" s="388"/>
      <c r="M396" s="389">
        <f t="shared" si="384"/>
        <v>0</v>
      </c>
      <c r="N396" s="390">
        <f t="shared" si="385"/>
        <v>0</v>
      </c>
      <c r="O396" s="390">
        <f t="shared" si="386"/>
        <v>0</v>
      </c>
      <c r="P396" s="379"/>
      <c r="Q396" s="387">
        <f t="shared" si="387"/>
        <v>13555.8</v>
      </c>
      <c r="R396" s="388">
        <f>Bonus!Q391</f>
        <v>13555.8</v>
      </c>
      <c r="S396" s="388">
        <f>Bonus!S391</f>
        <v>0</v>
      </c>
      <c r="T396" s="388"/>
      <c r="U396" s="388">
        <f t="shared" si="388"/>
        <v>13555.8</v>
      </c>
      <c r="V396" s="388">
        <f>GAAP!Q391</f>
        <v>13555.8</v>
      </c>
      <c r="W396" s="388">
        <f>GAAP!S391</f>
        <v>0</v>
      </c>
      <c r="X396" s="388"/>
      <c r="Y396" s="389">
        <f t="shared" si="389"/>
        <v>0</v>
      </c>
      <c r="Z396" s="390">
        <f t="shared" si="390"/>
        <v>0</v>
      </c>
      <c r="AA396" s="391">
        <f t="shared" si="391"/>
        <v>0</v>
      </c>
      <c r="AC396" s="621">
        <f t="shared" si="374"/>
        <v>0</v>
      </c>
    </row>
    <row r="397" spans="1:29" s="240" customFormat="1" ht="15" customHeight="1">
      <c r="A397" s="385">
        <f>Bonus!A392</f>
        <v>50.054499999999997</v>
      </c>
      <c r="B397" s="386" t="str">
        <f>Bonus!B392</f>
        <v>New England Sheet Metal and Mechanical Co.</v>
      </c>
      <c r="C397" s="468">
        <f>Bonus!G392</f>
        <v>1</v>
      </c>
      <c r="D397" s="468">
        <f>GAAP!G392</f>
        <v>1</v>
      </c>
      <c r="E397" s="387">
        <f>Bonus!I392</f>
        <v>2226.16</v>
      </c>
      <c r="F397" s="388">
        <f>Bonus!F392</f>
        <v>2226.16</v>
      </c>
      <c r="G397" s="388">
        <f t="shared" si="382"/>
        <v>0</v>
      </c>
      <c r="H397" s="388"/>
      <c r="I397" s="388">
        <f>GAAP!I392</f>
        <v>2226.16</v>
      </c>
      <c r="J397" s="388">
        <f>GAAP!F392</f>
        <v>2226.16</v>
      </c>
      <c r="K397" s="388">
        <f t="shared" si="383"/>
        <v>0</v>
      </c>
      <c r="L397" s="388"/>
      <c r="M397" s="389">
        <f t="shared" si="384"/>
        <v>0</v>
      </c>
      <c r="N397" s="390">
        <f t="shared" si="385"/>
        <v>0</v>
      </c>
      <c r="O397" s="390">
        <f t="shared" si="386"/>
        <v>0</v>
      </c>
      <c r="P397" s="379"/>
      <c r="Q397" s="387">
        <f t="shared" si="387"/>
        <v>2226.16</v>
      </c>
      <c r="R397" s="388">
        <f>Bonus!Q392</f>
        <v>2226.16</v>
      </c>
      <c r="S397" s="388">
        <f>Bonus!S392</f>
        <v>0</v>
      </c>
      <c r="T397" s="388"/>
      <c r="U397" s="388">
        <f t="shared" si="388"/>
        <v>2226.16</v>
      </c>
      <c r="V397" s="388">
        <f>GAAP!Q392</f>
        <v>2226.16</v>
      </c>
      <c r="W397" s="388">
        <f>GAAP!S392</f>
        <v>0</v>
      </c>
      <c r="X397" s="388"/>
      <c r="Y397" s="389">
        <f t="shared" si="389"/>
        <v>0</v>
      </c>
      <c r="Z397" s="390">
        <f t="shared" si="390"/>
        <v>0</v>
      </c>
      <c r="AA397" s="391">
        <f t="shared" si="391"/>
        <v>0</v>
      </c>
      <c r="AC397" s="621">
        <f t="shared" si="374"/>
        <v>0</v>
      </c>
    </row>
    <row r="398" spans="1:29" s="240" customFormat="1" ht="15" customHeight="1">
      <c r="A398" s="385">
        <f>Bonus!A393</f>
        <v>50.054600000000001</v>
      </c>
      <c r="B398" s="386" t="str">
        <f>Bonus!B393</f>
        <v>Lyles Utility Construction, LLC</v>
      </c>
      <c r="C398" s="468">
        <f>Bonus!G393</f>
        <v>1</v>
      </c>
      <c r="D398" s="468">
        <f>GAAP!G393</f>
        <v>1</v>
      </c>
      <c r="E398" s="387">
        <f>Bonus!I393</f>
        <v>11256.72</v>
      </c>
      <c r="F398" s="388">
        <f>Bonus!F393</f>
        <v>10468.06</v>
      </c>
      <c r="G398" s="388">
        <f t="shared" si="382"/>
        <v>788.65999999999985</v>
      </c>
      <c r="H398" s="388"/>
      <c r="I398" s="388">
        <f>GAAP!I393</f>
        <v>11256.72</v>
      </c>
      <c r="J398" s="388">
        <f>GAAP!F393</f>
        <v>10468.06</v>
      </c>
      <c r="K398" s="388">
        <f t="shared" si="383"/>
        <v>788.65999999999985</v>
      </c>
      <c r="L398" s="388"/>
      <c r="M398" s="389">
        <f t="shared" si="384"/>
        <v>0</v>
      </c>
      <c r="N398" s="390">
        <f t="shared" si="385"/>
        <v>0</v>
      </c>
      <c r="O398" s="390">
        <f t="shared" si="386"/>
        <v>0</v>
      </c>
      <c r="P398" s="379"/>
      <c r="Q398" s="387">
        <f t="shared" si="387"/>
        <v>11256.72</v>
      </c>
      <c r="R398" s="388">
        <f>Bonus!Q393</f>
        <v>10468.06</v>
      </c>
      <c r="S398" s="388">
        <f>Bonus!S393</f>
        <v>788.65999999999985</v>
      </c>
      <c r="T398" s="388"/>
      <c r="U398" s="388">
        <f t="shared" si="388"/>
        <v>11256.72</v>
      </c>
      <c r="V398" s="388">
        <f>GAAP!Q393</f>
        <v>10468.06</v>
      </c>
      <c r="W398" s="388">
        <f>GAAP!S393</f>
        <v>788.65999999999985</v>
      </c>
      <c r="X398" s="388"/>
      <c r="Y398" s="389">
        <f t="shared" si="389"/>
        <v>0</v>
      </c>
      <c r="Z398" s="390">
        <f t="shared" si="390"/>
        <v>0</v>
      </c>
      <c r="AA398" s="391">
        <f t="shared" si="391"/>
        <v>0</v>
      </c>
      <c r="AC398" s="621">
        <f t="shared" si="374"/>
        <v>0</v>
      </c>
    </row>
    <row r="399" spans="1:29" s="240" customFormat="1" ht="15" customHeight="1">
      <c r="A399" s="385">
        <f>Bonus!A394</f>
        <v>50.055100000000003</v>
      </c>
      <c r="B399" s="386" t="str">
        <f>Bonus!B394</f>
        <v>Advanced Integration &amp; Controls</v>
      </c>
      <c r="C399" s="468">
        <f>Bonus!G394</f>
        <v>1</v>
      </c>
      <c r="D399" s="468">
        <f>GAAP!G394</f>
        <v>1</v>
      </c>
      <c r="E399" s="387">
        <f>Bonus!I394</f>
        <v>5457.42</v>
      </c>
      <c r="F399" s="388">
        <f>Bonus!F394</f>
        <v>5457.42</v>
      </c>
      <c r="G399" s="388">
        <f t="shared" ref="G399" si="392">E399-F399</f>
        <v>0</v>
      </c>
      <c r="H399" s="388"/>
      <c r="I399" s="388">
        <f>GAAP!I394</f>
        <v>5457.42</v>
      </c>
      <c r="J399" s="388">
        <f>GAAP!F394</f>
        <v>5457.42</v>
      </c>
      <c r="K399" s="388">
        <f t="shared" ref="K399" si="393">I399-J399</f>
        <v>0</v>
      </c>
      <c r="L399" s="388"/>
      <c r="M399" s="389">
        <f t="shared" ref="M399" si="394">E399-I399</f>
        <v>0</v>
      </c>
      <c r="N399" s="390">
        <f t="shared" ref="N399" si="395">F399-J399</f>
        <v>0</v>
      </c>
      <c r="O399" s="390">
        <f t="shared" ref="O399" si="396">G399-K399</f>
        <v>0</v>
      </c>
      <c r="P399" s="379"/>
      <c r="Q399" s="387">
        <f t="shared" ref="Q399" si="397">R399+S399</f>
        <v>5457.42</v>
      </c>
      <c r="R399" s="388">
        <f>Bonus!Q394</f>
        <v>5457.42</v>
      </c>
      <c r="S399" s="388">
        <f>Bonus!S394</f>
        <v>0</v>
      </c>
      <c r="T399" s="388"/>
      <c r="U399" s="388">
        <f t="shared" ref="U399" si="398">V399+W399</f>
        <v>5457.42</v>
      </c>
      <c r="V399" s="388">
        <f>GAAP!Q394</f>
        <v>5457.42</v>
      </c>
      <c r="W399" s="388">
        <f>GAAP!S394</f>
        <v>0</v>
      </c>
      <c r="X399" s="388"/>
      <c r="Y399" s="389">
        <f t="shared" ref="Y399" si="399">Q399-U399</f>
        <v>0</v>
      </c>
      <c r="Z399" s="390">
        <f t="shared" ref="Z399" si="400">R399-V399</f>
        <v>0</v>
      </c>
      <c r="AA399" s="391">
        <f t="shared" ref="AA399" si="401">S399-W399</f>
        <v>0</v>
      </c>
      <c r="AC399" s="621">
        <f t="shared" si="374"/>
        <v>0</v>
      </c>
    </row>
    <row r="400" spans="1:29" ht="15" hidden="1" customHeight="1">
      <c r="A400" s="329"/>
      <c r="E400" s="370"/>
      <c r="F400" s="371"/>
      <c r="G400" s="371"/>
      <c r="H400" s="371"/>
      <c r="I400" s="371"/>
      <c r="J400" s="371"/>
      <c r="K400" s="371"/>
      <c r="L400" s="371"/>
      <c r="M400" s="372"/>
      <c r="N400" s="256"/>
      <c r="O400" s="256"/>
      <c r="P400" s="379"/>
      <c r="Q400" s="371"/>
      <c r="R400" s="371"/>
      <c r="S400" s="371"/>
      <c r="T400" s="371"/>
      <c r="U400" s="371"/>
      <c r="V400" s="371"/>
      <c r="W400" s="388">
        <f t="shared" ref="W400" si="402">U400-V400</f>
        <v>0</v>
      </c>
      <c r="X400" s="371"/>
      <c r="Y400" s="372"/>
      <c r="Z400" s="256"/>
      <c r="AA400" s="373"/>
      <c r="AC400" s="380">
        <f t="shared" si="374"/>
        <v>0</v>
      </c>
    </row>
    <row r="401" spans="1:29" ht="15" customHeight="1">
      <c r="A401" s="330" t="s">
        <v>163</v>
      </c>
      <c r="B401" s="240"/>
      <c r="C401" s="240"/>
      <c r="D401" s="240"/>
      <c r="E401" s="372">
        <f>SUM(E393:E400)</f>
        <v>39547.109999999993</v>
      </c>
      <c r="F401" s="256">
        <f>SUM(F393:F400)</f>
        <v>3781285.79</v>
      </c>
      <c r="G401" s="256">
        <f>SUM(G393:G400)</f>
        <v>-3741738.68</v>
      </c>
      <c r="H401" s="256"/>
      <c r="I401" s="256">
        <f>SUM(I393:I400)</f>
        <v>39547.109999999993</v>
      </c>
      <c r="J401" s="256">
        <f>SUM(J393:J400)</f>
        <v>3781285.79</v>
      </c>
      <c r="K401" s="256">
        <f>SUM(K393:K400)</f>
        <v>-3741738.68</v>
      </c>
      <c r="L401" s="256"/>
      <c r="M401" s="372">
        <f t="shared" ref="M401:O401" si="403">SUM(M393:M400)</f>
        <v>0</v>
      </c>
      <c r="N401" s="256">
        <f t="shared" si="403"/>
        <v>0</v>
      </c>
      <c r="O401" s="256">
        <f t="shared" si="403"/>
        <v>0</v>
      </c>
      <c r="P401" s="380"/>
      <c r="Q401" s="256">
        <f>SUM(Q393:Q400)</f>
        <v>39547.109999999993</v>
      </c>
      <c r="R401" s="256">
        <f>SUM(R393:R400)</f>
        <v>3781285.79</v>
      </c>
      <c r="S401" s="256">
        <f>SUM(S393:S400)</f>
        <v>-3741738.68</v>
      </c>
      <c r="T401" s="256"/>
      <c r="U401" s="256">
        <f>SUM(U393:U400)</f>
        <v>39547.109999999993</v>
      </c>
      <c r="V401" s="256">
        <f>SUM(V393:V400)</f>
        <v>3781285.79</v>
      </c>
      <c r="W401" s="256">
        <f>SUM(W393:W400)</f>
        <v>-3741738.68</v>
      </c>
      <c r="X401" s="256"/>
      <c r="Y401" s="372">
        <f t="shared" ref="Y401" si="404">SUM(Y393:Y400)</f>
        <v>0</v>
      </c>
      <c r="Z401" s="256">
        <f t="shared" ref="Z401" si="405">SUM(Z393:Z400)</f>
        <v>0</v>
      </c>
      <c r="AA401" s="373">
        <f>SUM(AA393:AA400)</f>
        <v>0</v>
      </c>
      <c r="AC401" s="380">
        <f t="shared" si="374"/>
        <v>0</v>
      </c>
    </row>
    <row r="402" spans="1:29" ht="15" customHeight="1">
      <c r="A402" s="330"/>
      <c r="B402" s="240"/>
      <c r="C402" s="240"/>
      <c r="D402" s="240"/>
      <c r="E402" s="372"/>
      <c r="F402" s="256"/>
      <c r="G402" s="256"/>
      <c r="H402" s="256"/>
      <c r="I402" s="256"/>
      <c r="J402" s="256"/>
      <c r="K402" s="256"/>
      <c r="L402" s="256"/>
      <c r="M402" s="372"/>
      <c r="N402" s="256"/>
      <c r="O402" s="256"/>
      <c r="P402" s="380"/>
      <c r="Q402" s="256"/>
      <c r="R402" s="256"/>
      <c r="S402" s="256"/>
      <c r="T402" s="256"/>
      <c r="U402" s="256"/>
      <c r="V402" s="256"/>
      <c r="W402" s="256"/>
      <c r="X402" s="256"/>
      <c r="Y402" s="372"/>
      <c r="Z402" s="256"/>
      <c r="AA402" s="373"/>
      <c r="AC402" s="380"/>
    </row>
    <row r="403" spans="1:29" ht="15" customHeight="1">
      <c r="A403" s="332" t="s">
        <v>173</v>
      </c>
      <c r="B403" s="248"/>
      <c r="C403" s="248"/>
      <c r="D403" s="248"/>
      <c r="E403" s="374">
        <f>E222+E283+E322</f>
        <v>1107807669.4931359</v>
      </c>
      <c r="F403" s="250">
        <f>F222+F283+F322</f>
        <v>1041534998.2699999</v>
      </c>
      <c r="G403" s="250">
        <f>G222+G283+G322</f>
        <v>66272671.223135971</v>
      </c>
      <c r="H403" s="250"/>
      <c r="I403" s="250">
        <f>I222+I283+I322</f>
        <v>1106945177.9671917</v>
      </c>
      <c r="J403" s="250">
        <f>J222+J283+J322</f>
        <v>1041534998.2699999</v>
      </c>
      <c r="K403" s="250">
        <f>K222+K283+K322</f>
        <v>65410179.697191872</v>
      </c>
      <c r="L403" s="250"/>
      <c r="M403" s="374">
        <f>M222+M283+M322</f>
        <v>862491.52594410849</v>
      </c>
      <c r="N403" s="250">
        <f>N222+N283+N322</f>
        <v>0</v>
      </c>
      <c r="O403" s="250">
        <f>O222+O283+O322</f>
        <v>862491.52594410849</v>
      </c>
      <c r="P403" s="381"/>
      <c r="Q403" s="374">
        <f>Q222+Q283+Q322</f>
        <v>328738312.88037515</v>
      </c>
      <c r="R403" s="250">
        <f>R222+R283+R322</f>
        <v>303536058.73999995</v>
      </c>
      <c r="S403" s="250">
        <f>S222+S283+S322</f>
        <v>25202254.140375223</v>
      </c>
      <c r="T403" s="250"/>
      <c r="U403" s="250">
        <f>U222+U283+U322</f>
        <v>333940051.13248008</v>
      </c>
      <c r="V403" s="250">
        <f>V222+V283+V322</f>
        <v>303536058.73999995</v>
      </c>
      <c r="W403" s="250">
        <f>W222+W283+W322</f>
        <v>30403992.392480131</v>
      </c>
      <c r="X403" s="250"/>
      <c r="Y403" s="374">
        <f>Y222+Y283+Y322</f>
        <v>-5201738.2521049185</v>
      </c>
      <c r="Z403" s="250">
        <f>Z222+Z283+Z322</f>
        <v>0</v>
      </c>
      <c r="AA403" s="250">
        <f>AA222+AA283+AA322</f>
        <v>-5201738.2521049166</v>
      </c>
      <c r="AB403" s="403"/>
      <c r="AC403" s="625">
        <f t="shared" si="374"/>
        <v>6064229.7780490248</v>
      </c>
    </row>
    <row r="404" spans="1:29" ht="15" customHeight="1">
      <c r="A404" s="331" t="s">
        <v>164</v>
      </c>
      <c r="B404" s="240"/>
      <c r="C404" s="240"/>
      <c r="D404" s="240"/>
      <c r="E404" s="461">
        <f t="shared" ref="E404:K404" si="406">E223+E284+E389+E401</f>
        <v>152608093.41000003</v>
      </c>
      <c r="F404" s="462">
        <f t="shared" si="406"/>
        <v>147840152.80999997</v>
      </c>
      <c r="G404" s="462">
        <f t="shared" si="406"/>
        <v>4767940.599999994</v>
      </c>
      <c r="H404" s="462">
        <f t="shared" si="406"/>
        <v>0</v>
      </c>
      <c r="I404" s="462">
        <f t="shared" si="406"/>
        <v>152608093.41000003</v>
      </c>
      <c r="J404" s="462">
        <f t="shared" si="406"/>
        <v>147840152.80999997</v>
      </c>
      <c r="K404" s="462">
        <f t="shared" si="406"/>
        <v>4767940.599999994</v>
      </c>
      <c r="L404" s="462"/>
      <c r="M404" s="461">
        <f>M223+M284+M389+M401</f>
        <v>0</v>
      </c>
      <c r="N404" s="462">
        <f>N223+N284+N389+N401</f>
        <v>0</v>
      </c>
      <c r="O404" s="462">
        <f>O223+O284+O389+O401</f>
        <v>0</v>
      </c>
      <c r="P404" s="463"/>
      <c r="Q404" s="462">
        <f t="shared" ref="Q404:W404" si="407">Q223+Q284+Q389+Q401</f>
        <v>22281669.657900073</v>
      </c>
      <c r="R404" s="462">
        <f t="shared" si="407"/>
        <v>35347710.140000008</v>
      </c>
      <c r="S404" s="462">
        <f t="shared" si="407"/>
        <v>-13066040.482099928</v>
      </c>
      <c r="T404" s="462">
        <f t="shared" si="407"/>
        <v>0</v>
      </c>
      <c r="U404" s="462">
        <f t="shared" si="407"/>
        <v>22225464.805413954</v>
      </c>
      <c r="V404" s="462">
        <f t="shared" si="407"/>
        <v>35347710.140000008</v>
      </c>
      <c r="W404" s="462">
        <f t="shared" si="407"/>
        <v>-13122245.334586047</v>
      </c>
      <c r="X404" s="462"/>
      <c r="Y404" s="461">
        <f>Y223+Y284+Y389+Y401</f>
        <v>56204.852486116753</v>
      </c>
      <c r="Z404" s="462">
        <f>Z223+Z284+Z389+Z401</f>
        <v>0</v>
      </c>
      <c r="AA404" s="462">
        <f>AA223+AA284+AA389+AA401</f>
        <v>56204.852486116775</v>
      </c>
      <c r="AB404" s="403"/>
      <c r="AC404" s="626">
        <f t="shared" si="374"/>
        <v>-56204.852486116775</v>
      </c>
    </row>
    <row r="405" spans="1:29" ht="15" customHeight="1">
      <c r="A405" s="252" t="s">
        <v>307</v>
      </c>
      <c r="B405" s="252"/>
      <c r="C405" s="252"/>
      <c r="D405" s="252"/>
      <c r="E405" s="464">
        <f>E403+E404</f>
        <v>1260415762.903136</v>
      </c>
      <c r="F405" s="465">
        <f>F403+F404</f>
        <v>1189375151.0799999</v>
      </c>
      <c r="G405" s="465">
        <f>G403+G404</f>
        <v>71040611.823135972</v>
      </c>
      <c r="H405" s="465"/>
      <c r="I405" s="465">
        <f>I403+I404</f>
        <v>1259553271.3771918</v>
      </c>
      <c r="J405" s="465">
        <f>J403+J404</f>
        <v>1189375151.0799999</v>
      </c>
      <c r="K405" s="465">
        <f>K403+K404</f>
        <v>70178120.297191858</v>
      </c>
      <c r="L405" s="466"/>
      <c r="M405" s="464">
        <f>M403+M404</f>
        <v>862491.52594410849</v>
      </c>
      <c r="N405" s="466">
        <f>N403+N404</f>
        <v>0</v>
      </c>
      <c r="O405" s="466">
        <f>O403+O404</f>
        <v>862491.52594410849</v>
      </c>
      <c r="P405" s="467"/>
      <c r="Q405" s="464">
        <f>Q403+Q404</f>
        <v>351019982.53827524</v>
      </c>
      <c r="R405" s="466">
        <f>R403+R404</f>
        <v>338883768.87999994</v>
      </c>
      <c r="S405" s="466">
        <f>S403+S404</f>
        <v>12136213.658275295</v>
      </c>
      <c r="T405" s="466"/>
      <c r="U405" s="466">
        <f>U403+U404</f>
        <v>356165515.93789405</v>
      </c>
      <c r="V405" s="466">
        <f>V403+V404</f>
        <v>338883768.87999994</v>
      </c>
      <c r="W405" s="466">
        <f>W403+W404</f>
        <v>17281747.057894085</v>
      </c>
      <c r="X405" s="466"/>
      <c r="Y405" s="464">
        <f>Y403+Y404</f>
        <v>-5145533.3996188017</v>
      </c>
      <c r="Z405" s="466">
        <f>Z403+Z404</f>
        <v>0</v>
      </c>
      <c r="AA405" s="466">
        <f>AA403+AA404</f>
        <v>-5145533.3996187998</v>
      </c>
      <c r="AB405" s="403"/>
      <c r="AC405" s="627">
        <f t="shared" si="374"/>
        <v>6008024.9255629079</v>
      </c>
    </row>
    <row r="406" spans="1:29" ht="15" customHeight="1">
      <c r="A406" s="240"/>
      <c r="B406" s="240"/>
      <c r="C406" s="240"/>
      <c r="D406" s="240"/>
      <c r="E406" s="605"/>
      <c r="F406" s="605"/>
      <c r="G406" s="605"/>
      <c r="H406" s="605"/>
      <c r="I406" s="605"/>
      <c r="J406" s="605"/>
      <c r="K406" s="605"/>
      <c r="L406" s="605"/>
      <c r="M406" s="605"/>
      <c r="N406" s="605"/>
      <c r="O406" s="605"/>
      <c r="P406" s="605"/>
      <c r="Q406" s="605"/>
      <c r="R406" s="605"/>
      <c r="S406" s="605"/>
      <c r="T406" s="605"/>
      <c r="U406" s="605"/>
      <c r="V406" s="605"/>
      <c r="W406" s="605"/>
      <c r="X406" s="605"/>
      <c r="Y406" s="605"/>
      <c r="Z406" s="605"/>
      <c r="AA406" s="605"/>
      <c r="AC406" s="467"/>
    </row>
    <row r="407" spans="1:29">
      <c r="E407" s="242"/>
      <c r="F407" s="242"/>
      <c r="G407" s="242"/>
      <c r="H407" s="242"/>
      <c r="I407" s="242"/>
      <c r="J407" s="242"/>
      <c r="K407" s="242"/>
      <c r="L407" s="242"/>
      <c r="M407" s="242"/>
      <c r="N407" s="242"/>
      <c r="O407" s="242"/>
      <c r="P407" s="371"/>
      <c r="Q407" s="242"/>
      <c r="R407" s="242"/>
      <c r="S407" s="242"/>
      <c r="T407" s="242"/>
      <c r="U407" s="242"/>
      <c r="V407" s="242"/>
      <c r="W407" s="242"/>
      <c r="X407" s="242"/>
      <c r="Y407" s="245"/>
      <c r="Z407" s="245"/>
      <c r="AA407" s="245"/>
      <c r="AC407" s="379"/>
    </row>
    <row r="408" spans="1:29">
      <c r="A408" s="240" t="s">
        <v>300</v>
      </c>
      <c r="E408" s="242"/>
      <c r="F408" s="242"/>
      <c r="G408" s="242"/>
      <c r="H408" s="242"/>
      <c r="I408" s="242"/>
      <c r="J408" s="242"/>
      <c r="K408" s="242"/>
      <c r="L408" s="242"/>
      <c r="M408" s="242"/>
      <c r="N408" s="242"/>
      <c r="O408" s="242"/>
      <c r="P408" s="371"/>
      <c r="Q408" s="242"/>
      <c r="R408" s="242"/>
      <c r="S408" s="242"/>
      <c r="T408" s="242"/>
      <c r="U408" s="242"/>
      <c r="V408" s="242"/>
      <c r="W408" s="242"/>
      <c r="X408" s="242"/>
      <c r="Y408" s="245"/>
      <c r="Z408" s="245"/>
      <c r="AA408" s="245"/>
      <c r="AC408" s="379"/>
    </row>
    <row r="409" spans="1:29">
      <c r="A409" s="240"/>
      <c r="E409" s="242"/>
      <c r="F409" s="242"/>
      <c r="G409" s="242"/>
      <c r="H409" s="242"/>
      <c r="I409" s="242"/>
      <c r="J409" s="242"/>
      <c r="K409" s="242"/>
      <c r="L409" s="242"/>
      <c r="M409" s="242"/>
      <c r="N409" s="242"/>
      <c r="O409" s="242"/>
      <c r="P409" s="371"/>
      <c r="Q409" s="242"/>
      <c r="R409" s="242"/>
      <c r="S409" s="242"/>
      <c r="T409" s="242"/>
      <c r="U409" s="242"/>
      <c r="V409" s="242"/>
      <c r="W409" s="242"/>
      <c r="X409" s="242"/>
      <c r="Y409" s="245"/>
      <c r="Z409" s="245"/>
      <c r="AA409" s="245"/>
      <c r="AC409" s="379"/>
    </row>
    <row r="410" spans="1:29">
      <c r="A410" s="240"/>
      <c r="E410" s="242"/>
      <c r="F410" s="242"/>
      <c r="G410" s="242"/>
      <c r="H410" s="242"/>
      <c r="I410" s="242"/>
      <c r="J410" s="242"/>
      <c r="K410" s="242"/>
      <c r="L410" s="242"/>
      <c r="M410" s="242"/>
      <c r="N410" s="242"/>
      <c r="O410" s="242"/>
      <c r="P410" s="371"/>
      <c r="Q410" s="242"/>
      <c r="R410" s="242"/>
      <c r="S410" s="242"/>
      <c r="T410" s="242"/>
      <c r="U410" s="242"/>
      <c r="V410" s="242"/>
      <c r="W410" s="242"/>
      <c r="X410" s="242"/>
      <c r="Y410" s="245"/>
      <c r="Z410" s="245"/>
      <c r="AA410" s="245"/>
      <c r="AC410" s="379"/>
    </row>
    <row r="411" spans="1:29" ht="15" customHeight="1">
      <c r="A411" s="385" t="s">
        <v>394</v>
      </c>
      <c r="B411" s="386" t="s">
        <v>660</v>
      </c>
      <c r="C411" s="468">
        <v>0.99855097766224066</v>
      </c>
      <c r="D411" s="468">
        <f>'JV GAAP'!H26</f>
        <v>1</v>
      </c>
      <c r="E411" s="387">
        <v>115193055.5</v>
      </c>
      <c r="F411" s="388">
        <v>108490330</v>
      </c>
      <c r="G411" s="388">
        <f t="shared" ref="G411:G416" si="408">E411-F411</f>
        <v>6702725.5</v>
      </c>
      <c r="H411" s="388"/>
      <c r="I411" s="388">
        <f>'JV GAAP'!J26+'JV GAAP'!J27</f>
        <v>115618841.815</v>
      </c>
      <c r="J411" s="388">
        <f>'JV GAAP'!G26+'JV GAAP'!G27</f>
        <v>108777011.815</v>
      </c>
      <c r="K411" s="388">
        <f>I411-J411</f>
        <v>6841830</v>
      </c>
      <c r="L411" s="388"/>
      <c r="M411" s="389">
        <f t="shared" ref="M411:M415" si="409">E411-I411</f>
        <v>-425786.31499999762</v>
      </c>
      <c r="N411" s="390">
        <f t="shared" ref="N411:N415" si="410">F411-J411</f>
        <v>-286681.81499999762</v>
      </c>
      <c r="O411" s="390">
        <f t="shared" ref="O411:O415" si="411">G411-K411</f>
        <v>-139104.5</v>
      </c>
      <c r="P411" s="379"/>
      <c r="Q411" s="387">
        <v>1939329.5</v>
      </c>
      <c r="R411" s="388">
        <v>2639572.5</v>
      </c>
      <c r="S411" s="388">
        <f t="shared" ref="S411:S416" si="412">Q411-R411</f>
        <v>-700243</v>
      </c>
      <c r="T411" s="388"/>
      <c r="U411" s="388">
        <v>339552.32</v>
      </c>
      <c r="V411" s="388">
        <v>3520992.32</v>
      </c>
      <c r="W411" s="388">
        <f t="shared" ref="W411:W416" si="413">U411-V411</f>
        <v>-3181440</v>
      </c>
      <c r="X411" s="388"/>
      <c r="Y411" s="389">
        <f t="shared" ref="Y411:Y415" si="414">Q411-U411</f>
        <v>1599777.18</v>
      </c>
      <c r="Z411" s="390">
        <f t="shared" ref="Z411:Z415" si="415">R411-V411</f>
        <v>-881419.81999999983</v>
      </c>
      <c r="AA411" s="391">
        <f t="shared" ref="AA411:AA415" si="416">S411-W411</f>
        <v>2481197</v>
      </c>
      <c r="AC411" s="621">
        <f t="shared" si="374"/>
        <v>-2620301.5</v>
      </c>
    </row>
    <row r="412" spans="1:29" ht="15" customHeight="1">
      <c r="A412" s="385" t="s">
        <v>395</v>
      </c>
      <c r="B412" s="386" t="s">
        <v>306</v>
      </c>
      <c r="C412" s="468">
        <v>0.98003489618760009</v>
      </c>
      <c r="D412" s="468">
        <f>'JV GAAP'!H28</f>
        <v>1</v>
      </c>
      <c r="E412" s="613">
        <v>5490375</v>
      </c>
      <c r="F412" s="597">
        <v>5473212.5</v>
      </c>
      <c r="G412" s="388">
        <f t="shared" si="408"/>
        <v>17162.5</v>
      </c>
      <c r="H412" s="388"/>
      <c r="I412" s="388">
        <f>'JV GAAP'!J28</f>
        <v>5549187.2400000002</v>
      </c>
      <c r="J412" s="388">
        <f>'JV GAAP'!G28</f>
        <v>5464558.8600000003</v>
      </c>
      <c r="K412" s="388">
        <f>I412-J412</f>
        <v>84628.379999999888</v>
      </c>
      <c r="L412" s="388"/>
      <c r="M412" s="389">
        <f t="shared" si="409"/>
        <v>-58812.240000000224</v>
      </c>
      <c r="N412" s="390">
        <f t="shared" si="410"/>
        <v>8653.6399999996647</v>
      </c>
      <c r="O412" s="390">
        <f t="shared" si="411"/>
        <v>-67465.879999999888</v>
      </c>
      <c r="P412" s="379"/>
      <c r="Q412" s="613">
        <v>979.32000000029802</v>
      </c>
      <c r="R412" s="597">
        <v>155672</v>
      </c>
      <c r="S412" s="388">
        <f t="shared" si="412"/>
        <v>-154692.6799999997</v>
      </c>
      <c r="T412" s="388"/>
      <c r="U412" s="388">
        <v>273389.61</v>
      </c>
      <c r="V412" s="388">
        <v>157577.56</v>
      </c>
      <c r="W412" s="388">
        <f>U412-V412</f>
        <v>115812.04999999999</v>
      </c>
      <c r="X412" s="388"/>
      <c r="Y412" s="389">
        <f t="shared" si="414"/>
        <v>-272410.28999999969</v>
      </c>
      <c r="Z412" s="390">
        <f t="shared" si="415"/>
        <v>-1905.5599999999977</v>
      </c>
      <c r="AA412" s="391">
        <f t="shared" si="416"/>
        <v>-270504.72999999969</v>
      </c>
      <c r="AC412" s="621">
        <f t="shared" si="374"/>
        <v>203038.8499999998</v>
      </c>
    </row>
    <row r="413" spans="1:29" ht="15" customHeight="1">
      <c r="A413" s="385" t="s">
        <v>396</v>
      </c>
      <c r="B413" s="386" t="s">
        <v>301</v>
      </c>
      <c r="C413" s="468">
        <v>0.98289496068685045</v>
      </c>
      <c r="D413" s="468">
        <f>'JV GAAP'!H29</f>
        <v>0.98338218315929138</v>
      </c>
      <c r="E413" s="613">
        <v>90175346.75</v>
      </c>
      <c r="F413" s="597">
        <v>83932670</v>
      </c>
      <c r="G413" s="388">
        <f t="shared" si="408"/>
        <v>6242676.75</v>
      </c>
      <c r="H413" s="388"/>
      <c r="I413" s="388">
        <f>'JV GAAP'!J29</f>
        <v>90175346.75</v>
      </c>
      <c r="J413" s="388">
        <f>'JV GAAP'!G29</f>
        <v>83823698.640000001</v>
      </c>
      <c r="K413" s="388">
        <f>I413-J413</f>
        <v>6351648.1099999994</v>
      </c>
      <c r="L413" s="388"/>
      <c r="M413" s="389">
        <f t="shared" si="409"/>
        <v>0</v>
      </c>
      <c r="N413" s="390">
        <f t="shared" si="410"/>
        <v>108971.3599999994</v>
      </c>
      <c r="O413" s="390">
        <f t="shared" si="411"/>
        <v>-108971.3599999994</v>
      </c>
      <c r="P413" s="379"/>
      <c r="Q413" s="613">
        <v>1588012</v>
      </c>
      <c r="R413" s="597">
        <v>1440095.25</v>
      </c>
      <c r="S413" s="388">
        <f>Q413-R413</f>
        <v>147916.75</v>
      </c>
      <c r="T413" s="388"/>
      <c r="U413" s="597">
        <v>1588012</v>
      </c>
      <c r="V413" s="597">
        <v>1415375.5</v>
      </c>
      <c r="W413" s="597">
        <f t="shared" si="413"/>
        <v>172636.5</v>
      </c>
      <c r="X413" s="388"/>
      <c r="Y413" s="389">
        <f t="shared" si="414"/>
        <v>0</v>
      </c>
      <c r="Z413" s="390">
        <f t="shared" si="415"/>
        <v>24719.75</v>
      </c>
      <c r="AA413" s="391">
        <f t="shared" si="416"/>
        <v>-24719.75</v>
      </c>
      <c r="AC413" s="621">
        <f t="shared" si="374"/>
        <v>-84251.609999999404</v>
      </c>
    </row>
    <row r="414" spans="1:29" ht="15" customHeight="1">
      <c r="A414" s="385" t="s">
        <v>396</v>
      </c>
      <c r="B414" s="386" t="s">
        <v>302</v>
      </c>
      <c r="C414" s="468">
        <v>0.83347078448819401</v>
      </c>
      <c r="D414" s="468">
        <f>'JV GAAP'!H30</f>
        <v>0.89379763921255884</v>
      </c>
      <c r="E414" s="613">
        <v>211769168.5</v>
      </c>
      <c r="F414" s="597">
        <v>203222516.5</v>
      </c>
      <c r="G414" s="388">
        <f t="shared" si="408"/>
        <v>8546652</v>
      </c>
      <c r="H414" s="388"/>
      <c r="I414" s="388">
        <f>'JV GAAP'!J30</f>
        <v>217398265.78999999</v>
      </c>
      <c r="J414" s="388">
        <f>'JV GAAP'!G30</f>
        <v>202057874.345</v>
      </c>
      <c r="K414" s="388">
        <f>I414-J414</f>
        <v>15340391.444999993</v>
      </c>
      <c r="L414" s="388"/>
      <c r="M414" s="389">
        <f>E414-I414</f>
        <v>-5629097.2899999917</v>
      </c>
      <c r="N414" s="390">
        <f t="shared" si="410"/>
        <v>1164642.1550000012</v>
      </c>
      <c r="O414" s="390">
        <f t="shared" si="411"/>
        <v>-6793739.4449999928</v>
      </c>
      <c r="P414" s="379"/>
      <c r="Q414" s="613">
        <v>47478147.5</v>
      </c>
      <c r="R414" s="597">
        <v>54681495.5</v>
      </c>
      <c r="S414" s="388">
        <f t="shared" si="412"/>
        <v>-7203348</v>
      </c>
      <c r="T414" s="388"/>
      <c r="U414" s="597">
        <v>62842339.859999999</v>
      </c>
      <c r="V414" s="597">
        <v>60595784.469999999</v>
      </c>
      <c r="W414" s="388">
        <f t="shared" si="413"/>
        <v>2246555.3900000006</v>
      </c>
      <c r="X414" s="388"/>
      <c r="Y414" s="389">
        <f t="shared" si="414"/>
        <v>-15364192.359999999</v>
      </c>
      <c r="Z414" s="390">
        <f t="shared" si="415"/>
        <v>-5914288.9699999988</v>
      </c>
      <c r="AA414" s="391">
        <f t="shared" si="416"/>
        <v>-9449903.3900000006</v>
      </c>
      <c r="AC414" s="621">
        <f t="shared" si="374"/>
        <v>2656163.9450000077</v>
      </c>
    </row>
    <row r="415" spans="1:29" ht="15" customHeight="1">
      <c r="A415" s="385" t="s">
        <v>396</v>
      </c>
      <c r="B415" s="386" t="s">
        <v>303</v>
      </c>
      <c r="C415" s="468">
        <v>0.70602792299600414</v>
      </c>
      <c r="D415" s="468">
        <f>'JV GAAP'!H31</f>
        <v>1</v>
      </c>
      <c r="E415" s="613">
        <v>36465046</v>
      </c>
      <c r="F415" s="597">
        <v>46728002</v>
      </c>
      <c r="G415" s="388">
        <f t="shared" si="408"/>
        <v>-10262956</v>
      </c>
      <c r="H415" s="388"/>
      <c r="I415" s="388">
        <f>'JV GAAP'!J31</f>
        <v>47292915.244999997</v>
      </c>
      <c r="J415" s="388">
        <f>'JV GAAP'!G31</f>
        <v>46192576.840000004</v>
      </c>
      <c r="K415" s="388">
        <f t="shared" ref="K415:K416" si="417">I415-J415</f>
        <v>1100338.4049999937</v>
      </c>
      <c r="L415" s="388"/>
      <c r="M415" s="389">
        <f t="shared" si="409"/>
        <v>-10827869.244999997</v>
      </c>
      <c r="N415" s="390">
        <f t="shared" si="410"/>
        <v>535425.15999999642</v>
      </c>
      <c r="O415" s="390">
        <f t="shared" si="411"/>
        <v>-11363294.404999994</v>
      </c>
      <c r="P415" s="379"/>
      <c r="Q415" s="613">
        <v>9017291.5</v>
      </c>
      <c r="R415" s="597">
        <v>13380247.5</v>
      </c>
      <c r="S415" s="388">
        <f t="shared" si="412"/>
        <v>-4362956</v>
      </c>
      <c r="T415" s="388"/>
      <c r="U415" s="597">
        <v>13625288.77</v>
      </c>
      <c r="V415" s="597">
        <v>14259321.310000001</v>
      </c>
      <c r="W415" s="388">
        <f t="shared" si="413"/>
        <v>-634032.54000000097</v>
      </c>
      <c r="X415" s="388"/>
      <c r="Y415" s="389">
        <f t="shared" si="414"/>
        <v>-4607997.2699999996</v>
      </c>
      <c r="Z415" s="390">
        <f t="shared" si="415"/>
        <v>-879073.81000000052</v>
      </c>
      <c r="AA415" s="391">
        <f t="shared" si="416"/>
        <v>-3728923.459999999</v>
      </c>
      <c r="AC415" s="621">
        <f t="shared" si="374"/>
        <v>-7634370.9449999947</v>
      </c>
    </row>
    <row r="416" spans="1:29" ht="15" customHeight="1">
      <c r="A416" s="385" t="s">
        <v>396</v>
      </c>
      <c r="B416" s="386" t="s">
        <v>671</v>
      </c>
      <c r="C416" s="468">
        <v>0.25099834243145397</v>
      </c>
      <c r="D416" s="468">
        <f>'JV GAAP'!H32</f>
        <v>0.31429019046434831</v>
      </c>
      <c r="E416" s="613">
        <v>571506</v>
      </c>
      <c r="F416" s="597">
        <v>571506</v>
      </c>
      <c r="G416" s="388">
        <f t="shared" si="408"/>
        <v>0</v>
      </c>
      <c r="H416" s="388"/>
      <c r="I416" s="388">
        <f>'JV GAAP'!J32</f>
        <v>627877.81500000006</v>
      </c>
      <c r="J416" s="388">
        <f>'JV GAAP'!G32</f>
        <v>571240.65</v>
      </c>
      <c r="K416" s="388">
        <f t="shared" si="417"/>
        <v>56637.165000000037</v>
      </c>
      <c r="L416" s="388"/>
      <c r="M416" s="389">
        <f t="shared" ref="M416" si="418">E416-I416</f>
        <v>-56371.815000000061</v>
      </c>
      <c r="N416" s="390">
        <f t="shared" ref="N416" si="419">F416-J416</f>
        <v>265.34999999997672</v>
      </c>
      <c r="O416" s="390">
        <f t="shared" ref="O416" si="420">G416-K416</f>
        <v>-56637.165000000037</v>
      </c>
      <c r="P416" s="379"/>
      <c r="Q416" s="613">
        <v>571506</v>
      </c>
      <c r="R416" s="597">
        <v>571506</v>
      </c>
      <c r="S416" s="388">
        <f t="shared" si="412"/>
        <v>0</v>
      </c>
      <c r="T416" s="388"/>
      <c r="U416" s="388">
        <v>627877.81999999995</v>
      </c>
      <c r="V416" s="388">
        <v>571240.65</v>
      </c>
      <c r="W416" s="388">
        <f t="shared" si="413"/>
        <v>56637.169999999925</v>
      </c>
      <c r="X416" s="388"/>
      <c r="Y416" s="389">
        <f t="shared" ref="Y416" si="421">Q416-U416</f>
        <v>-56371.819999999949</v>
      </c>
      <c r="Z416" s="390">
        <f t="shared" ref="Z416" si="422">R416-V416</f>
        <v>265.34999999997672</v>
      </c>
      <c r="AA416" s="391">
        <f t="shared" ref="AA416" si="423">S416-W416</f>
        <v>-56637.169999999925</v>
      </c>
      <c r="AC416" s="621">
        <f t="shared" si="374"/>
        <v>4.999999888241291E-3</v>
      </c>
    </row>
    <row r="417" spans="1:29">
      <c r="W417" s="519"/>
      <c r="AC417" s="377"/>
    </row>
    <row r="418" spans="1:29" s="240" customFormat="1" ht="15" customHeight="1">
      <c r="A418" s="252" t="s">
        <v>308</v>
      </c>
      <c r="B418" s="252"/>
      <c r="C418" s="252"/>
      <c r="D418" s="252"/>
      <c r="E418" s="375">
        <f t="shared" ref="E418:F418" si="424">SUM(E411:E417)</f>
        <v>459664497.75</v>
      </c>
      <c r="F418" s="375">
        <f t="shared" si="424"/>
        <v>448418237</v>
      </c>
      <c r="G418" s="375">
        <f>SUM(G411:G417)</f>
        <v>11246260.75</v>
      </c>
      <c r="H418" s="375"/>
      <c r="I418" s="375">
        <f t="shared" ref="I418:J418" si="425">SUM(I411:I417)</f>
        <v>476662434.65500003</v>
      </c>
      <c r="J418" s="375">
        <f t="shared" si="425"/>
        <v>446886961.14999998</v>
      </c>
      <c r="K418" s="375">
        <f>SUM(K411:K417)</f>
        <v>29775473.504999984</v>
      </c>
      <c r="L418" s="375"/>
      <c r="M418" s="375">
        <f t="shared" ref="M418:N418" si="426">SUM(M411:M417)</f>
        <v>-16997936.90499999</v>
      </c>
      <c r="N418" s="375">
        <f t="shared" si="426"/>
        <v>1531275.8499999992</v>
      </c>
      <c r="O418" s="376">
        <f>SUM(O411:O417)</f>
        <v>-18529212.754999984</v>
      </c>
      <c r="P418" s="380"/>
      <c r="Q418" s="375">
        <f t="shared" ref="Q418:R418" si="427">SUM(Q411:Q417)</f>
        <v>60595265.82</v>
      </c>
      <c r="R418" s="375">
        <f t="shared" si="427"/>
        <v>72868588.75</v>
      </c>
      <c r="S418" s="375">
        <f>SUM(S411:S417)</f>
        <v>-12273322.93</v>
      </c>
      <c r="T418" s="375"/>
      <c r="U418" s="375">
        <f t="shared" ref="U418:V418" si="428">SUM(U411:U417)</f>
        <v>79296460.379999995</v>
      </c>
      <c r="V418" s="375">
        <f t="shared" si="428"/>
        <v>80520291.810000002</v>
      </c>
      <c r="W418" s="375">
        <f>SUM(W411:W417)</f>
        <v>-1223831.4300000006</v>
      </c>
      <c r="X418" s="375"/>
      <c r="Y418" s="375">
        <f t="shared" ref="Y418" si="429">SUM(Y411:Y417)</f>
        <v>-18701194.559999999</v>
      </c>
      <c r="Z418" s="375">
        <f>SUM(Z411:Z417)</f>
        <v>-7651703.0599999996</v>
      </c>
      <c r="AA418" s="376">
        <f>SUM(AA411:AA417)</f>
        <v>-11049491.499999998</v>
      </c>
      <c r="AC418" s="628">
        <f t="shared" si="374"/>
        <v>-7479721.2549999859</v>
      </c>
    </row>
    <row r="419" spans="1:29">
      <c r="S419" s="340"/>
      <c r="W419" s="340"/>
      <c r="Y419" s="235"/>
      <c r="Z419" s="235"/>
      <c r="AC419" s="377"/>
    </row>
    <row r="420" spans="1:29" s="240" customFormat="1" ht="13.5" thickBot="1">
      <c r="A420" s="399" t="s">
        <v>309</v>
      </c>
      <c r="B420" s="399"/>
      <c r="C420" s="399"/>
      <c r="D420" s="399"/>
      <c r="E420" s="400">
        <f>E405+E418</f>
        <v>1720080260.653136</v>
      </c>
      <c r="F420" s="400">
        <f>F405+F418</f>
        <v>1637793388.0799999</v>
      </c>
      <c r="G420" s="400">
        <f>G405+G418</f>
        <v>82286872.573135972</v>
      </c>
      <c r="H420" s="399"/>
      <c r="I420" s="400">
        <f>I405+I418</f>
        <v>1736215706.0321918</v>
      </c>
      <c r="J420" s="400">
        <f>J405+J418</f>
        <v>1636262112.23</v>
      </c>
      <c r="K420" s="400">
        <f>K405+K418</f>
        <v>99953593.802191839</v>
      </c>
      <c r="L420" s="399"/>
      <c r="M420" s="400">
        <f>M405+M418</f>
        <v>-16135445.379055882</v>
      </c>
      <c r="N420" s="400">
        <f>N405+N418</f>
        <v>1531275.8499999992</v>
      </c>
      <c r="O420" s="400">
        <f>O405+O418</f>
        <v>-17666721.229055874</v>
      </c>
      <c r="P420" s="371"/>
      <c r="Q420" s="400">
        <f>Q405+Q418</f>
        <v>411615248.35827523</v>
      </c>
      <c r="R420" s="400">
        <f>R405+R418</f>
        <v>411752357.62999994</v>
      </c>
      <c r="S420" s="400">
        <f>S405+S418</f>
        <v>-137109.27172470465</v>
      </c>
      <c r="T420" s="399"/>
      <c r="U420" s="400">
        <f>U405+U418</f>
        <v>435461976.31789404</v>
      </c>
      <c r="V420" s="400">
        <f>V405+V418</f>
        <v>419404060.68999994</v>
      </c>
      <c r="W420" s="400">
        <f>W405+W418</f>
        <v>16057915.627894085</v>
      </c>
      <c r="X420" s="399"/>
      <c r="Y420" s="400">
        <f>Y405+Y418</f>
        <v>-23846727.959618799</v>
      </c>
      <c r="Z420" s="400">
        <f>Z405+Z418</f>
        <v>-7651703.0599999996</v>
      </c>
      <c r="AA420" s="400">
        <f>AA405+AA418</f>
        <v>-16195024.899618797</v>
      </c>
      <c r="AC420" s="629">
        <f>O420-AA420</f>
        <v>-1471696.329437077</v>
      </c>
    </row>
    <row r="421" spans="1:29" s="240" customFormat="1" ht="13.5" thickTop="1">
      <c r="E421" s="475"/>
      <c r="F421" s="475"/>
      <c r="G421" s="475"/>
      <c r="I421" s="475"/>
      <c r="J421" s="475"/>
      <c r="K421" s="475"/>
      <c r="M421" s="475"/>
      <c r="N421" s="475"/>
      <c r="O421" s="475"/>
      <c r="P421" s="371"/>
      <c r="Q421" s="475"/>
      <c r="R421" s="475"/>
      <c r="S421" s="475"/>
      <c r="U421" s="475"/>
      <c r="V421" s="475"/>
      <c r="W421" s="475"/>
      <c r="Y421" s="475"/>
      <c r="Z421" s="475"/>
      <c r="AA421" s="475"/>
      <c r="AC421" s="475"/>
    </row>
    <row r="422" spans="1:29">
      <c r="G422" s="340"/>
      <c r="K422" s="340"/>
      <c r="O422" s="340"/>
      <c r="S422" s="340"/>
      <c r="W422" s="340"/>
      <c r="AA422" s="242">
        <f>Y420-Z420-AA420</f>
        <v>0</v>
      </c>
      <c r="AC422" s="340"/>
    </row>
    <row r="423" spans="1:29">
      <c r="Y423" s="630" t="s">
        <v>310</v>
      </c>
      <c r="Z423" s="631"/>
      <c r="AA423" s="632"/>
    </row>
    <row r="424" spans="1:29">
      <c r="G424" s="340"/>
      <c r="K424" s="340"/>
      <c r="Y424" s="392"/>
      <c r="Z424" s="408"/>
      <c r="AA424" s="409"/>
    </row>
    <row r="425" spans="1:29">
      <c r="Y425" s="403" t="s">
        <v>315</v>
      </c>
      <c r="AA425" s="398">
        <v>1618101.49</v>
      </c>
    </row>
    <row r="426" spans="1:29">
      <c r="K426" s="340"/>
      <c r="Y426" s="403" t="s">
        <v>270</v>
      </c>
      <c r="AA426" s="398">
        <f>3179115+244432.75</f>
        <v>3423547.75</v>
      </c>
    </row>
    <row r="427" spans="1:29">
      <c r="Y427" s="403" t="s">
        <v>316</v>
      </c>
      <c r="AA427" s="398">
        <v>308000</v>
      </c>
    </row>
    <row r="428" spans="1:29">
      <c r="Y428" s="403" t="s">
        <v>317</v>
      </c>
      <c r="AA428" s="398">
        <v>-12928.5</v>
      </c>
    </row>
    <row r="429" spans="1:29">
      <c r="Y429" s="403" t="s">
        <v>490</v>
      </c>
      <c r="AA429" s="398">
        <v>3288034.49</v>
      </c>
    </row>
    <row r="430" spans="1:29">
      <c r="Y430" s="403" t="s">
        <v>313</v>
      </c>
      <c r="AA430" s="398">
        <f>AA420</f>
        <v>-16195024.899618797</v>
      </c>
    </row>
    <row r="431" spans="1:29">
      <c r="Y431" s="405" t="s">
        <v>314</v>
      </c>
      <c r="Z431" s="252"/>
      <c r="AA431" s="397">
        <f>SUM(AA425:AA430)</f>
        <v>-7570269.6696187966</v>
      </c>
    </row>
    <row r="432" spans="1:29">
      <c r="Y432" s="404"/>
      <c r="AA432" s="373"/>
    </row>
    <row r="433" spans="5:30">
      <c r="Y433" s="403" t="s">
        <v>311</v>
      </c>
      <c r="Z433" s="235"/>
      <c r="AA433" s="470">
        <v>10715183.33</v>
      </c>
      <c r="AD433" s="235" t="s">
        <v>489</v>
      </c>
    </row>
    <row r="434" spans="5:30">
      <c r="Y434" s="403" t="s">
        <v>312</v>
      </c>
      <c r="Z434" s="235"/>
      <c r="AA434" s="398">
        <v>18285453</v>
      </c>
      <c r="AD434" s="235" t="s">
        <v>450</v>
      </c>
    </row>
    <row r="435" spans="5:30">
      <c r="Y435" s="406" t="s">
        <v>318</v>
      </c>
      <c r="Z435" s="407"/>
      <c r="AA435" s="376">
        <f>AA433-AA434</f>
        <v>-7570269.6699999999</v>
      </c>
      <c r="AC435" s="519">
        <f>ROUND((AA431-AA435),2)</f>
        <v>0</v>
      </c>
    </row>
    <row r="436" spans="5:30">
      <c r="AA436" s="245"/>
    </row>
    <row r="437" spans="5:30">
      <c r="AA437" s="402"/>
    </row>
    <row r="438" spans="5:30">
      <c r="AA438" s="245"/>
    </row>
    <row r="439" spans="5:30">
      <c r="AA439" s="245"/>
    </row>
    <row r="440" spans="5:30">
      <c r="AA440" s="245"/>
    </row>
    <row r="441" spans="5:30">
      <c r="AA441" s="401"/>
    </row>
    <row r="447" spans="5:30">
      <c r="E447" s="340">
        <f>E405-Bonus!I400</f>
        <v>0</v>
      </c>
      <c r="F447" s="340">
        <f>F405-Bonus!F400</f>
        <v>0</v>
      </c>
      <c r="G447" s="340">
        <f>G405-Bonus!H400</f>
        <v>0</v>
      </c>
      <c r="I447" s="300">
        <f>'Bonus vs GAAP'!I405-GAAP!I400</f>
        <v>0</v>
      </c>
      <c r="J447" s="340">
        <f>J405-GAAP!F400</f>
        <v>0</v>
      </c>
      <c r="K447" s="340">
        <f>K405-GAAP!H400</f>
        <v>0</v>
      </c>
      <c r="Q447" s="340">
        <f>Q405-(Bonus!Q400+Bonus!S400)</f>
        <v>0</v>
      </c>
      <c r="R447" s="340">
        <f>R405-Bonus!Q400</f>
        <v>0</v>
      </c>
      <c r="S447" s="340">
        <f>S405-Bonus!S400</f>
        <v>0</v>
      </c>
      <c r="U447" s="340">
        <f>U405-(GAAP!Q400+GAAP!S400)</f>
        <v>0</v>
      </c>
      <c r="V447" s="340">
        <f>V405-GAAP!Q400</f>
        <v>0</v>
      </c>
      <c r="W447" s="340">
        <f>W405-GAAP!S400</f>
        <v>0</v>
      </c>
    </row>
  </sheetData>
  <mergeCells count="9">
    <mergeCell ref="Y423:AA423"/>
    <mergeCell ref="E5:O5"/>
    <mergeCell ref="Q5:AA5"/>
    <mergeCell ref="U6:W6"/>
    <mergeCell ref="M6:O6"/>
    <mergeCell ref="Y6:AA6"/>
    <mergeCell ref="E6:G6"/>
    <mergeCell ref="Q6:S6"/>
    <mergeCell ref="I6:K6"/>
  </mergeCells>
  <pageMargins left="0.2" right="0.2" top="0.25" bottom="0.25" header="0.3" footer="0.3"/>
  <pageSetup paperSize="5" scale="57" fitToHeight="0" orientation="landscape"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709"/>
  <sheetViews>
    <sheetView view="pageBreakPreview" zoomScaleNormal="115" zoomScaleSheetLayoutView="100" workbookViewId="0">
      <pane ySplit="7" topLeftCell="A54" activePane="bottomLeft" state="frozen"/>
      <selection pane="bottomLeft" activeCell="F82" sqref="F82"/>
    </sheetView>
  </sheetViews>
  <sheetFormatPr defaultColWidth="9.140625" defaultRowHeight="11.25"/>
  <cols>
    <col min="1" max="1" width="9.42578125" style="57" customWidth="1"/>
    <col min="2" max="2" width="57.42578125" style="57" customWidth="1"/>
    <col min="3" max="3" width="12" style="57" customWidth="1"/>
    <col min="4" max="4" width="11.5703125" style="57" customWidth="1"/>
    <col min="5" max="6" width="12" style="57" customWidth="1"/>
    <col min="7" max="7" width="11.5703125" style="57" customWidth="1"/>
    <col min="8" max="8" width="13.140625" style="57" customWidth="1"/>
    <col min="9" max="9" width="11.5703125" style="57" customWidth="1"/>
    <col min="10" max="10" width="7.28515625" style="57" customWidth="1"/>
    <col min="11" max="12" width="11.5703125" style="57" customWidth="1"/>
    <col min="13" max="13" width="11.7109375" style="57" customWidth="1"/>
    <col min="14" max="14" width="9.85546875" style="57" customWidth="1"/>
    <col min="15" max="15" width="9.140625" style="57" customWidth="1"/>
    <col min="16" max="16" width="9.140625" style="57"/>
    <col min="17" max="17" width="6.42578125" style="79" customWidth="1"/>
    <col min="18" max="16384" width="9.140625" style="57"/>
  </cols>
  <sheetData>
    <row r="1" spans="1:27" ht="15.75">
      <c r="A1" s="95" t="s">
        <v>94</v>
      </c>
      <c r="Q1" s="314" t="s">
        <v>97</v>
      </c>
      <c r="R1" s="315" t="s">
        <v>98</v>
      </c>
    </row>
    <row r="2" spans="1:27" ht="15.75">
      <c r="A2" s="95" t="s">
        <v>95</v>
      </c>
      <c r="Q2" s="314" t="s">
        <v>99</v>
      </c>
      <c r="R2" s="81" t="s">
        <v>114</v>
      </c>
    </row>
    <row r="3" spans="1:27" ht="15.75">
      <c r="A3" s="95" t="s">
        <v>704</v>
      </c>
      <c r="H3" s="144"/>
      <c r="I3" s="641">
        <f>Backlog!A3</f>
        <v>46022</v>
      </c>
      <c r="J3" s="641"/>
      <c r="Q3" s="314" t="s">
        <v>100</v>
      </c>
      <c r="R3" s="81" t="s">
        <v>112</v>
      </c>
    </row>
    <row r="4" spans="1:27" ht="12.75">
      <c r="Q4" s="314" t="s">
        <v>96</v>
      </c>
      <c r="R4" s="81" t="s">
        <v>113</v>
      </c>
    </row>
    <row r="5" spans="1:27">
      <c r="A5" s="90"/>
      <c r="B5" s="90"/>
      <c r="C5" s="91" t="s">
        <v>67</v>
      </c>
      <c r="D5" s="91" t="s">
        <v>68</v>
      </c>
      <c r="E5" s="91" t="s">
        <v>45</v>
      </c>
      <c r="F5" s="91" t="s">
        <v>69</v>
      </c>
      <c r="G5" s="91" t="s">
        <v>70</v>
      </c>
      <c r="H5" s="90"/>
      <c r="I5" s="91" t="s">
        <v>71</v>
      </c>
      <c r="J5" s="90"/>
      <c r="K5" s="91"/>
      <c r="L5" s="91" t="s">
        <v>73</v>
      </c>
      <c r="M5" s="91" t="s">
        <v>74</v>
      </c>
      <c r="Q5" s="316" t="s">
        <v>101</v>
      </c>
      <c r="R5" s="317" t="s">
        <v>102</v>
      </c>
    </row>
    <row r="6" spans="1:27">
      <c r="A6" s="90"/>
      <c r="B6" s="90"/>
      <c r="C6" s="91" t="s">
        <v>75</v>
      </c>
      <c r="D6" s="91" t="s">
        <v>75</v>
      </c>
      <c r="E6" s="91" t="s">
        <v>76</v>
      </c>
      <c r="F6" s="91" t="s">
        <v>77</v>
      </c>
      <c r="G6" s="91" t="s">
        <v>78</v>
      </c>
      <c r="H6" s="91" t="s">
        <v>91</v>
      </c>
      <c r="I6" s="91" t="s">
        <v>79</v>
      </c>
      <c r="J6" s="91" t="s">
        <v>80</v>
      </c>
      <c r="K6" s="91" t="s">
        <v>72</v>
      </c>
      <c r="L6" s="91" t="s">
        <v>81</v>
      </c>
      <c r="M6" s="91" t="s">
        <v>82</v>
      </c>
      <c r="Q6" s="316" t="s">
        <v>103</v>
      </c>
      <c r="R6" s="317" t="s">
        <v>104</v>
      </c>
    </row>
    <row r="7" spans="1:27">
      <c r="A7" s="92" t="s">
        <v>84</v>
      </c>
      <c r="B7" s="92" t="s">
        <v>83</v>
      </c>
      <c r="C7" s="92" t="s">
        <v>85</v>
      </c>
      <c r="D7" s="92" t="s">
        <v>86</v>
      </c>
      <c r="E7" s="92" t="s">
        <v>81</v>
      </c>
      <c r="F7" s="92" t="s">
        <v>87</v>
      </c>
      <c r="G7" s="92" t="s">
        <v>88</v>
      </c>
      <c r="H7" s="92" t="s">
        <v>69</v>
      </c>
      <c r="I7" s="92" t="s">
        <v>89</v>
      </c>
      <c r="J7" s="92" t="s">
        <v>88</v>
      </c>
      <c r="K7" s="92" t="s">
        <v>92</v>
      </c>
      <c r="L7" s="92" t="s">
        <v>90</v>
      </c>
      <c r="M7" s="93"/>
      <c r="Q7" s="316" t="s">
        <v>105</v>
      </c>
      <c r="R7" s="317" t="s">
        <v>106</v>
      </c>
    </row>
    <row r="8" spans="1:27" ht="12.75">
      <c r="A8" s="94" t="s">
        <v>93</v>
      </c>
      <c r="C8" s="214"/>
      <c r="D8" s="214"/>
      <c r="E8" s="214"/>
      <c r="F8" s="214"/>
      <c r="G8" s="214"/>
      <c r="H8" s="214"/>
      <c r="I8" s="214"/>
      <c r="J8" s="214"/>
      <c r="K8" s="214"/>
      <c r="L8" s="214"/>
      <c r="M8" s="214"/>
      <c r="N8" s="214"/>
      <c r="O8" s="214"/>
      <c r="P8" s="318"/>
      <c r="Q8" s="339" t="s">
        <v>229</v>
      </c>
      <c r="R8" s="214"/>
      <c r="S8" s="214"/>
      <c r="T8" s="214"/>
      <c r="U8" s="214"/>
      <c r="V8" s="214"/>
      <c r="W8" s="214"/>
      <c r="X8" s="215"/>
      <c r="Y8" s="215"/>
      <c r="Z8" s="215"/>
      <c r="AA8" s="215"/>
    </row>
    <row r="9" spans="1:27">
      <c r="A9" s="410"/>
      <c r="C9" s="214"/>
      <c r="D9" s="214"/>
      <c r="E9" s="214"/>
      <c r="F9" s="214"/>
      <c r="G9" s="214"/>
      <c r="H9" s="214"/>
      <c r="I9" s="214"/>
      <c r="J9" s="319"/>
      <c r="K9" s="214"/>
      <c r="L9" s="214"/>
      <c r="M9" s="214"/>
      <c r="N9" s="320"/>
      <c r="O9" s="104"/>
      <c r="P9" s="321"/>
      <c r="Q9" s="56"/>
      <c r="R9" s="214"/>
      <c r="S9" s="214"/>
      <c r="T9" s="214"/>
      <c r="U9" s="214"/>
      <c r="V9" s="214"/>
      <c r="W9" s="214"/>
      <c r="X9" s="215"/>
      <c r="Y9" s="215"/>
      <c r="Z9" s="215"/>
      <c r="AA9" s="215"/>
    </row>
    <row r="10" spans="1:27">
      <c r="A10" s="315" t="s">
        <v>201</v>
      </c>
      <c r="N10" s="79" t="s">
        <v>196</v>
      </c>
      <c r="O10" s="79" t="s">
        <v>197</v>
      </c>
      <c r="P10" s="79" t="s">
        <v>198</v>
      </c>
      <c r="Q10" s="56" t="s">
        <v>195</v>
      </c>
      <c r="R10" s="214"/>
      <c r="S10" s="214"/>
      <c r="T10" s="214"/>
      <c r="U10" s="214"/>
      <c r="V10" s="214"/>
      <c r="W10" s="214"/>
      <c r="X10" s="215"/>
      <c r="Y10" s="215"/>
      <c r="Z10" s="215"/>
      <c r="AA10" s="215"/>
    </row>
    <row r="11" spans="1:27">
      <c r="A11" s="410">
        <f>+GAAP!A29</f>
        <v>51.113300000000002</v>
      </c>
      <c r="B11" s="57" t="str">
        <f>+GAAP!B29</f>
        <v>CA Water Service Co. - S. San Francisco St 1-A Pump Replacement</v>
      </c>
      <c r="C11" s="214">
        <f>+GAAP!J29</f>
        <v>372738</v>
      </c>
      <c r="D11" s="214">
        <f t="shared" ref="D11:D21" si="0">+E11-C11</f>
        <v>0</v>
      </c>
      <c r="E11" s="214">
        <f>+GAAP!C29</f>
        <v>372738</v>
      </c>
      <c r="F11" s="214">
        <f>+GAAP!F29</f>
        <v>331855.28000000003</v>
      </c>
      <c r="G11" s="214">
        <f t="shared" ref="G11:G21" si="1">+H11-F11</f>
        <v>0</v>
      </c>
      <c r="H11" s="214">
        <f t="shared" ref="H11:H21" si="2">+E11-I11</f>
        <v>331855.28000000003</v>
      </c>
      <c r="I11" s="214">
        <f>+GAAP!E29</f>
        <v>40882.719999999972</v>
      </c>
      <c r="J11" s="319">
        <f>+GAAP!G29</f>
        <v>1</v>
      </c>
      <c r="K11" s="214">
        <f>+GAAP!H29</f>
        <v>40882.719999999972</v>
      </c>
      <c r="L11" s="214">
        <f>+GAAP!P29</f>
        <v>17359.580582792041</v>
      </c>
      <c r="M11" s="214">
        <f t="shared" ref="M11:M21" si="3">+K11-L11</f>
        <v>23523.139417207931</v>
      </c>
      <c r="N11" s="118" t="str">
        <f>GAAP!T29</f>
        <v>2023</v>
      </c>
      <c r="O11" s="320" t="str">
        <f>GAAP!U29</f>
        <v>2025</v>
      </c>
      <c r="P11" s="530" t="str">
        <f>+GAAP!V29</f>
        <v>.</v>
      </c>
      <c r="Q11" s="56"/>
      <c r="R11" s="214"/>
      <c r="S11" s="214"/>
      <c r="T11" s="214"/>
      <c r="U11" s="214"/>
      <c r="V11" s="214"/>
      <c r="W11" s="214"/>
      <c r="X11" s="215"/>
      <c r="Y11" s="215"/>
      <c r="Z11" s="215"/>
      <c r="AA11" s="215"/>
    </row>
    <row r="12" spans="1:27">
      <c r="A12" s="410">
        <f>+GAAP!A30</f>
        <v>51.113599999999998</v>
      </c>
      <c r="B12" s="57" t="str">
        <f>+GAAP!B30</f>
        <v>Union Sanitary Dist - USD Plant Misc. Improvements</v>
      </c>
      <c r="C12" s="214">
        <f>+GAAP!J30</f>
        <v>5483550</v>
      </c>
      <c r="D12" s="214">
        <f t="shared" si="0"/>
        <v>0</v>
      </c>
      <c r="E12" s="214">
        <f>+GAAP!C30</f>
        <v>5483550</v>
      </c>
      <c r="F12" s="214">
        <f>+GAAP!F30</f>
        <v>4531817.8600000003</v>
      </c>
      <c r="G12" s="214">
        <f t="shared" si="1"/>
        <v>0</v>
      </c>
      <c r="H12" s="214">
        <f t="shared" si="2"/>
        <v>4531817.8600000003</v>
      </c>
      <c r="I12" s="214">
        <f>+GAAP!E30</f>
        <v>951732.13999999966</v>
      </c>
      <c r="J12" s="319">
        <f>+GAAP!G30</f>
        <v>1</v>
      </c>
      <c r="K12" s="214">
        <f>+GAAP!H30</f>
        <v>951732.13999999966</v>
      </c>
      <c r="L12" s="214">
        <f>+GAAP!P30</f>
        <v>758905.78605212795</v>
      </c>
      <c r="M12" s="214">
        <f t="shared" si="3"/>
        <v>192826.35394787171</v>
      </c>
      <c r="N12" s="118" t="str">
        <f>GAAP!T30</f>
        <v>2023</v>
      </c>
      <c r="O12" s="320" t="str">
        <f>GAAP!U30</f>
        <v>2025</v>
      </c>
      <c r="P12" s="530" t="str">
        <f>+GAAP!V30</f>
        <v>.</v>
      </c>
      <c r="Q12" s="56"/>
      <c r="R12" s="214"/>
      <c r="S12" s="214"/>
      <c r="T12" s="214"/>
      <c r="U12" s="214"/>
      <c r="V12" s="214"/>
      <c r="W12" s="214"/>
      <c r="X12" s="215"/>
      <c r="Y12" s="215"/>
      <c r="Z12" s="215"/>
      <c r="AA12" s="215"/>
    </row>
    <row r="13" spans="1:27">
      <c r="A13" s="410">
        <f>+GAAP!A31</f>
        <v>51.113799999999998</v>
      </c>
      <c r="B13" s="57" t="str">
        <f>+GAAP!B31</f>
        <v>CA Water Service Co. - Bear Gulch Pump Station 21</v>
      </c>
      <c r="C13" s="214">
        <f>+GAAP!J31</f>
        <v>1120182.07</v>
      </c>
      <c r="D13" s="214">
        <f t="shared" si="0"/>
        <v>0</v>
      </c>
      <c r="E13" s="214">
        <f>+GAAP!C31</f>
        <v>1120182.07</v>
      </c>
      <c r="F13" s="214">
        <f>+GAAP!F31</f>
        <v>1167704.1499999999</v>
      </c>
      <c r="G13" s="214">
        <f t="shared" si="1"/>
        <v>0</v>
      </c>
      <c r="H13" s="214">
        <f t="shared" si="2"/>
        <v>1167704.1499999999</v>
      </c>
      <c r="I13" s="214">
        <f>+GAAP!E31</f>
        <v>-47522.079999999842</v>
      </c>
      <c r="J13" s="319">
        <f>+GAAP!G31</f>
        <v>1</v>
      </c>
      <c r="K13" s="214">
        <f>+GAAP!H31</f>
        <v>-47522.079999999842</v>
      </c>
      <c r="L13" s="214">
        <f>+GAAP!P31</f>
        <v>77778.099073409947</v>
      </c>
      <c r="M13" s="214">
        <f t="shared" si="3"/>
        <v>-125300.17907340979</v>
      </c>
      <c r="N13" s="118" t="str">
        <f>GAAP!T31</f>
        <v>2023</v>
      </c>
      <c r="O13" s="320" t="str">
        <f>GAAP!U31</f>
        <v>2025</v>
      </c>
      <c r="P13" s="530" t="str">
        <f>+GAAP!V31</f>
        <v>.</v>
      </c>
      <c r="Q13" s="56"/>
      <c r="R13" s="214"/>
      <c r="S13" s="214"/>
      <c r="T13" s="214"/>
      <c r="U13" s="214"/>
      <c r="V13" s="214"/>
      <c r="W13" s="214"/>
      <c r="X13" s="215"/>
      <c r="Y13" s="215"/>
      <c r="Z13" s="215"/>
      <c r="AA13" s="215"/>
    </row>
    <row r="14" spans="1:27">
      <c r="A14" s="410">
        <f>+GAAP!A33</f>
        <v>51.114100000000001</v>
      </c>
      <c r="B14" s="57" t="str">
        <f>+GAAP!B33</f>
        <v>City of Colfax - WWTP Algae Reduction Project</v>
      </c>
      <c r="C14" s="214">
        <f>+GAAP!J33</f>
        <v>3967189.79</v>
      </c>
      <c r="D14" s="214">
        <f t="shared" si="0"/>
        <v>0</v>
      </c>
      <c r="E14" s="214">
        <f>+GAAP!C33</f>
        <v>3967189.79</v>
      </c>
      <c r="F14" s="214">
        <f>+GAAP!F33</f>
        <v>3835094.73</v>
      </c>
      <c r="G14" s="214">
        <f t="shared" si="1"/>
        <v>0</v>
      </c>
      <c r="H14" s="214">
        <f t="shared" si="2"/>
        <v>3835094.73</v>
      </c>
      <c r="I14" s="214">
        <f>+GAAP!E33</f>
        <v>132095.06000000006</v>
      </c>
      <c r="J14" s="319">
        <f>+GAAP!G33</f>
        <v>1</v>
      </c>
      <c r="K14" s="214">
        <f>+GAAP!H33</f>
        <v>132095.06000000006</v>
      </c>
      <c r="L14" s="214">
        <f>+GAAP!P33</f>
        <v>79920.298670616976</v>
      </c>
      <c r="M14" s="214">
        <f t="shared" si="3"/>
        <v>52174.76132938308</v>
      </c>
      <c r="N14" s="118" t="str">
        <f>GAAP!T33</f>
        <v>2023</v>
      </c>
      <c r="O14" s="320" t="str">
        <f>GAAP!U33</f>
        <v>2025</v>
      </c>
      <c r="P14" s="530" t="str">
        <f>+GAAP!V33</f>
        <v>.</v>
      </c>
      <c r="Q14" s="56"/>
      <c r="R14" s="214"/>
      <c r="S14" s="214"/>
      <c r="T14" s="214"/>
      <c r="U14" s="214"/>
      <c r="V14" s="214"/>
      <c r="W14" s="214"/>
      <c r="X14" s="215"/>
      <c r="Y14" s="215"/>
      <c r="Z14" s="215"/>
      <c r="AA14" s="215"/>
    </row>
    <row r="15" spans="1:27">
      <c r="A15" s="410">
        <f>+GAAP!A34</f>
        <v>51.1143</v>
      </c>
      <c r="B15" s="57" t="str">
        <f>+GAAP!B34</f>
        <v>Olivehurst Plumas Lake Manganese Filter Expansion</v>
      </c>
      <c r="C15" s="214">
        <f>+GAAP!J34</f>
        <v>1991231.37</v>
      </c>
      <c r="D15" s="214">
        <f t="shared" si="0"/>
        <v>0</v>
      </c>
      <c r="E15" s="214">
        <f>+GAAP!C34</f>
        <v>1991231.37</v>
      </c>
      <c r="F15" s="214">
        <f>+GAAP!F34</f>
        <v>1758132.57</v>
      </c>
      <c r="G15" s="214">
        <f t="shared" si="1"/>
        <v>0</v>
      </c>
      <c r="H15" s="214">
        <f t="shared" si="2"/>
        <v>1758132.57</v>
      </c>
      <c r="I15" s="214">
        <f>+GAAP!E34</f>
        <v>233098.80000000005</v>
      </c>
      <c r="J15" s="319">
        <f>+GAAP!G34</f>
        <v>1</v>
      </c>
      <c r="K15" s="214">
        <f>+GAAP!H34</f>
        <v>233098.80000000005</v>
      </c>
      <c r="L15" s="214">
        <f>+GAAP!P34</f>
        <v>226011.76285223232</v>
      </c>
      <c r="M15" s="214">
        <f t="shared" si="3"/>
        <v>7087.0371477677254</v>
      </c>
      <c r="N15" s="118" t="str">
        <f>GAAP!T34</f>
        <v>2023</v>
      </c>
      <c r="O15" s="320" t="str">
        <f>GAAP!U34</f>
        <v>2025</v>
      </c>
      <c r="P15" s="530" t="str">
        <f>+GAAP!V34</f>
        <v>.</v>
      </c>
      <c r="Q15" s="56"/>
      <c r="R15" s="214"/>
      <c r="S15" s="214"/>
      <c r="T15" s="214"/>
      <c r="U15" s="214"/>
      <c r="V15" s="214"/>
      <c r="W15" s="214"/>
      <c r="X15" s="215"/>
      <c r="Y15" s="215"/>
      <c r="Z15" s="215"/>
      <c r="AA15" s="215"/>
    </row>
    <row r="16" spans="1:27">
      <c r="A16" s="410">
        <f>+GAAP!A35</f>
        <v>51.114699999999999</v>
      </c>
      <c r="B16" s="57" t="str">
        <f>+GAAP!B35</f>
        <v>City of Lodi-Public Works Dept. - Aeration Diffusers Replacement Project</v>
      </c>
      <c r="C16" s="214">
        <f>+GAAP!J35</f>
        <v>2742860.08</v>
      </c>
      <c r="D16" s="214">
        <f t="shared" si="0"/>
        <v>0</v>
      </c>
      <c r="E16" s="214">
        <f>+GAAP!C35</f>
        <v>2742860.08</v>
      </c>
      <c r="F16" s="214">
        <f>+GAAP!F35</f>
        <v>2548724.9200000004</v>
      </c>
      <c r="G16" s="214">
        <f t="shared" si="1"/>
        <v>0</v>
      </c>
      <c r="H16" s="214">
        <f t="shared" si="2"/>
        <v>2548724.9200000004</v>
      </c>
      <c r="I16" s="214">
        <f>+GAAP!E35</f>
        <v>194135.15999999968</v>
      </c>
      <c r="J16" s="319">
        <f>+GAAP!G35</f>
        <v>1</v>
      </c>
      <c r="K16" s="214">
        <f>+GAAP!H35</f>
        <v>194135.15999999968</v>
      </c>
      <c r="L16" s="214">
        <f>+GAAP!P35</f>
        <v>128284.53515962398</v>
      </c>
      <c r="M16" s="214">
        <f t="shared" si="3"/>
        <v>65850.624840375705</v>
      </c>
      <c r="N16" s="118" t="str">
        <f>GAAP!T35</f>
        <v>2023</v>
      </c>
      <c r="O16" s="320" t="str">
        <f>GAAP!U35</f>
        <v>2025</v>
      </c>
      <c r="P16" s="530" t="str">
        <f>+GAAP!V35</f>
        <v>.</v>
      </c>
      <c r="Q16" s="56"/>
      <c r="R16" s="214"/>
      <c r="S16" s="214"/>
      <c r="T16" s="214"/>
      <c r="U16" s="214"/>
      <c r="V16" s="214"/>
      <c r="W16" s="214"/>
      <c r="X16" s="215"/>
      <c r="Y16" s="215"/>
      <c r="Z16" s="215"/>
      <c r="AA16" s="215"/>
    </row>
    <row r="17" spans="1:27">
      <c r="A17" s="410">
        <f>+GAAP!A36</f>
        <v>51.115000000000002</v>
      </c>
      <c r="B17" s="57" t="str">
        <f>+GAAP!B36</f>
        <v>Sacramento Co. Dept. of Water Resources - D49 Metro Air Park Storm Drain Pump Station Phase 2</v>
      </c>
      <c r="C17" s="214">
        <f>+GAAP!J36</f>
        <v>2486231.58</v>
      </c>
      <c r="D17" s="214">
        <f t="shared" si="0"/>
        <v>0</v>
      </c>
      <c r="E17" s="214">
        <f>+GAAP!C36</f>
        <v>2486231.58</v>
      </c>
      <c r="F17" s="214">
        <f>+GAAP!F36</f>
        <v>2239435.14</v>
      </c>
      <c r="G17" s="214">
        <f t="shared" si="1"/>
        <v>0</v>
      </c>
      <c r="H17" s="214">
        <f t="shared" si="2"/>
        <v>2239435.14</v>
      </c>
      <c r="I17" s="214">
        <f>+GAAP!E36</f>
        <v>246796.43999999994</v>
      </c>
      <c r="J17" s="319">
        <f>+GAAP!G36</f>
        <v>1</v>
      </c>
      <c r="K17" s="214">
        <f>+GAAP!H36</f>
        <v>246796.43999999994</v>
      </c>
      <c r="L17" s="214">
        <f>+GAAP!P36</f>
        <v>166471.82949694013</v>
      </c>
      <c r="M17" s="214">
        <f t="shared" si="3"/>
        <v>80324.610503059812</v>
      </c>
      <c r="N17" s="118" t="str">
        <f>GAAP!T36</f>
        <v>2024</v>
      </c>
      <c r="O17" s="320" t="str">
        <f>GAAP!U36</f>
        <v>2025</v>
      </c>
      <c r="P17" s="530" t="str">
        <f>+GAAP!V36</f>
        <v>.</v>
      </c>
      <c r="Q17" s="56"/>
      <c r="R17" s="214"/>
      <c r="S17" s="214"/>
      <c r="T17" s="214"/>
      <c r="U17" s="214"/>
      <c r="V17" s="214"/>
      <c r="W17" s="214"/>
      <c r="X17" s="215"/>
      <c r="Y17" s="215"/>
      <c r="Z17" s="215"/>
      <c r="AA17" s="215"/>
    </row>
    <row r="18" spans="1:27">
      <c r="A18" s="410">
        <f>+GAAP!A68</f>
        <v>52.856699999999996</v>
      </c>
      <c r="B18" s="57" t="str">
        <f>+GAAP!B68</f>
        <v>City of Modesto - Grayson Well 69</v>
      </c>
      <c r="C18" s="214">
        <f>+GAAP!J68</f>
        <v>3059858.99</v>
      </c>
      <c r="D18" s="214">
        <f t="shared" si="0"/>
        <v>0</v>
      </c>
      <c r="E18" s="214">
        <f>+GAAP!C68</f>
        <v>3059858.99</v>
      </c>
      <c r="F18" s="214">
        <f>+GAAP!F68</f>
        <v>3128023.93</v>
      </c>
      <c r="G18" s="214">
        <f t="shared" si="1"/>
        <v>0</v>
      </c>
      <c r="H18" s="214">
        <f t="shared" si="2"/>
        <v>3128023.93</v>
      </c>
      <c r="I18" s="214">
        <f>+GAAP!E68</f>
        <v>-68164.939999999944</v>
      </c>
      <c r="J18" s="319">
        <f>+GAAP!G68</f>
        <v>1</v>
      </c>
      <c r="K18" s="214">
        <f>+GAAP!H68</f>
        <v>-68164.939999999944</v>
      </c>
      <c r="L18" s="214">
        <f>+GAAP!P68</f>
        <v>-83000</v>
      </c>
      <c r="M18" s="214">
        <f t="shared" si="3"/>
        <v>14835.060000000056</v>
      </c>
      <c r="N18" s="118" t="str">
        <f>GAAP!T68</f>
        <v>2021</v>
      </c>
      <c r="O18" s="320" t="str">
        <f>GAAP!U68</f>
        <v>2025</v>
      </c>
      <c r="P18" s="530" t="str">
        <f>+GAAP!V68</f>
        <v>.</v>
      </c>
      <c r="Q18" s="56"/>
      <c r="R18" s="214"/>
      <c r="S18" s="214"/>
      <c r="T18" s="214"/>
      <c r="U18" s="214"/>
      <c r="V18" s="214"/>
      <c r="W18" s="214"/>
      <c r="X18" s="215"/>
      <c r="Y18" s="215"/>
      <c r="Z18" s="215"/>
      <c r="AA18" s="215"/>
    </row>
    <row r="19" spans="1:27">
      <c r="A19" s="410">
        <f>+GAAP!A69</f>
        <v>52.860399999999998</v>
      </c>
      <c r="B19" s="57" t="str">
        <f>+GAAP!B69</f>
        <v>City of Atwater - Project No. 20-2, Well 20-A TCP Mitigation</v>
      </c>
      <c r="C19" s="214">
        <f>+GAAP!J69</f>
        <v>5095690.97</v>
      </c>
      <c r="D19" s="214">
        <f t="shared" si="0"/>
        <v>0</v>
      </c>
      <c r="E19" s="214">
        <f>+GAAP!C69</f>
        <v>5095690.97</v>
      </c>
      <c r="F19" s="214">
        <f>+GAAP!F69</f>
        <v>4572503.2299999995</v>
      </c>
      <c r="G19" s="214">
        <f t="shared" si="1"/>
        <v>0</v>
      </c>
      <c r="H19" s="214">
        <f t="shared" si="2"/>
        <v>4572503.2299999995</v>
      </c>
      <c r="I19" s="214">
        <f>+GAAP!E69</f>
        <v>523187.74000000022</v>
      </c>
      <c r="J19" s="319">
        <f>+GAAP!G69</f>
        <v>1</v>
      </c>
      <c r="K19" s="214">
        <f>+GAAP!H69</f>
        <v>523187.74000000022</v>
      </c>
      <c r="L19" s="214">
        <f>+GAAP!P69</f>
        <v>329989.13269960659</v>
      </c>
      <c r="M19" s="214">
        <f t="shared" si="3"/>
        <v>193198.60730039363</v>
      </c>
      <c r="N19" s="118" t="str">
        <f>GAAP!T69</f>
        <v>2022</v>
      </c>
      <c r="O19" s="320" t="str">
        <f>GAAP!U69</f>
        <v>2025</v>
      </c>
      <c r="P19" s="530" t="str">
        <f>+GAAP!V69</f>
        <v>.</v>
      </c>
      <c r="Q19" s="56"/>
      <c r="R19" s="214"/>
      <c r="S19" s="214"/>
      <c r="T19" s="214"/>
      <c r="U19" s="214"/>
      <c r="V19" s="214"/>
      <c r="W19" s="214"/>
      <c r="X19" s="215"/>
      <c r="Y19" s="215"/>
      <c r="Z19" s="215"/>
      <c r="AA19" s="215"/>
    </row>
    <row r="20" spans="1:27">
      <c r="A20" s="410">
        <f>+GAAP!A70</f>
        <v>52.8628</v>
      </c>
      <c r="B20" s="57" t="str">
        <f>+GAAP!B70</f>
        <v>City of Tulare - Well 4-3 Equipping &amp; I Drive Pipeline Proj.</v>
      </c>
      <c r="C20" s="214">
        <f>+GAAP!J70</f>
        <v>5213345.5</v>
      </c>
      <c r="D20" s="214">
        <f t="shared" si="0"/>
        <v>0</v>
      </c>
      <c r="E20" s="214">
        <f>+GAAP!C70</f>
        <v>5213345.5</v>
      </c>
      <c r="F20" s="214">
        <f>+GAAP!F70</f>
        <v>4745798.53</v>
      </c>
      <c r="G20" s="214">
        <f t="shared" si="1"/>
        <v>0</v>
      </c>
      <c r="H20" s="214">
        <f t="shared" si="2"/>
        <v>4745798.53</v>
      </c>
      <c r="I20" s="214">
        <f>+GAAP!E70</f>
        <v>467546.96999999974</v>
      </c>
      <c r="J20" s="319">
        <f>+GAAP!G70</f>
        <v>1</v>
      </c>
      <c r="K20" s="214">
        <f>+GAAP!H70</f>
        <v>467546.96999999974</v>
      </c>
      <c r="L20" s="214">
        <f>+GAAP!P70</f>
        <v>197224.75376923761</v>
      </c>
      <c r="M20" s="214">
        <f t="shared" si="3"/>
        <v>270322.21623076213</v>
      </c>
      <c r="N20" s="118" t="str">
        <f>GAAP!T70</f>
        <v>2023</v>
      </c>
      <c r="O20" s="320" t="str">
        <f>GAAP!U70</f>
        <v>2025</v>
      </c>
      <c r="P20" s="530" t="str">
        <f>+GAAP!V70</f>
        <v>.</v>
      </c>
      <c r="Q20" s="56"/>
      <c r="R20" s="214"/>
      <c r="S20" s="214"/>
      <c r="T20" s="214"/>
      <c r="U20" s="214"/>
      <c r="V20" s="214"/>
      <c r="W20" s="214"/>
      <c r="X20" s="215"/>
      <c r="Y20" s="215"/>
      <c r="Z20" s="215"/>
      <c r="AA20" s="215"/>
    </row>
    <row r="21" spans="1:27">
      <c r="A21" s="410">
        <f>+GAAP!A71</f>
        <v>52.863100000000003</v>
      </c>
      <c r="B21" s="57" t="str">
        <f>+GAAP!B71</f>
        <v>Gunner Ranch, Inc. - Well 1 Equipping and Site Improvements</v>
      </c>
      <c r="C21" s="214">
        <f>+GAAP!J71</f>
        <v>2560650.14</v>
      </c>
      <c r="D21" s="214">
        <f t="shared" si="0"/>
        <v>0</v>
      </c>
      <c r="E21" s="214">
        <f>+GAAP!C71</f>
        <v>2560650.14</v>
      </c>
      <c r="F21" s="214">
        <f>+GAAP!F71</f>
        <v>2448658.2599999998</v>
      </c>
      <c r="G21" s="214">
        <f t="shared" si="1"/>
        <v>0</v>
      </c>
      <c r="H21" s="214">
        <f t="shared" si="2"/>
        <v>2448658.2599999998</v>
      </c>
      <c r="I21" s="214">
        <f>+GAAP!E71</f>
        <v>111991.88000000035</v>
      </c>
      <c r="J21" s="319">
        <f>+GAAP!G71</f>
        <v>1</v>
      </c>
      <c r="K21" s="214">
        <f>+GAAP!H71</f>
        <v>111991.88000000035</v>
      </c>
      <c r="L21" s="214">
        <f>+GAAP!P71</f>
        <v>73003.700537153374</v>
      </c>
      <c r="M21" s="214">
        <f t="shared" si="3"/>
        <v>38988.17946284698</v>
      </c>
      <c r="N21" s="118" t="str">
        <f>GAAP!T71</f>
        <v>2023</v>
      </c>
      <c r="O21" s="320" t="str">
        <f>GAAP!U71</f>
        <v>2025</v>
      </c>
      <c r="P21" s="530" t="str">
        <f>+GAAP!V71</f>
        <v>.</v>
      </c>
      <c r="Q21" s="56"/>
      <c r="R21" s="214"/>
      <c r="S21" s="214"/>
      <c r="T21" s="214"/>
      <c r="U21" s="214"/>
      <c r="V21" s="214"/>
      <c r="W21" s="214"/>
      <c r="X21" s="215"/>
      <c r="Y21" s="215"/>
      <c r="Z21" s="215"/>
      <c r="AA21" s="215"/>
    </row>
    <row r="22" spans="1:27">
      <c r="A22" s="410">
        <f>+GAAP!A72</f>
        <v>52.865200000000002</v>
      </c>
      <c r="B22" s="57" t="str">
        <f>+GAAP!B72</f>
        <v>California Water Service Co. - Salinas 77 Booster Station</v>
      </c>
      <c r="C22" s="214">
        <f>+GAAP!J72</f>
        <v>1290184</v>
      </c>
      <c r="D22" s="214">
        <f t="shared" ref="D22:D29" si="4">+E22-C22</f>
        <v>0</v>
      </c>
      <c r="E22" s="214">
        <f>+GAAP!C72</f>
        <v>1290184</v>
      </c>
      <c r="F22" s="214">
        <f>+GAAP!F72</f>
        <v>1039376.08</v>
      </c>
      <c r="G22" s="214">
        <f t="shared" ref="G22:G29" si="5">+H22-F22</f>
        <v>0</v>
      </c>
      <c r="H22" s="214">
        <f t="shared" ref="H22:H29" si="6">+E22-I22</f>
        <v>1039376.08</v>
      </c>
      <c r="I22" s="214">
        <f>+GAAP!E72</f>
        <v>250807.92000000004</v>
      </c>
      <c r="J22" s="319">
        <f>+GAAP!G72</f>
        <v>1</v>
      </c>
      <c r="K22" s="214">
        <f>+GAAP!H72</f>
        <v>250807.92000000004</v>
      </c>
      <c r="L22" s="214">
        <f>+GAAP!P72</f>
        <v>170698.83744000029</v>
      </c>
      <c r="M22" s="214">
        <f t="shared" ref="M22:M29" si="7">+K22-L22</f>
        <v>80109.082559999748</v>
      </c>
      <c r="N22" s="118" t="str">
        <f>GAAP!T72</f>
        <v>2024</v>
      </c>
      <c r="O22" s="320" t="str">
        <f>GAAP!U72</f>
        <v>2025</v>
      </c>
      <c r="P22" s="530" t="str">
        <f>+GAAP!V72</f>
        <v>.</v>
      </c>
      <c r="Q22" s="56"/>
      <c r="R22" s="214"/>
      <c r="S22" s="214"/>
      <c r="T22" s="214"/>
      <c r="U22" s="214"/>
      <c r="V22" s="214"/>
      <c r="W22" s="214"/>
      <c r="X22" s="215"/>
      <c r="Y22" s="215"/>
      <c r="Z22" s="215"/>
      <c r="AA22" s="215"/>
    </row>
    <row r="23" spans="1:27">
      <c r="A23" s="410">
        <f>+GAAP!A73</f>
        <v>52.8658</v>
      </c>
      <c r="B23" s="57" t="str">
        <f>+GAAP!B73</f>
        <v>California Water Service Co. - Visalia Station 98 Water Storage Tank &amp; Booster Site</v>
      </c>
      <c r="C23" s="214">
        <f>+GAAP!J73</f>
        <v>1870914.99</v>
      </c>
      <c r="D23" s="214">
        <f t="shared" si="4"/>
        <v>0</v>
      </c>
      <c r="E23" s="214">
        <f>+GAAP!C73</f>
        <v>1870914.99</v>
      </c>
      <c r="F23" s="214">
        <f>+GAAP!F73</f>
        <v>1633530.21</v>
      </c>
      <c r="G23" s="214">
        <f t="shared" si="5"/>
        <v>0</v>
      </c>
      <c r="H23" s="214">
        <f t="shared" si="6"/>
        <v>1633530.21</v>
      </c>
      <c r="I23" s="214">
        <f>+GAAP!E73</f>
        <v>237384.78000000003</v>
      </c>
      <c r="J23" s="319">
        <f>+GAAP!G73</f>
        <v>1</v>
      </c>
      <c r="K23" s="214">
        <f>+GAAP!H73</f>
        <v>237384.78000000003</v>
      </c>
      <c r="L23" s="214">
        <f>+GAAP!P73</f>
        <v>145886.60538494127</v>
      </c>
      <c r="M23" s="214">
        <f t="shared" si="7"/>
        <v>91498.174615058757</v>
      </c>
      <c r="N23" s="118" t="str">
        <f>GAAP!T73</f>
        <v>2023</v>
      </c>
      <c r="O23" s="320" t="str">
        <f>GAAP!U73</f>
        <v>2025</v>
      </c>
      <c r="P23" s="530" t="str">
        <f>+GAAP!V73</f>
        <v>.</v>
      </c>
      <c r="Q23" s="56"/>
      <c r="R23" s="214"/>
      <c r="S23" s="214"/>
      <c r="T23" s="214"/>
      <c r="U23" s="214"/>
      <c r="V23" s="214"/>
      <c r="W23" s="214"/>
      <c r="X23" s="215"/>
      <c r="Y23" s="215"/>
      <c r="Z23" s="215"/>
      <c r="AA23" s="215"/>
    </row>
    <row r="24" spans="1:27">
      <c r="A24" s="410">
        <f>+GAAP!A74</f>
        <v>52.866300000000003</v>
      </c>
      <c r="B24" s="57" t="str">
        <f>+GAAP!B74</f>
        <v>Root Creek Water Dist. - Ag Well 277 Conversion Project</v>
      </c>
      <c r="C24" s="214">
        <f>+GAAP!J74</f>
        <v>1641800</v>
      </c>
      <c r="D24" s="214">
        <f t="shared" si="4"/>
        <v>0</v>
      </c>
      <c r="E24" s="214">
        <f>+GAAP!C74</f>
        <v>1641800</v>
      </c>
      <c r="F24" s="214">
        <f>+GAAP!F74</f>
        <v>1379688.28</v>
      </c>
      <c r="G24" s="214">
        <f t="shared" si="5"/>
        <v>0</v>
      </c>
      <c r="H24" s="214">
        <f t="shared" si="6"/>
        <v>1379688.28</v>
      </c>
      <c r="I24" s="214">
        <f>+GAAP!E74</f>
        <v>262111.71999999997</v>
      </c>
      <c r="J24" s="319">
        <f>+GAAP!G74</f>
        <v>1</v>
      </c>
      <c r="K24" s="214">
        <f>+GAAP!H74</f>
        <v>262111.71999999997</v>
      </c>
      <c r="L24" s="214">
        <f>+GAAP!P74</f>
        <v>42676.950827370209</v>
      </c>
      <c r="M24" s="214">
        <f t="shared" si="7"/>
        <v>219434.76917262975</v>
      </c>
      <c r="N24" s="118" t="str">
        <f>GAAP!T74</f>
        <v>2024</v>
      </c>
      <c r="O24" s="320" t="str">
        <f>GAAP!U74</f>
        <v>2025</v>
      </c>
      <c r="P24" s="530" t="str">
        <f>+GAAP!V74</f>
        <v>.</v>
      </c>
      <c r="Q24" s="56"/>
      <c r="R24" s="214"/>
      <c r="S24" s="214"/>
      <c r="T24" s="214"/>
      <c r="U24" s="214"/>
      <c r="V24" s="214"/>
      <c r="W24" s="214"/>
      <c r="X24" s="215"/>
      <c r="Y24" s="215"/>
      <c r="Z24" s="215"/>
      <c r="AA24" s="215"/>
    </row>
    <row r="25" spans="1:27">
      <c r="A25" s="410">
        <f>+GAAP!A75</f>
        <v>52.866700000000002</v>
      </c>
      <c r="B25" s="57" t="str">
        <f>+GAAP!B75</f>
        <v>California Water Service Co. - Cal Water Salinas Station 33</v>
      </c>
      <c r="C25" s="214">
        <f>+GAAP!J75</f>
        <v>314085.77</v>
      </c>
      <c r="D25" s="214">
        <f t="shared" si="4"/>
        <v>0</v>
      </c>
      <c r="E25" s="214">
        <f>+GAAP!C75</f>
        <v>314085.77</v>
      </c>
      <c r="F25" s="214">
        <f>+GAAP!F75</f>
        <v>290726.11</v>
      </c>
      <c r="G25" s="214">
        <f t="shared" si="5"/>
        <v>0</v>
      </c>
      <c r="H25" s="214">
        <f t="shared" si="6"/>
        <v>290726.11</v>
      </c>
      <c r="I25" s="214">
        <f>+GAAP!E75</f>
        <v>23359.660000000033</v>
      </c>
      <c r="J25" s="319">
        <f>+GAAP!G75</f>
        <v>1</v>
      </c>
      <c r="K25" s="214">
        <f>+GAAP!H75</f>
        <v>23359.660000000033</v>
      </c>
      <c r="L25" s="214">
        <f>+GAAP!P75</f>
        <v>26868.865348399246</v>
      </c>
      <c r="M25" s="214">
        <f t="shared" si="7"/>
        <v>-3509.2053483992131</v>
      </c>
      <c r="N25" s="118" t="str">
        <f>GAAP!T75</f>
        <v>2024</v>
      </c>
      <c r="O25" s="320" t="str">
        <f>GAAP!U75</f>
        <v>2025</v>
      </c>
      <c r="P25" s="530" t="str">
        <f>+GAAP!V75</f>
        <v>.</v>
      </c>
      <c r="Q25" s="56"/>
      <c r="R25" s="214"/>
      <c r="S25" s="214"/>
      <c r="T25" s="214"/>
      <c r="U25" s="214"/>
      <c r="V25" s="214"/>
      <c r="W25" s="214"/>
      <c r="X25" s="215"/>
      <c r="Y25" s="215"/>
      <c r="Z25" s="215"/>
      <c r="AA25" s="215"/>
    </row>
    <row r="26" spans="1:27">
      <c r="A26" s="410">
        <f>+GAAP!A76</f>
        <v>52.866999999999997</v>
      </c>
      <c r="B26" s="57" t="str">
        <f>+GAAP!B76</f>
        <v>California Water Service Co. - Cal Water - King City Station 10</v>
      </c>
      <c r="C26" s="214">
        <f>+GAAP!J76</f>
        <v>274166.01</v>
      </c>
      <c r="D26" s="214">
        <f t="shared" si="4"/>
        <v>0</v>
      </c>
      <c r="E26" s="214">
        <f>+GAAP!C76</f>
        <v>274166.01</v>
      </c>
      <c r="F26" s="214">
        <f>+GAAP!F76</f>
        <v>267282.05</v>
      </c>
      <c r="G26" s="214">
        <f t="shared" si="5"/>
        <v>0</v>
      </c>
      <c r="H26" s="214">
        <f t="shared" si="6"/>
        <v>267282.05</v>
      </c>
      <c r="I26" s="214">
        <f>+GAAP!E76</f>
        <v>6883.960000000021</v>
      </c>
      <c r="J26" s="319">
        <f>+GAAP!G76</f>
        <v>1</v>
      </c>
      <c r="K26" s="214">
        <f>+GAAP!H76</f>
        <v>6883.960000000021</v>
      </c>
      <c r="L26" s="214">
        <f>+GAAP!P76</f>
        <v>10404.4355848992</v>
      </c>
      <c r="M26" s="214">
        <f t="shared" si="7"/>
        <v>-3520.475584899179</v>
      </c>
      <c r="N26" s="118" t="str">
        <f>GAAP!T76</f>
        <v>2024</v>
      </c>
      <c r="O26" s="320" t="str">
        <f>GAAP!U76</f>
        <v>2025</v>
      </c>
      <c r="P26" s="530" t="str">
        <f>+GAAP!V76</f>
        <v>.</v>
      </c>
      <c r="Q26" s="56"/>
      <c r="R26" s="214"/>
      <c r="S26" s="214"/>
      <c r="T26" s="214"/>
      <c r="U26" s="214"/>
      <c r="V26" s="214"/>
      <c r="W26" s="214"/>
      <c r="X26" s="215"/>
      <c r="Y26" s="215"/>
      <c r="Z26" s="215"/>
      <c r="AA26" s="215"/>
    </row>
    <row r="27" spans="1:27">
      <c r="A27" s="410">
        <f>+GAAP!A77</f>
        <v>52.867400000000004</v>
      </c>
      <c r="B27" s="57" t="str">
        <f>+GAAP!B77</f>
        <v>City of Hanford - WWTP Standby Influent Pump Install</v>
      </c>
      <c r="C27" s="214">
        <f>+GAAP!J77</f>
        <v>279244</v>
      </c>
      <c r="D27" s="214">
        <f t="shared" si="4"/>
        <v>0</v>
      </c>
      <c r="E27" s="214">
        <f>+GAAP!C77</f>
        <v>279244</v>
      </c>
      <c r="F27" s="214">
        <f>+GAAP!F77</f>
        <v>251088.2</v>
      </c>
      <c r="G27" s="214">
        <f t="shared" si="5"/>
        <v>0</v>
      </c>
      <c r="H27" s="214">
        <f t="shared" si="6"/>
        <v>251088.2</v>
      </c>
      <c r="I27" s="214">
        <f>+GAAP!E77</f>
        <v>28155.799999999988</v>
      </c>
      <c r="J27" s="319">
        <f>+GAAP!G77</f>
        <v>1</v>
      </c>
      <c r="K27" s="214">
        <f>+GAAP!H77</f>
        <v>28155.799999999988</v>
      </c>
      <c r="L27" s="214">
        <f>+GAAP!P77</f>
        <v>15534.58355022051</v>
      </c>
      <c r="M27" s="214">
        <f t="shared" si="7"/>
        <v>12621.216449779478</v>
      </c>
      <c r="N27" s="118" t="str">
        <f>GAAP!T77</f>
        <v>2024</v>
      </c>
      <c r="O27" s="320" t="str">
        <f>GAAP!U77</f>
        <v>2025</v>
      </c>
      <c r="P27" s="530" t="str">
        <f>+GAAP!V77</f>
        <v>.</v>
      </c>
      <c r="Q27" s="56"/>
      <c r="R27" s="214"/>
      <c r="S27" s="214"/>
      <c r="T27" s="214"/>
      <c r="U27" s="214"/>
      <c r="V27" s="214"/>
      <c r="W27" s="214"/>
      <c r="X27" s="215"/>
      <c r="Y27" s="215"/>
      <c r="Z27" s="215"/>
      <c r="AA27" s="215"/>
    </row>
    <row r="28" spans="1:27">
      <c r="A28" s="410">
        <f>+GAAP!A78</f>
        <v>52.867699999999999</v>
      </c>
      <c r="B28" s="57" t="str">
        <f>+GAAP!B78</f>
        <v>Gunner Ranch, Inc. - CSA 22C Tank and PW2 Site Improvements</v>
      </c>
      <c r="C28" s="214">
        <f>+GAAP!J78</f>
        <v>796055.3</v>
      </c>
      <c r="D28" s="214">
        <f t="shared" si="4"/>
        <v>0</v>
      </c>
      <c r="E28" s="214">
        <f>+GAAP!C78</f>
        <v>796055.3</v>
      </c>
      <c r="F28" s="214">
        <f>+GAAP!F78</f>
        <v>689831.96</v>
      </c>
      <c r="G28" s="214">
        <f t="shared" si="5"/>
        <v>0</v>
      </c>
      <c r="H28" s="214">
        <f t="shared" si="6"/>
        <v>689831.96</v>
      </c>
      <c r="I28" s="214">
        <f>+GAAP!E78</f>
        <v>106223.34000000008</v>
      </c>
      <c r="J28" s="319">
        <f>+GAAP!G78</f>
        <v>1</v>
      </c>
      <c r="K28" s="214">
        <f>+GAAP!H78</f>
        <v>106223.34000000008</v>
      </c>
      <c r="L28" s="214">
        <f>+GAAP!P78</f>
        <v>0</v>
      </c>
      <c r="M28" s="214">
        <f t="shared" si="7"/>
        <v>106223.34000000008</v>
      </c>
      <c r="N28" s="118" t="str">
        <f>GAAP!T78</f>
        <v>2024</v>
      </c>
      <c r="O28" s="320" t="str">
        <f>GAAP!U78</f>
        <v>2025</v>
      </c>
      <c r="P28" s="530" t="str">
        <f>+GAAP!V78</f>
        <v>.</v>
      </c>
      <c r="Q28" s="56"/>
      <c r="R28" s="214"/>
      <c r="S28" s="214"/>
      <c r="T28" s="214"/>
      <c r="U28" s="214"/>
      <c r="V28" s="214"/>
      <c r="W28" s="214"/>
      <c r="X28" s="215"/>
      <c r="Y28" s="215"/>
      <c r="Z28" s="215"/>
      <c r="AA28" s="215"/>
    </row>
    <row r="29" spans="1:27">
      <c r="A29" s="410">
        <f>+GAAP!A112</f>
        <v>53.200400000000002</v>
      </c>
      <c r="B29" s="57" t="str">
        <f>+GAAP!B112</f>
        <v>City of Millbrae - Millbrae Sludge Thickener &amp;  Digester No. 2 Rehab Project</v>
      </c>
      <c r="C29" s="214">
        <f>+GAAP!J112</f>
        <v>1173753.47</v>
      </c>
      <c r="D29" s="214">
        <f t="shared" si="4"/>
        <v>0</v>
      </c>
      <c r="E29" s="214">
        <f>+GAAP!C112</f>
        <v>1173753.47</v>
      </c>
      <c r="F29" s="214">
        <f>+GAAP!F112</f>
        <v>980791.05</v>
      </c>
      <c r="G29" s="214">
        <f t="shared" si="5"/>
        <v>0</v>
      </c>
      <c r="H29" s="214">
        <f t="shared" si="6"/>
        <v>980791.05</v>
      </c>
      <c r="I29" s="214">
        <f>+GAAP!E112</f>
        <v>192962.41999999993</v>
      </c>
      <c r="J29" s="319">
        <f>+GAAP!G112</f>
        <v>1</v>
      </c>
      <c r="K29" s="214">
        <f>+GAAP!H112</f>
        <v>192962.41999999993</v>
      </c>
      <c r="L29" s="214">
        <f>+GAAP!P112</f>
        <v>0</v>
      </c>
      <c r="M29" s="214">
        <f t="shared" si="7"/>
        <v>192962.41999999993</v>
      </c>
      <c r="N29" s="118" t="str">
        <f>GAAP!T112</f>
        <v>2024</v>
      </c>
      <c r="O29" s="320" t="str">
        <f>GAAP!U112</f>
        <v>2025</v>
      </c>
      <c r="P29" s="530" t="str">
        <f>+GAAP!V112</f>
        <v>.</v>
      </c>
      <c r="Q29" s="56"/>
      <c r="R29" s="214"/>
      <c r="S29" s="214"/>
      <c r="T29" s="214"/>
      <c r="U29" s="214"/>
      <c r="V29" s="214"/>
      <c r="W29" s="214"/>
      <c r="X29" s="215"/>
      <c r="Y29" s="215"/>
      <c r="Z29" s="215"/>
      <c r="AA29" s="215"/>
    </row>
    <row r="30" spans="1:27">
      <c r="A30" s="410">
        <f>+GAAP!A157</f>
        <v>54.9099</v>
      </c>
      <c r="B30" s="57" t="str">
        <f>+GAAP!B157</f>
        <v>Laguna County Sanitation Dist. - Phase 1 Plant Upgrade</v>
      </c>
      <c r="C30" s="214">
        <f>+GAAP!J157</f>
        <v>55712110</v>
      </c>
      <c r="D30" s="214">
        <f t="shared" ref="D30:D40" si="8">+E30-C30</f>
        <v>0</v>
      </c>
      <c r="E30" s="214">
        <f>+GAAP!C157</f>
        <v>55712110</v>
      </c>
      <c r="F30" s="214">
        <f>+GAAP!F157</f>
        <v>45328892.68</v>
      </c>
      <c r="G30" s="214">
        <f t="shared" ref="G30:G40" si="9">+H30-F30</f>
        <v>0</v>
      </c>
      <c r="H30" s="214">
        <f t="shared" ref="H30:H40" si="10">+E30-I30</f>
        <v>45328892.68</v>
      </c>
      <c r="I30" s="214">
        <f>+GAAP!E157</f>
        <v>10383217.32</v>
      </c>
      <c r="J30" s="319">
        <f>+GAAP!G157</f>
        <v>1</v>
      </c>
      <c r="K30" s="214">
        <f>+GAAP!H157</f>
        <v>10383217.32</v>
      </c>
      <c r="L30" s="214">
        <f>+GAAP!P157</f>
        <v>10372751.581458578</v>
      </c>
      <c r="M30" s="214">
        <f t="shared" ref="M30:M40" si="11">+K30-L30</f>
        <v>10465.738541422412</v>
      </c>
      <c r="N30" s="118" t="str">
        <f>GAAP!T157</f>
        <v>2020</v>
      </c>
      <c r="O30" s="320" t="str">
        <f>GAAP!U157</f>
        <v>2025</v>
      </c>
      <c r="P30" s="530" t="str">
        <f>+GAAP!V157</f>
        <v>.</v>
      </c>
      <c r="Q30" s="56"/>
      <c r="R30" s="214"/>
      <c r="S30" s="214"/>
      <c r="T30" s="214"/>
      <c r="U30" s="214"/>
      <c r="V30" s="214"/>
      <c r="W30" s="214"/>
      <c r="X30" s="215"/>
      <c r="Y30" s="215"/>
      <c r="Z30" s="215"/>
      <c r="AA30" s="215"/>
    </row>
    <row r="31" spans="1:27">
      <c r="A31" s="410">
        <f>+GAAP!A158</f>
        <v>54.917200000000001</v>
      </c>
      <c r="B31" s="57" t="str">
        <f>+GAAP!B158</f>
        <v>Calif. Rail Bldrs LLC - SWSD Distribution System Conflict</v>
      </c>
      <c r="C31" s="214">
        <f>+GAAP!J158</f>
        <v>24160002.440000001</v>
      </c>
      <c r="D31" s="214">
        <f t="shared" si="8"/>
        <v>0</v>
      </c>
      <c r="E31" s="214">
        <f>+GAAP!C158</f>
        <v>24160002.440000001</v>
      </c>
      <c r="F31" s="214">
        <f>+GAAP!F158</f>
        <v>21018432.220000003</v>
      </c>
      <c r="G31" s="214">
        <f t="shared" si="9"/>
        <v>0</v>
      </c>
      <c r="H31" s="214">
        <f t="shared" si="10"/>
        <v>21018432.220000003</v>
      </c>
      <c r="I31" s="214">
        <f>+GAAP!E158</f>
        <v>3141570.2199999988</v>
      </c>
      <c r="J31" s="319">
        <f>+GAAP!G158</f>
        <v>1</v>
      </c>
      <c r="K31" s="214">
        <f>+GAAP!H158</f>
        <v>3141570.2199999988</v>
      </c>
      <c r="L31" s="214">
        <f>+GAAP!P158</f>
        <v>3107901.8200000003</v>
      </c>
      <c r="M31" s="214">
        <f t="shared" si="11"/>
        <v>33668.39999999851</v>
      </c>
      <c r="N31" s="118" t="str">
        <f>GAAP!T158</f>
        <v>2021</v>
      </c>
      <c r="O31" s="320" t="str">
        <f>GAAP!U158</f>
        <v>2025</v>
      </c>
      <c r="P31" s="530" t="str">
        <f>+GAAP!V158</f>
        <v>.</v>
      </c>
      <c r="Q31" s="56"/>
      <c r="R31" s="214"/>
      <c r="S31" s="214"/>
      <c r="T31" s="214"/>
      <c r="U31" s="214"/>
      <c r="V31" s="214"/>
      <c r="W31" s="214"/>
      <c r="X31" s="215"/>
      <c r="Y31" s="215"/>
      <c r="Z31" s="215"/>
      <c r="AA31" s="215"/>
    </row>
    <row r="32" spans="1:27">
      <c r="A32" s="410">
        <f>+GAAP!A159</f>
        <v>54.921599999999998</v>
      </c>
      <c r="B32" s="57" t="str">
        <f>+GAAP!B159</f>
        <v>CA Dept. of Corr. - Water Treatment Improvements</v>
      </c>
      <c r="C32" s="214">
        <f>+GAAP!J159</f>
        <v>2472164.0499999998</v>
      </c>
      <c r="D32" s="214">
        <f t="shared" si="8"/>
        <v>0</v>
      </c>
      <c r="E32" s="214">
        <f>+GAAP!C159</f>
        <v>2472164.0499999998</v>
      </c>
      <c r="F32" s="214">
        <f>+GAAP!F159</f>
        <v>2286264.4300000002</v>
      </c>
      <c r="G32" s="214">
        <f t="shared" si="9"/>
        <v>0</v>
      </c>
      <c r="H32" s="214">
        <f t="shared" si="10"/>
        <v>2286264.4300000002</v>
      </c>
      <c r="I32" s="214">
        <f>+GAAP!E159</f>
        <v>185899.61999999965</v>
      </c>
      <c r="J32" s="319">
        <f>+GAAP!G159</f>
        <v>1</v>
      </c>
      <c r="K32" s="214">
        <f>+GAAP!H159</f>
        <v>185899.61999999965</v>
      </c>
      <c r="L32" s="214">
        <f>+GAAP!P159</f>
        <v>140849.75354732186</v>
      </c>
      <c r="M32" s="214">
        <f t="shared" si="11"/>
        <v>45049.866452677787</v>
      </c>
      <c r="N32" s="118" t="str">
        <f>GAAP!T159</f>
        <v>2022</v>
      </c>
      <c r="O32" s="320" t="str">
        <f>GAAP!U159</f>
        <v>2025</v>
      </c>
      <c r="P32" s="530" t="str">
        <f>+GAAP!V159</f>
        <v>.</v>
      </c>
      <c r="Q32" s="56"/>
      <c r="R32" s="214"/>
      <c r="S32" s="214"/>
      <c r="T32" s="214"/>
      <c r="U32" s="214"/>
      <c r="V32" s="214"/>
      <c r="W32" s="214"/>
      <c r="X32" s="215"/>
      <c r="Y32" s="215"/>
      <c r="Z32" s="215"/>
      <c r="AA32" s="215"/>
    </row>
    <row r="33" spans="1:27">
      <c r="A33" s="410">
        <f>+GAAP!A160</f>
        <v>54.924599999999998</v>
      </c>
      <c r="B33" s="57" t="str">
        <f>+GAAP!B160</f>
        <v>Kern County Water Agency - Well 38 &amp; 39 Well Equiping Project</v>
      </c>
      <c r="C33" s="214">
        <f>+GAAP!J160</f>
        <v>1777852</v>
      </c>
      <c r="D33" s="214">
        <f t="shared" si="8"/>
        <v>0</v>
      </c>
      <c r="E33" s="214">
        <f>+GAAP!C160</f>
        <v>1777852</v>
      </c>
      <c r="F33" s="214">
        <f>+GAAP!F160</f>
        <v>1708475.32</v>
      </c>
      <c r="G33" s="214">
        <f t="shared" si="9"/>
        <v>0</v>
      </c>
      <c r="H33" s="214">
        <f t="shared" si="10"/>
        <v>1708475.32</v>
      </c>
      <c r="I33" s="214">
        <f>+GAAP!E160</f>
        <v>69376.679999999935</v>
      </c>
      <c r="J33" s="319">
        <f>+GAAP!G160</f>
        <v>1</v>
      </c>
      <c r="K33" s="214">
        <f>+GAAP!H160</f>
        <v>69376.679999999935</v>
      </c>
      <c r="L33" s="214">
        <f>+GAAP!P160</f>
        <v>69196.454275845856</v>
      </c>
      <c r="M33" s="214">
        <f t="shared" si="11"/>
        <v>180.22572415407922</v>
      </c>
      <c r="N33" s="118" t="str">
        <f>GAAP!T160</f>
        <v>2022</v>
      </c>
      <c r="O33" s="320" t="str">
        <f>GAAP!U160</f>
        <v>2025</v>
      </c>
      <c r="P33" s="530" t="str">
        <f>+GAAP!V160</f>
        <v>.</v>
      </c>
      <c r="Q33" s="56"/>
      <c r="R33" s="214"/>
      <c r="S33" s="214"/>
      <c r="T33" s="214"/>
      <c r="U33" s="214"/>
      <c r="V33" s="214"/>
      <c r="W33" s="214"/>
      <c r="X33" s="215"/>
      <c r="Y33" s="215"/>
      <c r="Z33" s="215"/>
      <c r="AA33" s="215"/>
    </row>
    <row r="34" spans="1:27">
      <c r="A34" s="410">
        <f>+GAAP!A162</f>
        <v>54.927900000000001</v>
      </c>
      <c r="B34" s="57" t="str">
        <f>+GAAP!B162</f>
        <v>City of Bakersfield Public Works - Sewer Lift Station Rehabilitation</v>
      </c>
      <c r="C34" s="214">
        <f>+GAAP!J162</f>
        <v>3216240.01</v>
      </c>
      <c r="D34" s="214">
        <f t="shared" si="8"/>
        <v>0</v>
      </c>
      <c r="E34" s="214">
        <f>+GAAP!C162</f>
        <v>3216240.01</v>
      </c>
      <c r="F34" s="214">
        <f>+GAAP!F162</f>
        <v>3153237.4</v>
      </c>
      <c r="G34" s="214">
        <f t="shared" si="9"/>
        <v>0</v>
      </c>
      <c r="H34" s="214">
        <f t="shared" si="10"/>
        <v>3153237.4</v>
      </c>
      <c r="I34" s="214">
        <f>+GAAP!E162</f>
        <v>63002.60999999987</v>
      </c>
      <c r="J34" s="319">
        <f>+GAAP!G162</f>
        <v>1</v>
      </c>
      <c r="K34" s="214">
        <f>+GAAP!H162</f>
        <v>63002.60999999987</v>
      </c>
      <c r="L34" s="214">
        <f>+GAAP!P162</f>
        <v>-15000</v>
      </c>
      <c r="M34" s="214">
        <f t="shared" si="11"/>
        <v>78002.60999999987</v>
      </c>
      <c r="N34" s="118" t="str">
        <f>GAAP!T162</f>
        <v>2023</v>
      </c>
      <c r="O34" s="320" t="str">
        <f>GAAP!U162</f>
        <v>2025</v>
      </c>
      <c r="P34" s="530" t="str">
        <f>+GAAP!V162</f>
        <v>.</v>
      </c>
      <c r="Q34" s="56"/>
      <c r="R34" s="214"/>
      <c r="S34" s="214"/>
      <c r="T34" s="214"/>
      <c r="U34" s="214"/>
      <c r="V34" s="214"/>
      <c r="W34" s="214"/>
      <c r="X34" s="215"/>
      <c r="Y34" s="215"/>
      <c r="Z34" s="215"/>
      <c r="AA34" s="215"/>
    </row>
    <row r="35" spans="1:27">
      <c r="A35" s="410">
        <f>+GAAP!A165</f>
        <v>54.930900000000001</v>
      </c>
      <c r="B35" s="57" t="str">
        <f>+GAAP!B165</f>
        <v>Teviston Community Services Dist. - Teviston Drought Resilience Water System Impr</v>
      </c>
      <c r="C35" s="214">
        <f>+GAAP!J165</f>
        <v>3968668.9</v>
      </c>
      <c r="D35" s="214">
        <f t="shared" si="8"/>
        <v>0</v>
      </c>
      <c r="E35" s="214">
        <f>+GAAP!C165</f>
        <v>3968668.9</v>
      </c>
      <c r="F35" s="214">
        <f>+GAAP!F165</f>
        <v>3790858.34</v>
      </c>
      <c r="G35" s="214">
        <f t="shared" si="9"/>
        <v>0</v>
      </c>
      <c r="H35" s="214">
        <f t="shared" si="10"/>
        <v>3790858.34</v>
      </c>
      <c r="I35" s="214">
        <f>+GAAP!E165</f>
        <v>177810.56000000006</v>
      </c>
      <c r="J35" s="319">
        <f>+GAAP!G165</f>
        <v>1</v>
      </c>
      <c r="K35" s="214">
        <f>+GAAP!H165</f>
        <v>177810.56000000006</v>
      </c>
      <c r="L35" s="214">
        <f>+GAAP!P165</f>
        <v>62853.415841272123</v>
      </c>
      <c r="M35" s="214">
        <f t="shared" si="11"/>
        <v>114957.14415872793</v>
      </c>
      <c r="N35" s="118" t="str">
        <f>GAAP!T165</f>
        <v>2024</v>
      </c>
      <c r="O35" s="320" t="str">
        <f>GAAP!U165</f>
        <v>2025</v>
      </c>
      <c r="P35" s="530" t="str">
        <f>+GAAP!V165</f>
        <v>.</v>
      </c>
      <c r="Q35" s="56"/>
      <c r="R35" s="214"/>
      <c r="S35" s="214"/>
      <c r="T35" s="214"/>
      <c r="U35" s="214"/>
      <c r="V35" s="214"/>
      <c r="W35" s="214"/>
      <c r="X35" s="215"/>
      <c r="Y35" s="215"/>
      <c r="Z35" s="215"/>
      <c r="AA35" s="215"/>
    </row>
    <row r="36" spans="1:27">
      <c r="A36" s="410">
        <f>+GAAP!A168</f>
        <v>54.933300000000003</v>
      </c>
      <c r="B36" s="57" t="str">
        <f>+GAAP!B168</f>
        <v>Semitropic Water Storage Dist. - SWSD 2 Hydro Turbine Repair Project</v>
      </c>
      <c r="C36" s="214">
        <f>+GAAP!J168</f>
        <v>427464.77</v>
      </c>
      <c r="D36" s="214">
        <f t="shared" si="8"/>
        <v>0</v>
      </c>
      <c r="E36" s="214">
        <f>+GAAP!C168</f>
        <v>427464.77</v>
      </c>
      <c r="F36" s="214">
        <f>+GAAP!F168</f>
        <v>371915.25999999995</v>
      </c>
      <c r="G36" s="214">
        <f t="shared" si="9"/>
        <v>0</v>
      </c>
      <c r="H36" s="214">
        <f t="shared" si="10"/>
        <v>371915.25999999995</v>
      </c>
      <c r="I36" s="214">
        <f>+GAAP!E168</f>
        <v>55549.510000000068</v>
      </c>
      <c r="J36" s="319">
        <f>+GAAP!G168</f>
        <v>1</v>
      </c>
      <c r="K36" s="214">
        <f>+GAAP!H168</f>
        <v>55549.510000000068</v>
      </c>
      <c r="L36" s="214">
        <f>+GAAP!P168</f>
        <v>14888.679999999993</v>
      </c>
      <c r="M36" s="214">
        <f t="shared" si="11"/>
        <v>40660.830000000075</v>
      </c>
      <c r="N36" s="118" t="str">
        <f>GAAP!T168</f>
        <v>2024</v>
      </c>
      <c r="O36" s="320" t="str">
        <f>GAAP!U168</f>
        <v>2025</v>
      </c>
      <c r="P36" s="530" t="str">
        <f>+GAAP!V168</f>
        <v>.</v>
      </c>
      <c r="Q36" s="56"/>
      <c r="R36" s="214"/>
      <c r="S36" s="214"/>
      <c r="T36" s="214"/>
      <c r="U36" s="214"/>
      <c r="V36" s="214"/>
      <c r="W36" s="214"/>
      <c r="X36" s="215"/>
      <c r="Y36" s="215"/>
      <c r="Z36" s="215"/>
      <c r="AA36" s="215"/>
    </row>
    <row r="37" spans="1:27">
      <c r="A37" s="410">
        <f>+GAAP!A170</f>
        <v>54.934100000000001</v>
      </c>
      <c r="B37" s="57" t="str">
        <f>+GAAP!B170</f>
        <v>Nipomo Community Service Dist. - Water Project Interconnection Improvements</v>
      </c>
      <c r="C37" s="214">
        <f>+GAAP!J170</f>
        <v>1251279</v>
      </c>
      <c r="D37" s="214">
        <f t="shared" si="8"/>
        <v>0</v>
      </c>
      <c r="E37" s="214">
        <f>+GAAP!C170</f>
        <v>1251279</v>
      </c>
      <c r="F37" s="214">
        <f>+GAAP!F170</f>
        <v>1063532.3999999999</v>
      </c>
      <c r="G37" s="214">
        <f t="shared" si="9"/>
        <v>0</v>
      </c>
      <c r="H37" s="214">
        <f t="shared" si="10"/>
        <v>1063532.3999999999</v>
      </c>
      <c r="I37" s="214">
        <f>+GAAP!E170</f>
        <v>187746.60000000009</v>
      </c>
      <c r="J37" s="319">
        <f>+GAAP!G170</f>
        <v>1</v>
      </c>
      <c r="K37" s="214">
        <f>+GAAP!H170</f>
        <v>187746.60000000009</v>
      </c>
      <c r="L37" s="214">
        <f>+GAAP!P170</f>
        <v>9297.3859483269152</v>
      </c>
      <c r="M37" s="214">
        <f t="shared" si="11"/>
        <v>178449.21405167319</v>
      </c>
      <c r="N37" s="118" t="str">
        <f>GAAP!T170</f>
        <v>2024</v>
      </c>
      <c r="O37" s="320" t="str">
        <f>GAAP!U170</f>
        <v>2025</v>
      </c>
      <c r="P37" s="530" t="str">
        <f>+GAAP!V170</f>
        <v>.</v>
      </c>
      <c r="Q37" s="56"/>
      <c r="R37" s="214"/>
      <c r="S37" s="214"/>
      <c r="T37" s="214"/>
      <c r="U37" s="214"/>
      <c r="V37" s="214"/>
      <c r="W37" s="214"/>
      <c r="X37" s="215"/>
      <c r="Y37" s="215"/>
      <c r="Z37" s="215"/>
      <c r="AA37" s="215"/>
    </row>
    <row r="38" spans="1:27">
      <c r="A38" s="410">
        <f>+GAAP!A173</f>
        <v>54.934899999999999</v>
      </c>
      <c r="B38" s="57" t="str">
        <f>+GAAP!B173</f>
        <v>North of River Sanitary Dist. No. 1 - Sanitary Sewer Rehabilitation Package A</v>
      </c>
      <c r="C38" s="214">
        <f>+GAAP!J173</f>
        <v>290129</v>
      </c>
      <c r="D38" s="214">
        <f t="shared" si="8"/>
        <v>0</v>
      </c>
      <c r="E38" s="214">
        <f>+GAAP!C173</f>
        <v>290129</v>
      </c>
      <c r="F38" s="214">
        <f>+GAAP!F173</f>
        <v>197889.31</v>
      </c>
      <c r="G38" s="214">
        <f t="shared" si="9"/>
        <v>0</v>
      </c>
      <c r="H38" s="214">
        <f t="shared" si="10"/>
        <v>197889.31</v>
      </c>
      <c r="I38" s="214">
        <f>+GAAP!E173</f>
        <v>92239.69</v>
      </c>
      <c r="J38" s="319">
        <f>+GAAP!G173</f>
        <v>1</v>
      </c>
      <c r="K38" s="214">
        <f>+GAAP!H173</f>
        <v>92239.69</v>
      </c>
      <c r="L38" s="214">
        <f>+GAAP!P173</f>
        <v>4519.6836518046712</v>
      </c>
      <c r="M38" s="214">
        <f t="shared" si="11"/>
        <v>87720.006348195326</v>
      </c>
      <c r="N38" s="118" t="str">
        <f>GAAP!T173</f>
        <v>2024</v>
      </c>
      <c r="O38" s="320" t="str">
        <f>GAAP!U173</f>
        <v>2025</v>
      </c>
      <c r="P38" s="530" t="str">
        <f>+GAAP!V173</f>
        <v>.</v>
      </c>
      <c r="Q38" s="56"/>
      <c r="R38" s="214"/>
      <c r="S38" s="214"/>
      <c r="T38" s="214"/>
      <c r="U38" s="214"/>
      <c r="V38" s="214"/>
      <c r="W38" s="214"/>
      <c r="X38" s="215"/>
      <c r="Y38" s="215"/>
      <c r="Z38" s="215"/>
      <c r="AA38" s="215"/>
    </row>
    <row r="39" spans="1:27">
      <c r="A39" s="410">
        <f>+GAAP!A180</f>
        <v>54.9358</v>
      </c>
      <c r="B39" s="57" t="str">
        <f>+GAAP!B180</f>
        <v>Arvin Edison Water Storage Dist. - Frick Unit - Phase I Turnout</v>
      </c>
      <c r="C39" s="214">
        <f>+GAAP!J180</f>
        <v>1147640</v>
      </c>
      <c r="D39" s="214">
        <f t="shared" si="8"/>
        <v>0</v>
      </c>
      <c r="E39" s="214">
        <f>+GAAP!C180</f>
        <v>1147640</v>
      </c>
      <c r="F39" s="214">
        <f>+GAAP!F180</f>
        <v>1125399.83</v>
      </c>
      <c r="G39" s="214">
        <f t="shared" si="9"/>
        <v>0</v>
      </c>
      <c r="H39" s="214">
        <f t="shared" si="10"/>
        <v>1125399.83</v>
      </c>
      <c r="I39" s="214">
        <f>+GAAP!E180</f>
        <v>22240.169999999925</v>
      </c>
      <c r="J39" s="319">
        <f>+GAAP!G180</f>
        <v>1</v>
      </c>
      <c r="K39" s="214">
        <f>+GAAP!H180</f>
        <v>22240.169999999925</v>
      </c>
      <c r="L39" s="214">
        <f>+GAAP!P180</f>
        <v>15917.550693127087</v>
      </c>
      <c r="M39" s="214">
        <f t="shared" si="11"/>
        <v>6322.6193068728389</v>
      </c>
      <c r="N39" s="118" t="str">
        <f>GAAP!T180</f>
        <v>2024</v>
      </c>
      <c r="O39" s="320" t="str">
        <f>GAAP!U180</f>
        <v>2025</v>
      </c>
      <c r="P39" s="530" t="str">
        <f>+GAAP!V180</f>
        <v>.</v>
      </c>
      <c r="Q39" s="56"/>
      <c r="R39" s="214"/>
      <c r="S39" s="214"/>
      <c r="T39" s="214"/>
      <c r="U39" s="214"/>
      <c r="V39" s="214"/>
      <c r="W39" s="214"/>
      <c r="X39" s="215"/>
      <c r="Y39" s="215"/>
      <c r="Z39" s="215"/>
      <c r="AA39" s="215"/>
    </row>
    <row r="40" spans="1:27">
      <c r="A40" s="410">
        <f>+GAAP!A183</f>
        <v>54.936199999999999</v>
      </c>
      <c r="B40" s="57" t="str">
        <f>+GAAP!B183</f>
        <v>Cawelo Water Dist. - Remove and Replace 24” and 18” Well Line</v>
      </c>
      <c r="C40" s="214">
        <f>+GAAP!J183</f>
        <v>425035.04</v>
      </c>
      <c r="D40" s="214">
        <f t="shared" si="8"/>
        <v>0</v>
      </c>
      <c r="E40" s="214">
        <f>+GAAP!C183</f>
        <v>425035.04</v>
      </c>
      <c r="F40" s="214">
        <f>+GAAP!F183</f>
        <v>375601.24</v>
      </c>
      <c r="G40" s="214">
        <f t="shared" si="9"/>
        <v>0</v>
      </c>
      <c r="H40" s="214">
        <f t="shared" si="10"/>
        <v>375601.24</v>
      </c>
      <c r="I40" s="214">
        <f>+GAAP!E183</f>
        <v>49433.799999999988</v>
      </c>
      <c r="J40" s="319">
        <f>+GAAP!G183</f>
        <v>1</v>
      </c>
      <c r="K40" s="214">
        <f>+GAAP!H183</f>
        <v>49433.799999999988</v>
      </c>
      <c r="L40" s="214">
        <f>+GAAP!P183</f>
        <v>0</v>
      </c>
      <c r="M40" s="214">
        <f t="shared" si="11"/>
        <v>49433.799999999988</v>
      </c>
      <c r="N40" s="118" t="str">
        <f>GAAP!T183</f>
        <v>2024</v>
      </c>
      <c r="O40" s="320" t="str">
        <f>GAAP!U183</f>
        <v>2025</v>
      </c>
      <c r="P40" s="530" t="str">
        <f>+GAAP!V183</f>
        <v>.</v>
      </c>
      <c r="Q40" s="56"/>
      <c r="R40" s="214"/>
      <c r="S40" s="214"/>
      <c r="T40" s="214"/>
      <c r="U40" s="214"/>
      <c r="V40" s="214"/>
      <c r="W40" s="214"/>
      <c r="X40" s="215"/>
      <c r="Y40" s="215"/>
      <c r="Z40" s="215"/>
      <c r="AA40" s="215"/>
    </row>
    <row r="41" spans="1:27">
      <c r="A41" s="410">
        <f>+GAAP!A240</f>
        <v>55.122999999999998</v>
      </c>
      <c r="B41" s="57" t="str">
        <f>+GAAP!B240</f>
        <v>Anaergia Technologies - VVWRA - DAF 3 Replacement</v>
      </c>
      <c r="C41" s="214">
        <f>+GAAP!J240</f>
        <v>2273682.69</v>
      </c>
      <c r="D41" s="214">
        <f t="shared" ref="D41:D42" si="12">+E41-C41</f>
        <v>0</v>
      </c>
      <c r="E41" s="214">
        <f>+GAAP!C240</f>
        <v>2273682.69</v>
      </c>
      <c r="F41" s="214">
        <f>+GAAP!F240</f>
        <v>1665145.3</v>
      </c>
      <c r="G41" s="214">
        <f t="shared" ref="G41:G42" si="13">+H41-F41</f>
        <v>0</v>
      </c>
      <c r="H41" s="214">
        <f t="shared" ref="H41:H42" si="14">+E41-I41</f>
        <v>1665145.3</v>
      </c>
      <c r="I41" s="214">
        <f>+GAAP!E240</f>
        <v>608537.3899999999</v>
      </c>
      <c r="J41" s="319">
        <f>+GAAP!G240</f>
        <v>1</v>
      </c>
      <c r="K41" s="214">
        <f>+GAAP!H240</f>
        <v>608537.3899999999</v>
      </c>
      <c r="L41" s="214">
        <f>+GAAP!P240</f>
        <v>480252.03351581638</v>
      </c>
      <c r="M41" s="214">
        <f t="shared" ref="M41:M42" si="15">+K41-L41</f>
        <v>128285.35648418352</v>
      </c>
      <c r="N41" s="118" t="str">
        <f>GAAP!T240</f>
        <v>2023</v>
      </c>
      <c r="O41" s="320" t="str">
        <f>GAAP!U240</f>
        <v>2025</v>
      </c>
      <c r="P41" s="530" t="str">
        <f>+GAAP!V240</f>
        <v>.</v>
      </c>
      <c r="Q41" s="56"/>
      <c r="R41" s="214"/>
      <c r="S41" s="214"/>
      <c r="T41" s="214"/>
      <c r="U41" s="214"/>
      <c r="V41" s="214"/>
      <c r="W41" s="214"/>
      <c r="X41" s="215"/>
      <c r="Y41" s="215"/>
      <c r="Z41" s="215"/>
      <c r="AA41" s="215"/>
    </row>
    <row r="42" spans="1:27">
      <c r="A42" s="410">
        <f>+GAAP!A241</f>
        <v>55.123100000000001</v>
      </c>
      <c r="B42" s="57" t="str">
        <f>+GAAP!B241</f>
        <v>City of Corona - WRF 1 Aeration System Improvements</v>
      </c>
      <c r="C42" s="214">
        <f>+GAAP!J241</f>
        <v>4046200</v>
      </c>
      <c r="D42" s="214">
        <f t="shared" si="12"/>
        <v>0</v>
      </c>
      <c r="E42" s="214">
        <f>+GAAP!C241</f>
        <v>4046200</v>
      </c>
      <c r="F42" s="214">
        <f>+GAAP!F241</f>
        <v>3321856.36</v>
      </c>
      <c r="G42" s="214">
        <f t="shared" si="13"/>
        <v>0</v>
      </c>
      <c r="H42" s="214">
        <f t="shared" si="14"/>
        <v>3321856.36</v>
      </c>
      <c r="I42" s="214">
        <f>+GAAP!E241</f>
        <v>724343.64000000013</v>
      </c>
      <c r="J42" s="319">
        <f>+GAAP!G241</f>
        <v>1</v>
      </c>
      <c r="K42" s="214">
        <f>+GAAP!H241</f>
        <v>724343.64000000013</v>
      </c>
      <c r="L42" s="214">
        <f>+GAAP!P241</f>
        <v>627907.39539551828</v>
      </c>
      <c r="M42" s="214">
        <f t="shared" si="15"/>
        <v>96436.24460448185</v>
      </c>
      <c r="N42" s="118" t="str">
        <f>GAAP!T241</f>
        <v>2023</v>
      </c>
      <c r="O42" s="320" t="str">
        <f>GAAP!U241</f>
        <v>2025</v>
      </c>
      <c r="P42" s="530" t="str">
        <f>+GAAP!V241</f>
        <v>.</v>
      </c>
      <c r="Q42" s="56"/>
      <c r="R42" s="214"/>
      <c r="S42" s="214"/>
      <c r="T42" s="214"/>
      <c r="U42" s="214"/>
      <c r="V42" s="214"/>
      <c r="W42" s="214"/>
      <c r="X42" s="215"/>
      <c r="Y42" s="215"/>
      <c r="Z42" s="215"/>
      <c r="AA42" s="215"/>
    </row>
    <row r="43" spans="1:27">
      <c r="A43" s="410">
        <f>+GAAP!A321</f>
        <v>56.100299999999997</v>
      </c>
      <c r="B43" s="57" t="str">
        <f>+GAAP!B321</f>
        <v>Con J. Franke Electric, Inc. - Well 22 GAC Water Treatment</v>
      </c>
      <c r="C43" s="214">
        <f>+GAAP!J321</f>
        <v>332901</v>
      </c>
      <c r="D43" s="214">
        <f t="shared" ref="D43:D46" si="16">+E43-C43</f>
        <v>0</v>
      </c>
      <c r="E43" s="214">
        <f>+GAAP!C321</f>
        <v>332901</v>
      </c>
      <c r="F43" s="214">
        <f>+GAAP!F321</f>
        <v>223395.74</v>
      </c>
      <c r="G43" s="214">
        <f t="shared" ref="G43:G46" si="17">+H43-F43</f>
        <v>0</v>
      </c>
      <c r="H43" s="214">
        <f t="shared" ref="H43:H46" si="18">+E43-I43</f>
        <v>223395.74</v>
      </c>
      <c r="I43" s="214">
        <f>+GAAP!E321</f>
        <v>109505.26000000001</v>
      </c>
      <c r="J43" s="319">
        <f>+GAAP!G321</f>
        <v>1</v>
      </c>
      <c r="K43" s="214">
        <f>+GAAP!H321</f>
        <v>109505.26000000001</v>
      </c>
      <c r="L43" s="214">
        <f>+GAAP!P321</f>
        <v>64460.986325599602</v>
      </c>
      <c r="M43" s="214">
        <f t="shared" ref="M43:M46" si="19">+K43-L43</f>
        <v>45044.273674400407</v>
      </c>
      <c r="N43" s="118" t="str">
        <f>GAAP!T321</f>
        <v>2023</v>
      </c>
      <c r="O43" s="320" t="str">
        <f>GAAP!U321</f>
        <v>2025</v>
      </c>
      <c r="P43" s="530" t="str">
        <f>+GAAP!V321</f>
        <v>.</v>
      </c>
      <c r="Q43" s="56"/>
      <c r="R43" s="214"/>
      <c r="S43" s="214"/>
      <c r="T43" s="214"/>
      <c r="U43" s="214"/>
      <c r="V43" s="214"/>
      <c r="W43" s="214"/>
      <c r="X43" s="215"/>
      <c r="Y43" s="215"/>
      <c r="Z43" s="215"/>
      <c r="AA43" s="215"/>
    </row>
    <row r="44" spans="1:27">
      <c r="A44" s="410">
        <f>+GAAP!A330</f>
        <v>56.103000000000002</v>
      </c>
      <c r="B44" s="57" t="str">
        <f>+GAAP!B330</f>
        <v>AIC - Core Electrical Services, Inc. - Corte Madera, Town of - Paradise PS RehabiProject</v>
      </c>
      <c r="C44" s="214">
        <f>+GAAP!J330</f>
        <v>689578.64</v>
      </c>
      <c r="D44" s="214">
        <f t="shared" si="16"/>
        <v>0</v>
      </c>
      <c r="E44" s="214">
        <f>+GAAP!C330</f>
        <v>689578.64</v>
      </c>
      <c r="F44" s="214">
        <f>+GAAP!F330</f>
        <v>689578.64</v>
      </c>
      <c r="G44" s="214">
        <f t="shared" si="17"/>
        <v>0</v>
      </c>
      <c r="H44" s="214">
        <f t="shared" si="18"/>
        <v>689578.64</v>
      </c>
      <c r="I44" s="214">
        <f>+GAAP!E330</f>
        <v>0</v>
      </c>
      <c r="J44" s="319">
        <f>+GAAP!G330</f>
        <v>1</v>
      </c>
      <c r="K44" s="214">
        <f>+GAAP!H330</f>
        <v>0</v>
      </c>
      <c r="L44" s="214">
        <f>+GAAP!P330</f>
        <v>18034.019023179</v>
      </c>
      <c r="M44" s="214">
        <f t="shared" si="19"/>
        <v>-18034.019023179</v>
      </c>
      <c r="N44" s="118" t="str">
        <f>GAAP!T330</f>
        <v>2024</v>
      </c>
      <c r="O44" s="320" t="str">
        <f>GAAP!U330</f>
        <v>2025</v>
      </c>
      <c r="P44" s="530" t="str">
        <f>+GAAP!V330</f>
        <v>.</v>
      </c>
      <c r="Q44" s="56"/>
      <c r="R44" s="214"/>
      <c r="S44" s="214"/>
      <c r="T44" s="214"/>
      <c r="U44" s="214"/>
      <c r="V44" s="214"/>
      <c r="W44" s="214"/>
      <c r="X44" s="215"/>
      <c r="Y44" s="215"/>
      <c r="Z44" s="215"/>
      <c r="AA44" s="215"/>
    </row>
    <row r="45" spans="1:27">
      <c r="A45" s="410">
        <f>+GAAP!A339</f>
        <v>56.106200000000001</v>
      </c>
      <c r="B45" s="57" t="str">
        <f>+GAAP!B339</f>
        <v>AIC - SCADA System Upgrade - City of Brentwood</v>
      </c>
      <c r="C45" s="214">
        <f>+GAAP!J339</f>
        <v>409988.07</v>
      </c>
      <c r="D45" s="214">
        <f t="shared" si="16"/>
        <v>0</v>
      </c>
      <c r="E45" s="214">
        <f>+GAAP!C339</f>
        <v>409988.07</v>
      </c>
      <c r="F45" s="214">
        <f>+GAAP!F339</f>
        <v>409988.07</v>
      </c>
      <c r="G45" s="214">
        <f t="shared" si="17"/>
        <v>0</v>
      </c>
      <c r="H45" s="214">
        <f t="shared" si="18"/>
        <v>409988.07</v>
      </c>
      <c r="I45" s="214">
        <f>+GAAP!E339</f>
        <v>0</v>
      </c>
      <c r="J45" s="319">
        <f>+GAAP!G339</f>
        <v>1</v>
      </c>
      <c r="K45" s="214">
        <f>+GAAP!H339</f>
        <v>0</v>
      </c>
      <c r="L45" s="214">
        <f>+GAAP!P339</f>
        <v>0</v>
      </c>
      <c r="M45" s="214">
        <f t="shared" si="19"/>
        <v>0</v>
      </c>
      <c r="N45" s="118" t="str">
        <f>GAAP!T339</f>
        <v>2024</v>
      </c>
      <c r="O45" s="320" t="str">
        <f>GAAP!U339</f>
        <v>2025</v>
      </c>
      <c r="P45" s="530" t="str">
        <f>+GAAP!V339</f>
        <v>.</v>
      </c>
      <c r="Q45" s="56"/>
      <c r="R45" s="214"/>
      <c r="S45" s="214"/>
      <c r="T45" s="214"/>
      <c r="U45" s="214"/>
      <c r="V45" s="214"/>
      <c r="W45" s="214"/>
      <c r="X45" s="215"/>
      <c r="Y45" s="215"/>
      <c r="Z45" s="215"/>
      <c r="AA45" s="215"/>
    </row>
    <row r="46" spans="1:27">
      <c r="A46" s="410">
        <f>+GAAP!A340</f>
        <v>56.106400000000001</v>
      </c>
      <c r="B46" s="57" t="str">
        <f>+GAAP!B340</f>
        <v>South Orange County Water Agency - CTP &amp; JBL SCADA Upgrade</v>
      </c>
      <c r="C46" s="214">
        <f>+GAAP!J340</f>
        <v>435153</v>
      </c>
      <c r="D46" s="214">
        <f t="shared" si="16"/>
        <v>0</v>
      </c>
      <c r="E46" s="214">
        <f>+GAAP!C340</f>
        <v>435153</v>
      </c>
      <c r="F46" s="214">
        <f>+GAAP!F340</f>
        <v>202266.4</v>
      </c>
      <c r="G46" s="214">
        <f t="shared" si="17"/>
        <v>0</v>
      </c>
      <c r="H46" s="214">
        <f t="shared" si="18"/>
        <v>202266.4</v>
      </c>
      <c r="I46" s="214">
        <f>+GAAP!E340</f>
        <v>232886.6</v>
      </c>
      <c r="J46" s="319">
        <f>+GAAP!G340</f>
        <v>1</v>
      </c>
      <c r="K46" s="214">
        <f>+GAAP!H340</f>
        <v>232886.6</v>
      </c>
      <c r="L46" s="214">
        <f>+GAAP!P340</f>
        <v>69496.489617537954</v>
      </c>
      <c r="M46" s="214">
        <f t="shared" si="19"/>
        <v>163390.11038246204</v>
      </c>
      <c r="N46" s="118" t="str">
        <f>GAAP!T340</f>
        <v>2024</v>
      </c>
      <c r="O46" s="320" t="str">
        <f>GAAP!U340</f>
        <v>2025</v>
      </c>
      <c r="P46" s="530" t="str">
        <f>+GAAP!V340</f>
        <v>.</v>
      </c>
      <c r="Q46" s="56"/>
      <c r="R46" s="214"/>
      <c r="S46" s="214"/>
      <c r="T46" s="214"/>
      <c r="U46" s="214"/>
      <c r="V46" s="214"/>
      <c r="W46" s="214"/>
      <c r="X46" s="215"/>
      <c r="Y46" s="215"/>
      <c r="Z46" s="215"/>
      <c r="AA46" s="215"/>
    </row>
    <row r="47" spans="1:27">
      <c r="A47" s="410"/>
      <c r="C47" s="214"/>
      <c r="D47" s="214"/>
      <c r="E47" s="214"/>
      <c r="F47" s="214"/>
      <c r="G47" s="214"/>
      <c r="H47" s="214"/>
      <c r="I47" s="214"/>
      <c r="J47" s="319"/>
      <c r="K47" s="214"/>
      <c r="L47" s="214"/>
      <c r="M47" s="214"/>
      <c r="N47" s="118"/>
      <c r="O47" s="320"/>
      <c r="P47" s="321"/>
      <c r="Q47" s="56"/>
      <c r="R47" s="214"/>
      <c r="S47" s="214"/>
      <c r="T47" s="214"/>
      <c r="U47" s="214"/>
      <c r="V47" s="214"/>
      <c r="W47" s="214"/>
      <c r="X47" s="215"/>
      <c r="Y47" s="215"/>
      <c r="Z47" s="215"/>
      <c r="AA47" s="215"/>
    </row>
    <row r="48" spans="1:27">
      <c r="A48" s="315" t="s">
        <v>202</v>
      </c>
      <c r="C48" s="214"/>
      <c r="D48" s="214"/>
      <c r="E48" s="214"/>
      <c r="F48" s="214"/>
      <c r="G48" s="214"/>
      <c r="H48" s="214"/>
      <c r="I48" s="214"/>
      <c r="J48" s="319"/>
      <c r="K48" s="214"/>
      <c r="L48" s="214"/>
      <c r="M48" s="214"/>
      <c r="N48" s="118"/>
      <c r="O48" s="320"/>
      <c r="P48" s="321"/>
      <c r="Q48" s="56"/>
      <c r="R48" s="214"/>
      <c r="S48" s="214"/>
      <c r="T48" s="214"/>
      <c r="U48" s="214"/>
      <c r="V48" s="214"/>
      <c r="W48" s="214"/>
      <c r="X48" s="215"/>
      <c r="Y48" s="215"/>
      <c r="Z48" s="215"/>
      <c r="AA48" s="215"/>
    </row>
    <row r="49" spans="1:27">
      <c r="A49" s="410">
        <f>+GAAP!A9</f>
        <v>51.110799999999998</v>
      </c>
      <c r="B49" s="57" t="str">
        <f>+GAAP!B9</f>
        <v>City of Stockton - RWCF Phase 2A/2B</v>
      </c>
      <c r="C49" s="214">
        <f>+GAAP!J9</f>
        <v>94045647.859999999</v>
      </c>
      <c r="D49" s="214">
        <f t="shared" ref="D49" si="20">+E49-C49</f>
        <v>0</v>
      </c>
      <c r="E49" s="214">
        <f>+GAAP!C9</f>
        <v>94045647.859999999</v>
      </c>
      <c r="F49" s="214">
        <f>+GAAP!F9</f>
        <v>89805617.799999997</v>
      </c>
      <c r="G49" s="214">
        <f t="shared" ref="G49" si="21">+H49-F49</f>
        <v>0</v>
      </c>
      <c r="H49" s="214">
        <f t="shared" ref="H49" si="22">+E49-I49</f>
        <v>89805617.799999997</v>
      </c>
      <c r="I49" s="214">
        <f>+GAAP!E9</f>
        <v>4240030.0600000024</v>
      </c>
      <c r="J49" s="319">
        <f>+GAAP!G9</f>
        <v>1</v>
      </c>
      <c r="K49" s="214">
        <f>+GAAP!H9</f>
        <v>4240030.0600000024</v>
      </c>
      <c r="L49" s="214">
        <f>+GAAP!P9</f>
        <v>4035762.5700000077</v>
      </c>
      <c r="M49" s="214">
        <f t="shared" ref="M49" si="23">+K49-L49</f>
        <v>204267.48999999464</v>
      </c>
      <c r="N49" s="118" t="str">
        <f>GAAP!T9</f>
        <v>2019</v>
      </c>
      <c r="O49" s="320">
        <f>+GAAP!U9</f>
        <v>0</v>
      </c>
      <c r="P49" s="321" t="str">
        <f>+GAAP!V9</f>
        <v>.</v>
      </c>
      <c r="Q49" s="56"/>
      <c r="R49" s="214"/>
      <c r="S49" s="214"/>
      <c r="T49" s="214"/>
      <c r="U49" s="214"/>
      <c r="V49" s="214"/>
      <c r="W49" s="214"/>
      <c r="X49" s="215"/>
      <c r="Y49" s="215"/>
      <c r="Z49" s="215"/>
      <c r="AA49" s="215"/>
    </row>
    <row r="50" spans="1:27">
      <c r="A50" s="410">
        <f>+GAAP!A10</f>
        <v>51.112900000000003</v>
      </c>
      <c r="B50" s="57" t="str">
        <f>+GAAP!B10</f>
        <v>Union Sanit. Dist - Enhanced Trtmnt &amp; Site Upgrd Ph. 1A Aeration Basin</v>
      </c>
      <c r="C50" s="214">
        <f>+GAAP!J10</f>
        <v>96918206.900000006</v>
      </c>
      <c r="D50" s="214">
        <f t="shared" ref="D50:D66" si="24">+E50-C50</f>
        <v>29565373.939999998</v>
      </c>
      <c r="E50" s="214">
        <f>+GAAP!C10</f>
        <v>126483580.84</v>
      </c>
      <c r="F50" s="214">
        <f>+GAAP!F10</f>
        <v>87315159.219999999</v>
      </c>
      <c r="G50" s="214">
        <f t="shared" ref="G50:G66" si="25">+H50-F50</f>
        <v>27918421.620000005</v>
      </c>
      <c r="H50" s="214">
        <f t="shared" ref="H50:H66" si="26">+E50-I50</f>
        <v>115233580.84</v>
      </c>
      <c r="I50" s="214">
        <f>+GAAP!E10</f>
        <v>11250000</v>
      </c>
      <c r="J50" s="319">
        <f>+GAAP!G10</f>
        <v>0.75772321387144703</v>
      </c>
      <c r="K50" s="214">
        <f>+GAAP!H10</f>
        <v>8524386.1560537796</v>
      </c>
      <c r="L50" s="214">
        <f>+GAAP!P10</f>
        <v>6957477.3602031237</v>
      </c>
      <c r="M50" s="214">
        <f t="shared" ref="M50:M66" si="27">+K50-L50</f>
        <v>1566908.795850656</v>
      </c>
      <c r="N50" s="118" t="str">
        <f>GAAP!T10</f>
        <v>2022</v>
      </c>
      <c r="O50" s="320">
        <f>+GAAP!U10</f>
        <v>0</v>
      </c>
      <c r="P50" s="321" t="str">
        <f>+GAAP!V10</f>
        <v>.</v>
      </c>
      <c r="Q50" s="56"/>
      <c r="R50" s="214"/>
      <c r="S50" s="214"/>
      <c r="T50" s="214"/>
      <c r="U50" s="214"/>
      <c r="V50" s="214"/>
      <c r="W50" s="214"/>
      <c r="X50" s="215"/>
      <c r="Y50" s="215"/>
      <c r="Z50" s="215"/>
      <c r="AA50" s="215"/>
    </row>
    <row r="51" spans="1:27">
      <c r="A51" s="410">
        <f>+GAAP!A11</f>
        <v>51.113700000000001</v>
      </c>
      <c r="B51" s="57" t="str">
        <f>+GAAP!B11</f>
        <v>CA Water Service Co. - Bear Gulch Pump Station 18</v>
      </c>
      <c r="C51" s="214">
        <f>+GAAP!J11</f>
        <v>1121900.01</v>
      </c>
      <c r="D51" s="214">
        <f t="shared" si="24"/>
        <v>190251.44999999995</v>
      </c>
      <c r="E51" s="214">
        <f>+GAAP!C11</f>
        <v>1312151.46</v>
      </c>
      <c r="F51" s="214">
        <f>+GAAP!F11</f>
        <v>1042229.29</v>
      </c>
      <c r="G51" s="214">
        <f t="shared" si="25"/>
        <v>156282.16999999993</v>
      </c>
      <c r="H51" s="214">
        <f t="shared" si="26"/>
        <v>1198511.46</v>
      </c>
      <c r="I51" s="214">
        <f>+GAAP!E11</f>
        <v>113640</v>
      </c>
      <c r="J51" s="319">
        <f>+GAAP!G11</f>
        <v>0.86960310750804171</v>
      </c>
      <c r="K51" s="214">
        <f>+GAAP!H11</f>
        <v>98821.697137213865</v>
      </c>
      <c r="L51" s="214">
        <f>+GAAP!P11</f>
        <v>27243.588658981782</v>
      </c>
      <c r="M51" s="214">
        <f t="shared" si="27"/>
        <v>71578.108478232083</v>
      </c>
      <c r="N51" s="118" t="str">
        <f>GAAP!T11</f>
        <v>2023</v>
      </c>
      <c r="O51" s="320">
        <f>+GAAP!U11</f>
        <v>0</v>
      </c>
      <c r="P51" s="321" t="str">
        <f>+GAAP!V11</f>
        <v>.</v>
      </c>
      <c r="Q51" s="56"/>
      <c r="R51" s="214"/>
      <c r="S51" s="214"/>
      <c r="T51" s="214"/>
      <c r="U51" s="214"/>
      <c r="V51" s="214"/>
      <c r="W51" s="214"/>
      <c r="X51" s="215"/>
      <c r="Y51" s="215"/>
      <c r="Z51" s="215"/>
      <c r="AA51" s="215"/>
    </row>
    <row r="52" spans="1:27">
      <c r="A52" s="410">
        <f>+GAAP!A12</f>
        <v>51.114400000000003</v>
      </c>
      <c r="B52" s="57" t="str">
        <f>+GAAP!B12</f>
        <v>Silicon Valley Clean Water - FEP Improvements Project</v>
      </c>
      <c r="C52" s="214">
        <f>+GAAP!J12</f>
        <v>9667725.7699999996</v>
      </c>
      <c r="D52" s="214">
        <f t="shared" si="24"/>
        <v>5301840.2300000004</v>
      </c>
      <c r="E52" s="214">
        <f>+GAAP!C12</f>
        <v>14969566</v>
      </c>
      <c r="F52" s="214">
        <f>+GAAP!F12</f>
        <v>8406760.8000000007</v>
      </c>
      <c r="G52" s="214">
        <f t="shared" si="25"/>
        <v>5432856.1999999993</v>
      </c>
      <c r="H52" s="214">
        <f t="shared" si="26"/>
        <v>13839617</v>
      </c>
      <c r="I52" s="214">
        <f>+GAAP!E12</f>
        <v>1129949</v>
      </c>
      <c r="J52" s="319">
        <f>+GAAP!G12</f>
        <v>0.60744172327890289</v>
      </c>
      <c r="K52" s="214">
        <f>+GAAP!H12</f>
        <v>686378.16777727299</v>
      </c>
      <c r="L52" s="214">
        <f>+GAAP!P12</f>
        <v>90331.451153550006</v>
      </c>
      <c r="M52" s="214">
        <f t="shared" si="27"/>
        <v>596046.71662372304</v>
      </c>
      <c r="N52" s="118" t="str">
        <f>GAAP!T12</f>
        <v>2023</v>
      </c>
      <c r="O52" s="320">
        <f>+GAAP!U12</f>
        <v>0</v>
      </c>
      <c r="P52" s="321" t="str">
        <f>+GAAP!V12</f>
        <v>.</v>
      </c>
      <c r="Q52" s="56"/>
      <c r="R52" s="214"/>
      <c r="S52" s="214"/>
      <c r="T52" s="214"/>
      <c r="U52" s="214"/>
      <c r="V52" s="214"/>
      <c r="W52" s="214"/>
      <c r="X52" s="215"/>
      <c r="Y52" s="215"/>
      <c r="Z52" s="215"/>
      <c r="AA52" s="215"/>
    </row>
    <row r="53" spans="1:27">
      <c r="A53" s="410">
        <f>+GAAP!A13</f>
        <v>51.114600000000003</v>
      </c>
      <c r="B53" s="57" t="str">
        <f>+GAAP!B13</f>
        <v>National Carbon Technologies, LLC - Aymium Williams Production Facility</v>
      </c>
      <c r="C53" s="214">
        <f>+GAAP!J13</f>
        <v>60980234</v>
      </c>
      <c r="D53" s="214">
        <f t="shared" si="24"/>
        <v>0</v>
      </c>
      <c r="E53" s="214">
        <f>+GAAP!C13</f>
        <v>60980234</v>
      </c>
      <c r="F53" s="214">
        <f>+GAAP!F13</f>
        <v>40950686.5</v>
      </c>
      <c r="G53" s="214">
        <f t="shared" si="25"/>
        <v>3246167.5300000012</v>
      </c>
      <c r="H53" s="214">
        <f t="shared" si="26"/>
        <v>44196854.030000001</v>
      </c>
      <c r="I53" s="214">
        <f>+GAAP!E13</f>
        <v>16783379.969999999</v>
      </c>
      <c r="J53" s="319">
        <f>+GAAP!G13</f>
        <v>0.92655206798663625</v>
      </c>
      <c r="K53" s="214">
        <f>+GAAP!H13</f>
        <v>15550675.419008989</v>
      </c>
      <c r="L53" s="214">
        <f>+GAAP!P13</f>
        <v>0</v>
      </c>
      <c r="M53" s="214">
        <f t="shared" si="27"/>
        <v>15550675.419008989</v>
      </c>
      <c r="N53" s="118" t="str">
        <f>GAAP!T13</f>
        <v>2023</v>
      </c>
      <c r="O53" s="320">
        <f>+GAAP!U13</f>
        <v>0</v>
      </c>
      <c r="P53" s="321" t="str">
        <f>+GAAP!V13</f>
        <v>.</v>
      </c>
      <c r="Q53" s="56"/>
      <c r="R53" s="214"/>
      <c r="S53" s="214"/>
      <c r="T53" s="214"/>
      <c r="U53" s="214"/>
      <c r="V53" s="214"/>
      <c r="W53" s="214"/>
      <c r="X53" s="215"/>
      <c r="Y53" s="215"/>
      <c r="Z53" s="215"/>
      <c r="AA53" s="215"/>
    </row>
    <row r="54" spans="1:27">
      <c r="A54" s="410">
        <f>+GAAP!A14</f>
        <v>51.115099999999998</v>
      </c>
      <c r="B54" s="57" t="str">
        <f>+GAAP!B14</f>
        <v>Sonoma Valley County Sanitation Dist. - Sonoma Valley Influent Effluent Upgrade</v>
      </c>
      <c r="C54" s="214">
        <f>+GAAP!J14</f>
        <v>5009265.21</v>
      </c>
      <c r="D54" s="214">
        <f t="shared" si="24"/>
        <v>5648934.79</v>
      </c>
      <c r="E54" s="214">
        <f>+GAAP!C14</f>
        <v>10658200</v>
      </c>
      <c r="F54" s="214">
        <f>+GAAP!F14</f>
        <v>4923435.18</v>
      </c>
      <c r="G54" s="214">
        <f t="shared" si="25"/>
        <v>5155916.82</v>
      </c>
      <c r="H54" s="214">
        <f t="shared" si="26"/>
        <v>10079352</v>
      </c>
      <c r="I54" s="214">
        <f>+GAAP!E14</f>
        <v>578848</v>
      </c>
      <c r="J54" s="319">
        <f>+GAAP!G14</f>
        <v>0.48846743123962727</v>
      </c>
      <c r="K54" s="214">
        <f>+GAAP!H14</f>
        <v>282748.39563819574</v>
      </c>
      <c r="L54" s="214">
        <f>+GAAP!P14</f>
        <v>0</v>
      </c>
      <c r="M54" s="214">
        <f t="shared" si="27"/>
        <v>282748.39563819574</v>
      </c>
      <c r="N54" s="118" t="str">
        <f>GAAP!T14</f>
        <v>2024</v>
      </c>
      <c r="O54" s="320">
        <f>+GAAP!U14</f>
        <v>0</v>
      </c>
      <c r="P54" s="321" t="str">
        <f>+GAAP!V14</f>
        <v>.</v>
      </c>
      <c r="Q54" s="56"/>
      <c r="R54" s="214"/>
      <c r="S54" s="214"/>
      <c r="T54" s="214"/>
      <c r="U54" s="214"/>
      <c r="V54" s="214"/>
      <c r="W54" s="214"/>
      <c r="X54" s="215"/>
      <c r="Y54" s="215"/>
      <c r="Z54" s="215"/>
      <c r="AA54" s="215"/>
    </row>
    <row r="55" spans="1:27">
      <c r="A55" s="410">
        <f>+GAAP!A15</f>
        <v>51.115200000000002</v>
      </c>
      <c r="B55" s="57" t="str">
        <f>+GAAP!B15</f>
        <v>Mozingo Construction Inc - ElD Sly Park Intertie Project</v>
      </c>
      <c r="C55" s="214">
        <f>+GAAP!J15</f>
        <v>15610649.01</v>
      </c>
      <c r="D55" s="214">
        <f t="shared" si="24"/>
        <v>4363840.33</v>
      </c>
      <c r="E55" s="214">
        <f>+GAAP!C15</f>
        <v>19974489.34</v>
      </c>
      <c r="F55" s="214">
        <f>+GAAP!F15</f>
        <v>13474808.539999999</v>
      </c>
      <c r="G55" s="214">
        <f t="shared" si="25"/>
        <v>5154139.8000000007</v>
      </c>
      <c r="H55" s="214">
        <f t="shared" si="26"/>
        <v>18628948.34</v>
      </c>
      <c r="I55" s="214">
        <f>+GAAP!E15</f>
        <v>1345541</v>
      </c>
      <c r="J55" s="319">
        <f>+GAAP!G15</f>
        <v>0.72332631418956417</v>
      </c>
      <c r="K55" s="214">
        <f>+GAAP!H15</f>
        <v>973265.21212094033</v>
      </c>
      <c r="L55" s="214">
        <f>+GAAP!P15</f>
        <v>0</v>
      </c>
      <c r="M55" s="214">
        <f t="shared" si="27"/>
        <v>973265.21212094033</v>
      </c>
      <c r="N55" s="118" t="str">
        <f>GAAP!T15</f>
        <v>2024</v>
      </c>
      <c r="O55" s="320">
        <f>+GAAP!U15</f>
        <v>0</v>
      </c>
      <c r="P55" s="321" t="str">
        <f>+GAAP!V15</f>
        <v>.</v>
      </c>
      <c r="Q55" s="56"/>
      <c r="R55" s="214"/>
      <c r="S55" s="214"/>
      <c r="T55" s="214"/>
      <c r="U55" s="214"/>
      <c r="V55" s="214"/>
      <c r="W55" s="214"/>
      <c r="X55" s="215"/>
      <c r="Y55" s="215"/>
      <c r="Z55" s="215"/>
      <c r="AA55" s="215"/>
    </row>
    <row r="56" spans="1:27">
      <c r="A56" s="410">
        <f>+GAAP!A16</f>
        <v>51.115299999999998</v>
      </c>
      <c r="B56" s="57" t="str">
        <f>+GAAP!B16</f>
        <v>Linda County Water Dist. - Aeration Blower Replacement</v>
      </c>
      <c r="C56" s="214">
        <f>+GAAP!J16</f>
        <v>549548.82999999996</v>
      </c>
      <c r="D56" s="214">
        <f t="shared" si="24"/>
        <v>13275.850000000093</v>
      </c>
      <c r="E56" s="214">
        <f>+GAAP!C16</f>
        <v>562824.68000000005</v>
      </c>
      <c r="F56" s="214">
        <f>+GAAP!F16</f>
        <v>334550.81</v>
      </c>
      <c r="G56" s="214">
        <f t="shared" si="25"/>
        <v>119969.87000000005</v>
      </c>
      <c r="H56" s="214">
        <f t="shared" si="26"/>
        <v>454520.68000000005</v>
      </c>
      <c r="I56" s="214">
        <f>+GAAP!E16</f>
        <v>108304</v>
      </c>
      <c r="J56" s="319">
        <f>+GAAP!G16</f>
        <v>0.7360518997727451</v>
      </c>
      <c r="K56" s="214">
        <f>+GAAP!H16</f>
        <v>79717.36495298738</v>
      </c>
      <c r="L56" s="214">
        <f>+GAAP!P16</f>
        <v>12859.389183176303</v>
      </c>
      <c r="M56" s="214">
        <f t="shared" si="27"/>
        <v>66857.975769811077</v>
      </c>
      <c r="N56" s="118" t="str">
        <f>GAAP!T16</f>
        <v>2024</v>
      </c>
      <c r="O56" s="320">
        <f>+GAAP!U16</f>
        <v>0</v>
      </c>
      <c r="P56" s="321" t="str">
        <f>+GAAP!V16</f>
        <v>.</v>
      </c>
      <c r="Q56" s="56"/>
      <c r="R56" s="214"/>
      <c r="S56" s="214"/>
      <c r="T56" s="214"/>
      <c r="U56" s="214"/>
      <c r="V56" s="214"/>
      <c r="W56" s="214"/>
      <c r="X56" s="215"/>
      <c r="Y56" s="215"/>
      <c r="Z56" s="215"/>
      <c r="AA56" s="215"/>
    </row>
    <row r="57" spans="1:27">
      <c r="A57" s="410">
        <f>+GAAP!A17</f>
        <v>51.115400000000001</v>
      </c>
      <c r="B57" s="57" t="str">
        <f>+GAAP!B17</f>
        <v>Keyes Community Services Dist. - TCP Treatment Impvmts Wells 7,8,9,10</v>
      </c>
      <c r="C57" s="214">
        <f>+GAAP!J17</f>
        <v>13340008</v>
      </c>
      <c r="D57" s="214">
        <f t="shared" si="24"/>
        <v>23827</v>
      </c>
      <c r="E57" s="214">
        <f>+GAAP!C17</f>
        <v>13363835</v>
      </c>
      <c r="F57" s="214">
        <f>+GAAP!F17</f>
        <v>11872342.6</v>
      </c>
      <c r="G57" s="214">
        <f t="shared" si="25"/>
        <v>616492.40000000037</v>
      </c>
      <c r="H57" s="214">
        <f t="shared" si="26"/>
        <v>12488835</v>
      </c>
      <c r="I57" s="214">
        <f>+GAAP!E17</f>
        <v>875000</v>
      </c>
      <c r="J57" s="319">
        <f>+GAAP!G17</f>
        <v>0.95063651653657044</v>
      </c>
      <c r="K57" s="214">
        <f>+GAAP!H17</f>
        <v>831806.95196949912</v>
      </c>
      <c r="L57" s="214">
        <f>+GAAP!P17</f>
        <v>94320.422614429452</v>
      </c>
      <c r="M57" s="214">
        <f t="shared" si="27"/>
        <v>737486.52935506962</v>
      </c>
      <c r="N57" s="118" t="str">
        <f>GAAP!T17</f>
        <v>2024</v>
      </c>
      <c r="O57" s="320">
        <f>+GAAP!U17</f>
        <v>0</v>
      </c>
      <c r="P57" s="321" t="str">
        <f>+GAAP!V17</f>
        <v>.</v>
      </c>
      <c r="Q57" s="56"/>
      <c r="R57" s="214"/>
      <c r="S57" s="214"/>
      <c r="T57" s="214"/>
      <c r="U57" s="214"/>
      <c r="V57" s="214"/>
      <c r="W57" s="214"/>
      <c r="X57" s="215"/>
      <c r="Y57" s="215"/>
      <c r="Z57" s="215"/>
      <c r="AA57" s="215"/>
    </row>
    <row r="58" spans="1:27">
      <c r="A58" s="410">
        <f>+GAAP!A44</f>
        <v>52.856299999999997</v>
      </c>
      <c r="B58" s="57" t="str">
        <f>+GAAP!B44</f>
        <v>City of Santa Cruz - Graham Hill WTP Facility Improvements - Phase 1</v>
      </c>
      <c r="C58" s="214">
        <f>+GAAP!J44</f>
        <v>1134038.1299999999</v>
      </c>
      <c r="D58" s="214">
        <f t="shared" si="24"/>
        <v>0</v>
      </c>
      <c r="E58" s="214">
        <f>+GAAP!C44</f>
        <v>1134038.1299999999</v>
      </c>
      <c r="F58" s="214">
        <f>+GAAP!F44</f>
        <v>859077.05</v>
      </c>
      <c r="G58" s="214">
        <f t="shared" si="25"/>
        <v>0</v>
      </c>
      <c r="H58" s="214">
        <f t="shared" si="26"/>
        <v>859077.05</v>
      </c>
      <c r="I58" s="214">
        <f>+GAAP!E44</f>
        <v>274961.07999999984</v>
      </c>
      <c r="J58" s="319">
        <f>+GAAP!G44</f>
        <v>1</v>
      </c>
      <c r="K58" s="214">
        <f>+GAAP!H44</f>
        <v>274961.07999999984</v>
      </c>
      <c r="L58" s="214">
        <f>+GAAP!P44</f>
        <v>194465.74</v>
      </c>
      <c r="M58" s="214">
        <f t="shared" si="27"/>
        <v>80495.339999999851</v>
      </c>
      <c r="N58" s="118">
        <f>GAAP!T44</f>
        <v>2021</v>
      </c>
      <c r="O58" s="320">
        <f>+GAAP!U44</f>
        <v>0</v>
      </c>
      <c r="P58" s="321" t="str">
        <f>+GAAP!V44</f>
        <v>.</v>
      </c>
      <c r="Q58" s="56"/>
      <c r="R58" s="214"/>
      <c r="S58" s="214"/>
      <c r="T58" s="214"/>
      <c r="U58" s="214"/>
      <c r="V58" s="214"/>
      <c r="W58" s="214"/>
      <c r="X58" s="215"/>
      <c r="Y58" s="215"/>
      <c r="Z58" s="215"/>
      <c r="AA58" s="215"/>
    </row>
    <row r="59" spans="1:27">
      <c r="A59" s="410">
        <f>+GAAP!A45</f>
        <v>52.8566</v>
      </c>
      <c r="B59" s="57" t="str">
        <f>+GAAP!B45</f>
        <v>City of Visalia - Water Reclamation Facility RPGS SCR System</v>
      </c>
      <c r="C59" s="214">
        <f>+GAAP!J45</f>
        <v>1242053</v>
      </c>
      <c r="D59" s="214">
        <f t="shared" si="24"/>
        <v>17345</v>
      </c>
      <c r="E59" s="214">
        <f>+GAAP!C45</f>
        <v>1259398</v>
      </c>
      <c r="F59" s="214">
        <f>+GAAP!F45</f>
        <v>1023821.05</v>
      </c>
      <c r="G59" s="214">
        <f t="shared" si="25"/>
        <v>5576.9499999999534</v>
      </c>
      <c r="H59" s="214">
        <f t="shared" si="26"/>
        <v>1029398</v>
      </c>
      <c r="I59" s="214">
        <f>+GAAP!E45</f>
        <v>230000</v>
      </c>
      <c r="J59" s="319">
        <f>+GAAP!G45</f>
        <v>0.99458231898643679</v>
      </c>
      <c r="K59" s="214">
        <f>+GAAP!H45</f>
        <v>228753.93336688046</v>
      </c>
      <c r="L59" s="214">
        <f>+GAAP!P45</f>
        <v>223974.50626643945</v>
      </c>
      <c r="M59" s="214">
        <f t="shared" si="27"/>
        <v>4779.4271004410111</v>
      </c>
      <c r="N59" s="118" t="str">
        <f>GAAP!T45</f>
        <v>2021</v>
      </c>
      <c r="O59" s="320">
        <f>+GAAP!U45</f>
        <v>0</v>
      </c>
      <c r="P59" s="321" t="str">
        <f>+GAAP!V45</f>
        <v>.</v>
      </c>
      <c r="Q59" s="56"/>
      <c r="R59" s="214"/>
      <c r="S59" s="214"/>
      <c r="T59" s="214"/>
      <c r="U59" s="214"/>
      <c r="V59" s="214"/>
      <c r="W59" s="214"/>
      <c r="X59" s="215"/>
      <c r="Y59" s="215"/>
      <c r="Z59" s="215"/>
      <c r="AA59" s="215"/>
    </row>
    <row r="60" spans="1:27">
      <c r="A60" s="410">
        <f>+GAAP!A46</f>
        <v>52.858600000000003</v>
      </c>
      <c r="B60" s="57" t="str">
        <f>+GAAP!B46</f>
        <v>Tesoro Viejo MMWC- WTP/WWTP/RWSP Phase B Expansion - Phase 1</v>
      </c>
      <c r="C60" s="214">
        <f>+GAAP!J46</f>
        <v>12611349</v>
      </c>
      <c r="D60" s="214">
        <f t="shared" si="24"/>
        <v>0</v>
      </c>
      <c r="E60" s="214">
        <f>+GAAP!C46</f>
        <v>12611349</v>
      </c>
      <c r="F60" s="214">
        <f>+GAAP!F46</f>
        <v>10565460.74</v>
      </c>
      <c r="G60" s="214">
        <f t="shared" si="25"/>
        <v>95888.259999999776</v>
      </c>
      <c r="H60" s="214">
        <f t="shared" si="26"/>
        <v>10661349</v>
      </c>
      <c r="I60" s="214">
        <f>+GAAP!E46</f>
        <v>1950000</v>
      </c>
      <c r="J60" s="319">
        <f>+GAAP!G46</f>
        <v>0.99100599183086491</v>
      </c>
      <c r="K60" s="214">
        <f>+GAAP!H46</f>
        <v>1932461.6840701865</v>
      </c>
      <c r="L60" s="214">
        <f>+GAAP!P46</f>
        <v>1757780.0078678457</v>
      </c>
      <c r="M60" s="214">
        <f t="shared" si="27"/>
        <v>174681.67620234075</v>
      </c>
      <c r="N60" s="118" t="str">
        <f>GAAP!T46</f>
        <v>2022</v>
      </c>
      <c r="O60" s="320">
        <f>+GAAP!U46</f>
        <v>0</v>
      </c>
      <c r="P60" s="321" t="str">
        <f>+GAAP!V46</f>
        <v>.</v>
      </c>
      <c r="Q60" s="56"/>
      <c r="R60" s="214"/>
      <c r="S60" s="214"/>
      <c r="T60" s="214"/>
      <c r="U60" s="214"/>
      <c r="V60" s="214"/>
      <c r="W60" s="214"/>
      <c r="X60" s="215"/>
      <c r="Y60" s="215"/>
      <c r="Z60" s="215"/>
      <c r="AA60" s="215"/>
    </row>
    <row r="61" spans="1:27">
      <c r="A61" s="410">
        <f>+GAAP!A47</f>
        <v>52.863399999999999</v>
      </c>
      <c r="B61" s="57" t="str">
        <f>+GAAP!B47</f>
        <v>City of Huron - Water Treatment Plant Imp. Phase 2</v>
      </c>
      <c r="C61" s="214">
        <f>+GAAP!J47</f>
        <v>12576768.039999999</v>
      </c>
      <c r="D61" s="214">
        <f t="shared" si="24"/>
        <v>1315954.7000000011</v>
      </c>
      <c r="E61" s="214">
        <f>+GAAP!C47</f>
        <v>13892722.74</v>
      </c>
      <c r="F61" s="214">
        <f>+GAAP!F47</f>
        <v>11707058.24</v>
      </c>
      <c r="G61" s="214">
        <f t="shared" si="25"/>
        <v>1483664.5</v>
      </c>
      <c r="H61" s="214">
        <f t="shared" si="26"/>
        <v>13190722.74</v>
      </c>
      <c r="I61" s="214">
        <f>+GAAP!E47</f>
        <v>702000</v>
      </c>
      <c r="J61" s="319">
        <f>+GAAP!G47</f>
        <v>0.8875221222336146</v>
      </c>
      <c r="K61" s="214">
        <f>+GAAP!H47</f>
        <v>623040.5298079974</v>
      </c>
      <c r="L61" s="214">
        <f>+GAAP!P47</f>
        <v>277972.01148414961</v>
      </c>
      <c r="M61" s="214">
        <f t="shared" si="27"/>
        <v>345068.51832384779</v>
      </c>
      <c r="N61" s="118" t="str">
        <f>GAAP!T47</f>
        <v>2023</v>
      </c>
      <c r="O61" s="320">
        <f>+GAAP!U47</f>
        <v>0</v>
      </c>
      <c r="P61" s="321" t="str">
        <f>+GAAP!V47</f>
        <v>.</v>
      </c>
      <c r="Q61" s="56"/>
      <c r="R61" s="214"/>
      <c r="S61" s="214"/>
      <c r="T61" s="214"/>
      <c r="U61" s="214"/>
      <c r="V61" s="214"/>
      <c r="W61" s="214"/>
      <c r="X61" s="215"/>
      <c r="Y61" s="215"/>
      <c r="Z61" s="215"/>
      <c r="AA61" s="215"/>
    </row>
    <row r="62" spans="1:27">
      <c r="A62" s="410">
        <f>+GAAP!A48</f>
        <v>52.863599999999998</v>
      </c>
      <c r="B62" s="57" t="str">
        <f>+GAAP!B48</f>
        <v>Anaergia Technologies, LLC - Anaergia M1W Digester Mixing Project</v>
      </c>
      <c r="C62" s="214">
        <f>+GAAP!J48</f>
        <v>3065635.6</v>
      </c>
      <c r="D62" s="214">
        <f t="shared" si="24"/>
        <v>590476.39999999991</v>
      </c>
      <c r="E62" s="214">
        <f>+GAAP!C48</f>
        <v>3656112</v>
      </c>
      <c r="F62" s="214">
        <f>+GAAP!F48</f>
        <v>3367047.36</v>
      </c>
      <c r="G62" s="214">
        <f t="shared" si="25"/>
        <v>14064.64000000013</v>
      </c>
      <c r="H62" s="214">
        <f t="shared" si="26"/>
        <v>3381112</v>
      </c>
      <c r="I62" s="214">
        <f>+GAAP!E48</f>
        <v>275000</v>
      </c>
      <c r="J62" s="319">
        <f>+GAAP!G48</f>
        <v>0.99584023244423725</v>
      </c>
      <c r="K62" s="214">
        <f>+GAAP!H48</f>
        <v>273856.06392216525</v>
      </c>
      <c r="L62" s="214">
        <f>+GAAP!P48</f>
        <v>204319.7110799439</v>
      </c>
      <c r="M62" s="214">
        <f t="shared" si="27"/>
        <v>69536.352842221357</v>
      </c>
      <c r="N62" s="118" t="str">
        <f>GAAP!T48</f>
        <v>2023</v>
      </c>
      <c r="O62" s="320">
        <f>+GAAP!U48</f>
        <v>0</v>
      </c>
      <c r="P62" s="321" t="str">
        <f>+GAAP!V48</f>
        <v>.</v>
      </c>
      <c r="Q62" s="56"/>
      <c r="R62" s="214"/>
      <c r="S62" s="214"/>
      <c r="T62" s="214"/>
      <c r="U62" s="214"/>
      <c r="V62" s="214"/>
      <c r="W62" s="214"/>
      <c r="X62" s="215"/>
      <c r="Y62" s="215"/>
      <c r="Z62" s="215"/>
      <c r="AA62" s="215"/>
    </row>
    <row r="63" spans="1:27">
      <c r="A63" s="410">
        <f>+GAAP!A49</f>
        <v>52.863700000000001</v>
      </c>
      <c r="B63" s="57" t="str">
        <f>+GAAP!B49</f>
        <v>Root Creek Water Dist. - Groundwater Blending &amp; Arsenic</v>
      </c>
      <c r="C63" s="214">
        <f>+GAAP!J49</f>
        <v>26148625</v>
      </c>
      <c r="D63" s="214">
        <f t="shared" si="24"/>
        <v>115952.64999999851</v>
      </c>
      <c r="E63" s="214">
        <f>+GAAP!C49</f>
        <v>26264577.649999999</v>
      </c>
      <c r="F63" s="214">
        <f>+GAAP!F49</f>
        <v>24374299.030000001</v>
      </c>
      <c r="G63" s="214">
        <f t="shared" si="25"/>
        <v>240278.61999999732</v>
      </c>
      <c r="H63" s="214">
        <f t="shared" si="26"/>
        <v>24614577.649999999</v>
      </c>
      <c r="I63" s="214">
        <f>+GAAP!E49</f>
        <v>1650000</v>
      </c>
      <c r="J63" s="319">
        <f>+GAAP!G49</f>
        <v>0.99023836104699536</v>
      </c>
      <c r="K63" s="214">
        <f>+GAAP!H49</f>
        <v>1633893.2957275424</v>
      </c>
      <c r="L63" s="214">
        <f>+GAAP!P49</f>
        <v>1208391.7577226674</v>
      </c>
      <c r="M63" s="214">
        <f t="shared" si="27"/>
        <v>425501.53800487495</v>
      </c>
      <c r="N63" s="118" t="str">
        <f>GAAP!T49</f>
        <v>2023</v>
      </c>
      <c r="O63" s="320">
        <f>+GAAP!U49</f>
        <v>0</v>
      </c>
      <c r="P63" s="321" t="str">
        <f>+GAAP!V49</f>
        <v>.</v>
      </c>
      <c r="Q63" s="56"/>
      <c r="R63" s="214"/>
      <c r="S63" s="214"/>
      <c r="T63" s="214"/>
      <c r="U63" s="214"/>
      <c r="V63" s="214"/>
      <c r="W63" s="214"/>
      <c r="X63" s="215"/>
      <c r="Y63" s="215"/>
      <c r="Z63" s="215"/>
      <c r="AA63" s="215"/>
    </row>
    <row r="64" spans="1:27">
      <c r="A64" s="410">
        <f>+GAAP!A50</f>
        <v>52.863999999999997</v>
      </c>
      <c r="B64" s="57" t="str">
        <f>+GAAP!B50</f>
        <v>City of Dos Palos - WTP Replacement Project</v>
      </c>
      <c r="C64" s="214">
        <f>+GAAP!J50</f>
        <v>34176041.859999999</v>
      </c>
      <c r="D64" s="214">
        <f t="shared" si="24"/>
        <v>4470321.299999997</v>
      </c>
      <c r="E64" s="214">
        <f>+GAAP!C50</f>
        <v>38646363.159999996</v>
      </c>
      <c r="F64" s="214">
        <f>+GAAP!F50</f>
        <v>32158781.48</v>
      </c>
      <c r="G64" s="214">
        <f t="shared" si="25"/>
        <v>4614258.679999996</v>
      </c>
      <c r="H64" s="214">
        <f t="shared" si="26"/>
        <v>36773040.159999996</v>
      </c>
      <c r="I64" s="214">
        <f>+GAAP!E50</f>
        <v>1873323</v>
      </c>
      <c r="J64" s="319">
        <f>+GAAP!G50</f>
        <v>0.87452060912224572</v>
      </c>
      <c r="K64" s="214">
        <f>+GAAP!H50</f>
        <v>1638259.5710427128</v>
      </c>
      <c r="L64" s="214">
        <f>+GAAP!P50</f>
        <v>703966.83888736507</v>
      </c>
      <c r="M64" s="214">
        <f t="shared" si="27"/>
        <v>934292.73215534771</v>
      </c>
      <c r="N64" s="118" t="str">
        <f>GAAP!T50</f>
        <v>2023</v>
      </c>
      <c r="O64" s="320">
        <f>+GAAP!U50</f>
        <v>0</v>
      </c>
      <c r="P64" s="321" t="str">
        <f>+GAAP!V50</f>
        <v>.</v>
      </c>
      <c r="Q64" s="56"/>
      <c r="R64" s="214"/>
      <c r="S64" s="214"/>
      <c r="T64" s="214"/>
      <c r="U64" s="214"/>
      <c r="V64" s="214"/>
      <c r="W64" s="214"/>
      <c r="X64" s="215"/>
      <c r="Y64" s="215"/>
      <c r="Z64" s="215"/>
      <c r="AA64" s="215"/>
    </row>
    <row r="65" spans="1:27">
      <c r="A65" s="410">
        <f>+GAAP!A51</f>
        <v>52.866799999999998</v>
      </c>
      <c r="B65" s="57" t="str">
        <f>+GAAP!B51</f>
        <v>California Water Service Co. - Cal Water - Salinas Station 57</v>
      </c>
      <c r="C65" s="214">
        <f>+GAAP!J51</f>
        <v>349622.76</v>
      </c>
      <c r="D65" s="214">
        <f t="shared" si="24"/>
        <v>62228.239999999991</v>
      </c>
      <c r="E65" s="214">
        <f>+GAAP!C51</f>
        <v>411851</v>
      </c>
      <c r="F65" s="214">
        <f>+GAAP!F51</f>
        <v>357710.67</v>
      </c>
      <c r="G65" s="214">
        <f t="shared" si="25"/>
        <v>19285.330000000016</v>
      </c>
      <c r="H65" s="214">
        <f t="shared" si="26"/>
        <v>376996</v>
      </c>
      <c r="I65" s="214">
        <f>+GAAP!E51</f>
        <v>34855</v>
      </c>
      <c r="J65" s="319">
        <f>+GAAP!G51</f>
        <v>0.94884473575316441</v>
      </c>
      <c r="K65" s="214">
        <f>+GAAP!H51</f>
        <v>33071.983264676543</v>
      </c>
      <c r="L65" s="214">
        <f>+GAAP!P51</f>
        <v>5273.046449323896</v>
      </c>
      <c r="M65" s="214">
        <f t="shared" si="27"/>
        <v>27798.936815352645</v>
      </c>
      <c r="N65" s="118" t="str">
        <f>GAAP!T51</f>
        <v>2024</v>
      </c>
      <c r="O65" s="320">
        <f>+GAAP!U51</f>
        <v>0</v>
      </c>
      <c r="P65" s="321" t="str">
        <f>+GAAP!V51</f>
        <v>.</v>
      </c>
      <c r="Q65" s="56"/>
      <c r="R65" s="214"/>
      <c r="S65" s="214"/>
      <c r="T65" s="214"/>
      <c r="U65" s="214"/>
      <c r="V65" s="214"/>
      <c r="W65" s="214"/>
      <c r="X65" s="215"/>
      <c r="Y65" s="215"/>
      <c r="Z65" s="215"/>
      <c r="AA65" s="215"/>
    </row>
    <row r="66" spans="1:27">
      <c r="A66" s="410">
        <f>+GAAP!A52</f>
        <v>52.867800000000003</v>
      </c>
      <c r="B66" s="57" t="str">
        <f>+GAAP!B52</f>
        <v>City of Chowcilla - Well 15 &amp; Generator Improvement Projects</v>
      </c>
      <c r="C66" s="214">
        <f>+GAAP!J52</f>
        <v>1142122</v>
      </c>
      <c r="D66" s="214">
        <f t="shared" si="24"/>
        <v>98199</v>
      </c>
      <c r="E66" s="214">
        <f>+GAAP!C52</f>
        <v>1240321</v>
      </c>
      <c r="F66" s="214">
        <f>+GAAP!F52</f>
        <v>926007.31</v>
      </c>
      <c r="G66" s="214">
        <f t="shared" si="25"/>
        <v>236313.68999999994</v>
      </c>
      <c r="H66" s="214">
        <f t="shared" si="26"/>
        <v>1162321</v>
      </c>
      <c r="I66" s="214">
        <f>+GAAP!E52</f>
        <v>78000</v>
      </c>
      <c r="J66" s="319">
        <f>+GAAP!G52</f>
        <v>0.79668810079143371</v>
      </c>
      <c r="K66" s="214">
        <f>+GAAP!H52</f>
        <v>62141.671861731826</v>
      </c>
      <c r="L66" s="214">
        <f>+GAAP!P52</f>
        <v>0</v>
      </c>
      <c r="M66" s="214">
        <f t="shared" si="27"/>
        <v>62141.671861731826</v>
      </c>
      <c r="N66" s="118" t="str">
        <f>GAAP!T52</f>
        <v>2024</v>
      </c>
      <c r="O66" s="320">
        <f>+GAAP!U52</f>
        <v>0</v>
      </c>
      <c r="P66" s="321" t="str">
        <f>+GAAP!V52</f>
        <v>.</v>
      </c>
      <c r="Q66" s="56"/>
      <c r="R66" s="214"/>
      <c r="S66" s="214"/>
      <c r="T66" s="214"/>
      <c r="U66" s="214"/>
      <c r="V66" s="214"/>
      <c r="W66" s="214"/>
      <c r="X66" s="215"/>
      <c r="Y66" s="215"/>
      <c r="Z66" s="215"/>
      <c r="AA66" s="215"/>
    </row>
    <row r="67" spans="1:27">
      <c r="A67" s="410">
        <f>+GAAP!A121</f>
        <v>54.913499999999999</v>
      </c>
      <c r="B67" s="57" t="str">
        <f>+GAAP!B121</f>
        <v>Calif. Rail Bldrs LLC - North Kern WSD Canal 9-22 Relocation Project</v>
      </c>
      <c r="C67" s="214">
        <f>+GAAP!J121</f>
        <v>9470658.6199999992</v>
      </c>
      <c r="D67" s="214">
        <f t="shared" ref="D67:D79" si="28">+E67-C67</f>
        <v>0</v>
      </c>
      <c r="E67" s="214">
        <f>+GAAP!C121</f>
        <v>9470658.6199999992</v>
      </c>
      <c r="F67" s="214">
        <f>+GAAP!F121</f>
        <v>9050951.8599999994</v>
      </c>
      <c r="G67" s="214">
        <f t="shared" ref="G67:G79" si="29">+H67-F67</f>
        <v>0</v>
      </c>
      <c r="H67" s="214">
        <f t="shared" ref="H67:H79" si="30">+E67-I67</f>
        <v>9050951.8599999994</v>
      </c>
      <c r="I67" s="214">
        <f>+GAAP!E121</f>
        <v>419706.75999999978</v>
      </c>
      <c r="J67" s="319">
        <f>+GAAP!G121</f>
        <v>1</v>
      </c>
      <c r="K67" s="214">
        <f>+GAAP!H121</f>
        <v>419706.75999999978</v>
      </c>
      <c r="L67" s="214">
        <f>+GAAP!P121</f>
        <v>0</v>
      </c>
      <c r="M67" s="214">
        <f t="shared" ref="M67:M79" si="31">+K67-L67</f>
        <v>419706.75999999978</v>
      </c>
      <c r="N67" s="118" t="str">
        <f>GAAP!T121</f>
        <v>2021</v>
      </c>
      <c r="O67" s="320">
        <f>+GAAP!U121</f>
        <v>0</v>
      </c>
      <c r="P67" s="321" t="str">
        <f>+GAAP!V121</f>
        <v>.</v>
      </c>
      <c r="Q67" s="56"/>
      <c r="R67" s="214"/>
      <c r="S67" s="214"/>
      <c r="T67" s="214"/>
      <c r="U67" s="214"/>
      <c r="V67" s="214"/>
      <c r="W67" s="214"/>
      <c r="X67" s="215"/>
      <c r="Y67" s="215"/>
      <c r="Z67" s="215"/>
      <c r="AA67" s="215"/>
    </row>
    <row r="68" spans="1:27">
      <c r="A68" s="410">
        <f>+GAAP!A122</f>
        <v>54.925699999999999</v>
      </c>
      <c r="B68" s="57" t="str">
        <f>+GAAP!B122</f>
        <v>City of Guadalupe - Highway 1 Lift Station</v>
      </c>
      <c r="C68" s="214">
        <f>+GAAP!J122</f>
        <v>890983</v>
      </c>
      <c r="D68" s="214">
        <f t="shared" si="28"/>
        <v>580345</v>
      </c>
      <c r="E68" s="214">
        <f>+GAAP!C122</f>
        <v>1471328</v>
      </c>
      <c r="F68" s="214">
        <f>+GAAP!F122</f>
        <v>762211.05</v>
      </c>
      <c r="G68" s="214">
        <f t="shared" si="29"/>
        <v>664116.94999999995</v>
      </c>
      <c r="H68" s="214">
        <f t="shared" si="30"/>
        <v>1426328</v>
      </c>
      <c r="I68" s="214">
        <f>+GAAP!E122</f>
        <v>45000</v>
      </c>
      <c r="J68" s="319">
        <f>+GAAP!G122</f>
        <v>0.5343869362446787</v>
      </c>
      <c r="K68" s="214">
        <f>+GAAP!H122</f>
        <v>24047.41213101054</v>
      </c>
      <c r="L68" s="214">
        <f>+GAAP!P122</f>
        <v>0</v>
      </c>
      <c r="M68" s="214">
        <f t="shared" si="31"/>
        <v>24047.41213101054</v>
      </c>
      <c r="N68" s="118" t="str">
        <f>GAAP!T122</f>
        <v>2023</v>
      </c>
      <c r="O68" s="320">
        <f>+GAAP!U122</f>
        <v>0</v>
      </c>
      <c r="P68" s="321" t="str">
        <f>+GAAP!V122</f>
        <v>.</v>
      </c>
      <c r="Q68" s="56"/>
      <c r="R68" s="214"/>
      <c r="S68" s="214"/>
      <c r="T68" s="214"/>
      <c r="U68" s="214"/>
      <c r="V68" s="214"/>
      <c r="W68" s="214"/>
      <c r="X68" s="215"/>
      <c r="Y68" s="215"/>
      <c r="Z68" s="215"/>
      <c r="AA68" s="215"/>
    </row>
    <row r="69" spans="1:27">
      <c r="A69" s="410">
        <f>+GAAP!A123</f>
        <v>54.9268</v>
      </c>
      <c r="B69" s="57" t="str">
        <f>+GAAP!B123</f>
        <v>Semitropic Water Storage Dist. - Amendment No. 23 Raw Water Processing Plant Pipeline Replacement</v>
      </c>
      <c r="C69" s="214">
        <f>+GAAP!J123</f>
        <v>907298</v>
      </c>
      <c r="D69" s="214">
        <f t="shared" si="28"/>
        <v>42269.989999999991</v>
      </c>
      <c r="E69" s="214">
        <f>+GAAP!C123</f>
        <v>949567.99</v>
      </c>
      <c r="F69" s="214">
        <f>+GAAP!F123</f>
        <v>844648.28</v>
      </c>
      <c r="G69" s="214">
        <f t="shared" si="29"/>
        <v>39919.709999999963</v>
      </c>
      <c r="H69" s="214">
        <f t="shared" si="30"/>
        <v>884567.99</v>
      </c>
      <c r="I69" s="214">
        <f>+GAAP!E123</f>
        <v>65000</v>
      </c>
      <c r="J69" s="319">
        <f>+GAAP!G123</f>
        <v>0.95487095344700412</v>
      </c>
      <c r="K69" s="214">
        <f>+GAAP!H123</f>
        <v>62066.611974055268</v>
      </c>
      <c r="L69" s="214">
        <f>+GAAP!P123</f>
        <v>71013.066786332143</v>
      </c>
      <c r="M69" s="214">
        <f t="shared" si="31"/>
        <v>-8946.4548122768756</v>
      </c>
      <c r="N69" s="118" t="str">
        <f>GAAP!T123</f>
        <v>2023</v>
      </c>
      <c r="O69" s="320">
        <f>+GAAP!U123</f>
        <v>0</v>
      </c>
      <c r="P69" s="321" t="str">
        <f>+GAAP!V123</f>
        <v>.</v>
      </c>
      <c r="Q69" s="56"/>
      <c r="R69" s="214"/>
      <c r="S69" s="214"/>
      <c r="T69" s="214"/>
      <c r="U69" s="214"/>
      <c r="V69" s="214"/>
      <c r="W69" s="214"/>
      <c r="X69" s="215"/>
      <c r="Y69" s="215"/>
      <c r="Z69" s="215"/>
      <c r="AA69" s="215"/>
    </row>
    <row r="70" spans="1:27">
      <c r="A70" s="410">
        <f>+GAAP!A124</f>
        <v>54.926900000000003</v>
      </c>
      <c r="B70" s="57" t="str">
        <f>+GAAP!B124</f>
        <v>Semitropic Water Storage Dist. - Design &amp; Construction of the Central TCP Facility-Phase 1</v>
      </c>
      <c r="C70" s="214">
        <f>+GAAP!J124</f>
        <v>625819.17000000004</v>
      </c>
      <c r="D70" s="214">
        <f t="shared" si="28"/>
        <v>0</v>
      </c>
      <c r="E70" s="214">
        <f>+GAAP!C124</f>
        <v>625819.17000000004</v>
      </c>
      <c r="F70" s="214">
        <f>+GAAP!F124</f>
        <v>549817.74</v>
      </c>
      <c r="G70" s="214">
        <f t="shared" si="29"/>
        <v>0</v>
      </c>
      <c r="H70" s="214">
        <f t="shared" si="30"/>
        <v>549817.74</v>
      </c>
      <c r="I70" s="214">
        <f>+GAAP!E124</f>
        <v>76001.430000000051</v>
      </c>
      <c r="J70" s="319">
        <f>+GAAP!G124</f>
        <v>1</v>
      </c>
      <c r="K70" s="214">
        <f>+GAAP!H124</f>
        <v>76001.430000000051</v>
      </c>
      <c r="L70" s="214">
        <f>+GAAP!P124</f>
        <v>34249.050000000047</v>
      </c>
      <c r="M70" s="214">
        <f t="shared" si="31"/>
        <v>41752.380000000005</v>
      </c>
      <c r="N70" s="118" t="str">
        <f>GAAP!T124</f>
        <v>2023</v>
      </c>
      <c r="O70" s="320">
        <f>+GAAP!U124</f>
        <v>0</v>
      </c>
      <c r="P70" s="321" t="str">
        <f>+GAAP!V124</f>
        <v>.</v>
      </c>
      <c r="Q70" s="56"/>
      <c r="R70" s="214"/>
      <c r="S70" s="214"/>
      <c r="T70" s="214"/>
      <c r="U70" s="214"/>
      <c r="V70" s="214"/>
      <c r="W70" s="214"/>
      <c r="X70" s="215"/>
      <c r="Y70" s="215"/>
      <c r="Z70" s="215"/>
      <c r="AA70" s="215"/>
    </row>
    <row r="71" spans="1:27">
      <c r="A71" s="410">
        <f>+GAAP!A125</f>
        <v>54.9285</v>
      </c>
      <c r="B71" s="57" t="str">
        <f>+GAAP!B125</f>
        <v>Semitropic Water Storage Dist. - Emergency Radial Arm Gate Removal and Replacement</v>
      </c>
      <c r="C71" s="214">
        <f>+GAAP!J125</f>
        <v>427226</v>
      </c>
      <c r="D71" s="214">
        <f t="shared" si="28"/>
        <v>34796</v>
      </c>
      <c r="E71" s="214">
        <f>+GAAP!C125</f>
        <v>462022</v>
      </c>
      <c r="F71" s="214">
        <f>+GAAP!F125</f>
        <v>312939.77</v>
      </c>
      <c r="G71" s="214">
        <f t="shared" si="29"/>
        <v>74082.229999999981</v>
      </c>
      <c r="H71" s="214">
        <f t="shared" si="30"/>
        <v>387022</v>
      </c>
      <c r="I71" s="214">
        <f>+GAAP!E125</f>
        <v>75000</v>
      </c>
      <c r="J71" s="319">
        <f>+GAAP!G125</f>
        <v>0.80858393062926659</v>
      </c>
      <c r="K71" s="214">
        <f>+GAAP!H125</f>
        <v>60643.794797194991</v>
      </c>
      <c r="L71" s="214">
        <f>+GAAP!P125</f>
        <v>35686.23784080011</v>
      </c>
      <c r="M71" s="214">
        <f t="shared" si="31"/>
        <v>24957.556956394881</v>
      </c>
      <c r="N71" s="118" t="str">
        <f>GAAP!T125</f>
        <v>2023</v>
      </c>
      <c r="O71" s="320">
        <f>+GAAP!U125</f>
        <v>0</v>
      </c>
      <c r="P71" s="321" t="str">
        <f>+GAAP!V125</f>
        <v>.</v>
      </c>
      <c r="Q71" s="56"/>
      <c r="R71" s="214"/>
      <c r="S71" s="214"/>
      <c r="T71" s="214"/>
      <c r="U71" s="214"/>
      <c r="V71" s="214"/>
      <c r="W71" s="214"/>
      <c r="X71" s="215"/>
      <c r="Y71" s="215"/>
      <c r="Z71" s="215"/>
      <c r="AA71" s="215"/>
    </row>
    <row r="72" spans="1:27">
      <c r="A72" s="410">
        <f>+GAAP!A126</f>
        <v>54.9313</v>
      </c>
      <c r="B72" s="57" t="str">
        <f>+GAAP!B126</f>
        <v>Granite Construction Co. - Granite Chumash Camp 4 Infrastructure Project</v>
      </c>
      <c r="C72" s="214">
        <f>+GAAP!J126</f>
        <v>7886885</v>
      </c>
      <c r="D72" s="214">
        <f t="shared" si="28"/>
        <v>4.0000000037252903E-2</v>
      </c>
      <c r="E72" s="214">
        <f>+GAAP!C126</f>
        <v>7886885.04</v>
      </c>
      <c r="F72" s="214">
        <f>+GAAP!F126</f>
        <v>6449205.2199999997</v>
      </c>
      <c r="G72" s="214">
        <f t="shared" si="29"/>
        <v>427679.8200000003</v>
      </c>
      <c r="H72" s="214">
        <f t="shared" si="30"/>
        <v>6876885.04</v>
      </c>
      <c r="I72" s="214">
        <f>+GAAP!E126</f>
        <v>1010000</v>
      </c>
      <c r="J72" s="319">
        <f>+GAAP!G126</f>
        <v>0.93780907816367975</v>
      </c>
      <c r="K72" s="214">
        <f>+GAAP!H126</f>
        <v>947187.16894531657</v>
      </c>
      <c r="L72" s="214">
        <f>+GAAP!P126</f>
        <v>197714.51112450095</v>
      </c>
      <c r="M72" s="214">
        <f t="shared" si="31"/>
        <v>749472.65782081569</v>
      </c>
      <c r="N72" s="118" t="str">
        <f>GAAP!T126</f>
        <v>2024</v>
      </c>
      <c r="O72" s="320">
        <f>+GAAP!U126</f>
        <v>0</v>
      </c>
      <c r="P72" s="321" t="str">
        <f>+GAAP!V126</f>
        <v>.</v>
      </c>
      <c r="Q72" s="56"/>
      <c r="R72" s="214"/>
      <c r="S72" s="214"/>
      <c r="T72" s="214"/>
      <c r="U72" s="214"/>
      <c r="V72" s="214"/>
      <c r="W72" s="214"/>
      <c r="X72" s="215"/>
      <c r="Y72" s="215"/>
      <c r="Z72" s="215"/>
      <c r="AA72" s="215"/>
    </row>
    <row r="73" spans="1:27">
      <c r="A73" s="410">
        <f>+GAAP!A127</f>
        <v>54.933</v>
      </c>
      <c r="B73" s="57" t="str">
        <f>+GAAP!B127</f>
        <v>City of Bakersfield Public Works - Wastewater Treatment Plant No. 3 Septage Processing Unit Rep</v>
      </c>
      <c r="C73" s="214">
        <f>+GAAP!J127</f>
        <v>324900</v>
      </c>
      <c r="D73" s="214">
        <f t="shared" si="28"/>
        <v>0</v>
      </c>
      <c r="E73" s="214">
        <f>+GAAP!C127</f>
        <v>324900</v>
      </c>
      <c r="F73" s="214">
        <f>+GAAP!F127</f>
        <v>306221.40999999997</v>
      </c>
      <c r="G73" s="214">
        <f t="shared" si="29"/>
        <v>1419.5900000000256</v>
      </c>
      <c r="H73" s="214">
        <f t="shared" si="30"/>
        <v>307641</v>
      </c>
      <c r="I73" s="214">
        <f>+GAAP!E127</f>
        <v>17259</v>
      </c>
      <c r="J73" s="319">
        <f>+GAAP!G127</f>
        <v>0.99538556304263726</v>
      </c>
      <c r="K73" s="214">
        <f>+GAAP!H127</f>
        <v>17179.359432552876</v>
      </c>
      <c r="L73" s="214">
        <f>+GAAP!P127</f>
        <v>10642.127272727274</v>
      </c>
      <c r="M73" s="214">
        <f t="shared" si="31"/>
        <v>6537.2321598256021</v>
      </c>
      <c r="N73" s="118" t="str">
        <f>GAAP!T127</f>
        <v>2024</v>
      </c>
      <c r="O73" s="320">
        <f>+GAAP!U127</f>
        <v>0</v>
      </c>
      <c r="P73" s="321" t="str">
        <f>+GAAP!V127</f>
        <v>.</v>
      </c>
      <c r="Q73" s="56"/>
      <c r="R73" s="214"/>
      <c r="S73" s="214"/>
      <c r="T73" s="214"/>
      <c r="U73" s="214"/>
      <c r="V73" s="214"/>
      <c r="W73" s="214"/>
      <c r="X73" s="215"/>
      <c r="Y73" s="215"/>
      <c r="Z73" s="215"/>
      <c r="AA73" s="215"/>
    </row>
    <row r="74" spans="1:27">
      <c r="A74" s="410">
        <f>+GAAP!A128</f>
        <v>54.933599999999998</v>
      </c>
      <c r="B74" s="57" t="str">
        <f>+GAAP!B128</f>
        <v>Palmdale Water Dist. - Pure Water AV - Demonstration Facility</v>
      </c>
      <c r="C74" s="214">
        <f>+GAAP!J128</f>
        <v>14176592.91</v>
      </c>
      <c r="D74" s="214">
        <f t="shared" si="28"/>
        <v>11014583.73</v>
      </c>
      <c r="E74" s="214">
        <f>+GAAP!C128</f>
        <v>25191176.640000001</v>
      </c>
      <c r="F74" s="214">
        <f>+GAAP!F128</f>
        <v>12340864.27</v>
      </c>
      <c r="G74" s="214">
        <f t="shared" si="29"/>
        <v>10930312.370000001</v>
      </c>
      <c r="H74" s="214">
        <f t="shared" si="30"/>
        <v>23271176.640000001</v>
      </c>
      <c r="I74" s="214">
        <f>+GAAP!E128</f>
        <v>1920000</v>
      </c>
      <c r="J74" s="319">
        <f>+GAAP!G128</f>
        <v>0.53030684528378014</v>
      </c>
      <c r="K74" s="214">
        <f>+GAAP!H128</f>
        <v>1018189.1429448578</v>
      </c>
      <c r="L74" s="214">
        <f>+GAAP!P128</f>
        <v>0</v>
      </c>
      <c r="M74" s="214">
        <f t="shared" si="31"/>
        <v>1018189.1429448578</v>
      </c>
      <c r="N74" s="118" t="str">
        <f>GAAP!T128</f>
        <v>2024</v>
      </c>
      <c r="O74" s="320">
        <f>+GAAP!U128</f>
        <v>0</v>
      </c>
      <c r="P74" s="321" t="str">
        <f>+GAAP!V128</f>
        <v>.</v>
      </c>
      <c r="Q74" s="56"/>
      <c r="R74" s="214"/>
      <c r="S74" s="214"/>
      <c r="T74" s="214"/>
      <c r="U74" s="214"/>
      <c r="V74" s="214"/>
      <c r="W74" s="214"/>
      <c r="X74" s="215"/>
      <c r="Y74" s="215"/>
      <c r="Z74" s="215"/>
      <c r="AA74" s="215"/>
    </row>
    <row r="75" spans="1:27">
      <c r="A75" s="410">
        <f>+GAAP!A129</f>
        <v>54.933700000000002</v>
      </c>
      <c r="B75" s="57" t="str">
        <f>+GAAP!B129</f>
        <v>City of Bakersfield Public Works - WWTP 3 Digester Gas Booster Blower Replacement Project</v>
      </c>
      <c r="C75" s="214">
        <f>+GAAP!J129</f>
        <v>520441.66</v>
      </c>
      <c r="D75" s="214">
        <f t="shared" si="28"/>
        <v>3584406.34</v>
      </c>
      <c r="E75" s="214">
        <f>+GAAP!C129</f>
        <v>4104848</v>
      </c>
      <c r="F75" s="214">
        <f>+GAAP!F129</f>
        <v>1509066.73</v>
      </c>
      <c r="G75" s="214">
        <f t="shared" si="29"/>
        <v>2435781.27</v>
      </c>
      <c r="H75" s="214">
        <f t="shared" si="30"/>
        <v>3944848</v>
      </c>
      <c r="I75" s="214">
        <f>+GAAP!E129</f>
        <v>160000</v>
      </c>
      <c r="J75" s="319">
        <f>+GAAP!G129</f>
        <v>0.38254116001427685</v>
      </c>
      <c r="K75" s="214">
        <f>+GAAP!H129</f>
        <v>61206.585602284293</v>
      </c>
      <c r="L75" s="214">
        <f>+GAAP!P129</f>
        <v>0</v>
      </c>
      <c r="M75" s="214">
        <f t="shared" si="31"/>
        <v>61206.585602284293</v>
      </c>
      <c r="N75" s="118" t="str">
        <f>GAAP!T129</f>
        <v>2024</v>
      </c>
      <c r="O75" s="320">
        <f>+GAAP!U129</f>
        <v>0</v>
      </c>
      <c r="P75" s="321" t="str">
        <f>+GAAP!V129</f>
        <v>.</v>
      </c>
      <c r="Q75" s="56"/>
      <c r="R75" s="214"/>
      <c r="S75" s="214"/>
      <c r="T75" s="214"/>
      <c r="U75" s="214"/>
      <c r="V75" s="214"/>
      <c r="W75" s="214"/>
      <c r="X75" s="215"/>
      <c r="Y75" s="215"/>
      <c r="Z75" s="215"/>
      <c r="AA75" s="215"/>
    </row>
    <row r="76" spans="1:27">
      <c r="A76" s="410">
        <f>+GAAP!A130</f>
        <v>54.9343</v>
      </c>
      <c r="B76" s="57" t="str">
        <f>+GAAP!B130</f>
        <v>Tehachapi-Cummings County  Water District - DB – Replace Diesel Engines PP2 and PP3</v>
      </c>
      <c r="C76" s="214">
        <f>+GAAP!J130</f>
        <v>3954560</v>
      </c>
      <c r="D76" s="214">
        <f t="shared" si="28"/>
        <v>2926740</v>
      </c>
      <c r="E76" s="214">
        <f>+GAAP!C130</f>
        <v>6881300</v>
      </c>
      <c r="F76" s="214">
        <f>+GAAP!F130</f>
        <v>3415344.08</v>
      </c>
      <c r="G76" s="214">
        <f t="shared" si="29"/>
        <v>2565955.92</v>
      </c>
      <c r="H76" s="214">
        <f t="shared" si="30"/>
        <v>5981300</v>
      </c>
      <c r="I76" s="214">
        <f>+GAAP!E130</f>
        <v>900000</v>
      </c>
      <c r="J76" s="319">
        <f>+GAAP!G130</f>
        <v>0.57100364134887061</v>
      </c>
      <c r="K76" s="214">
        <f>+GAAP!H130</f>
        <v>513903.27721398353</v>
      </c>
      <c r="L76" s="214">
        <f>+GAAP!P130</f>
        <v>0</v>
      </c>
      <c r="M76" s="214">
        <f t="shared" si="31"/>
        <v>513903.27721398353</v>
      </c>
      <c r="N76" s="118" t="str">
        <f>GAAP!T130</f>
        <v>2024</v>
      </c>
      <c r="O76" s="320">
        <f>+GAAP!U130</f>
        <v>0</v>
      </c>
      <c r="P76" s="321" t="str">
        <f>+GAAP!V130</f>
        <v>.</v>
      </c>
      <c r="Q76" s="56"/>
      <c r="R76" s="214"/>
      <c r="S76" s="214"/>
      <c r="T76" s="214"/>
      <c r="U76" s="214"/>
      <c r="V76" s="214"/>
      <c r="W76" s="214"/>
      <c r="X76" s="215"/>
      <c r="Y76" s="215"/>
      <c r="Z76" s="215"/>
      <c r="AA76" s="215"/>
    </row>
    <row r="77" spans="1:27">
      <c r="A77" s="410">
        <f>+GAAP!A131</f>
        <v>54.935600000000001</v>
      </c>
      <c r="B77" s="57" t="str">
        <f>+GAAP!B131</f>
        <v>North of River Sanitary Dist. No. 1 - WWTP Digester Gas Scrubber Vessel and Effluent Storage Pond</v>
      </c>
      <c r="C77" s="214">
        <f>+GAAP!J131</f>
        <v>685017</v>
      </c>
      <c r="D77" s="214">
        <f t="shared" si="28"/>
        <v>613313</v>
      </c>
      <c r="E77" s="214">
        <f>+GAAP!C131</f>
        <v>1298330</v>
      </c>
      <c r="F77" s="214">
        <f>+GAAP!F131</f>
        <v>775780.75</v>
      </c>
      <c r="G77" s="214">
        <f t="shared" si="29"/>
        <v>137549.25</v>
      </c>
      <c r="H77" s="214">
        <f t="shared" si="30"/>
        <v>913330</v>
      </c>
      <c r="I77" s="214">
        <f>+GAAP!E131</f>
        <v>385000</v>
      </c>
      <c r="J77" s="319">
        <f>+GAAP!G131</f>
        <v>0.8493980817448239</v>
      </c>
      <c r="K77" s="214">
        <f>+GAAP!H131</f>
        <v>327018.2614717572</v>
      </c>
      <c r="L77" s="214">
        <f>+GAAP!P131</f>
        <v>0</v>
      </c>
      <c r="M77" s="214">
        <f t="shared" si="31"/>
        <v>327018.2614717572</v>
      </c>
      <c r="N77" s="118" t="str">
        <f>GAAP!T131</f>
        <v>2024</v>
      </c>
      <c r="O77" s="320">
        <f>+GAAP!U131</f>
        <v>0</v>
      </c>
      <c r="P77" s="321" t="str">
        <f>+GAAP!V131</f>
        <v>.</v>
      </c>
      <c r="Q77" s="56"/>
      <c r="R77" s="214"/>
      <c r="S77" s="214"/>
      <c r="T77" s="214"/>
      <c r="U77" s="214"/>
      <c r="V77" s="214"/>
      <c r="W77" s="214"/>
      <c r="X77" s="215"/>
      <c r="Y77" s="215"/>
      <c r="Z77" s="215"/>
      <c r="AA77" s="215"/>
    </row>
    <row r="78" spans="1:27">
      <c r="A78" s="410">
        <f>+GAAP!A132</f>
        <v>54.936599999999999</v>
      </c>
      <c r="B78" s="57" t="str">
        <f>+GAAP!B132</f>
        <v>City of Pismo Beach Community Development Dept. - WWTP Clarifier Equipment Replacement</v>
      </c>
      <c r="C78" s="214">
        <f>+GAAP!J132</f>
        <v>1160831</v>
      </c>
      <c r="D78" s="214">
        <f t="shared" si="28"/>
        <v>69300</v>
      </c>
      <c r="E78" s="214">
        <f>+GAAP!C132</f>
        <v>1230131</v>
      </c>
      <c r="F78" s="214">
        <f>+GAAP!F132</f>
        <v>923220.5</v>
      </c>
      <c r="G78" s="214">
        <f t="shared" si="29"/>
        <v>156910.5</v>
      </c>
      <c r="H78" s="214">
        <f t="shared" si="30"/>
        <v>1080131</v>
      </c>
      <c r="I78" s="214">
        <f>+GAAP!E132</f>
        <v>150000</v>
      </c>
      <c r="J78" s="319">
        <f>+GAAP!G132</f>
        <v>0.85473012069832266</v>
      </c>
      <c r="K78" s="214">
        <f>+GAAP!H132</f>
        <v>128209.51810474839</v>
      </c>
      <c r="L78" s="214">
        <f>+GAAP!P132</f>
        <v>0</v>
      </c>
      <c r="M78" s="214">
        <f t="shared" si="31"/>
        <v>128209.51810474839</v>
      </c>
      <c r="N78" s="118" t="str">
        <f>GAAP!T132</f>
        <v>2024</v>
      </c>
      <c r="O78" s="320">
        <f>+GAAP!U132</f>
        <v>0</v>
      </c>
      <c r="P78" s="321" t="str">
        <f>+GAAP!V132</f>
        <v>.</v>
      </c>
      <c r="Q78" s="56"/>
      <c r="R78" s="214"/>
      <c r="S78" s="214"/>
      <c r="T78" s="214"/>
      <c r="U78" s="214"/>
      <c r="V78" s="214"/>
      <c r="W78" s="214"/>
      <c r="X78" s="215"/>
      <c r="Y78" s="215"/>
      <c r="Z78" s="215"/>
      <c r="AA78" s="215"/>
    </row>
    <row r="79" spans="1:27">
      <c r="A79" s="410">
        <f>+GAAP!A133</f>
        <v>54.936900000000001</v>
      </c>
      <c r="B79" s="57" t="str">
        <f>+GAAP!B133</f>
        <v>California Water Service Co. - PFAS Treatment Program Project</v>
      </c>
      <c r="C79" s="214">
        <f>+GAAP!J133</f>
        <v>2927422.95</v>
      </c>
      <c r="D79" s="214">
        <f t="shared" si="28"/>
        <v>25623201.75</v>
      </c>
      <c r="E79" s="214">
        <f>+GAAP!C133</f>
        <v>28550624.699999999</v>
      </c>
      <c r="F79" s="214">
        <f>+GAAP!F133</f>
        <v>2787466.66</v>
      </c>
      <c r="G79" s="214">
        <f t="shared" si="29"/>
        <v>23392315.039999999</v>
      </c>
      <c r="H79" s="214">
        <f t="shared" si="30"/>
        <v>26179781.699999999</v>
      </c>
      <c r="I79" s="214">
        <f>+GAAP!E133</f>
        <v>2370843</v>
      </c>
      <c r="J79" s="319">
        <f>+GAAP!G133</f>
        <v>0.106474022279567</v>
      </c>
      <c r="K79" s="214">
        <f>+GAAP!H133</f>
        <v>252433.19040335546</v>
      </c>
      <c r="L79" s="214">
        <f>+GAAP!P133</f>
        <v>0</v>
      </c>
      <c r="M79" s="214">
        <f t="shared" si="31"/>
        <v>252433.19040335546</v>
      </c>
      <c r="N79" s="118" t="str">
        <f>GAAP!T133</f>
        <v>2024</v>
      </c>
      <c r="O79" s="320">
        <f>+GAAP!U133</f>
        <v>0</v>
      </c>
      <c r="P79" s="321" t="str">
        <f>+GAAP!V133</f>
        <v>.</v>
      </c>
      <c r="Q79" s="56"/>
      <c r="R79" s="214"/>
      <c r="S79" s="214"/>
      <c r="T79" s="214"/>
      <c r="U79" s="214"/>
      <c r="V79" s="214"/>
      <c r="W79" s="214"/>
      <c r="X79" s="215"/>
      <c r="Y79" s="215"/>
      <c r="Z79" s="215"/>
      <c r="AA79" s="215"/>
    </row>
    <row r="80" spans="1:27">
      <c r="A80" s="410">
        <f>+GAAP!A223</f>
        <v>55.109000000000002</v>
      </c>
      <c r="B80" s="57" t="str">
        <f>+GAAP!B223</f>
        <v>LA Dept of Water and Power - Silverlake</v>
      </c>
      <c r="C80" s="214">
        <f>+GAAP!J223</f>
        <v>5235272.3600000003</v>
      </c>
      <c r="D80" s="214">
        <f t="shared" ref="D80:D91" si="32">+E80-C80</f>
        <v>0</v>
      </c>
      <c r="E80" s="214">
        <f>+GAAP!C223</f>
        <v>5235272.3600000003</v>
      </c>
      <c r="F80" s="214">
        <f>+GAAP!F223</f>
        <v>3834064.05</v>
      </c>
      <c r="G80" s="214">
        <f t="shared" ref="G80:G91" si="33">+H80-F80</f>
        <v>0</v>
      </c>
      <c r="H80" s="214">
        <f t="shared" ref="H80:H91" si="34">+E80-I80</f>
        <v>3834064.05</v>
      </c>
      <c r="I80" s="214">
        <f>+GAAP!E223</f>
        <v>1401208.3100000005</v>
      </c>
      <c r="J80" s="319">
        <f>+GAAP!G223</f>
        <v>1</v>
      </c>
      <c r="K80" s="214">
        <f>+GAAP!H223</f>
        <v>1401208.3100000005</v>
      </c>
      <c r="L80" s="214">
        <f>+GAAP!P223</f>
        <v>1356365.0899999999</v>
      </c>
      <c r="M80" s="214">
        <f t="shared" ref="M80:M91" si="35">+K80-L80</f>
        <v>44843.220000000671</v>
      </c>
      <c r="N80" s="118" t="str">
        <f>GAAP!T223</f>
        <v>2012</v>
      </c>
      <c r="O80" s="320">
        <f>+GAAP!U223</f>
        <v>0</v>
      </c>
      <c r="P80" s="321" t="str">
        <f>+GAAP!V223</f>
        <v>.</v>
      </c>
      <c r="Q80" s="56"/>
      <c r="R80" s="214"/>
      <c r="S80" s="214"/>
      <c r="T80" s="214"/>
      <c r="U80" s="214"/>
      <c r="V80" s="214"/>
      <c r="W80" s="214"/>
      <c r="X80" s="215"/>
      <c r="Y80" s="215"/>
      <c r="Z80" s="215"/>
      <c r="AA80" s="215"/>
    </row>
    <row r="81" spans="1:27">
      <c r="A81" s="410">
        <f>+GAAP!A224</f>
        <v>55.119100000000003</v>
      </c>
      <c r="B81" s="57" t="str">
        <f>+GAAP!B224</f>
        <v>Inland Empire Utilities - IEUA RP-5 Liquids Exp. &amp; Solids Treat. Facility</v>
      </c>
      <c r="C81" s="214">
        <f>+GAAP!J224</f>
        <v>296634984.50999999</v>
      </c>
      <c r="D81" s="214">
        <f t="shared" si="32"/>
        <v>44808149.199999988</v>
      </c>
      <c r="E81" s="214">
        <f>+GAAP!C224</f>
        <v>341443133.70999998</v>
      </c>
      <c r="F81" s="214">
        <f>+GAAP!F224</f>
        <v>299179624.83999997</v>
      </c>
      <c r="G81" s="214">
        <f t="shared" si="33"/>
        <v>38553010.870000005</v>
      </c>
      <c r="H81" s="214">
        <f t="shared" si="34"/>
        <v>337732635.70999998</v>
      </c>
      <c r="I81" s="214">
        <f>+GAAP!E224</f>
        <v>3710498</v>
      </c>
      <c r="J81" s="319">
        <f>+GAAP!G224</f>
        <v>0.88584754094329154</v>
      </c>
      <c r="K81" s="214">
        <f>+GAAP!H224</f>
        <v>3286935.5289750015</v>
      </c>
      <c r="L81" s="214">
        <f>+GAAP!P224</f>
        <v>6702671.5016121669</v>
      </c>
      <c r="M81" s="214">
        <f t="shared" si="35"/>
        <v>-3415735.9726371653</v>
      </c>
      <c r="N81" s="118" t="str">
        <f>GAAP!T224</f>
        <v>2020</v>
      </c>
      <c r="O81" s="320">
        <f>+GAAP!U224</f>
        <v>0</v>
      </c>
      <c r="P81" s="321" t="str">
        <f>+GAAP!V224</f>
        <v>.</v>
      </c>
      <c r="Q81" s="56"/>
      <c r="R81" s="214"/>
      <c r="S81" s="214"/>
      <c r="T81" s="214"/>
      <c r="U81" s="214"/>
      <c r="V81" s="214"/>
      <c r="W81" s="214"/>
      <c r="X81" s="215"/>
      <c r="Y81" s="215"/>
      <c r="Z81" s="215"/>
      <c r="AA81" s="215"/>
    </row>
    <row r="82" spans="1:27">
      <c r="A82" s="410">
        <f>+GAAP!A225</f>
        <v>55.119199999999999</v>
      </c>
      <c r="B82" s="57" t="str">
        <f>+GAAP!B225</f>
        <v>Inland Empire Utilities - IEUA RP-1 Flare Improvements</v>
      </c>
      <c r="C82" s="214">
        <f>+GAAP!J225</f>
        <v>6645760.5099999998</v>
      </c>
      <c r="D82" s="214">
        <f t="shared" si="32"/>
        <v>6043.0200000004843</v>
      </c>
      <c r="E82" s="214">
        <f>+GAAP!C225</f>
        <v>6651803.5300000003</v>
      </c>
      <c r="F82" s="214">
        <f>+GAAP!F225</f>
        <v>6393992.6900000004</v>
      </c>
      <c r="G82" s="214">
        <f t="shared" si="33"/>
        <v>7810.839999999851</v>
      </c>
      <c r="H82" s="214">
        <f t="shared" si="34"/>
        <v>6401803.5300000003</v>
      </c>
      <c r="I82" s="214">
        <f>+GAAP!E225</f>
        <v>250000</v>
      </c>
      <c r="J82" s="319">
        <f>+GAAP!G225</f>
        <v>0.99877990007606499</v>
      </c>
      <c r="K82" s="214">
        <f>+GAAP!H225</f>
        <v>249694.97501901624</v>
      </c>
      <c r="L82" s="214">
        <f>+GAAP!P225</f>
        <v>334963.83959833492</v>
      </c>
      <c r="M82" s="214">
        <f t="shared" si="35"/>
        <v>-85268.864579318673</v>
      </c>
      <c r="N82" s="118" t="str">
        <f>GAAP!T225</f>
        <v>2020</v>
      </c>
      <c r="O82" s="320">
        <f>+GAAP!U225</f>
        <v>0</v>
      </c>
      <c r="P82" s="321" t="str">
        <f>+GAAP!V225</f>
        <v>.</v>
      </c>
      <c r="Q82" s="56"/>
      <c r="R82" s="214"/>
      <c r="S82" s="214"/>
      <c r="T82" s="214"/>
      <c r="U82" s="214"/>
      <c r="V82" s="214"/>
      <c r="W82" s="214"/>
      <c r="X82" s="215"/>
      <c r="Y82" s="215"/>
      <c r="Z82" s="215"/>
      <c r="AA82" s="215"/>
    </row>
    <row r="83" spans="1:27">
      <c r="A83" s="410">
        <f>+GAAP!A226</f>
        <v>55.12</v>
      </c>
      <c r="B83" s="57" t="str">
        <f>+GAAP!B226</f>
        <v>East County Advanced Water Purification Project - Package 1</v>
      </c>
      <c r="C83" s="214">
        <f>+GAAP!J226</f>
        <v>197175877</v>
      </c>
      <c r="D83" s="214">
        <f t="shared" si="32"/>
        <v>0</v>
      </c>
      <c r="E83" s="214">
        <f>+GAAP!C226</f>
        <v>197175877</v>
      </c>
      <c r="F83" s="214">
        <f>+GAAP!F226</f>
        <v>189971137.49000001</v>
      </c>
      <c r="G83" s="214">
        <f t="shared" si="33"/>
        <v>0</v>
      </c>
      <c r="H83" s="214">
        <f t="shared" si="34"/>
        <v>189971137.49000001</v>
      </c>
      <c r="I83" s="214">
        <f>+GAAP!E226</f>
        <v>7204739.5099999905</v>
      </c>
      <c r="J83" s="319">
        <f>+GAAP!G226</f>
        <v>1</v>
      </c>
      <c r="K83" s="214">
        <f>+GAAP!H226</f>
        <v>7204739.5099999905</v>
      </c>
      <c r="L83" s="214">
        <f>+GAAP!P226</f>
        <v>4174832.9099999964</v>
      </c>
      <c r="M83" s="214">
        <f t="shared" si="35"/>
        <v>3029906.599999994</v>
      </c>
      <c r="N83" s="118" t="str">
        <f>GAAP!T226</f>
        <v>2020</v>
      </c>
      <c r="O83" s="320">
        <f>+GAAP!U226</f>
        <v>0</v>
      </c>
      <c r="P83" s="321" t="str">
        <f>+GAAP!V226</f>
        <v>.</v>
      </c>
      <c r="Q83" s="56"/>
      <c r="R83" s="214"/>
      <c r="S83" s="214"/>
      <c r="T83" s="214"/>
      <c r="U83" s="214"/>
      <c r="V83" s="214"/>
      <c r="W83" s="214"/>
      <c r="X83" s="215"/>
      <c r="Y83" s="215"/>
      <c r="Z83" s="215"/>
      <c r="AA83" s="215"/>
    </row>
    <row r="84" spans="1:27">
      <c r="A84" s="410">
        <f>+GAAP!A227</f>
        <v>55.120199999999997</v>
      </c>
      <c r="B84" s="57" t="str">
        <f>+GAAP!B227</f>
        <v>LA County Sanitation District - Oxygen Generation Project</v>
      </c>
      <c r="C84" s="214">
        <f>+GAAP!J227</f>
        <v>10912272.58</v>
      </c>
      <c r="D84" s="214">
        <f t="shared" si="32"/>
        <v>5483779</v>
      </c>
      <c r="E84" s="214">
        <f>+GAAP!C227</f>
        <v>16396051.58</v>
      </c>
      <c r="F84" s="214">
        <f>+GAAP!F227</f>
        <v>9590124.3499999996</v>
      </c>
      <c r="G84" s="214">
        <f t="shared" si="33"/>
        <v>5630518.2300000004</v>
      </c>
      <c r="H84" s="214">
        <f t="shared" si="34"/>
        <v>15220642.58</v>
      </c>
      <c r="I84" s="214">
        <f>+GAAP!E227</f>
        <v>1175409</v>
      </c>
      <c r="J84" s="319">
        <f>+GAAP!G227</f>
        <v>0.63007355304443391</v>
      </c>
      <c r="K84" s="214">
        <f>+GAAP!H227</f>
        <v>740594.12491040502</v>
      </c>
      <c r="L84" s="214">
        <f>+GAAP!P227</f>
        <v>647450.70626823581</v>
      </c>
      <c r="M84" s="214">
        <f t="shared" si="35"/>
        <v>93143.418642169214</v>
      </c>
      <c r="N84" s="118" t="str">
        <f>GAAP!T227</f>
        <v>2020</v>
      </c>
      <c r="O84" s="320">
        <f>+GAAP!U227</f>
        <v>0</v>
      </c>
      <c r="P84" s="321" t="str">
        <f>+GAAP!V227</f>
        <v>.</v>
      </c>
      <c r="Q84" s="56"/>
      <c r="R84" s="214"/>
      <c r="S84" s="214"/>
      <c r="T84" s="214"/>
      <c r="U84" s="214"/>
      <c r="V84" s="214"/>
      <c r="W84" s="214"/>
      <c r="X84" s="215"/>
      <c r="Y84" s="215"/>
      <c r="Z84" s="215"/>
      <c r="AA84" s="215"/>
    </row>
    <row r="85" spans="1:27">
      <c r="A85" s="410">
        <f>+GAAP!A228</f>
        <v>55.120399999999997</v>
      </c>
      <c r="B85" s="57" t="str">
        <f>+GAAP!B228</f>
        <v xml:space="preserve">East County Advanced Water Purification Project - Package 3 </v>
      </c>
      <c r="C85" s="214">
        <f>+GAAP!J228</f>
        <v>57142227</v>
      </c>
      <c r="D85" s="214">
        <f t="shared" si="32"/>
        <v>0</v>
      </c>
      <c r="E85" s="214">
        <f>+GAAP!C228</f>
        <v>57142227</v>
      </c>
      <c r="F85" s="214">
        <f>+GAAP!F228</f>
        <v>55213329.210000001</v>
      </c>
      <c r="G85" s="214">
        <f t="shared" si="33"/>
        <v>0</v>
      </c>
      <c r="H85" s="214">
        <f t="shared" si="34"/>
        <v>55213329.210000001</v>
      </c>
      <c r="I85" s="214">
        <f>+GAAP!E228</f>
        <v>1928897.7899999991</v>
      </c>
      <c r="J85" s="319">
        <f>+GAAP!G228</f>
        <v>1</v>
      </c>
      <c r="K85" s="214">
        <f>+GAAP!H228</f>
        <v>1928897.7899999991</v>
      </c>
      <c r="L85" s="214">
        <f>+GAAP!P228</f>
        <v>1627042.7800000012</v>
      </c>
      <c r="M85" s="214">
        <f t="shared" si="35"/>
        <v>301855.00999999791</v>
      </c>
      <c r="N85" s="118" t="str">
        <f>GAAP!T228</f>
        <v>2020</v>
      </c>
      <c r="O85" s="320">
        <f>+GAAP!U228</f>
        <v>0</v>
      </c>
      <c r="P85" s="321" t="str">
        <f>+GAAP!V228</f>
        <v>.</v>
      </c>
      <c r="Q85" s="56"/>
      <c r="R85" s="214"/>
      <c r="S85" s="214"/>
      <c r="T85" s="214"/>
      <c r="U85" s="214"/>
      <c r="V85" s="214"/>
      <c r="W85" s="214"/>
      <c r="X85" s="215"/>
      <c r="Y85" s="215"/>
      <c r="Z85" s="215"/>
      <c r="AA85" s="215"/>
    </row>
    <row r="86" spans="1:27">
      <c r="A86" s="410">
        <f>+GAAP!A229</f>
        <v>55.122700000000002</v>
      </c>
      <c r="B86" s="57" t="str">
        <f>+GAAP!B229</f>
        <v>Eastern Municipal Water District - MVRWRF Plant 2B Equipping and Flow Diversion Project</v>
      </c>
      <c r="C86" s="214">
        <f>+GAAP!J229</f>
        <v>41483406.390000001</v>
      </c>
      <c r="D86" s="214">
        <f t="shared" si="32"/>
        <v>20800</v>
      </c>
      <c r="E86" s="214">
        <f>+GAAP!C229</f>
        <v>41504206.390000001</v>
      </c>
      <c r="F86" s="214">
        <f>+GAAP!F229</f>
        <v>36953022.960000001</v>
      </c>
      <c r="G86" s="214">
        <f t="shared" si="33"/>
        <v>201183.4299999997</v>
      </c>
      <c r="H86" s="214">
        <f t="shared" si="34"/>
        <v>37154206.390000001</v>
      </c>
      <c r="I86" s="214">
        <f>+GAAP!E229</f>
        <v>4350000</v>
      </c>
      <c r="J86" s="319">
        <f>+GAAP!G229</f>
        <v>0.99458517757348341</v>
      </c>
      <c r="K86" s="214">
        <f>+GAAP!H229</f>
        <v>4326445.5224446524</v>
      </c>
      <c r="L86" s="214">
        <f>+GAAP!P229</f>
        <v>3409470.3387520085</v>
      </c>
      <c r="M86" s="214">
        <f t="shared" si="35"/>
        <v>916975.18369264388</v>
      </c>
      <c r="N86" s="118" t="str">
        <f>GAAP!T229</f>
        <v>2022</v>
      </c>
      <c r="O86" s="320">
        <f>+GAAP!U229</f>
        <v>0</v>
      </c>
      <c r="P86" s="321" t="str">
        <f>+GAAP!V229</f>
        <v>.</v>
      </c>
      <c r="Q86" s="56"/>
      <c r="R86" s="214"/>
      <c r="S86" s="214"/>
      <c r="T86" s="214"/>
      <c r="U86" s="214"/>
      <c r="V86" s="214"/>
      <c r="W86" s="214"/>
      <c r="X86" s="215"/>
      <c r="Y86" s="215"/>
      <c r="Z86" s="215"/>
      <c r="AA86" s="215"/>
    </row>
    <row r="87" spans="1:27">
      <c r="A87" s="410">
        <f>+GAAP!A230</f>
        <v>55.1233</v>
      </c>
      <c r="B87" s="57" t="str">
        <f>+GAAP!B230</f>
        <v>Veolia Water West Operating Services, Inc. - Rialto Solids Handling Design-Build Project (Design Phase)</v>
      </c>
      <c r="C87" s="214">
        <f>+GAAP!J230</f>
        <v>123617</v>
      </c>
      <c r="D87" s="214">
        <f t="shared" si="32"/>
        <v>2460.1600000000035</v>
      </c>
      <c r="E87" s="214">
        <f>+GAAP!C230</f>
        <v>126077.16</v>
      </c>
      <c r="F87" s="214">
        <f>+GAAP!F230</f>
        <v>126077.16</v>
      </c>
      <c r="G87" s="214">
        <f t="shared" si="33"/>
        <v>0</v>
      </c>
      <c r="H87" s="214">
        <f t="shared" si="34"/>
        <v>126077.16</v>
      </c>
      <c r="I87" s="214">
        <f>+GAAP!E230</f>
        <v>0</v>
      </c>
      <c r="J87" s="319">
        <f>+GAAP!G230</f>
        <v>1</v>
      </c>
      <c r="K87" s="214">
        <f>+GAAP!H230</f>
        <v>0</v>
      </c>
      <c r="L87" s="214">
        <f>+GAAP!P230</f>
        <v>8428.8399999999965</v>
      </c>
      <c r="M87" s="214">
        <f t="shared" si="35"/>
        <v>-8428.8399999999965</v>
      </c>
      <c r="N87" s="118" t="str">
        <f>GAAP!T230</f>
        <v>2024</v>
      </c>
      <c r="O87" s="320">
        <f>+GAAP!U230</f>
        <v>0</v>
      </c>
      <c r="P87" s="321" t="str">
        <f>+GAAP!V230</f>
        <v>.</v>
      </c>
      <c r="Q87" s="56"/>
      <c r="R87" s="214"/>
      <c r="S87" s="214"/>
      <c r="T87" s="214"/>
      <c r="U87" s="214"/>
      <c r="V87" s="214"/>
      <c r="W87" s="214"/>
      <c r="X87" s="215"/>
      <c r="Y87" s="215"/>
      <c r="Z87" s="215"/>
      <c r="AA87" s="215"/>
    </row>
    <row r="88" spans="1:27">
      <c r="A88" s="410">
        <f>+GAAP!A231</f>
        <v>55.1248</v>
      </c>
      <c r="B88" s="57" t="str">
        <f>+GAAP!B231</f>
        <v>Anaergia Technologies LLC - City of Riverside - Digester 5 Rehabilitation</v>
      </c>
      <c r="C88" s="214">
        <f>+GAAP!J231</f>
        <v>4861991.8099999996</v>
      </c>
      <c r="D88" s="214">
        <f t="shared" si="32"/>
        <v>897310</v>
      </c>
      <c r="E88" s="214">
        <f>+GAAP!C231</f>
        <v>5759301.8099999996</v>
      </c>
      <c r="F88" s="214">
        <f>+GAAP!F231</f>
        <v>3621770.22</v>
      </c>
      <c r="G88" s="214">
        <f t="shared" si="33"/>
        <v>1312531.5899999994</v>
      </c>
      <c r="H88" s="214">
        <f t="shared" si="34"/>
        <v>4934301.8099999996</v>
      </c>
      <c r="I88" s="214">
        <f>+GAAP!E231</f>
        <v>825000</v>
      </c>
      <c r="J88" s="319">
        <f>+GAAP!G231</f>
        <v>0.73399851882996203</v>
      </c>
      <c r="K88" s="214">
        <f>+GAAP!H231</f>
        <v>605548.77803471871</v>
      </c>
      <c r="L88" s="214">
        <f>+GAAP!P231</f>
        <v>0</v>
      </c>
      <c r="M88" s="214">
        <f t="shared" si="35"/>
        <v>605548.77803471871</v>
      </c>
      <c r="N88" s="118" t="str">
        <f>GAAP!T231</f>
        <v>2024</v>
      </c>
      <c r="O88" s="320">
        <f>+GAAP!U231</f>
        <v>0</v>
      </c>
      <c r="P88" s="321" t="str">
        <f>+GAAP!V231</f>
        <v>.</v>
      </c>
      <c r="Q88" s="56"/>
      <c r="R88" s="214"/>
      <c r="S88" s="214"/>
      <c r="T88" s="214"/>
      <c r="U88" s="214"/>
      <c r="V88" s="214"/>
      <c r="W88" s="214"/>
      <c r="X88" s="215"/>
      <c r="Y88" s="215"/>
      <c r="Z88" s="215"/>
      <c r="AA88" s="215"/>
    </row>
    <row r="89" spans="1:27">
      <c r="A89" s="410">
        <f>+GAAP!A232</f>
        <v>55.124899999999997</v>
      </c>
      <c r="B89" s="57" t="str">
        <f>+GAAP!B232</f>
        <v>Inland Empire Utilities - IEUA - RP-1 Solids Thickening Project - EN22044</v>
      </c>
      <c r="C89" s="214">
        <f>+GAAP!J232</f>
        <v>15047042.84</v>
      </c>
      <c r="D89" s="214">
        <f t="shared" si="32"/>
        <v>132478070.16</v>
      </c>
      <c r="E89" s="214">
        <f>+GAAP!C232</f>
        <v>147525113</v>
      </c>
      <c r="F89" s="214">
        <f>+GAAP!F232</f>
        <v>15046313.77</v>
      </c>
      <c r="G89" s="214">
        <f t="shared" si="33"/>
        <v>124657591.23</v>
      </c>
      <c r="H89" s="214">
        <f t="shared" si="34"/>
        <v>139703905</v>
      </c>
      <c r="I89" s="214">
        <f>+GAAP!E232</f>
        <v>7821208</v>
      </c>
      <c r="J89" s="319">
        <f>+GAAP!G232</f>
        <v>0.10770145451553412</v>
      </c>
      <c r="K89" s="214">
        <f>+GAAP!H232</f>
        <v>842355.47766853159</v>
      </c>
      <c r="L89" s="214">
        <f>+GAAP!P232</f>
        <v>0</v>
      </c>
      <c r="M89" s="214">
        <f t="shared" si="35"/>
        <v>842355.47766853159</v>
      </c>
      <c r="N89" s="118" t="str">
        <f>GAAP!T232</f>
        <v>2024</v>
      </c>
      <c r="O89" s="320">
        <f>+GAAP!U232</f>
        <v>0</v>
      </c>
      <c r="P89" s="321" t="str">
        <f>+GAAP!V232</f>
        <v>.</v>
      </c>
      <c r="Q89" s="56"/>
      <c r="R89" s="214"/>
      <c r="S89" s="214"/>
      <c r="T89" s="214"/>
      <c r="U89" s="214"/>
      <c r="V89" s="214"/>
      <c r="W89" s="214"/>
      <c r="X89" s="215"/>
      <c r="Y89" s="215"/>
      <c r="Z89" s="215"/>
      <c r="AA89" s="215"/>
    </row>
    <row r="90" spans="1:27">
      <c r="A90" s="410">
        <f>+GAAP!A252</f>
        <v>57.000300000000003</v>
      </c>
      <c r="B90" s="57" t="str">
        <f>+GAAP!B252</f>
        <v>Moulton Niguel Water Dist. - Advanced Water Treatment Facility Salinity Management System - Ph 1</v>
      </c>
      <c r="C90" s="214">
        <f>+GAAP!J252</f>
        <v>6863233.25</v>
      </c>
      <c r="D90" s="214">
        <f t="shared" si="32"/>
        <v>31302186.25</v>
      </c>
      <c r="E90" s="214">
        <f>+GAAP!C252</f>
        <v>38165419.5</v>
      </c>
      <c r="F90" s="214">
        <f>+GAAP!F252</f>
        <v>6316909.1299999999</v>
      </c>
      <c r="G90" s="214">
        <f t="shared" si="33"/>
        <v>29441424.370000001</v>
      </c>
      <c r="H90" s="214">
        <f t="shared" si="34"/>
        <v>35758333.5</v>
      </c>
      <c r="I90" s="214">
        <f>+GAAP!E252</f>
        <v>2407086</v>
      </c>
      <c r="J90" s="319">
        <f>+GAAP!G252</f>
        <v>0.17665557960076636</v>
      </c>
      <c r="K90" s="214">
        <f>+GAAP!H252</f>
        <v>425225.17247889028</v>
      </c>
      <c r="L90" s="214">
        <f>+GAAP!P252</f>
        <v>96385.411809887213</v>
      </c>
      <c r="M90" s="214">
        <f t="shared" si="35"/>
        <v>328839.76066900307</v>
      </c>
      <c r="N90" s="118" t="str">
        <f>GAAP!T252</f>
        <v>2024</v>
      </c>
      <c r="O90" s="320">
        <f>+GAAP!U252</f>
        <v>0</v>
      </c>
      <c r="P90" s="321" t="str">
        <f>+GAAP!V252</f>
        <v>.</v>
      </c>
      <c r="Q90" s="56"/>
      <c r="R90" s="214"/>
      <c r="S90" s="214"/>
      <c r="T90" s="214"/>
      <c r="U90" s="214"/>
      <c r="V90" s="214"/>
      <c r="W90" s="214"/>
      <c r="X90" s="215"/>
      <c r="Y90" s="215"/>
      <c r="Z90" s="215"/>
      <c r="AA90" s="215"/>
    </row>
    <row r="91" spans="1:27">
      <c r="A91" s="410">
        <f>+GAAP!A253</f>
        <v>57.000399999999999</v>
      </c>
      <c r="B91" s="57" t="str">
        <f>+GAAP!B253</f>
        <v>Santa Margarita Water Dist. - Oso Creek Water Reclamation Plant Optimization Project</v>
      </c>
      <c r="C91" s="214">
        <f>+GAAP!J253</f>
        <v>900072.76</v>
      </c>
      <c r="D91" s="214">
        <f t="shared" si="32"/>
        <v>39206151.870000005</v>
      </c>
      <c r="E91" s="214">
        <f>+GAAP!C253</f>
        <v>40106224.630000003</v>
      </c>
      <c r="F91" s="214">
        <f>+GAAP!F253</f>
        <v>750298.86</v>
      </c>
      <c r="G91" s="214">
        <f t="shared" si="33"/>
        <v>37146068.770000003</v>
      </c>
      <c r="H91" s="214">
        <f t="shared" si="34"/>
        <v>37896367.630000003</v>
      </c>
      <c r="I91" s="214">
        <f>+GAAP!E253</f>
        <v>2209857</v>
      </c>
      <c r="J91" s="319">
        <f>+GAAP!G253</f>
        <v>1.9798701219217615E-2</v>
      </c>
      <c r="K91" s="214">
        <f>+GAAP!H253</f>
        <v>0</v>
      </c>
      <c r="L91" s="214">
        <f>+GAAP!P253</f>
        <v>0</v>
      </c>
      <c r="M91" s="214">
        <f t="shared" si="35"/>
        <v>0</v>
      </c>
      <c r="N91" s="118" t="str">
        <f>GAAP!T253</f>
        <v>2024</v>
      </c>
      <c r="O91" s="320">
        <f>+GAAP!U253</f>
        <v>0</v>
      </c>
      <c r="P91" s="321" t="str">
        <f>+GAAP!V253</f>
        <v>.</v>
      </c>
      <c r="Q91" s="56"/>
      <c r="R91" s="214"/>
      <c r="S91" s="214"/>
      <c r="T91" s="214"/>
      <c r="U91" s="214"/>
      <c r="V91" s="214"/>
      <c r="W91" s="214"/>
      <c r="X91" s="215"/>
      <c r="Y91" s="215"/>
      <c r="Z91" s="215"/>
      <c r="AA91" s="215"/>
    </row>
    <row r="92" spans="1:27">
      <c r="A92" s="410">
        <f>+GAAP!A267</f>
        <v>58.000300000000003</v>
      </c>
      <c r="B92" s="57" t="str">
        <f>+GAAP!B267</f>
        <v>Los Angeles County Sanitation Dist. - Los Coyotes WRP Process Air Compressor Replacement</v>
      </c>
      <c r="C92" s="214">
        <f>+GAAP!J267</f>
        <v>11889201.76</v>
      </c>
      <c r="D92" s="214">
        <f t="shared" ref="D92:D104" si="36">+E92-C92</f>
        <v>10635987.24</v>
      </c>
      <c r="E92" s="214">
        <f>+GAAP!C267</f>
        <v>22525189</v>
      </c>
      <c r="F92" s="214">
        <f>+GAAP!F267</f>
        <v>11034781.789999999</v>
      </c>
      <c r="G92" s="214">
        <f t="shared" ref="G92:G104" si="37">+H92-F92</f>
        <v>10182392.210000001</v>
      </c>
      <c r="H92" s="214">
        <f t="shared" ref="H92:H104" si="38">+E92-I92</f>
        <v>21217174</v>
      </c>
      <c r="I92" s="214">
        <f>+GAAP!E267</f>
        <v>1308015</v>
      </c>
      <c r="J92" s="319">
        <f>+GAAP!G267</f>
        <v>0.52008725525840527</v>
      </c>
      <c r="K92" s="214">
        <f>+GAAP!H267</f>
        <v>680281.93118682294</v>
      </c>
      <c r="L92" s="214">
        <f>+GAAP!P267</f>
        <v>151508.81354182871</v>
      </c>
      <c r="M92" s="214">
        <f t="shared" ref="M92:M104" si="39">+K92-L92</f>
        <v>528773.11764499429</v>
      </c>
      <c r="N92" s="118" t="str">
        <f>GAAP!T267</f>
        <v>2024</v>
      </c>
      <c r="O92" s="320">
        <f>+GAAP!U267</f>
        <v>0</v>
      </c>
      <c r="P92" s="321" t="str">
        <f>+GAAP!V267</f>
        <v>.</v>
      </c>
      <c r="Q92" s="56"/>
      <c r="R92" s="214"/>
      <c r="S92" s="214"/>
      <c r="T92" s="214"/>
      <c r="U92" s="214"/>
      <c r="V92" s="214"/>
      <c r="W92" s="214"/>
      <c r="X92" s="215"/>
      <c r="Y92" s="215"/>
      <c r="Z92" s="215"/>
      <c r="AA92" s="215"/>
    </row>
    <row r="93" spans="1:27">
      <c r="A93" s="410">
        <f>+GAAP!A283</f>
        <v>56.1004</v>
      </c>
      <c r="B93" s="57" t="str">
        <f>+GAAP!B283</f>
        <v>San Joaquin Electric - Liberty Ranch Sewer Pump Station</v>
      </c>
      <c r="C93" s="214">
        <f>+GAAP!J283</f>
        <v>371550</v>
      </c>
      <c r="D93" s="214">
        <f t="shared" si="36"/>
        <v>1875</v>
      </c>
      <c r="E93" s="214">
        <f>+GAAP!C283</f>
        <v>373425</v>
      </c>
      <c r="F93" s="214">
        <f>+GAAP!F283</f>
        <v>236373.73</v>
      </c>
      <c r="G93" s="214">
        <f t="shared" si="37"/>
        <v>33466.26999999999</v>
      </c>
      <c r="H93" s="214">
        <f t="shared" si="38"/>
        <v>269840</v>
      </c>
      <c r="I93" s="214">
        <f>+GAAP!E283</f>
        <v>103585</v>
      </c>
      <c r="J93" s="319">
        <f>+GAAP!G283</f>
        <v>0.87597735695226808</v>
      </c>
      <c r="K93" s="214">
        <f>+GAAP!H283</f>
        <v>90738.114519900686</v>
      </c>
      <c r="L93" s="214">
        <f>+GAAP!P283</f>
        <v>51359.962693894202</v>
      </c>
      <c r="M93" s="214">
        <f t="shared" si="39"/>
        <v>39378.151826006484</v>
      </c>
      <c r="N93" s="118" t="str">
        <f>GAAP!T283</f>
        <v>2024</v>
      </c>
      <c r="O93" s="320">
        <f>+GAAP!U283</f>
        <v>0</v>
      </c>
      <c r="P93" s="321" t="str">
        <f>+GAAP!V283</f>
        <v>.</v>
      </c>
      <c r="Q93" s="56"/>
      <c r="R93" s="214"/>
      <c r="S93" s="214"/>
      <c r="T93" s="214"/>
      <c r="U93" s="214"/>
      <c r="V93" s="214"/>
      <c r="W93" s="214"/>
      <c r="X93" s="215"/>
      <c r="Y93" s="215"/>
      <c r="Z93" s="215"/>
      <c r="AA93" s="215"/>
    </row>
    <row r="94" spans="1:27">
      <c r="A94" s="410">
        <f>+GAAP!A290</f>
        <v>56.1036</v>
      </c>
      <c r="B94" s="57" t="str">
        <f>+GAAP!B290</f>
        <v>Darrel Varni Electric, Inc. - GSW, San Benito Co. Sewer Pump Station No. 2</v>
      </c>
      <c r="C94" s="214">
        <f>+GAAP!J290</f>
        <v>48000</v>
      </c>
      <c r="D94" s="214">
        <f t="shared" si="36"/>
        <v>228000</v>
      </c>
      <c r="E94" s="214">
        <f>+GAAP!C290</f>
        <v>276000</v>
      </c>
      <c r="F94" s="214">
        <f>+GAAP!F290</f>
        <v>107051.95</v>
      </c>
      <c r="G94" s="214">
        <f t="shared" si="37"/>
        <v>101972.05</v>
      </c>
      <c r="H94" s="214">
        <f t="shared" si="38"/>
        <v>209024</v>
      </c>
      <c r="I94" s="214">
        <f>+GAAP!E290</f>
        <v>66976</v>
      </c>
      <c r="J94" s="319">
        <f>+GAAP!G290</f>
        <v>0.51215147542865891</v>
      </c>
      <c r="K94" s="214">
        <f>+GAAP!H290</f>
        <v>34301.857218309859</v>
      </c>
      <c r="L94" s="214">
        <f>+GAAP!P290</f>
        <v>17815.649271120768</v>
      </c>
      <c r="M94" s="214">
        <f t="shared" si="39"/>
        <v>16486.20794718909</v>
      </c>
      <c r="N94" s="118" t="str">
        <f>GAAP!T290</f>
        <v>2024</v>
      </c>
      <c r="O94" s="320">
        <f>+GAAP!U290</f>
        <v>0</v>
      </c>
      <c r="P94" s="321" t="str">
        <f>+GAAP!V290</f>
        <v>.</v>
      </c>
      <c r="Q94" s="56"/>
      <c r="R94" s="214"/>
      <c r="S94" s="214"/>
      <c r="T94" s="214"/>
      <c r="U94" s="214"/>
      <c r="V94" s="214"/>
      <c r="W94" s="214"/>
      <c r="X94" s="215"/>
      <c r="Y94" s="215"/>
      <c r="Z94" s="215"/>
      <c r="AA94" s="215"/>
    </row>
    <row r="95" spans="1:27">
      <c r="A95" s="410">
        <f>+GAAP!A293</f>
        <v>56.103900000000003</v>
      </c>
      <c r="B95" s="57" t="str">
        <f>+GAAP!B293</f>
        <v>Sac Valley Electrica Inc -  Placer County - Creekview Ranch Sewer Lift Station</v>
      </c>
      <c r="C95" s="214">
        <f>+GAAP!J293</f>
        <v>330000</v>
      </c>
      <c r="D95" s="214">
        <f t="shared" si="36"/>
        <v>45000</v>
      </c>
      <c r="E95" s="214">
        <f>+GAAP!C293</f>
        <v>375000</v>
      </c>
      <c r="F95" s="214">
        <f>+GAAP!F293</f>
        <v>324049.23</v>
      </c>
      <c r="G95" s="214">
        <f t="shared" si="37"/>
        <v>8234.7700000000186</v>
      </c>
      <c r="H95" s="214">
        <f t="shared" si="38"/>
        <v>332284</v>
      </c>
      <c r="I95" s="214">
        <f>+GAAP!E293</f>
        <v>42716</v>
      </c>
      <c r="J95" s="319">
        <f>+GAAP!G293</f>
        <v>0.9752176752416607</v>
      </c>
      <c r="K95" s="214">
        <f>+GAAP!H293</f>
        <v>41657.398215622779</v>
      </c>
      <c r="L95" s="214">
        <f>+GAAP!P293</f>
        <v>4521.8912544751283</v>
      </c>
      <c r="M95" s="214">
        <f t="shared" si="39"/>
        <v>37135.50696114765</v>
      </c>
      <c r="N95" s="118" t="str">
        <f>GAAP!T293</f>
        <v>2024</v>
      </c>
      <c r="O95" s="320">
        <f>+GAAP!U293</f>
        <v>0</v>
      </c>
      <c r="P95" s="321" t="str">
        <f>+GAAP!V293</f>
        <v>.</v>
      </c>
      <c r="Q95" s="56"/>
      <c r="R95" s="214"/>
      <c r="S95" s="214"/>
      <c r="T95" s="214"/>
      <c r="U95" s="214"/>
      <c r="V95" s="214"/>
      <c r="W95" s="214"/>
      <c r="X95" s="215"/>
      <c r="Y95" s="215"/>
      <c r="Z95" s="215"/>
      <c r="AA95" s="215"/>
    </row>
    <row r="96" spans="1:27">
      <c r="A96" s="410">
        <f>+GAAP!A294</f>
        <v>56.104199999999999</v>
      </c>
      <c r="B96" s="57" t="str">
        <f>+GAAP!B294</f>
        <v>Trabuco Canyon Water Dist.  - SCADA Integration Services</v>
      </c>
      <c r="C96" s="214">
        <f>+GAAP!J294</f>
        <v>217715</v>
      </c>
      <c r="D96" s="214">
        <f t="shared" si="36"/>
        <v>59850</v>
      </c>
      <c r="E96" s="214">
        <f>+GAAP!C294</f>
        <v>277565</v>
      </c>
      <c r="F96" s="214">
        <f>+GAAP!F294</f>
        <v>172683.27</v>
      </c>
      <c r="G96" s="214">
        <f t="shared" si="37"/>
        <v>45604.73000000001</v>
      </c>
      <c r="H96" s="214">
        <f t="shared" si="38"/>
        <v>218288</v>
      </c>
      <c r="I96" s="214">
        <f>+GAAP!E294</f>
        <v>59277</v>
      </c>
      <c r="J96" s="319">
        <f>+GAAP!G294</f>
        <v>0.79107999523565198</v>
      </c>
      <c r="K96" s="214">
        <f>+GAAP!H294</f>
        <v>46892.84887758374</v>
      </c>
      <c r="L96" s="214">
        <f>+GAAP!P294</f>
        <v>34822.218142304642</v>
      </c>
      <c r="M96" s="214">
        <f t="shared" si="39"/>
        <v>12070.630735279097</v>
      </c>
      <c r="N96" s="118" t="str">
        <f>GAAP!T294</f>
        <v>2024</v>
      </c>
      <c r="O96" s="320">
        <f>+GAAP!U294</f>
        <v>0</v>
      </c>
      <c r="P96" s="321" t="str">
        <f>+GAAP!V294</f>
        <v>.</v>
      </c>
      <c r="Q96" s="56"/>
      <c r="R96" s="214"/>
      <c r="S96" s="214"/>
      <c r="T96" s="214"/>
      <c r="U96" s="214"/>
      <c r="V96" s="214"/>
      <c r="W96" s="214"/>
      <c r="X96" s="215"/>
      <c r="Y96" s="215"/>
      <c r="Z96" s="215"/>
      <c r="AA96" s="215"/>
    </row>
    <row r="97" spans="1:27">
      <c r="A97" s="410">
        <f>+GAAP!A295</f>
        <v>56.104300000000002</v>
      </c>
      <c r="B97" s="57" t="str">
        <f>+GAAP!B295</f>
        <v>SD Electirc, Inc - Morgan Hill, City of - Sanitary Sewer Lift Station K &amp; F Reh</v>
      </c>
      <c r="C97" s="214">
        <f>+GAAP!J295</f>
        <v>0</v>
      </c>
      <c r="D97" s="214">
        <f t="shared" si="36"/>
        <v>336610</v>
      </c>
      <c r="E97" s="214">
        <f>+GAAP!C295</f>
        <v>336610</v>
      </c>
      <c r="F97" s="214">
        <f>+GAAP!F295</f>
        <v>214994.3</v>
      </c>
      <c r="G97" s="214">
        <f t="shared" si="37"/>
        <v>96396.700000000012</v>
      </c>
      <c r="H97" s="214">
        <f t="shared" si="38"/>
        <v>311391</v>
      </c>
      <c r="I97" s="214">
        <f>+GAAP!E295</f>
        <v>25219</v>
      </c>
      <c r="J97" s="319">
        <f>+GAAP!G295</f>
        <v>0.69043196495724024</v>
      </c>
      <c r="K97" s="214">
        <f>+GAAP!H295</f>
        <v>17412.003724256643</v>
      </c>
      <c r="L97" s="214">
        <f>+GAAP!P295</f>
        <v>4449.6548011828163</v>
      </c>
      <c r="M97" s="214">
        <f t="shared" si="39"/>
        <v>12962.348923073827</v>
      </c>
      <c r="N97" s="118" t="str">
        <f>GAAP!T295</f>
        <v>2024</v>
      </c>
      <c r="O97" s="320">
        <f>+GAAP!U295</f>
        <v>0</v>
      </c>
      <c r="P97" s="321" t="str">
        <f>+GAAP!V295</f>
        <v>.</v>
      </c>
      <c r="Q97" s="56"/>
      <c r="R97" s="214"/>
      <c r="S97" s="214"/>
      <c r="T97" s="214"/>
      <c r="U97" s="214"/>
      <c r="V97" s="214"/>
      <c r="W97" s="214"/>
      <c r="X97" s="215"/>
      <c r="Y97" s="215"/>
      <c r="Z97" s="215"/>
      <c r="AA97" s="215"/>
    </row>
    <row r="98" spans="1:27">
      <c r="A98" s="410">
        <f>+GAAP!A297</f>
        <v>56.104700000000001</v>
      </c>
      <c r="B98" s="57" t="str">
        <f>+GAAP!B297</f>
        <v>SD Electric, Inc - Lathrop, City of - Consolidated Treatment Facility Ph. 3</v>
      </c>
      <c r="C98" s="214">
        <f>+GAAP!J297</f>
        <v>1905218.25</v>
      </c>
      <c r="D98" s="214">
        <f t="shared" si="36"/>
        <v>489539.75</v>
      </c>
      <c r="E98" s="214">
        <f>+GAAP!C297</f>
        <v>2394758</v>
      </c>
      <c r="F98" s="214">
        <f>+GAAP!F297</f>
        <v>1602869.63</v>
      </c>
      <c r="G98" s="214">
        <f t="shared" si="37"/>
        <v>437685.37000000011</v>
      </c>
      <c r="H98" s="214">
        <f t="shared" si="38"/>
        <v>2040555</v>
      </c>
      <c r="I98" s="214">
        <f>+GAAP!E297</f>
        <v>354203</v>
      </c>
      <c r="J98" s="319">
        <f>+GAAP!G297</f>
        <v>0.78550670283329771</v>
      </c>
      <c r="K98" s="214">
        <f>+GAAP!H297</f>
        <v>278228.83066366252</v>
      </c>
      <c r="L98" s="214">
        <f>+GAAP!P297</f>
        <v>0</v>
      </c>
      <c r="M98" s="214">
        <f t="shared" si="39"/>
        <v>278228.83066366252</v>
      </c>
      <c r="N98" s="118" t="str">
        <f>GAAP!T297</f>
        <v>2024</v>
      </c>
      <c r="O98" s="320">
        <f>+GAAP!U297</f>
        <v>0</v>
      </c>
      <c r="P98" s="321" t="str">
        <f>+GAAP!V297</f>
        <v>.</v>
      </c>
      <c r="Q98" s="56"/>
      <c r="R98" s="214"/>
      <c r="S98" s="214"/>
      <c r="T98" s="214"/>
      <c r="U98" s="214"/>
      <c r="V98" s="214"/>
      <c r="W98" s="214"/>
      <c r="X98" s="215"/>
      <c r="Y98" s="215"/>
      <c r="Z98" s="215"/>
      <c r="AA98" s="215"/>
    </row>
    <row r="99" spans="1:27">
      <c r="A99" s="410">
        <f>+GAAP!A299</f>
        <v>56.104900000000001</v>
      </c>
      <c r="B99" s="57" t="str">
        <f>+GAAP!B299</f>
        <v>East Orange County Water District - SCADA Field Site RTU Prog Ph.1</v>
      </c>
      <c r="C99" s="214">
        <f>+GAAP!J299</f>
        <v>291725</v>
      </c>
      <c r="D99" s="214">
        <f t="shared" si="36"/>
        <v>17000</v>
      </c>
      <c r="E99" s="214">
        <f>+GAAP!C299</f>
        <v>308725</v>
      </c>
      <c r="F99" s="214">
        <f>+GAAP!F299</f>
        <v>214423.06</v>
      </c>
      <c r="G99" s="214">
        <f t="shared" si="37"/>
        <v>34449.94</v>
      </c>
      <c r="H99" s="214">
        <f t="shared" si="38"/>
        <v>248873</v>
      </c>
      <c r="I99" s="214">
        <f>+GAAP!E299</f>
        <v>59852</v>
      </c>
      <c r="J99" s="319">
        <f>+GAAP!G299</f>
        <v>0.86157622562511804</v>
      </c>
      <c r="K99" s="214">
        <f>+GAAP!H299</f>
        <v>51567.060256114564</v>
      </c>
      <c r="L99" s="214">
        <f>+GAAP!P299</f>
        <v>74409.070972223708</v>
      </c>
      <c r="M99" s="214">
        <f t="shared" si="39"/>
        <v>-22842.010716109144</v>
      </c>
      <c r="N99" s="118" t="str">
        <f>GAAP!T299</f>
        <v>2024</v>
      </c>
      <c r="O99" s="320">
        <f>+GAAP!U299</f>
        <v>0</v>
      </c>
      <c r="P99" s="321" t="str">
        <f>+GAAP!V299</f>
        <v>.</v>
      </c>
      <c r="Q99" s="56"/>
      <c r="R99" s="214"/>
      <c r="S99" s="214"/>
      <c r="T99" s="214"/>
      <c r="U99" s="214"/>
      <c r="V99" s="214"/>
      <c r="W99" s="214"/>
      <c r="X99" s="215"/>
      <c r="Y99" s="215"/>
      <c r="Z99" s="215"/>
      <c r="AA99" s="215"/>
    </row>
    <row r="100" spans="1:27">
      <c r="A100" s="410">
        <f>+GAAP!A300</f>
        <v>56.104999999999997</v>
      </c>
      <c r="B100" s="57" t="str">
        <f>+GAAP!B300</f>
        <v>Collins Electric - Watsonville, City of - WWTF Electrical System Hazard Mitigat</v>
      </c>
      <c r="C100" s="214">
        <f>+GAAP!J300</f>
        <v>675979.5</v>
      </c>
      <c r="D100" s="214">
        <f t="shared" si="36"/>
        <v>3116579.5</v>
      </c>
      <c r="E100" s="214">
        <f>+GAAP!C300</f>
        <v>3792559</v>
      </c>
      <c r="F100" s="214">
        <f>+GAAP!F300</f>
        <v>925847.53</v>
      </c>
      <c r="G100" s="214">
        <f t="shared" si="37"/>
        <v>2439719.4699999997</v>
      </c>
      <c r="H100" s="214">
        <f t="shared" si="38"/>
        <v>3365567</v>
      </c>
      <c r="I100" s="214">
        <f>+GAAP!E300</f>
        <v>426992</v>
      </c>
      <c r="J100" s="319">
        <f>+GAAP!G300</f>
        <v>0.27509407181613083</v>
      </c>
      <c r="K100" s="214">
        <f>+GAAP!H300</f>
        <v>117462.96791291333</v>
      </c>
      <c r="L100" s="214">
        <f>+GAAP!P300</f>
        <v>0</v>
      </c>
      <c r="M100" s="214">
        <f t="shared" si="39"/>
        <v>117462.96791291333</v>
      </c>
      <c r="N100" s="118" t="str">
        <f>GAAP!T300</f>
        <v>2024</v>
      </c>
      <c r="O100" s="320">
        <f>+GAAP!U300</f>
        <v>0</v>
      </c>
      <c r="P100" s="321" t="str">
        <f>+GAAP!V300</f>
        <v>.</v>
      </c>
      <c r="Q100" s="56"/>
      <c r="R100" s="214"/>
      <c r="S100" s="214"/>
      <c r="T100" s="214"/>
      <c r="U100" s="214"/>
      <c r="V100" s="214"/>
      <c r="W100" s="214"/>
      <c r="X100" s="215"/>
      <c r="Y100" s="215"/>
      <c r="Z100" s="215"/>
      <c r="AA100" s="215"/>
    </row>
    <row r="101" spans="1:27">
      <c r="A101" s="410">
        <f>+GAAP!A302</f>
        <v>56.105899999999998</v>
      </c>
      <c r="B101" s="57" t="str">
        <f>+GAAP!B302</f>
        <v>Fusion Electric, Inc - San Francisco Utilities Commission (SFPUC) - Moccasin Compou</v>
      </c>
      <c r="C101" s="214">
        <f>+GAAP!J302</f>
        <v>0</v>
      </c>
      <c r="D101" s="214">
        <f t="shared" si="36"/>
        <v>399389</v>
      </c>
      <c r="E101" s="214">
        <f>+GAAP!C302</f>
        <v>399389</v>
      </c>
      <c r="F101" s="214">
        <f>+GAAP!F302</f>
        <v>235841.92000000001</v>
      </c>
      <c r="G101" s="214">
        <f t="shared" si="37"/>
        <v>93364.079999999987</v>
      </c>
      <c r="H101" s="214">
        <f t="shared" si="38"/>
        <v>329206</v>
      </c>
      <c r="I101" s="214">
        <f>+GAAP!E302</f>
        <v>70183</v>
      </c>
      <c r="J101" s="319">
        <f>+GAAP!G302</f>
        <v>0.71639617746942652</v>
      </c>
      <c r="K101" s="214">
        <f>+GAAP!H302</f>
        <v>50278.832923336762</v>
      </c>
      <c r="L101" s="214">
        <f>+GAAP!P302</f>
        <v>0</v>
      </c>
      <c r="M101" s="214">
        <f t="shared" si="39"/>
        <v>50278.832923336762</v>
      </c>
      <c r="N101" s="118" t="str">
        <f>GAAP!T302</f>
        <v>2024</v>
      </c>
      <c r="O101" s="320">
        <f>+GAAP!U302</f>
        <v>0</v>
      </c>
      <c r="P101" s="321" t="str">
        <f>+GAAP!V302</f>
        <v>.</v>
      </c>
      <c r="Q101" s="56"/>
      <c r="R101" s="214"/>
      <c r="S101" s="214"/>
      <c r="T101" s="214"/>
      <c r="U101" s="214"/>
      <c r="V101" s="214"/>
      <c r="W101" s="214"/>
      <c r="X101" s="215"/>
      <c r="Y101" s="215"/>
      <c r="Z101" s="215"/>
      <c r="AA101" s="215"/>
    </row>
    <row r="102" spans="1:27">
      <c r="A102" s="410">
        <f>+GAAP!A303</f>
        <v>56.106000000000002</v>
      </c>
      <c r="B102" s="57" t="str">
        <f>+GAAP!B303</f>
        <v>Fusion Electric, Inc - Stockton, City of - N4 Pump Station Improvement Plans of Mar</v>
      </c>
      <c r="C102" s="214">
        <f>+GAAP!J303</f>
        <v>0</v>
      </c>
      <c r="D102" s="214">
        <f t="shared" si="36"/>
        <v>404663</v>
      </c>
      <c r="E102" s="214">
        <f>+GAAP!C303</f>
        <v>404663</v>
      </c>
      <c r="F102" s="214">
        <f>+GAAP!F303</f>
        <v>145563.35999999999</v>
      </c>
      <c r="G102" s="214">
        <f t="shared" si="37"/>
        <v>176927.64</v>
      </c>
      <c r="H102" s="214">
        <f t="shared" si="38"/>
        <v>322491</v>
      </c>
      <c r="I102" s="214">
        <f>+GAAP!E303</f>
        <v>82172</v>
      </c>
      <c r="J102" s="319">
        <f>+GAAP!G303</f>
        <v>0.45137185223773685</v>
      </c>
      <c r="K102" s="214">
        <f>+GAAP!H303</f>
        <v>37090.12784207931</v>
      </c>
      <c r="L102" s="214">
        <f>+GAAP!P303</f>
        <v>10941.561946541931</v>
      </c>
      <c r="M102" s="214">
        <f t="shared" si="39"/>
        <v>26148.56589553738</v>
      </c>
      <c r="N102" s="118" t="str">
        <f>GAAP!T303</f>
        <v>2024</v>
      </c>
      <c r="O102" s="320">
        <f>+GAAP!U303</f>
        <v>0</v>
      </c>
      <c r="P102" s="321" t="str">
        <f>+GAAP!V303</f>
        <v>.</v>
      </c>
      <c r="Q102" s="56"/>
      <c r="R102" s="214"/>
      <c r="S102" s="214"/>
      <c r="T102" s="214"/>
      <c r="U102" s="214"/>
      <c r="V102" s="214"/>
      <c r="W102" s="214"/>
      <c r="X102" s="215"/>
      <c r="Y102" s="215"/>
      <c r="Z102" s="215"/>
      <c r="AA102" s="215"/>
    </row>
    <row r="103" spans="1:27">
      <c r="A103" s="410">
        <f>+GAAP!A305</f>
        <v>56.1066</v>
      </c>
      <c r="B103" s="57" t="str">
        <f>+GAAP!B305</f>
        <v>CM Controls - City of Larkspur and Ross Valley Sanitary District – Heather</v>
      </c>
      <c r="C103" s="214">
        <f>+GAAP!J305</f>
        <v>570000</v>
      </c>
      <c r="D103" s="214">
        <f t="shared" si="36"/>
        <v>25000</v>
      </c>
      <c r="E103" s="214">
        <f>+GAAP!C305</f>
        <v>595000</v>
      </c>
      <c r="F103" s="214">
        <f>+GAAP!F305</f>
        <v>476030.06</v>
      </c>
      <c r="G103" s="214">
        <f t="shared" si="37"/>
        <v>55459.94</v>
      </c>
      <c r="H103" s="214">
        <f t="shared" si="38"/>
        <v>531490</v>
      </c>
      <c r="I103" s="214">
        <f>+GAAP!E305</f>
        <v>63510</v>
      </c>
      <c r="J103" s="319">
        <f>+GAAP!G305</f>
        <v>0.89565195958531674</v>
      </c>
      <c r="K103" s="214">
        <f>+GAAP!H305</f>
        <v>56882.855953263468</v>
      </c>
      <c r="L103" s="214">
        <f>+GAAP!P305</f>
        <v>0</v>
      </c>
      <c r="M103" s="214">
        <f t="shared" si="39"/>
        <v>56882.855953263468</v>
      </c>
      <c r="N103" s="118" t="str">
        <f>GAAP!T305</f>
        <v>2024</v>
      </c>
      <c r="O103" s="320">
        <f>+GAAP!U305</f>
        <v>0</v>
      </c>
      <c r="P103" s="321" t="str">
        <f>+GAAP!V305</f>
        <v>.</v>
      </c>
      <c r="Q103" s="56"/>
      <c r="R103" s="214"/>
      <c r="S103" s="214"/>
      <c r="T103" s="214"/>
      <c r="U103" s="214"/>
      <c r="V103" s="214"/>
      <c r="W103" s="214"/>
      <c r="X103" s="215"/>
      <c r="Y103" s="215"/>
      <c r="Z103" s="215"/>
      <c r="AA103" s="215"/>
    </row>
    <row r="104" spans="1:27">
      <c r="A104" s="410">
        <f>+GAAP!A306</f>
        <v>56.106699999999996</v>
      </c>
      <c r="B104" s="57" t="str">
        <f>+GAAP!B306</f>
        <v>Fusion Electric - Woodland Lift Station Rehabilitation - City of Modesto</v>
      </c>
      <c r="C104" s="214">
        <f>+GAAP!J306</f>
        <v>217000</v>
      </c>
      <c r="D104" s="214">
        <f t="shared" si="36"/>
        <v>261000</v>
      </c>
      <c r="E104" s="214">
        <f>+GAAP!C306</f>
        <v>478000</v>
      </c>
      <c r="F104" s="214">
        <f>+GAAP!F306</f>
        <v>104751.99</v>
      </c>
      <c r="G104" s="214">
        <f t="shared" si="37"/>
        <v>311126.01</v>
      </c>
      <c r="H104" s="214">
        <f t="shared" si="38"/>
        <v>415878</v>
      </c>
      <c r="I104" s="214">
        <f>+GAAP!E306</f>
        <v>62122</v>
      </c>
      <c r="J104" s="319">
        <f>+GAAP!G306</f>
        <v>0.25188153737394142</v>
      </c>
      <c r="K104" s="214">
        <f>+GAAP!H306</f>
        <v>15647.384864743988</v>
      </c>
      <c r="L104" s="214">
        <f>+GAAP!P306</f>
        <v>0</v>
      </c>
      <c r="M104" s="214">
        <f t="shared" si="39"/>
        <v>15647.384864743988</v>
      </c>
      <c r="N104" s="118" t="str">
        <f>GAAP!T306</f>
        <v>2024</v>
      </c>
      <c r="O104" s="320">
        <f>+GAAP!U306</f>
        <v>0</v>
      </c>
      <c r="P104" s="321" t="str">
        <f>+GAAP!V306</f>
        <v>.</v>
      </c>
      <c r="Q104" s="56"/>
      <c r="R104" s="214"/>
      <c r="S104" s="214"/>
      <c r="T104" s="214"/>
      <c r="U104" s="214"/>
      <c r="V104" s="214"/>
      <c r="W104" s="214"/>
      <c r="X104" s="215"/>
      <c r="Y104" s="215"/>
      <c r="Z104" s="215"/>
      <c r="AA104" s="215"/>
    </row>
    <row r="105" spans="1:27" ht="9" customHeight="1">
      <c r="A105" s="410"/>
      <c r="C105" s="214"/>
      <c r="D105" s="214"/>
      <c r="E105" s="214"/>
      <c r="F105" s="214"/>
      <c r="G105" s="214"/>
      <c r="H105" s="214"/>
      <c r="I105" s="214"/>
      <c r="J105" s="319"/>
      <c r="K105" s="214"/>
      <c r="L105" s="214"/>
      <c r="M105" s="214"/>
      <c r="N105" s="118"/>
      <c r="O105" s="320"/>
      <c r="P105" s="321"/>
      <c r="Q105" s="56"/>
      <c r="R105" s="214"/>
      <c r="S105" s="214"/>
      <c r="T105" s="214"/>
      <c r="U105" s="214"/>
      <c r="V105" s="214"/>
      <c r="W105" s="214"/>
      <c r="X105" s="215"/>
      <c r="Y105" s="215"/>
      <c r="Z105" s="215"/>
      <c r="AA105" s="215"/>
    </row>
    <row r="106" spans="1:27">
      <c r="A106" s="81" t="s">
        <v>112</v>
      </c>
      <c r="C106" s="214"/>
      <c r="D106" s="214"/>
      <c r="E106" s="214"/>
      <c r="F106" s="214"/>
      <c r="G106" s="214"/>
      <c r="H106" s="214"/>
      <c r="I106" s="214"/>
      <c r="J106" s="319"/>
      <c r="K106" s="214"/>
      <c r="L106" s="214"/>
      <c r="M106" s="214"/>
      <c r="N106" s="118"/>
      <c r="O106" s="320"/>
      <c r="P106" s="321"/>
      <c r="Q106" s="56"/>
      <c r="R106" s="214"/>
      <c r="S106" s="214"/>
      <c r="T106" s="214"/>
      <c r="U106" s="214"/>
      <c r="V106" s="214"/>
      <c r="W106" s="214"/>
      <c r="X106" s="215"/>
      <c r="Y106" s="215"/>
      <c r="Z106" s="215"/>
      <c r="AA106" s="215"/>
    </row>
    <row r="107" spans="1:27">
      <c r="A107" s="410">
        <f>+GAAP!A83</f>
        <v>52.868499999999997</v>
      </c>
      <c r="B107" s="57" t="str">
        <f>+GAAP!B83</f>
        <v>Malaga County Water Dist. - Malaga County Water District</v>
      </c>
      <c r="C107" s="214">
        <f>+GAAP!J83</f>
        <v>451254</v>
      </c>
      <c r="D107" s="214">
        <f t="shared" ref="D107:D108" si="40">+E107-C107</f>
        <v>0</v>
      </c>
      <c r="E107" s="214">
        <f>+GAAP!C83</f>
        <v>451254</v>
      </c>
      <c r="F107" s="214">
        <f>+GAAP!F83</f>
        <v>382067.32</v>
      </c>
      <c r="G107" s="214">
        <f t="shared" ref="G107:G108" si="41">+H107-F107</f>
        <v>0</v>
      </c>
      <c r="H107" s="214">
        <f t="shared" ref="H107:H108" si="42">+E107-I107</f>
        <v>382067.32</v>
      </c>
      <c r="I107" s="214">
        <f>+GAAP!E83</f>
        <v>69186.679999999993</v>
      </c>
      <c r="J107" s="319">
        <f>+GAAP!G83</f>
        <v>1</v>
      </c>
      <c r="K107" s="214">
        <f>+GAAP!H83</f>
        <v>69186.679999999993</v>
      </c>
      <c r="L107" s="214">
        <f>+GAAP!P83</f>
        <v>0</v>
      </c>
      <c r="M107" s="214">
        <f t="shared" ref="M107:M108" si="43">+K107-L107</f>
        <v>69186.679999999993</v>
      </c>
      <c r="N107" s="118" t="str">
        <f>GAAP!T83</f>
        <v>2025</v>
      </c>
      <c r="O107" s="320" t="str">
        <f>+GAAP!U83</f>
        <v>2025</v>
      </c>
      <c r="P107" s="321" t="str">
        <f>+GAAP!V83</f>
        <v>.</v>
      </c>
      <c r="Q107" s="56"/>
      <c r="R107" s="214"/>
      <c r="S107" s="214"/>
      <c r="T107" s="214"/>
      <c r="U107" s="214"/>
      <c r="V107" s="214"/>
      <c r="W107" s="214"/>
      <c r="X107" s="215"/>
      <c r="Y107" s="215"/>
      <c r="Z107" s="215"/>
      <c r="AA107" s="215"/>
    </row>
    <row r="108" spans="1:27">
      <c r="A108" s="410">
        <f>+GAAP!A89</f>
        <v>52.869300000000003</v>
      </c>
      <c r="B108" s="57" t="str">
        <f>+GAAP!B89</f>
        <v>New England Sheet Metal and Mechanical Co. - VCH Service Meter Connections</v>
      </c>
      <c r="C108" s="214">
        <f>+GAAP!J89</f>
        <v>1120704.2</v>
      </c>
      <c r="D108" s="214">
        <f t="shared" si="40"/>
        <v>0</v>
      </c>
      <c r="E108" s="214">
        <f>+GAAP!C89</f>
        <v>1120704.2</v>
      </c>
      <c r="F108" s="214">
        <f>+GAAP!F89</f>
        <v>663140.99</v>
      </c>
      <c r="G108" s="214">
        <f t="shared" si="41"/>
        <v>0</v>
      </c>
      <c r="H108" s="214">
        <f t="shared" si="42"/>
        <v>663140.99</v>
      </c>
      <c r="I108" s="214">
        <f>+GAAP!E89</f>
        <v>457563.20999999996</v>
      </c>
      <c r="J108" s="319">
        <f>+GAAP!G89</f>
        <v>1</v>
      </c>
      <c r="K108" s="214">
        <f>+GAAP!H89</f>
        <v>457563.20999999996</v>
      </c>
      <c r="L108" s="214">
        <f>+GAAP!P89</f>
        <v>0</v>
      </c>
      <c r="M108" s="214">
        <f t="shared" si="43"/>
        <v>457563.20999999996</v>
      </c>
      <c r="N108" s="118" t="str">
        <f>GAAP!T89</f>
        <v>2025</v>
      </c>
      <c r="O108" s="320" t="str">
        <f>+GAAP!U89</f>
        <v>2025</v>
      </c>
      <c r="P108" s="321" t="str">
        <f>+GAAP!V89</f>
        <v>.</v>
      </c>
      <c r="Q108" s="56"/>
      <c r="R108" s="214"/>
      <c r="S108" s="214"/>
      <c r="T108" s="214"/>
      <c r="U108" s="214"/>
      <c r="V108" s="214"/>
      <c r="W108" s="214"/>
      <c r="X108" s="215"/>
      <c r="Y108" s="215"/>
      <c r="Z108" s="215"/>
      <c r="AA108" s="215"/>
    </row>
    <row r="109" spans="1:27">
      <c r="A109" s="410">
        <f>+GAAP!A244</f>
        <v>55.125100000000003</v>
      </c>
      <c r="B109" s="57" t="str">
        <f>+GAAP!B244</f>
        <v>Woodard &amp; Curran, Inc. - VVWRA Magnesium Hydroxide Feed System Upgrade</v>
      </c>
      <c r="C109" s="214">
        <f>+GAAP!J244</f>
        <v>322982.96000000002</v>
      </c>
      <c r="D109" s="214">
        <f t="shared" ref="D109" si="44">+E109-C109</f>
        <v>0</v>
      </c>
      <c r="E109" s="214">
        <f>+GAAP!C244</f>
        <v>322982.96000000002</v>
      </c>
      <c r="F109" s="214">
        <f>+GAAP!F244</f>
        <v>284221.86</v>
      </c>
      <c r="G109" s="214">
        <f t="shared" ref="G109" si="45">+H109-F109</f>
        <v>0</v>
      </c>
      <c r="H109" s="214">
        <f t="shared" ref="H109" si="46">+E109-I109</f>
        <v>284221.86</v>
      </c>
      <c r="I109" s="214">
        <f>+GAAP!E244</f>
        <v>38761.100000000035</v>
      </c>
      <c r="J109" s="319">
        <f>+GAAP!G244</f>
        <v>1</v>
      </c>
      <c r="K109" s="214">
        <f>+GAAP!H244</f>
        <v>38761.100000000035</v>
      </c>
      <c r="L109" s="214">
        <f>+GAAP!P244</f>
        <v>0</v>
      </c>
      <c r="M109" s="214">
        <f t="shared" ref="M109" si="47">+K109-L109</f>
        <v>38761.100000000035</v>
      </c>
      <c r="N109" s="118" t="str">
        <f>GAAP!T244</f>
        <v>2025</v>
      </c>
      <c r="O109" s="320" t="str">
        <f>+GAAP!U244</f>
        <v>2025</v>
      </c>
      <c r="P109" s="321" t="str">
        <f>+GAAP!V244</f>
        <v>.</v>
      </c>
      <c r="Q109" s="56"/>
      <c r="R109" s="214"/>
      <c r="S109" s="214"/>
      <c r="T109" s="214"/>
      <c r="U109" s="214"/>
      <c r="V109" s="214"/>
      <c r="W109" s="214"/>
      <c r="X109" s="215"/>
      <c r="Y109" s="215"/>
      <c r="Z109" s="215"/>
      <c r="AA109" s="215"/>
    </row>
    <row r="110" spans="1:27">
      <c r="A110" s="410">
        <f>+GAAP!A349</f>
        <v>56.107999999999997</v>
      </c>
      <c r="B110" s="57" t="str">
        <f>+GAAP!B349</f>
        <v>AIC - San Jose Water Co - PLC System Assessment</v>
      </c>
      <c r="C110" s="214">
        <f>+GAAP!J349</f>
        <v>359469</v>
      </c>
      <c r="D110" s="214">
        <f t="shared" ref="D110" si="48">+E110-C110</f>
        <v>0</v>
      </c>
      <c r="E110" s="214">
        <f>+GAAP!C349</f>
        <v>359469</v>
      </c>
      <c r="F110" s="214">
        <f>+GAAP!F349</f>
        <v>359469</v>
      </c>
      <c r="G110" s="214">
        <f t="shared" ref="G110" si="49">+H110-F110</f>
        <v>0</v>
      </c>
      <c r="H110" s="214">
        <f t="shared" ref="H110" si="50">+E110-I110</f>
        <v>359469</v>
      </c>
      <c r="I110" s="214">
        <f>+GAAP!E349</f>
        <v>0</v>
      </c>
      <c r="J110" s="319">
        <f>+GAAP!G349</f>
        <v>1</v>
      </c>
      <c r="K110" s="214">
        <f>+GAAP!H349</f>
        <v>0</v>
      </c>
      <c r="L110" s="214">
        <f>+GAAP!P349</f>
        <v>0</v>
      </c>
      <c r="M110" s="214">
        <f t="shared" ref="M110" si="51">+K110-L110</f>
        <v>0</v>
      </c>
      <c r="N110" s="118" t="str">
        <f>GAAP!T349</f>
        <v>2025</v>
      </c>
      <c r="O110" s="320" t="str">
        <f>+GAAP!U349</f>
        <v>2025</v>
      </c>
      <c r="P110" s="321" t="str">
        <f>+GAAP!V349</f>
        <v>.</v>
      </c>
      <c r="Q110" s="56"/>
      <c r="R110" s="214"/>
      <c r="S110" s="214"/>
      <c r="T110" s="214"/>
      <c r="U110" s="214"/>
      <c r="V110" s="214"/>
      <c r="W110" s="214"/>
      <c r="X110" s="215"/>
      <c r="Y110" s="215"/>
      <c r="Z110" s="215"/>
      <c r="AA110" s="215"/>
    </row>
    <row r="111" spans="1:27" ht="9" customHeight="1">
      <c r="A111" s="410"/>
      <c r="C111" s="214"/>
      <c r="D111" s="214"/>
      <c r="E111" s="214"/>
      <c r="F111" s="214"/>
      <c r="G111" s="214"/>
      <c r="H111" s="214"/>
      <c r="I111" s="214"/>
      <c r="J111" s="319"/>
      <c r="K111" s="214"/>
      <c r="L111" s="214"/>
      <c r="M111" s="214"/>
      <c r="N111" s="118"/>
      <c r="O111" s="320"/>
      <c r="P111" s="321"/>
      <c r="Q111" s="56"/>
      <c r="R111" s="214"/>
      <c r="S111" s="214"/>
      <c r="T111" s="214"/>
      <c r="U111" s="214"/>
      <c r="V111" s="214"/>
      <c r="W111" s="214"/>
      <c r="X111" s="215"/>
      <c r="Y111" s="215"/>
      <c r="Z111" s="215"/>
      <c r="AA111" s="215"/>
    </row>
    <row r="112" spans="1:27">
      <c r="A112" s="81" t="s">
        <v>113</v>
      </c>
      <c r="C112" s="214"/>
      <c r="D112" s="214"/>
      <c r="E112" s="214"/>
      <c r="F112" s="214"/>
      <c r="G112" s="214"/>
      <c r="H112" s="214"/>
      <c r="I112" s="214"/>
      <c r="J112" s="319"/>
      <c r="K112" s="214"/>
      <c r="L112" s="214"/>
      <c r="M112" s="214"/>
      <c r="N112" s="118"/>
      <c r="O112" s="320"/>
      <c r="P112" s="321"/>
      <c r="Q112" s="56"/>
      <c r="R112" s="214"/>
      <c r="S112" s="214"/>
      <c r="T112" s="214"/>
      <c r="U112" s="214"/>
      <c r="V112" s="214"/>
      <c r="W112" s="214"/>
      <c r="X112" s="215"/>
      <c r="Y112" s="215"/>
      <c r="Z112" s="215"/>
      <c r="AA112" s="215"/>
    </row>
    <row r="113" spans="1:27">
      <c r="A113" s="410">
        <f>+GAAP!A19</f>
        <v>51.115900000000003</v>
      </c>
      <c r="B113" s="57" t="str">
        <f>+GAAP!B19</f>
        <v>El Dorado Irrigation Dist. - EID Reservoir A WTP Backwash-to-waste Valve Repalcement</v>
      </c>
      <c r="C113" s="214">
        <f>+GAAP!J19</f>
        <v>732995</v>
      </c>
      <c r="D113" s="214">
        <f t="shared" ref="D113" si="52">+E113-C113</f>
        <v>466005</v>
      </c>
      <c r="E113" s="214">
        <f>+GAAP!C19</f>
        <v>1199000</v>
      </c>
      <c r="F113" s="214">
        <f>+GAAP!F19</f>
        <v>790051.12</v>
      </c>
      <c r="G113" s="214">
        <f t="shared" ref="G113" si="53">+H113-F113</f>
        <v>289188.88</v>
      </c>
      <c r="H113" s="214">
        <f t="shared" ref="H113" si="54">+E113-I113</f>
        <v>1079240</v>
      </c>
      <c r="I113" s="214">
        <f>+GAAP!E19</f>
        <v>119760</v>
      </c>
      <c r="J113" s="319">
        <f>+GAAP!G19</f>
        <v>0.73204395685853008</v>
      </c>
      <c r="K113" s="214">
        <f>+GAAP!H19</f>
        <v>87669.584273377564</v>
      </c>
      <c r="L113" s="214">
        <f>+GAAP!P19</f>
        <v>0</v>
      </c>
      <c r="M113" s="214">
        <f t="shared" ref="M113" si="55">+K113-L113</f>
        <v>87669.584273377564</v>
      </c>
      <c r="N113" s="118" t="str">
        <f>GAAP!T19</f>
        <v>2025</v>
      </c>
      <c r="O113" s="320">
        <f>+GAAP!U19</f>
        <v>0</v>
      </c>
      <c r="P113" s="321" t="str">
        <f>+GAAP!V19</f>
        <v>.</v>
      </c>
      <c r="Q113" s="56"/>
      <c r="R113" s="214"/>
      <c r="S113" s="214"/>
      <c r="T113" s="214"/>
      <c r="U113" s="214"/>
      <c r="V113" s="214"/>
      <c r="W113" s="214"/>
      <c r="X113" s="215"/>
      <c r="Y113" s="215"/>
      <c r="Z113" s="215"/>
      <c r="AA113" s="215"/>
    </row>
    <row r="114" spans="1:27">
      <c r="A114" s="410">
        <f>+GAAP!A20</f>
        <v>51.116</v>
      </c>
      <c r="B114" s="57" t="str">
        <f>+GAAP!B20</f>
        <v>City of Galt Public Works - Industrial WWTP Expansion</v>
      </c>
      <c r="C114" s="214">
        <f>+GAAP!J20</f>
        <v>223725</v>
      </c>
      <c r="D114" s="214">
        <f t="shared" ref="D114:D124" si="56">+E114-C114</f>
        <v>1533275</v>
      </c>
      <c r="E114" s="214">
        <f>+GAAP!C20</f>
        <v>1757000</v>
      </c>
      <c r="F114" s="214">
        <f>+GAAP!F20</f>
        <v>250518.05</v>
      </c>
      <c r="G114" s="214">
        <f t="shared" ref="G114:G124" si="57">+H114-F114</f>
        <v>1439481.95</v>
      </c>
      <c r="H114" s="214">
        <f t="shared" ref="H114:H124" si="58">+E114-I114</f>
        <v>1690000</v>
      </c>
      <c r="I114" s="214">
        <f>+GAAP!E20</f>
        <v>67000</v>
      </c>
      <c r="J114" s="319">
        <f>+GAAP!G20</f>
        <v>0.14823553254437868</v>
      </c>
      <c r="K114" s="214">
        <f>+GAAP!H20</f>
        <v>9931.7806804733718</v>
      </c>
      <c r="L114" s="214">
        <f>+GAAP!P20</f>
        <v>0</v>
      </c>
      <c r="M114" s="214">
        <f t="shared" ref="M114:M124" si="59">+K114-L114</f>
        <v>9931.7806804733718</v>
      </c>
      <c r="N114" s="118" t="str">
        <f>GAAP!T20</f>
        <v>2025</v>
      </c>
      <c r="O114" s="320">
        <f>+GAAP!U20</f>
        <v>0</v>
      </c>
      <c r="P114" s="321" t="str">
        <f>+GAAP!V20</f>
        <v>.</v>
      </c>
      <c r="Q114" s="56"/>
      <c r="R114" s="214"/>
      <c r="S114" s="214"/>
      <c r="T114" s="214"/>
      <c r="U114" s="214"/>
      <c r="V114" s="214"/>
      <c r="W114" s="214"/>
      <c r="X114" s="215"/>
      <c r="Y114" s="215"/>
      <c r="Z114" s="215"/>
      <c r="AA114" s="215"/>
    </row>
    <row r="115" spans="1:27">
      <c r="A115" s="410">
        <f>+GAAP!A21</f>
        <v>51.116100000000003</v>
      </c>
      <c r="B115" s="57" t="str">
        <f>+GAAP!B21</f>
        <v>Sacramento Area Sewer Dist. - SASD Influent Pump Nos. 2 and 5 Installation Project</v>
      </c>
      <c r="C115" s="214">
        <f>+GAAP!J21</f>
        <v>745707.2</v>
      </c>
      <c r="D115" s="214">
        <f t="shared" si="56"/>
        <v>10102892.25</v>
      </c>
      <c r="E115" s="214">
        <f>+GAAP!C21</f>
        <v>10848599.449999999</v>
      </c>
      <c r="F115" s="214">
        <f>+GAAP!F21</f>
        <v>601852.17000000004</v>
      </c>
      <c r="G115" s="214">
        <f t="shared" si="57"/>
        <v>9659400.2799999993</v>
      </c>
      <c r="H115" s="214">
        <f t="shared" si="58"/>
        <v>10261252.449999999</v>
      </c>
      <c r="I115" s="214">
        <f>+GAAP!E21</f>
        <v>587347</v>
      </c>
      <c r="J115" s="319">
        <f>+GAAP!G21</f>
        <v>5.8652895729117367E-2</v>
      </c>
      <c r="K115" s="214">
        <f>+GAAP!H21</f>
        <v>0</v>
      </c>
      <c r="L115" s="214">
        <f>+GAAP!P21</f>
        <v>0</v>
      </c>
      <c r="M115" s="214">
        <f t="shared" si="59"/>
        <v>0</v>
      </c>
      <c r="N115" s="118" t="str">
        <f>GAAP!T21</f>
        <v>2025</v>
      </c>
      <c r="O115" s="320">
        <f>+GAAP!U21</f>
        <v>0</v>
      </c>
      <c r="P115" s="321" t="str">
        <f>+GAAP!V21</f>
        <v>.</v>
      </c>
      <c r="Q115" s="56"/>
      <c r="R115" s="214"/>
      <c r="S115" s="214"/>
      <c r="T115" s="214"/>
      <c r="U115" s="214"/>
      <c r="V115" s="214"/>
      <c r="W115" s="214"/>
      <c r="X115" s="215"/>
      <c r="Y115" s="215"/>
      <c r="Z115" s="215"/>
      <c r="AA115" s="215"/>
    </row>
    <row r="116" spans="1:27">
      <c r="A116" s="410">
        <f>+GAAP!A22</f>
        <v>51.116199999999999</v>
      </c>
      <c r="B116" s="57" t="str">
        <f>+GAAP!B22</f>
        <v>City of Chico - Chico Primary Clarifiers No. 1-3 Rehabilitation Project</v>
      </c>
      <c r="C116" s="214">
        <f>+GAAP!J22</f>
        <v>0</v>
      </c>
      <c r="D116" s="214">
        <f t="shared" si="56"/>
        <v>6029750</v>
      </c>
      <c r="E116" s="214">
        <f>+GAAP!C22</f>
        <v>6029750</v>
      </c>
      <c r="F116" s="214">
        <f>+GAAP!F22</f>
        <v>85941.38</v>
      </c>
      <c r="G116" s="214">
        <f t="shared" si="57"/>
        <v>5759321.6200000001</v>
      </c>
      <c r="H116" s="214">
        <f t="shared" si="58"/>
        <v>5845263</v>
      </c>
      <c r="I116" s="214">
        <f>+GAAP!E22</f>
        <v>184487</v>
      </c>
      <c r="J116" s="319">
        <f>+GAAP!G22</f>
        <v>1.4702739637207087E-2</v>
      </c>
      <c r="K116" s="214">
        <f>+GAAP!H22</f>
        <v>0</v>
      </c>
      <c r="L116" s="214">
        <f>+GAAP!P22</f>
        <v>0</v>
      </c>
      <c r="M116" s="214">
        <f t="shared" si="59"/>
        <v>0</v>
      </c>
      <c r="N116" s="118" t="str">
        <f>GAAP!T22</f>
        <v>2025</v>
      </c>
      <c r="O116" s="320">
        <f>+GAAP!U22</f>
        <v>0</v>
      </c>
      <c r="P116" s="321" t="str">
        <f>+GAAP!V22</f>
        <v>.</v>
      </c>
      <c r="Q116" s="56"/>
      <c r="R116" s="214"/>
      <c r="S116" s="214"/>
      <c r="T116" s="214"/>
      <c r="U116" s="214"/>
      <c r="V116" s="214"/>
      <c r="W116" s="214"/>
      <c r="X116" s="215"/>
      <c r="Y116" s="215"/>
      <c r="Z116" s="215"/>
      <c r="AA116" s="215"/>
    </row>
    <row r="117" spans="1:27">
      <c r="A117" s="410">
        <f>+GAAP!A23</f>
        <v>51.116399999999999</v>
      </c>
      <c r="B117" s="57" t="str">
        <f>+GAAP!B23</f>
        <v>CA Water Service Co. - Stockton Roofing</v>
      </c>
      <c r="C117" s="214">
        <f>+GAAP!J23</f>
        <v>0</v>
      </c>
      <c r="D117" s="214">
        <f t="shared" si="56"/>
        <v>387260</v>
      </c>
      <c r="E117" s="214">
        <f>+GAAP!C23</f>
        <v>387260</v>
      </c>
      <c r="F117" s="214">
        <f>+GAAP!F23</f>
        <v>4363.25</v>
      </c>
      <c r="G117" s="214">
        <f t="shared" si="57"/>
        <v>379023.75</v>
      </c>
      <c r="H117" s="214">
        <f t="shared" si="58"/>
        <v>383387</v>
      </c>
      <c r="I117" s="214">
        <f>+GAAP!E23</f>
        <v>3873</v>
      </c>
      <c r="J117" s="319">
        <f>+GAAP!G23</f>
        <v>1.1380797992628857E-2</v>
      </c>
      <c r="K117" s="214">
        <f>+GAAP!H23</f>
        <v>0</v>
      </c>
      <c r="L117" s="214">
        <f>+GAAP!P23</f>
        <v>0</v>
      </c>
      <c r="M117" s="214">
        <f t="shared" si="59"/>
        <v>0</v>
      </c>
      <c r="N117" s="118" t="str">
        <f>GAAP!T23</f>
        <v>2025</v>
      </c>
      <c r="O117" s="320">
        <f>+GAAP!U23</f>
        <v>0</v>
      </c>
      <c r="P117" s="321" t="str">
        <f>+GAAP!V23</f>
        <v>.</v>
      </c>
      <c r="Q117" s="56"/>
      <c r="R117" s="214"/>
      <c r="S117" s="214"/>
      <c r="T117" s="214"/>
      <c r="U117" s="214"/>
      <c r="V117" s="214"/>
      <c r="W117" s="214"/>
      <c r="X117" s="215"/>
      <c r="Y117" s="215"/>
      <c r="Z117" s="215"/>
      <c r="AA117" s="215"/>
    </row>
    <row r="118" spans="1:27">
      <c r="A118" s="410">
        <f>+GAAP!A24</f>
        <v>51.116500000000002</v>
      </c>
      <c r="B118" s="57" t="str">
        <f>+GAAP!B24</f>
        <v>City of Yuba City - WTP Aquifer Storage and Recovery Well No. 3</v>
      </c>
      <c r="C118" s="214">
        <f>+GAAP!J24</f>
        <v>0</v>
      </c>
      <c r="D118" s="214">
        <f t="shared" si="56"/>
        <v>5304500</v>
      </c>
      <c r="E118" s="214">
        <f>+GAAP!C24</f>
        <v>5304500</v>
      </c>
      <c r="F118" s="214">
        <f>+GAAP!F24</f>
        <v>23330.33</v>
      </c>
      <c r="G118" s="214">
        <f t="shared" si="57"/>
        <v>4863112.67</v>
      </c>
      <c r="H118" s="214">
        <f t="shared" si="58"/>
        <v>4886443</v>
      </c>
      <c r="I118" s="214">
        <f>+GAAP!E24</f>
        <v>418057</v>
      </c>
      <c r="J118" s="319">
        <f>+GAAP!G24</f>
        <v>4.7745016160016607E-3</v>
      </c>
      <c r="K118" s="214">
        <f>+GAAP!H24</f>
        <v>0</v>
      </c>
      <c r="L118" s="214">
        <f>+GAAP!P24</f>
        <v>0</v>
      </c>
      <c r="M118" s="214">
        <f t="shared" si="59"/>
        <v>0</v>
      </c>
      <c r="N118" s="118" t="str">
        <f>GAAP!T24</f>
        <v>2025</v>
      </c>
      <c r="O118" s="320">
        <f>+GAAP!U24</f>
        <v>0</v>
      </c>
      <c r="P118" s="321" t="str">
        <f>+GAAP!V24</f>
        <v>.</v>
      </c>
      <c r="Q118" s="56"/>
      <c r="R118" s="214"/>
      <c r="S118" s="214"/>
      <c r="T118" s="214"/>
      <c r="U118" s="214"/>
      <c r="V118" s="214"/>
      <c r="W118" s="214"/>
      <c r="X118" s="215"/>
      <c r="Y118" s="215"/>
      <c r="Z118" s="215"/>
      <c r="AA118" s="215"/>
    </row>
    <row r="119" spans="1:27">
      <c r="A119" s="410">
        <f>+GAAP!A53</f>
        <v>52.868699999999997</v>
      </c>
      <c r="B119" s="57" t="str">
        <f>+GAAP!B53</f>
        <v>California Water Service Co. - Salinas Station 205</v>
      </c>
      <c r="C119" s="214">
        <f>+GAAP!J53</f>
        <v>827811.95</v>
      </c>
      <c r="D119" s="214">
        <f t="shared" si="56"/>
        <v>50142.050000000047</v>
      </c>
      <c r="E119" s="214">
        <f>+GAAP!C53</f>
        <v>877954</v>
      </c>
      <c r="F119" s="214">
        <f>+GAAP!F53</f>
        <v>740629.43</v>
      </c>
      <c r="G119" s="214">
        <f t="shared" si="57"/>
        <v>50142.050000000047</v>
      </c>
      <c r="H119" s="214">
        <f t="shared" si="58"/>
        <v>790771.4800000001</v>
      </c>
      <c r="I119" s="214">
        <f>+GAAP!E53</f>
        <v>87182.519999999902</v>
      </c>
      <c r="J119" s="319">
        <f>+GAAP!G53</f>
        <v>0.93659097315952766</v>
      </c>
      <c r="K119" s="214">
        <f>+GAAP!H53</f>
        <v>81654.361249299895</v>
      </c>
      <c r="L119" s="214">
        <f>+GAAP!P53</f>
        <v>0</v>
      </c>
      <c r="M119" s="214">
        <f t="shared" si="59"/>
        <v>81654.361249299895</v>
      </c>
      <c r="N119" s="118" t="str">
        <f>GAAP!T53</f>
        <v>2025</v>
      </c>
      <c r="O119" s="320">
        <f>+GAAP!U53</f>
        <v>0</v>
      </c>
      <c r="P119" s="321" t="str">
        <f>+GAAP!V53</f>
        <v>.</v>
      </c>
      <c r="Q119" s="56"/>
      <c r="R119" s="214"/>
      <c r="S119" s="214"/>
      <c r="T119" s="214"/>
      <c r="U119" s="214"/>
      <c r="V119" s="214"/>
      <c r="W119" s="214"/>
      <c r="X119" s="215"/>
      <c r="Y119" s="215"/>
      <c r="Z119" s="215"/>
      <c r="AA119" s="215"/>
    </row>
    <row r="120" spans="1:27">
      <c r="A120" s="410">
        <f>+GAAP!A55</f>
        <v>52.869700000000002</v>
      </c>
      <c r="B120" s="57" t="str">
        <f>+GAAP!B55</f>
        <v>City of Tulare - Industrial WWTP Dewatering Improvements Pro</v>
      </c>
      <c r="C120" s="214">
        <f>+GAAP!J55</f>
        <v>1069317</v>
      </c>
      <c r="D120" s="214">
        <f t="shared" si="56"/>
        <v>318683</v>
      </c>
      <c r="E120" s="214">
        <f>+GAAP!C55</f>
        <v>1388000</v>
      </c>
      <c r="F120" s="214">
        <f>+GAAP!F55</f>
        <v>772187.73</v>
      </c>
      <c r="G120" s="214">
        <f t="shared" si="57"/>
        <v>553294.27</v>
      </c>
      <c r="H120" s="214">
        <f t="shared" si="58"/>
        <v>1325482</v>
      </c>
      <c r="I120" s="214">
        <f>+GAAP!E55</f>
        <v>62518</v>
      </c>
      <c r="J120" s="319">
        <f>+GAAP!G55</f>
        <v>0.58257126841405615</v>
      </c>
      <c r="K120" s="214">
        <f>+GAAP!H55</f>
        <v>36421.190558709961</v>
      </c>
      <c r="L120" s="214">
        <f>+GAAP!P55</f>
        <v>0</v>
      </c>
      <c r="M120" s="214">
        <f t="shared" si="59"/>
        <v>36421.190558709961</v>
      </c>
      <c r="N120" s="118" t="str">
        <f>GAAP!T55</f>
        <v>2025</v>
      </c>
      <c r="O120" s="320">
        <f>+GAAP!U55</f>
        <v>0</v>
      </c>
      <c r="P120" s="321" t="str">
        <f>+GAAP!V55</f>
        <v>.</v>
      </c>
      <c r="Q120" s="56"/>
      <c r="R120" s="214"/>
      <c r="S120" s="214"/>
      <c r="T120" s="214"/>
      <c r="U120" s="214"/>
      <c r="V120" s="214"/>
      <c r="W120" s="214"/>
      <c r="X120" s="215"/>
      <c r="Y120" s="215"/>
      <c r="Z120" s="215"/>
      <c r="AA120" s="215"/>
    </row>
    <row r="121" spans="1:27">
      <c r="A121" s="410">
        <f>+GAAP!A57</f>
        <v>52.870399999999997</v>
      </c>
      <c r="B121" s="57" t="str">
        <f>+GAAP!B57</f>
        <v>City of Visalia - Solids Handling Improvements Project</v>
      </c>
      <c r="C121" s="214">
        <f>+GAAP!J57</f>
        <v>1037950</v>
      </c>
      <c r="D121" s="214">
        <f t="shared" si="56"/>
        <v>12706050</v>
      </c>
      <c r="E121" s="214">
        <f>+GAAP!C57</f>
        <v>13744000</v>
      </c>
      <c r="F121" s="214">
        <f>+GAAP!F57</f>
        <v>820988.3</v>
      </c>
      <c r="G121" s="214">
        <f t="shared" si="57"/>
        <v>12670138.699999999</v>
      </c>
      <c r="H121" s="214">
        <f t="shared" si="58"/>
        <v>13491127</v>
      </c>
      <c r="I121" s="214">
        <f>+GAAP!E57</f>
        <v>252873</v>
      </c>
      <c r="J121" s="319">
        <f>+GAAP!G57</f>
        <v>6.0853944966940125E-2</v>
      </c>
      <c r="K121" s="214">
        <f>+GAAP!H57</f>
        <v>0</v>
      </c>
      <c r="L121" s="214">
        <f>+GAAP!P57</f>
        <v>0</v>
      </c>
      <c r="M121" s="214">
        <f t="shared" si="59"/>
        <v>0</v>
      </c>
      <c r="N121" s="118" t="str">
        <f>GAAP!T57</f>
        <v>2025</v>
      </c>
      <c r="O121" s="320">
        <f>+GAAP!U57</f>
        <v>0</v>
      </c>
      <c r="P121" s="321" t="str">
        <f>+GAAP!V57</f>
        <v>.</v>
      </c>
      <c r="Q121" s="56"/>
      <c r="R121" s="214"/>
      <c r="S121" s="214"/>
      <c r="T121" s="214"/>
      <c r="U121" s="214"/>
      <c r="V121" s="214"/>
      <c r="W121" s="214"/>
      <c r="X121" s="215"/>
      <c r="Y121" s="215"/>
      <c r="Z121" s="215"/>
      <c r="AA121" s="215"/>
    </row>
    <row r="122" spans="1:27">
      <c r="A122" s="410">
        <f>+GAAP!A58</f>
        <v>52.8705</v>
      </c>
      <c r="B122" s="57" t="str">
        <f>+GAAP!B58</f>
        <v>California Water Service Co. - Visalia Station 200 - New Storage Tank &amp; Booster</v>
      </c>
      <c r="C122" s="214">
        <f>+GAAP!J58</f>
        <v>261232</v>
      </c>
      <c r="D122" s="214">
        <f t="shared" si="56"/>
        <v>513768</v>
      </c>
      <c r="E122" s="214">
        <f>+GAAP!C58</f>
        <v>775000</v>
      </c>
      <c r="F122" s="214">
        <f>+GAAP!F58</f>
        <v>285425.71999999997</v>
      </c>
      <c r="G122" s="214">
        <f t="shared" si="57"/>
        <v>433834.28</v>
      </c>
      <c r="H122" s="214">
        <f t="shared" si="58"/>
        <v>719260</v>
      </c>
      <c r="I122" s="214">
        <f>+GAAP!E58</f>
        <v>55740</v>
      </c>
      <c r="J122" s="319">
        <f>+GAAP!G58</f>
        <v>0.39683246670188799</v>
      </c>
      <c r="K122" s="214">
        <f>+GAAP!H58</f>
        <v>22119.441693963236</v>
      </c>
      <c r="L122" s="214">
        <f>+GAAP!P58</f>
        <v>0</v>
      </c>
      <c r="M122" s="214">
        <f t="shared" si="59"/>
        <v>22119.441693963236</v>
      </c>
      <c r="N122" s="118" t="str">
        <f>GAAP!T58</f>
        <v>2025</v>
      </c>
      <c r="O122" s="320">
        <f>+GAAP!U58</f>
        <v>0</v>
      </c>
      <c r="P122" s="321" t="str">
        <f>+GAAP!V58</f>
        <v>.</v>
      </c>
      <c r="Q122" s="56"/>
      <c r="R122" s="214"/>
      <c r="S122" s="214"/>
      <c r="T122" s="214"/>
      <c r="U122" s="214"/>
      <c r="V122" s="214"/>
      <c r="W122" s="214"/>
      <c r="X122" s="215"/>
      <c r="Y122" s="215"/>
      <c r="Z122" s="215"/>
      <c r="AA122" s="215"/>
    </row>
    <row r="123" spans="1:27">
      <c r="A123" s="410">
        <f>+GAAP!A59</f>
        <v>52.870699999999999</v>
      </c>
      <c r="B123" s="57" t="str">
        <f>+GAAP!B59</f>
        <v>County of Fresno - Westside Water Tank and Pump Station</v>
      </c>
      <c r="C123" s="214">
        <f>+GAAP!J59</f>
        <v>913135</v>
      </c>
      <c r="D123" s="214">
        <f t="shared" si="56"/>
        <v>2780065</v>
      </c>
      <c r="E123" s="214">
        <f>+GAAP!C59</f>
        <v>3693200</v>
      </c>
      <c r="F123" s="214">
        <f>+GAAP!F59</f>
        <v>1012057.14</v>
      </c>
      <c r="G123" s="214">
        <f t="shared" si="57"/>
        <v>2449519.86</v>
      </c>
      <c r="H123" s="214">
        <f t="shared" si="58"/>
        <v>3461577</v>
      </c>
      <c r="I123" s="214">
        <f>+GAAP!E59</f>
        <v>231623</v>
      </c>
      <c r="J123" s="319">
        <f>+GAAP!G59</f>
        <v>0.29236880762727507</v>
      </c>
      <c r="K123" s="214">
        <f>+GAAP!H59</f>
        <v>67719.340329052327</v>
      </c>
      <c r="L123" s="214">
        <f>+GAAP!P59</f>
        <v>0</v>
      </c>
      <c r="M123" s="214">
        <f t="shared" si="59"/>
        <v>67719.340329052327</v>
      </c>
      <c r="N123" s="118" t="str">
        <f>GAAP!T59</f>
        <v>2025</v>
      </c>
      <c r="O123" s="320">
        <f>+GAAP!U59</f>
        <v>0</v>
      </c>
      <c r="P123" s="321" t="str">
        <f>+GAAP!V59</f>
        <v>.</v>
      </c>
      <c r="Q123" s="56"/>
      <c r="R123" s="214"/>
      <c r="S123" s="214"/>
      <c r="T123" s="214"/>
      <c r="U123" s="214"/>
      <c r="V123" s="214"/>
      <c r="W123" s="214"/>
      <c r="X123" s="215"/>
      <c r="Y123" s="215"/>
      <c r="Z123" s="215"/>
      <c r="AA123" s="215"/>
    </row>
    <row r="124" spans="1:27">
      <c r="A124" s="410">
        <f>+GAAP!A60</f>
        <v>52.870800000000003</v>
      </c>
      <c r="B124" s="57" t="str">
        <f>+GAAP!B60</f>
        <v>County of Fresno - CSA 44A Wastewater Improvements</v>
      </c>
      <c r="C124" s="214">
        <f>+GAAP!J60</f>
        <v>0</v>
      </c>
      <c r="D124" s="214">
        <f t="shared" si="56"/>
        <v>363833</v>
      </c>
      <c r="E124" s="214">
        <f>+GAAP!C60</f>
        <v>363833</v>
      </c>
      <c r="F124" s="214">
        <f>+GAAP!F60</f>
        <v>7682.19</v>
      </c>
      <c r="G124" s="214">
        <f t="shared" si="57"/>
        <v>326074.81</v>
      </c>
      <c r="H124" s="214">
        <f t="shared" si="58"/>
        <v>333757</v>
      </c>
      <c r="I124" s="214">
        <f>+GAAP!E60</f>
        <v>30076</v>
      </c>
      <c r="J124" s="319">
        <f>+GAAP!G60</f>
        <v>2.3017314992644349E-2</v>
      </c>
      <c r="K124" s="214">
        <f>+GAAP!H60</f>
        <v>0</v>
      </c>
      <c r="L124" s="214">
        <f>+GAAP!P60</f>
        <v>0</v>
      </c>
      <c r="M124" s="214">
        <f t="shared" si="59"/>
        <v>0</v>
      </c>
      <c r="N124" s="118" t="str">
        <f>GAAP!T60</f>
        <v>2025</v>
      </c>
      <c r="O124" s="320">
        <f>+GAAP!U60</f>
        <v>0</v>
      </c>
      <c r="P124" s="321" t="str">
        <f>+GAAP!V60</f>
        <v>.</v>
      </c>
      <c r="Q124" s="56"/>
      <c r="R124" s="214"/>
      <c r="S124" s="214"/>
      <c r="T124" s="214"/>
      <c r="U124" s="214"/>
      <c r="V124" s="214"/>
      <c r="W124" s="214"/>
      <c r="X124" s="215"/>
      <c r="Y124" s="215"/>
      <c r="Z124" s="215"/>
      <c r="AA124" s="215"/>
    </row>
    <row r="125" spans="1:27">
      <c r="A125" s="410">
        <f>+GAAP!A107</f>
        <v>53.200699999999998</v>
      </c>
      <c r="B125" s="57" t="str">
        <f>+GAAP!B107</f>
        <v>Union Sanitary Dist. - Phase 1B Secondary Clarifiers</v>
      </c>
      <c r="C125" s="214">
        <f>+GAAP!J107</f>
        <v>0</v>
      </c>
      <c r="D125" s="214">
        <f t="shared" ref="D125:D134" si="60">+E125-C125</f>
        <v>324530134</v>
      </c>
      <c r="E125" s="214">
        <f>+GAAP!C107</f>
        <v>324530134</v>
      </c>
      <c r="F125" s="214">
        <f>+GAAP!F107</f>
        <v>404852.16</v>
      </c>
      <c r="G125" s="214">
        <f t="shared" ref="G125:G134" si="61">+H125-F125</f>
        <v>291125281.83999997</v>
      </c>
      <c r="H125" s="214">
        <f t="shared" ref="H125:H134" si="62">+E125-I125</f>
        <v>291530134</v>
      </c>
      <c r="I125" s="214">
        <f>+GAAP!E107</f>
        <v>33000000</v>
      </c>
      <c r="J125" s="319">
        <f>+GAAP!G107</f>
        <v>1.38871462255082E-3</v>
      </c>
      <c r="K125" s="214">
        <f>+GAAP!H107</f>
        <v>0</v>
      </c>
      <c r="L125" s="214">
        <f>+GAAP!P107</f>
        <v>0</v>
      </c>
      <c r="M125" s="214">
        <f t="shared" ref="M125:M134" si="63">+K125-L125</f>
        <v>0</v>
      </c>
      <c r="N125" s="118" t="str">
        <f>GAAP!T107</f>
        <v>2025</v>
      </c>
      <c r="O125" s="320">
        <f>+GAAP!U107</f>
        <v>0</v>
      </c>
      <c r="P125" s="321" t="str">
        <f>+GAAP!V107</f>
        <v>.</v>
      </c>
      <c r="Q125" s="56"/>
      <c r="R125" s="214"/>
      <c r="S125" s="214"/>
      <c r="T125" s="214"/>
      <c r="U125" s="214"/>
      <c r="V125" s="214"/>
      <c r="W125" s="214"/>
      <c r="X125" s="215"/>
      <c r="Y125" s="215"/>
      <c r="Z125" s="215"/>
      <c r="AA125" s="215"/>
    </row>
    <row r="126" spans="1:27">
      <c r="A126" s="410">
        <f>+GAAP!A134</f>
        <v>54.9373</v>
      </c>
      <c r="B126" s="57" t="str">
        <f>+GAAP!B134</f>
        <v>City of Guadalupe - Guadalupe Pioneer Lift Station Replacement</v>
      </c>
      <c r="C126" s="214">
        <f>+GAAP!J134</f>
        <v>0</v>
      </c>
      <c r="D126" s="214">
        <f t="shared" si="60"/>
        <v>1524766</v>
      </c>
      <c r="E126" s="214">
        <f>+GAAP!C134</f>
        <v>1524766</v>
      </c>
      <c r="F126" s="214">
        <f>+GAAP!F134</f>
        <v>50303.97</v>
      </c>
      <c r="G126" s="214">
        <f t="shared" si="61"/>
        <v>1343022.03</v>
      </c>
      <c r="H126" s="214">
        <f t="shared" si="62"/>
        <v>1393326</v>
      </c>
      <c r="I126" s="214">
        <f>+GAAP!E134</f>
        <v>131440</v>
      </c>
      <c r="J126" s="319">
        <f>+GAAP!G134</f>
        <v>3.6103517769710748E-2</v>
      </c>
      <c r="K126" s="214">
        <f>+GAAP!H134</f>
        <v>0</v>
      </c>
      <c r="L126" s="214">
        <f>+GAAP!P134</f>
        <v>0</v>
      </c>
      <c r="M126" s="214">
        <f t="shared" si="63"/>
        <v>0</v>
      </c>
      <c r="N126" s="118" t="str">
        <f>GAAP!T134</f>
        <v>2025</v>
      </c>
      <c r="O126" s="320">
        <f>+GAAP!U134</f>
        <v>0</v>
      </c>
      <c r="P126" s="321" t="str">
        <f>+GAAP!V134</f>
        <v>.</v>
      </c>
      <c r="Q126" s="56"/>
      <c r="R126" s="214"/>
      <c r="S126" s="214"/>
      <c r="T126" s="214"/>
      <c r="U126" s="214"/>
      <c r="V126" s="214"/>
      <c r="W126" s="214"/>
      <c r="X126" s="215"/>
      <c r="Y126" s="215"/>
      <c r="Z126" s="215"/>
      <c r="AA126" s="215"/>
    </row>
    <row r="127" spans="1:27">
      <c r="A127" s="410">
        <f>+GAAP!A135</f>
        <v>54.938899999999997</v>
      </c>
      <c r="B127" s="57" t="str">
        <f>+GAAP!B135</f>
        <v>City of Atascadero - Atascadero Lift Stations 4 &amp; 11 Rehab Project</v>
      </c>
      <c r="C127" s="214">
        <f>+GAAP!J135</f>
        <v>291620</v>
      </c>
      <c r="D127" s="214">
        <f t="shared" si="60"/>
        <v>8160</v>
      </c>
      <c r="E127" s="214">
        <f>+GAAP!C135</f>
        <v>299780</v>
      </c>
      <c r="F127" s="214">
        <f>+GAAP!F135</f>
        <v>311891.84999999998</v>
      </c>
      <c r="G127" s="214">
        <f t="shared" si="61"/>
        <v>2888.1500000000233</v>
      </c>
      <c r="H127" s="214">
        <f t="shared" si="62"/>
        <v>314780</v>
      </c>
      <c r="I127" s="214">
        <f>+GAAP!E135</f>
        <v>-15000</v>
      </c>
      <c r="J127" s="319">
        <f>+GAAP!G135</f>
        <v>0.99082486180824692</v>
      </c>
      <c r="K127" s="214">
        <f>+GAAP!H135</f>
        <v>-15000</v>
      </c>
      <c r="L127" s="214">
        <f>+GAAP!P135</f>
        <v>0</v>
      </c>
      <c r="M127" s="214">
        <f t="shared" si="63"/>
        <v>-15000</v>
      </c>
      <c r="N127" s="118" t="str">
        <f>GAAP!T135</f>
        <v>2025</v>
      </c>
      <c r="O127" s="320">
        <f>+GAAP!U135</f>
        <v>0</v>
      </c>
      <c r="P127" s="321" t="str">
        <f>+GAAP!V135</f>
        <v>.</v>
      </c>
      <c r="Q127" s="56"/>
      <c r="R127" s="214"/>
      <c r="S127" s="214"/>
      <c r="T127" s="214"/>
      <c r="U127" s="214"/>
      <c r="V127" s="214"/>
      <c r="W127" s="214"/>
      <c r="X127" s="215"/>
      <c r="Y127" s="215"/>
      <c r="Z127" s="215"/>
      <c r="AA127" s="215"/>
    </row>
    <row r="128" spans="1:27">
      <c r="A128" s="410">
        <f>+GAAP!A136</f>
        <v>54.939100000000003</v>
      </c>
      <c r="B128" s="57" t="str">
        <f>+GAAP!B136</f>
        <v>Arvin Edison Water Storage Dist. - HQ Concrete R&amp;R</v>
      </c>
      <c r="C128" s="214">
        <f>+GAAP!J136</f>
        <v>532604.56999999995</v>
      </c>
      <c r="D128" s="214">
        <f t="shared" si="60"/>
        <v>0</v>
      </c>
      <c r="E128" s="214">
        <f>+GAAP!C136</f>
        <v>532604.56999999995</v>
      </c>
      <c r="F128" s="214">
        <f>+GAAP!F136</f>
        <v>512057.34</v>
      </c>
      <c r="G128" s="214">
        <f t="shared" si="61"/>
        <v>0</v>
      </c>
      <c r="H128" s="214">
        <f t="shared" si="62"/>
        <v>512057.34</v>
      </c>
      <c r="I128" s="214">
        <f>+GAAP!E136</f>
        <v>20547.229999999923</v>
      </c>
      <c r="J128" s="319">
        <f>+GAAP!G136</f>
        <v>1</v>
      </c>
      <c r="K128" s="214">
        <f>+GAAP!H136</f>
        <v>20547.229999999923</v>
      </c>
      <c r="L128" s="214">
        <f>+GAAP!P136</f>
        <v>0</v>
      </c>
      <c r="M128" s="214">
        <f t="shared" si="63"/>
        <v>20547.229999999923</v>
      </c>
      <c r="N128" s="118" t="str">
        <f>GAAP!T136</f>
        <v>2025</v>
      </c>
      <c r="O128" s="320">
        <f>+GAAP!U136</f>
        <v>0</v>
      </c>
      <c r="P128" s="321" t="str">
        <f>+GAAP!V136</f>
        <v>.</v>
      </c>
      <c r="Q128" s="56"/>
      <c r="R128" s="214"/>
      <c r="S128" s="214"/>
      <c r="T128" s="214"/>
      <c r="U128" s="214"/>
      <c r="V128" s="214"/>
      <c r="W128" s="214"/>
      <c r="X128" s="215"/>
      <c r="Y128" s="215"/>
      <c r="Z128" s="215"/>
      <c r="AA128" s="215"/>
    </row>
    <row r="129" spans="1:27">
      <c r="A129" s="410">
        <f>+GAAP!A137</f>
        <v>54.939500000000002</v>
      </c>
      <c r="B129" s="57" t="str">
        <f>+GAAP!B137</f>
        <v>Semitropic Water Storage Dist. - Pond Poso Pumping Plant Siphon Pipe Replacement Project</v>
      </c>
      <c r="C129" s="214">
        <f>+GAAP!J137</f>
        <v>1374448.17</v>
      </c>
      <c r="D129" s="214">
        <f t="shared" si="60"/>
        <v>421204.49</v>
      </c>
      <c r="E129" s="214">
        <f>+GAAP!C137</f>
        <v>1795652.66</v>
      </c>
      <c r="F129" s="214">
        <f>+GAAP!F137</f>
        <v>1349601.92</v>
      </c>
      <c r="G129" s="214">
        <f t="shared" si="61"/>
        <v>344050.74</v>
      </c>
      <c r="H129" s="214">
        <f t="shared" si="62"/>
        <v>1693652.66</v>
      </c>
      <c r="I129" s="214">
        <f>+GAAP!E137</f>
        <v>102000</v>
      </c>
      <c r="J129" s="319">
        <f>+GAAP!G137</f>
        <v>0.79685873725726031</v>
      </c>
      <c r="K129" s="214">
        <f>+GAAP!H137</f>
        <v>81279.591200240553</v>
      </c>
      <c r="L129" s="214">
        <f>+GAAP!P137</f>
        <v>0</v>
      </c>
      <c r="M129" s="214">
        <f t="shared" si="63"/>
        <v>81279.591200240553</v>
      </c>
      <c r="N129" s="118" t="str">
        <f>GAAP!T137</f>
        <v>2025</v>
      </c>
      <c r="O129" s="320">
        <f>+GAAP!U137</f>
        <v>0</v>
      </c>
      <c r="P129" s="321" t="str">
        <f>+GAAP!V137</f>
        <v>.</v>
      </c>
      <c r="Q129" s="56"/>
      <c r="R129" s="214"/>
      <c r="S129" s="214"/>
      <c r="T129" s="214"/>
      <c r="U129" s="214"/>
      <c r="V129" s="214"/>
      <c r="W129" s="214"/>
      <c r="X129" s="215"/>
      <c r="Y129" s="215"/>
      <c r="Z129" s="215"/>
      <c r="AA129" s="215"/>
    </row>
    <row r="130" spans="1:27">
      <c r="A130" s="410">
        <f>+GAAP!A139</f>
        <v>54.939700000000002</v>
      </c>
      <c r="B130" s="57" t="str">
        <f>+GAAP!B139</f>
        <v>Cawelo Water Dist. - Friant-Kern Canal Pump Station</v>
      </c>
      <c r="C130" s="214">
        <f>+GAAP!J139</f>
        <v>1033150.21</v>
      </c>
      <c r="D130" s="214">
        <f t="shared" si="60"/>
        <v>2657494.79</v>
      </c>
      <c r="E130" s="214">
        <f>+GAAP!C139</f>
        <v>3690645</v>
      </c>
      <c r="F130" s="214">
        <f>+GAAP!F139</f>
        <v>1035065.41</v>
      </c>
      <c r="G130" s="214">
        <f t="shared" si="61"/>
        <v>2355579.59</v>
      </c>
      <c r="H130" s="214">
        <f t="shared" si="62"/>
        <v>3390645</v>
      </c>
      <c r="I130" s="214">
        <f>+GAAP!E139</f>
        <v>300000</v>
      </c>
      <c r="J130" s="319">
        <f>+GAAP!G139</f>
        <v>0.305270946973216</v>
      </c>
      <c r="K130" s="214">
        <f>+GAAP!H139</f>
        <v>91581.284091964801</v>
      </c>
      <c r="L130" s="214">
        <f>+GAAP!P139</f>
        <v>0</v>
      </c>
      <c r="M130" s="214">
        <f t="shared" si="63"/>
        <v>91581.284091964801</v>
      </c>
      <c r="N130" s="118" t="str">
        <f>GAAP!T139</f>
        <v>2025</v>
      </c>
      <c r="O130" s="320">
        <f>+GAAP!U139</f>
        <v>0</v>
      </c>
      <c r="P130" s="321" t="str">
        <f>+GAAP!V139</f>
        <v>.</v>
      </c>
      <c r="Q130" s="56"/>
      <c r="R130" s="214"/>
      <c r="S130" s="214"/>
      <c r="T130" s="214"/>
      <c r="U130" s="214"/>
      <c r="V130" s="214"/>
      <c r="W130" s="214"/>
      <c r="X130" s="215"/>
      <c r="Y130" s="215"/>
      <c r="Z130" s="215"/>
      <c r="AA130" s="215"/>
    </row>
    <row r="131" spans="1:27">
      <c r="A131" s="410">
        <f>+GAAP!A140</f>
        <v>54.940300000000001</v>
      </c>
      <c r="B131" s="57" t="str">
        <f>+GAAP!B140</f>
        <v>Lost Hills Utility Dist. - WTP Improvements</v>
      </c>
      <c r="C131" s="214">
        <f>+GAAP!J140</f>
        <v>140100</v>
      </c>
      <c r="D131" s="214">
        <f t="shared" si="60"/>
        <v>241500</v>
      </c>
      <c r="E131" s="214">
        <f>+GAAP!C140</f>
        <v>381600</v>
      </c>
      <c r="F131" s="214">
        <f>+GAAP!F140</f>
        <v>129004.89</v>
      </c>
      <c r="G131" s="214">
        <f t="shared" si="61"/>
        <v>209096.11</v>
      </c>
      <c r="H131" s="214">
        <f t="shared" si="62"/>
        <v>338101</v>
      </c>
      <c r="I131" s="214">
        <f>+GAAP!E140</f>
        <v>43499</v>
      </c>
      <c r="J131" s="319">
        <f>+GAAP!G140</f>
        <v>0.38155725655943046</v>
      </c>
      <c r="K131" s="214">
        <f>+GAAP!H140</f>
        <v>16597.359103078667</v>
      </c>
      <c r="L131" s="214">
        <f>+GAAP!P140</f>
        <v>0</v>
      </c>
      <c r="M131" s="214">
        <f t="shared" si="63"/>
        <v>16597.359103078667</v>
      </c>
      <c r="N131" s="118" t="str">
        <f>GAAP!T140</f>
        <v>2025</v>
      </c>
      <c r="O131" s="320">
        <f>+GAAP!U140</f>
        <v>0</v>
      </c>
      <c r="P131" s="321" t="str">
        <f>+GAAP!V140</f>
        <v>.</v>
      </c>
      <c r="Q131" s="56"/>
      <c r="R131" s="214"/>
      <c r="S131" s="214"/>
      <c r="T131" s="214"/>
      <c r="U131" s="214"/>
      <c r="V131" s="214"/>
      <c r="W131" s="214"/>
      <c r="X131" s="215"/>
      <c r="Y131" s="215"/>
      <c r="Z131" s="215"/>
      <c r="AA131" s="215"/>
    </row>
    <row r="132" spans="1:27">
      <c r="A132" s="410">
        <f>+GAAP!A141</f>
        <v>54.940399999999997</v>
      </c>
      <c r="B132" s="57" t="str">
        <f>+GAAP!B141</f>
        <v>Cawelo Water Dist. - Reuse of Produced Water</v>
      </c>
      <c r="C132" s="214">
        <f>+GAAP!J141</f>
        <v>1746890</v>
      </c>
      <c r="D132" s="214">
        <f t="shared" si="60"/>
        <v>1973110</v>
      </c>
      <c r="E132" s="214">
        <f>+GAAP!C141</f>
        <v>3720000</v>
      </c>
      <c r="F132" s="214">
        <f>+GAAP!F141</f>
        <v>1939024.63</v>
      </c>
      <c r="G132" s="214">
        <f t="shared" si="61"/>
        <v>1646367.37</v>
      </c>
      <c r="H132" s="214">
        <f t="shared" si="62"/>
        <v>3585392</v>
      </c>
      <c r="I132" s="214">
        <f>+GAAP!E141</f>
        <v>134608</v>
      </c>
      <c r="J132" s="319">
        <f>+GAAP!G141</f>
        <v>0.54081244951737495</v>
      </c>
      <c r="K132" s="214">
        <f>+GAAP!H141</f>
        <v>72797.68220463481</v>
      </c>
      <c r="L132" s="214">
        <f>+GAAP!P141</f>
        <v>0</v>
      </c>
      <c r="M132" s="214">
        <f t="shared" si="63"/>
        <v>72797.68220463481</v>
      </c>
      <c r="N132" s="118" t="str">
        <f>GAAP!T141</f>
        <v>2025</v>
      </c>
      <c r="O132" s="320">
        <f>+GAAP!U141</f>
        <v>0</v>
      </c>
      <c r="P132" s="321" t="str">
        <f>+GAAP!V141</f>
        <v>.</v>
      </c>
      <c r="Q132" s="56"/>
      <c r="R132" s="214"/>
      <c r="S132" s="214"/>
      <c r="T132" s="214"/>
      <c r="U132" s="214"/>
      <c r="V132" s="214"/>
      <c r="W132" s="214"/>
      <c r="X132" s="215"/>
      <c r="Y132" s="215"/>
      <c r="Z132" s="215"/>
      <c r="AA132" s="215"/>
    </row>
    <row r="133" spans="1:27">
      <c r="A133" s="410">
        <f>+GAAP!A142</f>
        <v>54.9405</v>
      </c>
      <c r="B133" s="57" t="str">
        <f>+GAAP!B142</f>
        <v>Semitropic Water Storage Dist. - Pump Platform Replacement Project</v>
      </c>
      <c r="C133" s="214">
        <f>+GAAP!J142</f>
        <v>746125</v>
      </c>
      <c r="D133" s="214">
        <f t="shared" si="60"/>
        <v>195875</v>
      </c>
      <c r="E133" s="214">
        <f>+GAAP!C142</f>
        <v>942000</v>
      </c>
      <c r="F133" s="214">
        <f>+GAAP!F142</f>
        <v>577796.16</v>
      </c>
      <c r="G133" s="214">
        <f t="shared" si="61"/>
        <v>234203.83999999997</v>
      </c>
      <c r="H133" s="214">
        <f t="shared" si="62"/>
        <v>812000</v>
      </c>
      <c r="I133" s="214">
        <f>+GAAP!E142</f>
        <v>130000</v>
      </c>
      <c r="J133" s="319">
        <f>+GAAP!G142</f>
        <v>0.71157162561576359</v>
      </c>
      <c r="K133" s="214">
        <f>+GAAP!H142</f>
        <v>92504.31133004927</v>
      </c>
      <c r="L133" s="214">
        <f>+GAAP!P142</f>
        <v>0</v>
      </c>
      <c r="M133" s="214">
        <f t="shared" si="63"/>
        <v>92504.31133004927</v>
      </c>
      <c r="N133" s="118" t="str">
        <f>GAAP!T142</f>
        <v>2025</v>
      </c>
      <c r="O133" s="320">
        <f>+GAAP!U142</f>
        <v>0</v>
      </c>
      <c r="P133" s="321" t="str">
        <f>+GAAP!V142</f>
        <v>.</v>
      </c>
      <c r="Q133" s="56"/>
      <c r="R133" s="214"/>
      <c r="S133" s="214"/>
      <c r="T133" s="214"/>
      <c r="U133" s="214"/>
      <c r="V133" s="214"/>
      <c r="W133" s="214"/>
      <c r="X133" s="215"/>
      <c r="Y133" s="215"/>
      <c r="Z133" s="215"/>
      <c r="AA133" s="215"/>
    </row>
    <row r="134" spans="1:27">
      <c r="A134" s="410">
        <f>+GAAP!A144</f>
        <v>54.940800000000003</v>
      </c>
      <c r="B134" s="57" t="str">
        <f>+GAAP!B144</f>
        <v>Nipomo Community Service Dist. - Frontage Road Sewer Trunk Line</v>
      </c>
      <c r="C134" s="214">
        <f>+GAAP!J144</f>
        <v>0</v>
      </c>
      <c r="D134" s="214">
        <f t="shared" si="60"/>
        <v>3777777</v>
      </c>
      <c r="E134" s="214">
        <f>+GAAP!C144</f>
        <v>3777777</v>
      </c>
      <c r="F134" s="214">
        <f>+GAAP!F144</f>
        <v>41652.43</v>
      </c>
      <c r="G134" s="214">
        <f t="shared" si="61"/>
        <v>3495532.57</v>
      </c>
      <c r="H134" s="214">
        <f t="shared" si="62"/>
        <v>3537185</v>
      </c>
      <c r="I134" s="214">
        <f>+GAAP!E144</f>
        <v>240592</v>
      </c>
      <c r="J134" s="319">
        <f>+GAAP!G144</f>
        <v>1.1775587084079572E-2</v>
      </c>
      <c r="K134" s="214">
        <f>+GAAP!H144</f>
        <v>0</v>
      </c>
      <c r="L134" s="214">
        <f>+GAAP!P144</f>
        <v>0</v>
      </c>
      <c r="M134" s="214">
        <f t="shared" si="63"/>
        <v>0</v>
      </c>
      <c r="N134" s="118" t="str">
        <f>GAAP!T144</f>
        <v>2025</v>
      </c>
      <c r="O134" s="320">
        <f>+GAAP!U144</f>
        <v>0</v>
      </c>
      <c r="P134" s="321" t="str">
        <f>+GAAP!V144</f>
        <v>.</v>
      </c>
      <c r="Q134" s="56"/>
      <c r="R134" s="214"/>
      <c r="S134" s="214"/>
      <c r="T134" s="214"/>
      <c r="U134" s="214"/>
      <c r="V134" s="214"/>
      <c r="W134" s="214"/>
      <c r="X134" s="215"/>
      <c r="Y134" s="215"/>
      <c r="Z134" s="215"/>
      <c r="AA134" s="215"/>
    </row>
    <row r="135" spans="1:27">
      <c r="A135" s="410">
        <f>+GAAP!A148</f>
        <v>54.941400000000002</v>
      </c>
      <c r="B135" s="57" t="str">
        <f>+GAAP!B148</f>
        <v>Cawelo Water Dist. - Cawelo Diversion Structure Rehab</v>
      </c>
      <c r="C135" s="214">
        <f>+GAAP!J148</f>
        <v>0</v>
      </c>
      <c r="D135" s="214">
        <f t="shared" ref="D135:D136" si="64">+E135-C135</f>
        <v>337485.68</v>
      </c>
      <c r="E135" s="214">
        <f>+GAAP!C148</f>
        <v>337485.68</v>
      </c>
      <c r="F135" s="214">
        <f>+GAAP!F148</f>
        <v>337485.68</v>
      </c>
      <c r="G135" s="214">
        <f t="shared" ref="G135:G136" si="65">+H135-F135</f>
        <v>0</v>
      </c>
      <c r="H135" s="214">
        <f t="shared" ref="H135:H136" si="66">+E135-I135</f>
        <v>337485.68</v>
      </c>
      <c r="I135" s="214">
        <f>+GAAP!E148</f>
        <v>0</v>
      </c>
      <c r="J135" s="319">
        <f>+GAAP!G148</f>
        <v>1</v>
      </c>
      <c r="K135" s="214">
        <f>+GAAP!H148</f>
        <v>0</v>
      </c>
      <c r="L135" s="214">
        <f>+GAAP!P148</f>
        <v>0</v>
      </c>
      <c r="M135" s="214">
        <f t="shared" ref="M135:M136" si="67">+K135-L135</f>
        <v>0</v>
      </c>
      <c r="N135" s="118" t="str">
        <f>GAAP!T148</f>
        <v>2025</v>
      </c>
      <c r="O135" s="320">
        <f>+GAAP!U148</f>
        <v>0</v>
      </c>
      <c r="P135" s="321" t="str">
        <f>+GAAP!V148</f>
        <v>.</v>
      </c>
      <c r="Q135" s="56"/>
      <c r="R135" s="214"/>
      <c r="S135" s="214"/>
      <c r="T135" s="214"/>
      <c r="U135" s="214"/>
      <c r="V135" s="214"/>
      <c r="W135" s="214"/>
      <c r="X135" s="215"/>
      <c r="Y135" s="215"/>
      <c r="Z135" s="215"/>
      <c r="AA135" s="215"/>
    </row>
    <row r="136" spans="1:27">
      <c r="A136" s="410">
        <f>+GAAP!A149</f>
        <v>54.941600000000001</v>
      </c>
      <c r="B136" s="57" t="str">
        <f>+GAAP!B149</f>
        <v>California Water Service Co. - BK 147 Station Improvements</v>
      </c>
      <c r="C136" s="214">
        <f>+GAAP!J149</f>
        <v>0</v>
      </c>
      <c r="D136" s="214">
        <f t="shared" si="64"/>
        <v>1260000</v>
      </c>
      <c r="E136" s="214">
        <f>+GAAP!C149</f>
        <v>1260000</v>
      </c>
      <c r="F136" s="214">
        <f>+GAAP!F149</f>
        <v>7257.82</v>
      </c>
      <c r="G136" s="214">
        <f t="shared" si="65"/>
        <v>1125140.18</v>
      </c>
      <c r="H136" s="214">
        <f t="shared" si="66"/>
        <v>1132398</v>
      </c>
      <c r="I136" s="214">
        <f>+GAAP!E149</f>
        <v>127602</v>
      </c>
      <c r="J136" s="319">
        <f>+GAAP!G149</f>
        <v>6.4092483384816995E-3</v>
      </c>
      <c r="K136" s="214">
        <f>+GAAP!H149</f>
        <v>0</v>
      </c>
      <c r="L136" s="214">
        <f>+GAAP!P149</f>
        <v>0</v>
      </c>
      <c r="M136" s="214">
        <f t="shared" si="67"/>
        <v>0</v>
      </c>
      <c r="N136" s="118" t="str">
        <f>GAAP!T149</f>
        <v>2025</v>
      </c>
      <c r="O136" s="320">
        <f>+GAAP!U149</f>
        <v>0</v>
      </c>
      <c r="P136" s="321" t="str">
        <f>+GAAP!V149</f>
        <v>.</v>
      </c>
      <c r="Q136" s="56"/>
      <c r="R136" s="214"/>
      <c r="S136" s="214"/>
      <c r="T136" s="214"/>
      <c r="U136" s="214"/>
      <c r="V136" s="214"/>
      <c r="W136" s="214"/>
      <c r="X136" s="215"/>
      <c r="Y136" s="215"/>
      <c r="Z136" s="215"/>
      <c r="AA136" s="215"/>
    </row>
    <row r="137" spans="1:27">
      <c r="A137" s="410">
        <f>+GAAP!A233</f>
        <v>55.125399999999999</v>
      </c>
      <c r="B137" s="57" t="str">
        <f>+GAAP!B233</f>
        <v>JV w/City of Banning - Wastewater Treatment Plant Recycled Water</v>
      </c>
      <c r="C137" s="214">
        <f>+GAAP!J233</f>
        <v>158952.89000000001</v>
      </c>
      <c r="D137" s="214">
        <f t="shared" ref="D137:D139" si="68">+E137-C137</f>
        <v>0</v>
      </c>
      <c r="E137" s="214">
        <f>+GAAP!C233</f>
        <v>158952.89000000001</v>
      </c>
      <c r="F137" s="214">
        <f>+GAAP!F233</f>
        <v>156561.66</v>
      </c>
      <c r="G137" s="214">
        <f t="shared" ref="G137:G139" si="69">+H137-F137</f>
        <v>0</v>
      </c>
      <c r="H137" s="214">
        <f t="shared" ref="H137:H139" si="70">+E137-I137</f>
        <v>156561.66</v>
      </c>
      <c r="I137" s="214">
        <f>+GAAP!E233</f>
        <v>2391.2300000000105</v>
      </c>
      <c r="J137" s="319">
        <f>+GAAP!G233</f>
        <v>1</v>
      </c>
      <c r="K137" s="214">
        <f>+GAAP!H233</f>
        <v>2391.2300000000105</v>
      </c>
      <c r="L137" s="214">
        <f>+GAAP!P233</f>
        <v>0</v>
      </c>
      <c r="M137" s="214">
        <f t="shared" ref="M137:M139" si="71">+K137-L137</f>
        <v>2391.2300000000105</v>
      </c>
      <c r="N137" s="118" t="str">
        <f>GAAP!T233</f>
        <v>2025</v>
      </c>
      <c r="O137" s="320">
        <f>+GAAP!U233</f>
        <v>0</v>
      </c>
      <c r="P137" s="321" t="str">
        <f>+GAAP!V233</f>
        <v>.</v>
      </c>
      <c r="Q137" s="56"/>
      <c r="R137" s="214"/>
      <c r="S137" s="214"/>
      <c r="T137" s="214"/>
      <c r="U137" s="214"/>
      <c r="V137" s="214"/>
      <c r="W137" s="214"/>
      <c r="X137" s="215"/>
      <c r="Y137" s="215"/>
      <c r="Z137" s="215"/>
      <c r="AA137" s="215"/>
    </row>
    <row r="138" spans="1:27">
      <c r="A138" s="410">
        <f>+GAAP!A235</f>
        <v>55.125599999999999</v>
      </c>
      <c r="B138" s="57" t="str">
        <f>+GAAP!B235</f>
        <v>Anaergia Technologies LLC - City of Riverside - OPS</v>
      </c>
      <c r="C138" s="214">
        <f>+GAAP!J235</f>
        <v>101150</v>
      </c>
      <c r="D138" s="214">
        <f t="shared" si="68"/>
        <v>2786950</v>
      </c>
      <c r="E138" s="214">
        <f>+GAAP!C235</f>
        <v>2888100</v>
      </c>
      <c r="F138" s="214">
        <f>+GAAP!F235</f>
        <v>94989.88</v>
      </c>
      <c r="G138" s="214">
        <f t="shared" si="69"/>
        <v>2618110.12</v>
      </c>
      <c r="H138" s="214">
        <f t="shared" si="70"/>
        <v>2713100</v>
      </c>
      <c r="I138" s="214">
        <f>+GAAP!E235</f>
        <v>175000</v>
      </c>
      <c r="J138" s="319">
        <f>+GAAP!G235</f>
        <v>3.501156610519332E-2</v>
      </c>
      <c r="K138" s="214">
        <f>+GAAP!H235</f>
        <v>0</v>
      </c>
      <c r="L138" s="214">
        <f>+GAAP!P235</f>
        <v>0</v>
      </c>
      <c r="M138" s="214">
        <f t="shared" si="71"/>
        <v>0</v>
      </c>
      <c r="N138" s="118" t="str">
        <f>GAAP!T235</f>
        <v>2025</v>
      </c>
      <c r="O138" s="320">
        <f>+GAAP!U235</f>
        <v>0</v>
      </c>
      <c r="P138" s="321" t="str">
        <f>+GAAP!V235</f>
        <v>.</v>
      </c>
      <c r="Q138" s="56"/>
      <c r="R138" s="214"/>
      <c r="S138" s="214"/>
      <c r="T138" s="214"/>
      <c r="U138" s="214"/>
      <c r="V138" s="214"/>
      <c r="W138" s="214"/>
      <c r="X138" s="215"/>
      <c r="Y138" s="215"/>
      <c r="Z138" s="215"/>
      <c r="AA138" s="215"/>
    </row>
    <row r="139" spans="1:27">
      <c r="A139" s="410">
        <f>+GAAP!A255</f>
        <v>57.000799999999998</v>
      </c>
      <c r="B139" s="57" t="str">
        <f>+GAAP!B255</f>
        <v>Imperial Irrigation Dist. - El Centro Generating Station WWTP</v>
      </c>
      <c r="C139" s="214">
        <f>+GAAP!J255</f>
        <v>266758</v>
      </c>
      <c r="D139" s="214">
        <f t="shared" si="68"/>
        <v>2609289</v>
      </c>
      <c r="E139" s="214">
        <f>+GAAP!C255</f>
        <v>2876047</v>
      </c>
      <c r="F139" s="214">
        <f>+GAAP!F255</f>
        <v>262382.86</v>
      </c>
      <c r="G139" s="214">
        <f t="shared" si="69"/>
        <v>2481599.14</v>
      </c>
      <c r="H139" s="214">
        <f t="shared" si="70"/>
        <v>2743982</v>
      </c>
      <c r="I139" s="214">
        <f>+GAAP!E255</f>
        <v>132065</v>
      </c>
      <c r="J139" s="319">
        <f>+GAAP!G255</f>
        <v>9.5621203054538986E-2</v>
      </c>
      <c r="K139" s="214">
        <f>+GAAP!H255</f>
        <v>0</v>
      </c>
      <c r="L139" s="214">
        <f>+GAAP!P255</f>
        <v>0</v>
      </c>
      <c r="M139" s="214">
        <f t="shared" si="71"/>
        <v>0</v>
      </c>
      <c r="N139" s="118" t="str">
        <f>GAAP!T255</f>
        <v>2025</v>
      </c>
      <c r="O139" s="320">
        <f>+GAAP!U255</f>
        <v>0</v>
      </c>
      <c r="P139" s="321" t="str">
        <f>+GAAP!V255</f>
        <v>.</v>
      </c>
      <c r="Q139" s="56"/>
      <c r="R139" s="214"/>
      <c r="S139" s="214"/>
      <c r="T139" s="214"/>
      <c r="U139" s="214"/>
      <c r="V139" s="214"/>
      <c r="W139" s="214"/>
      <c r="X139" s="215"/>
      <c r="Y139" s="215"/>
      <c r="Z139" s="215"/>
      <c r="AA139" s="215"/>
    </row>
    <row r="140" spans="1:27">
      <c r="A140" s="410">
        <f>+GAAP!A308</f>
        <v>56.107500000000002</v>
      </c>
      <c r="B140" s="57" t="str">
        <f>+GAAP!B308</f>
        <v>California Water Service Co. -Pkg 1 Bakersfield &amp; Arden PFAS RF</v>
      </c>
      <c r="C140" s="214">
        <f>+GAAP!J308</f>
        <v>0</v>
      </c>
      <c r="D140" s="214">
        <f t="shared" ref="D140:D141" si="72">+E140-C140</f>
        <v>27665.919999999998</v>
      </c>
      <c r="E140" s="214">
        <f>+GAAP!C308</f>
        <v>27665.919999999998</v>
      </c>
      <c r="F140" s="214">
        <f>+GAAP!F308</f>
        <v>27665.919999999998</v>
      </c>
      <c r="G140" s="214">
        <f t="shared" ref="G140:G141" si="73">+H140-F140</f>
        <v>0</v>
      </c>
      <c r="H140" s="214">
        <f t="shared" ref="H140:H141" si="74">+E140-I140</f>
        <v>27665.919999999998</v>
      </c>
      <c r="I140" s="214">
        <f>+GAAP!E308</f>
        <v>0</v>
      </c>
      <c r="J140" s="319">
        <f>+GAAP!G308</f>
        <v>1</v>
      </c>
      <c r="K140" s="214">
        <f>+GAAP!H308</f>
        <v>0</v>
      </c>
      <c r="L140" s="214">
        <f>+GAAP!P308</f>
        <v>0</v>
      </c>
      <c r="M140" s="214">
        <f t="shared" ref="M140:M141" si="75">+K140-L140</f>
        <v>0</v>
      </c>
      <c r="N140" s="118" t="str">
        <f>GAAP!T308</f>
        <v>2025</v>
      </c>
      <c r="O140" s="320">
        <f>+GAAP!U308</f>
        <v>0</v>
      </c>
      <c r="P140" s="321" t="str">
        <f>+GAAP!V308</f>
        <v>.</v>
      </c>
      <c r="Q140" s="56"/>
      <c r="R140" s="214"/>
      <c r="S140" s="214"/>
      <c r="T140" s="214"/>
      <c r="U140" s="214"/>
      <c r="V140" s="214"/>
      <c r="W140" s="214"/>
      <c r="X140" s="215"/>
      <c r="Y140" s="215"/>
      <c r="Z140" s="215"/>
      <c r="AA140" s="215"/>
    </row>
    <row r="141" spans="1:27">
      <c r="A141" s="410">
        <f>+GAAP!A311</f>
        <v>56.1083</v>
      </c>
      <c r="B141" s="57" t="str">
        <f>+GAAP!B311</f>
        <v>West Valley Water District - Furnish Planning Services for SCADA, Instrumentation, and SM</v>
      </c>
      <c r="C141" s="214">
        <f>+GAAP!J311</f>
        <v>153616.75</v>
      </c>
      <c r="D141" s="214">
        <f t="shared" si="72"/>
        <v>563393.25</v>
      </c>
      <c r="E141" s="214">
        <f>+GAAP!C311</f>
        <v>717010</v>
      </c>
      <c r="F141" s="214">
        <f>+GAAP!F311</f>
        <v>347967.35</v>
      </c>
      <c r="G141" s="214">
        <f t="shared" si="73"/>
        <v>308395.65000000002</v>
      </c>
      <c r="H141" s="214">
        <f t="shared" si="74"/>
        <v>656363</v>
      </c>
      <c r="I141" s="214">
        <f>+GAAP!E311</f>
        <v>60647</v>
      </c>
      <c r="J141" s="319">
        <f>+GAAP!G311</f>
        <v>0.5301446760405446</v>
      </c>
      <c r="K141" s="214">
        <f>+GAAP!H311</f>
        <v>32151.68416783091</v>
      </c>
      <c r="L141" s="214">
        <f>+GAAP!P311</f>
        <v>0</v>
      </c>
      <c r="M141" s="214">
        <f t="shared" si="75"/>
        <v>32151.68416783091</v>
      </c>
      <c r="N141" s="118" t="str">
        <f>GAAP!T311</f>
        <v>2025</v>
      </c>
      <c r="O141" s="320">
        <f>+GAAP!U311</f>
        <v>0</v>
      </c>
      <c r="P141" s="321" t="str">
        <f>+GAAP!V311</f>
        <v>.</v>
      </c>
      <c r="Q141" s="56"/>
      <c r="R141" s="214"/>
      <c r="S141" s="214"/>
      <c r="T141" s="214"/>
      <c r="U141" s="214"/>
      <c r="V141" s="214"/>
      <c r="W141" s="214"/>
      <c r="X141" s="215"/>
      <c r="Y141" s="215"/>
      <c r="Z141" s="215"/>
      <c r="AA141" s="215"/>
    </row>
    <row r="142" spans="1:27">
      <c r="A142" s="410">
        <f>+GAAP!A313</f>
        <v>56.108600000000003</v>
      </c>
      <c r="B142" s="57" t="str">
        <f>+GAAP!B313</f>
        <v>Bullert Industrial Electric, Inc - Pkg 3 Chico PFAS RFP (WVC) - California Water Service</v>
      </c>
      <c r="C142" s="214">
        <f>+GAAP!J313</f>
        <v>0</v>
      </c>
      <c r="D142" s="214">
        <f t="shared" ref="D142" si="76">+E142-C142</f>
        <v>376000</v>
      </c>
      <c r="E142" s="214">
        <f>+GAAP!C313</f>
        <v>376000</v>
      </c>
      <c r="F142" s="214">
        <f>+GAAP!F313</f>
        <v>12732.69</v>
      </c>
      <c r="G142" s="214">
        <f t="shared" ref="G142" si="77">+H142-F142</f>
        <v>282369.31</v>
      </c>
      <c r="H142" s="214">
        <f t="shared" ref="H142" si="78">+E142-I142</f>
        <v>295102</v>
      </c>
      <c r="I142" s="214">
        <f>+GAAP!E313</f>
        <v>80898</v>
      </c>
      <c r="J142" s="319">
        <f>+GAAP!G313</f>
        <v>4.3146742482260372E-2</v>
      </c>
      <c r="K142" s="214">
        <f>+GAAP!H313</f>
        <v>0</v>
      </c>
      <c r="L142" s="214">
        <f>+GAAP!P313</f>
        <v>0</v>
      </c>
      <c r="M142" s="214">
        <f t="shared" ref="M142" si="79">+K142-L142</f>
        <v>0</v>
      </c>
      <c r="N142" s="118" t="str">
        <f>GAAP!T313</f>
        <v>2025</v>
      </c>
      <c r="O142" s="320">
        <f>+GAAP!U313</f>
        <v>0</v>
      </c>
      <c r="P142" s="321" t="str">
        <f>+GAAP!V313</f>
        <v>.</v>
      </c>
      <c r="Q142" s="56"/>
      <c r="R142" s="214"/>
      <c r="S142" s="214"/>
      <c r="T142" s="214"/>
      <c r="U142" s="214"/>
      <c r="V142" s="214"/>
      <c r="W142" s="214"/>
      <c r="X142" s="215"/>
      <c r="Y142" s="215"/>
      <c r="Z142" s="215"/>
      <c r="AA142" s="215"/>
    </row>
    <row r="143" spans="1:27">
      <c r="A143" s="410"/>
      <c r="C143" s="214"/>
      <c r="D143" s="214"/>
      <c r="E143" s="214"/>
      <c r="F143" s="214"/>
      <c r="G143" s="214"/>
      <c r="H143" s="214"/>
      <c r="I143" s="214"/>
      <c r="J143" s="319"/>
      <c r="K143" s="214"/>
      <c r="L143" s="214"/>
      <c r="M143" s="214"/>
      <c r="N143" s="118"/>
      <c r="O143" s="320"/>
      <c r="P143" s="321"/>
      <c r="Q143" s="56"/>
      <c r="R143" s="214"/>
      <c r="S143" s="214"/>
      <c r="T143" s="214"/>
      <c r="U143" s="214"/>
      <c r="V143" s="214"/>
      <c r="W143" s="214"/>
      <c r="X143" s="215"/>
      <c r="Y143" s="215"/>
      <c r="Z143" s="215"/>
      <c r="AA143" s="215"/>
    </row>
    <row r="144" spans="1:27">
      <c r="A144" s="534" t="s">
        <v>107</v>
      </c>
      <c r="B144" s="322"/>
      <c r="C144" s="323">
        <f>SUM(C$10:C$143)</f>
        <v>1252571743.3500001</v>
      </c>
      <c r="D144" s="323">
        <f t="shared" ref="D144:M144" si="80">SUM(D$10:D$143)</f>
        <v>750339248.30999994</v>
      </c>
      <c r="E144" s="323">
        <f t="shared" si="80"/>
        <v>2002910991.6600003</v>
      </c>
      <c r="F144" s="323">
        <f t="shared" si="80"/>
        <v>1165739530.6200011</v>
      </c>
      <c r="G144" s="323">
        <f t="shared" si="80"/>
        <v>692746727.99999976</v>
      </c>
      <c r="H144" s="323">
        <f t="shared" si="80"/>
        <v>1858486258.6200004</v>
      </c>
      <c r="I144" s="323">
        <f t="shared" si="80"/>
        <v>144424733.03999996</v>
      </c>
      <c r="J144" s="323"/>
      <c r="K144" s="323">
        <f t="shared" si="80"/>
        <v>85669055.375316411</v>
      </c>
      <c r="L144" s="323">
        <f t="shared" si="80"/>
        <v>52278230.64158307</v>
      </c>
      <c r="M144" s="323">
        <f t="shared" si="80"/>
        <v>33390824.733733326</v>
      </c>
      <c r="N144" s="320"/>
      <c r="O144" s="104"/>
      <c r="P144" s="321"/>
      <c r="Q144" s="116"/>
      <c r="R144" s="64"/>
      <c r="S144" s="64"/>
      <c r="T144" s="64"/>
      <c r="U144" s="64"/>
      <c r="V144" s="64"/>
      <c r="W144" s="64"/>
    </row>
    <row r="145" spans="1:23" ht="8.25" customHeight="1">
      <c r="C145" s="214"/>
      <c r="D145" s="214"/>
      <c r="E145" s="214"/>
      <c r="F145" s="214"/>
      <c r="G145" s="214"/>
      <c r="H145" s="214"/>
      <c r="I145" s="214"/>
      <c r="J145" s="319"/>
      <c r="K145" s="214"/>
      <c r="L145" s="214"/>
      <c r="M145" s="214"/>
      <c r="N145" s="214"/>
      <c r="O145" s="214"/>
      <c r="P145" s="214"/>
      <c r="Q145" s="56"/>
      <c r="R145" s="214"/>
      <c r="S145" s="64"/>
      <c r="T145" s="64"/>
      <c r="U145" s="64"/>
      <c r="V145" s="64"/>
      <c r="W145" s="64"/>
    </row>
    <row r="146" spans="1:23">
      <c r="C146" s="214"/>
      <c r="D146" s="214"/>
      <c r="E146" s="214"/>
      <c r="F146" s="214"/>
      <c r="G146" s="214"/>
      <c r="H146" s="215" t="s">
        <v>727</v>
      </c>
      <c r="J146" s="215"/>
      <c r="K146" s="214"/>
      <c r="L146" s="214"/>
      <c r="M146" s="214">
        <f>+M144</f>
        <v>33390824.733733326</v>
      </c>
      <c r="N146" s="196" t="s">
        <v>206</v>
      </c>
      <c r="O146" s="214"/>
      <c r="P146" s="214"/>
      <c r="Q146" s="56"/>
      <c r="R146" s="214"/>
      <c r="S146" s="64"/>
      <c r="T146" s="64"/>
      <c r="U146" s="64"/>
      <c r="V146" s="64"/>
      <c r="W146" s="64"/>
    </row>
    <row r="147" spans="1:23">
      <c r="C147" s="214"/>
      <c r="D147" s="214"/>
      <c r="E147" s="214"/>
      <c r="F147" s="214"/>
      <c r="G147" s="214"/>
      <c r="H147" s="215" t="s">
        <v>109</v>
      </c>
      <c r="J147" s="215"/>
      <c r="K147" s="214"/>
      <c r="L147" s="214"/>
      <c r="M147" s="214">
        <f>M317</f>
        <v>844276.09416077391</v>
      </c>
      <c r="N147" s="214">
        <f>+M147+M146</f>
        <v>34235100.827894099</v>
      </c>
      <c r="O147" s="324" t="s">
        <v>136</v>
      </c>
      <c r="P147" s="214"/>
      <c r="Q147" s="56"/>
      <c r="R147" s="214"/>
      <c r="S147" s="64"/>
      <c r="T147" s="64"/>
      <c r="U147" s="64"/>
      <c r="V147" s="64"/>
      <c r="W147" s="64"/>
    </row>
    <row r="148" spans="1:23">
      <c r="C148" s="214"/>
      <c r="D148" s="214"/>
      <c r="E148" s="214"/>
      <c r="F148" s="214"/>
      <c r="G148" s="214"/>
      <c r="H148" s="215" t="s">
        <v>267</v>
      </c>
      <c r="J148" s="215"/>
      <c r="K148" s="214"/>
      <c r="L148" s="214"/>
      <c r="M148" s="214">
        <v>-1223832</v>
      </c>
      <c r="N148" s="214"/>
      <c r="O148" s="324"/>
      <c r="P148" s="214"/>
      <c r="Q148" s="56"/>
      <c r="R148" s="214"/>
      <c r="S148" s="64"/>
      <c r="T148" s="64"/>
      <c r="U148" s="64"/>
      <c r="V148" s="64"/>
      <c r="W148" s="64"/>
    </row>
    <row r="149" spans="1:23">
      <c r="C149" s="214"/>
      <c r="D149" s="214"/>
      <c r="E149" s="214"/>
      <c r="F149" s="214"/>
      <c r="G149" s="214"/>
      <c r="H149" s="215" t="s">
        <v>110</v>
      </c>
      <c r="J149" s="215"/>
      <c r="K149" s="214"/>
      <c r="L149" s="214"/>
      <c r="M149" s="214">
        <v>-12586668</v>
      </c>
      <c r="N149" s="196" t="s">
        <v>206</v>
      </c>
      <c r="O149" s="196"/>
      <c r="P149" s="196"/>
      <c r="Q149" s="325"/>
      <c r="R149" s="196"/>
      <c r="S149" s="64"/>
      <c r="T149" s="64"/>
      <c r="U149" s="64"/>
      <c r="V149" s="64"/>
      <c r="W149" s="64"/>
    </row>
    <row r="150" spans="1:23" ht="12" thickBot="1">
      <c r="C150" s="214"/>
      <c r="D150" s="214"/>
      <c r="E150" s="214"/>
      <c r="F150" s="214"/>
      <c r="G150" s="214"/>
      <c r="H150" s="215" t="s">
        <v>728</v>
      </c>
      <c r="J150" s="215"/>
      <c r="K150" s="214"/>
      <c r="L150" s="214"/>
      <c r="M150" s="326">
        <f>SUM(M146:M149)</f>
        <v>20424600.827894099</v>
      </c>
      <c r="N150" s="214" t="s">
        <v>268</v>
      </c>
      <c r="O150" s="214"/>
      <c r="P150" s="214"/>
      <c r="Q150" s="104"/>
      <c r="R150" s="215"/>
      <c r="S150" s="64"/>
      <c r="T150" s="64"/>
      <c r="U150" s="64"/>
      <c r="V150" s="64"/>
      <c r="W150" s="64"/>
    </row>
    <row r="151" spans="1:23" ht="12" thickTop="1">
      <c r="C151" s="214"/>
      <c r="D151" s="214"/>
      <c r="E151" s="214"/>
      <c r="F151" s="214"/>
      <c r="G151" s="214"/>
      <c r="H151" s="215"/>
      <c r="J151" s="215"/>
      <c r="K151" s="214"/>
      <c r="L151" s="214"/>
      <c r="M151" s="68"/>
      <c r="N151" s="214"/>
      <c r="O151" s="214"/>
      <c r="P151" s="214"/>
      <c r="Q151" s="56"/>
      <c r="R151" s="214"/>
      <c r="S151" s="64"/>
      <c r="T151" s="64"/>
      <c r="U151" s="64"/>
      <c r="V151" s="64"/>
      <c r="W151" s="64"/>
    </row>
    <row r="152" spans="1:23" hidden="1">
      <c r="C152" s="214"/>
      <c r="D152" s="214"/>
      <c r="E152" s="214"/>
      <c r="F152" s="214"/>
      <c r="G152" s="214"/>
      <c r="H152" s="215"/>
      <c r="J152" s="215"/>
      <c r="K152" s="214"/>
      <c r="L152" s="214"/>
      <c r="M152" s="68"/>
      <c r="N152" s="118"/>
      <c r="O152" s="214"/>
      <c r="P152" s="214"/>
      <c r="Q152" s="56"/>
      <c r="R152" s="214"/>
      <c r="S152" s="64"/>
      <c r="T152" s="64"/>
      <c r="U152" s="64"/>
      <c r="V152" s="64"/>
      <c r="W152" s="64"/>
    </row>
    <row r="153" spans="1:23" hidden="1">
      <c r="A153" s="81" t="s">
        <v>205</v>
      </c>
      <c r="C153" s="214"/>
      <c r="D153" s="214"/>
      <c r="E153" s="214"/>
      <c r="F153" s="214"/>
      <c r="G153" s="214"/>
      <c r="H153" s="215"/>
      <c r="J153" s="215"/>
      <c r="K153" s="214"/>
      <c r="L153" s="214"/>
      <c r="M153" s="68"/>
      <c r="N153" s="118"/>
      <c r="O153" s="214"/>
      <c r="P153" s="214"/>
      <c r="Q153" s="56"/>
      <c r="R153" s="214"/>
      <c r="S153" s="64"/>
      <c r="T153" s="64"/>
      <c r="U153" s="64"/>
      <c r="V153" s="64"/>
      <c r="W153" s="64"/>
    </row>
    <row r="154" spans="1:23" hidden="1">
      <c r="A154" s="410"/>
      <c r="C154" s="214"/>
      <c r="D154" s="214"/>
      <c r="E154" s="214"/>
      <c r="F154" s="214"/>
      <c r="G154" s="214"/>
      <c r="H154" s="214"/>
      <c r="I154" s="214"/>
      <c r="J154" s="319"/>
      <c r="K154" s="214"/>
      <c r="L154" s="214"/>
      <c r="M154" s="214"/>
      <c r="N154" s="118"/>
      <c r="O154" s="320"/>
      <c r="P154" s="321"/>
      <c r="Q154" s="56"/>
      <c r="R154" s="214"/>
      <c r="S154" s="64"/>
      <c r="T154" s="64"/>
      <c r="U154" s="64"/>
      <c r="V154" s="64"/>
      <c r="W154" s="64"/>
    </row>
    <row r="155" spans="1:23" hidden="1">
      <c r="A155" s="410"/>
      <c r="C155" s="214"/>
      <c r="D155" s="214"/>
      <c r="E155" s="214"/>
      <c r="F155" s="214"/>
      <c r="G155" s="214"/>
      <c r="H155" s="214"/>
      <c r="I155" s="214"/>
      <c r="J155" s="319"/>
      <c r="K155" s="214"/>
      <c r="L155" s="214"/>
      <c r="M155" s="214"/>
      <c r="N155" s="118"/>
      <c r="O155" s="320"/>
      <c r="P155" s="321"/>
      <c r="Q155" s="56"/>
      <c r="R155" s="214"/>
      <c r="S155" s="64"/>
      <c r="T155" s="64"/>
      <c r="U155" s="64"/>
      <c r="V155" s="64"/>
      <c r="W155" s="64"/>
    </row>
    <row r="156" spans="1:23" hidden="1">
      <c r="A156" s="410"/>
      <c r="C156" s="214"/>
      <c r="D156" s="214"/>
      <c r="E156" s="214"/>
      <c r="F156" s="214"/>
      <c r="G156" s="214"/>
      <c r="H156" s="214"/>
      <c r="I156" s="214"/>
      <c r="J156" s="319"/>
      <c r="K156" s="214"/>
      <c r="L156" s="214"/>
      <c r="M156" s="214"/>
      <c r="N156" s="118"/>
      <c r="O156" s="320"/>
      <c r="P156" s="321"/>
      <c r="Q156" s="56"/>
      <c r="R156" s="214"/>
      <c r="S156" s="64"/>
      <c r="T156" s="64"/>
      <c r="U156" s="64"/>
      <c r="V156" s="64"/>
      <c r="W156" s="64"/>
    </row>
    <row r="157" spans="1:23" hidden="1">
      <c r="Q157" s="116"/>
      <c r="R157" s="64"/>
      <c r="S157" s="64"/>
      <c r="T157" s="64"/>
      <c r="U157" s="64"/>
      <c r="V157" s="64"/>
      <c r="W157" s="64"/>
    </row>
    <row r="158" spans="1:23">
      <c r="A158" s="81" t="s">
        <v>203</v>
      </c>
      <c r="C158" s="68"/>
      <c r="D158" s="68"/>
      <c r="E158" s="68"/>
      <c r="F158" s="68"/>
      <c r="G158" s="68"/>
      <c r="H158" s="68"/>
      <c r="I158" s="68"/>
      <c r="J158" s="68"/>
      <c r="K158" s="68"/>
      <c r="L158" s="68"/>
      <c r="M158" s="68"/>
      <c r="N158" s="118"/>
      <c r="O158" s="104"/>
      <c r="P158" s="321"/>
      <c r="Q158" s="116"/>
      <c r="R158" s="64"/>
      <c r="S158" s="64"/>
      <c r="T158" s="64"/>
      <c r="U158" s="64"/>
      <c r="V158" s="64"/>
      <c r="W158" s="64"/>
    </row>
    <row r="159" spans="1:23">
      <c r="A159" s="410">
        <f>+GAAP!A18</f>
        <v>51.1158</v>
      </c>
      <c r="B159" s="57" t="str">
        <f>+GAAP!B18</f>
        <v>Schneider Electric - City of Ceres WWTP Phase 1- Schneider Electric</v>
      </c>
      <c r="C159" s="214">
        <f>+GAAP!J18</f>
        <v>32282</v>
      </c>
      <c r="D159" s="214">
        <f t="shared" ref="D159:D165" si="81">+E159-C159</f>
        <v>72164</v>
      </c>
      <c r="E159" s="214">
        <f>+GAAP!C18</f>
        <v>104446</v>
      </c>
      <c r="F159" s="214">
        <f>+GAAP!F18</f>
        <v>56960.69</v>
      </c>
      <c r="G159" s="214">
        <f t="shared" ref="G159:G165" si="82">+H159-F159</f>
        <v>47485.31</v>
      </c>
      <c r="H159" s="214">
        <f t="shared" ref="H159:H165" si="83">+E159-I159</f>
        <v>104446</v>
      </c>
      <c r="I159" s="214">
        <f>+GAAP!E18</f>
        <v>0</v>
      </c>
      <c r="J159" s="319">
        <f>+GAAP!G18</f>
        <v>0.54536018612488757</v>
      </c>
      <c r="K159" s="214">
        <f>+GAAP!H18</f>
        <v>0</v>
      </c>
      <c r="L159" s="214">
        <f>+GAAP!P18</f>
        <v>0</v>
      </c>
      <c r="M159" s="214">
        <f t="shared" ref="M159:M165" si="84">+K159-L159</f>
        <v>0</v>
      </c>
      <c r="N159" s="118" t="str">
        <f>GAAP!T18</f>
        <v>2025</v>
      </c>
      <c r="O159" s="320">
        <f>+GAAP!U18</f>
        <v>0</v>
      </c>
      <c r="P159" s="321" t="str">
        <f>+GAAP!V18</f>
        <v>&lt; 250k</v>
      </c>
      <c r="Q159" s="116"/>
      <c r="R159" s="64"/>
      <c r="S159" s="64"/>
      <c r="T159" s="214"/>
      <c r="U159" s="64"/>
      <c r="V159" s="64"/>
      <c r="W159" s="64"/>
    </row>
    <row r="160" spans="1:23">
      <c r="A160" s="410">
        <f>+GAAP!A32</f>
        <v>51.113900000000001</v>
      </c>
      <c r="B160" s="57" t="str">
        <f>+GAAP!B32</f>
        <v>CA Water Service Co. - Bear Gulch Pump Station 14/29</v>
      </c>
      <c r="C160" s="214">
        <f>+GAAP!J32</f>
        <v>61902</v>
      </c>
      <c r="D160" s="214">
        <f t="shared" si="81"/>
        <v>0</v>
      </c>
      <c r="E160" s="214">
        <f>+GAAP!C32</f>
        <v>61902</v>
      </c>
      <c r="F160" s="214">
        <f>+GAAP!F32</f>
        <v>56994.44</v>
      </c>
      <c r="G160" s="214">
        <f t="shared" si="82"/>
        <v>0</v>
      </c>
      <c r="H160" s="214">
        <f t="shared" si="83"/>
        <v>56994.44</v>
      </c>
      <c r="I160" s="214">
        <f>+GAAP!E32</f>
        <v>4907.5599999999977</v>
      </c>
      <c r="J160" s="319">
        <f>+GAAP!G32</f>
        <v>1</v>
      </c>
      <c r="K160" s="214">
        <f>+GAAP!H32</f>
        <v>4907.5599999999977</v>
      </c>
      <c r="L160" s="214">
        <f>+GAAP!P32</f>
        <v>4426.3589929115478</v>
      </c>
      <c r="M160" s="214">
        <f t="shared" si="84"/>
        <v>481.20100708844984</v>
      </c>
      <c r="N160" s="118" t="str">
        <f>GAAP!T32</f>
        <v>2023</v>
      </c>
      <c r="O160" s="320" t="str">
        <f>+GAAP!U32</f>
        <v>2025</v>
      </c>
      <c r="P160" s="321" t="str">
        <f>+GAAP!V32</f>
        <v>&lt; 250k</v>
      </c>
      <c r="Q160" s="116"/>
      <c r="R160" s="64"/>
      <c r="S160" s="64"/>
      <c r="T160" s="214"/>
      <c r="U160" s="64"/>
      <c r="V160" s="64"/>
      <c r="W160" s="64"/>
    </row>
    <row r="161" spans="1:23">
      <c r="A161" s="410">
        <f>+GAAP!A54</f>
        <v>52.869199999999999</v>
      </c>
      <c r="B161" s="57" t="str">
        <f>+GAAP!B54</f>
        <v>New England Sheet Metal and Mechanical Co. - Clovis South T&amp;M</v>
      </c>
      <c r="C161" s="214">
        <f>+GAAP!J54</f>
        <v>55135.37</v>
      </c>
      <c r="D161" s="214">
        <f t="shared" si="81"/>
        <v>0</v>
      </c>
      <c r="E161" s="214">
        <f>+GAAP!C54</f>
        <v>55135.37</v>
      </c>
      <c r="F161" s="214">
        <f>+GAAP!F54</f>
        <v>49682.49</v>
      </c>
      <c r="G161" s="214">
        <f t="shared" si="82"/>
        <v>0</v>
      </c>
      <c r="H161" s="214">
        <f t="shared" si="83"/>
        <v>49682.49</v>
      </c>
      <c r="I161" s="214">
        <f>+GAAP!E54</f>
        <v>5452.8800000000047</v>
      </c>
      <c r="J161" s="319">
        <f>+GAAP!G54</f>
        <v>1</v>
      </c>
      <c r="K161" s="214">
        <f>+GAAP!H54</f>
        <v>5452.8800000000047</v>
      </c>
      <c r="L161" s="214">
        <f>+GAAP!P54</f>
        <v>0</v>
      </c>
      <c r="M161" s="214">
        <f t="shared" si="84"/>
        <v>5452.8800000000047</v>
      </c>
      <c r="N161" s="118" t="str">
        <f>GAAP!T54</f>
        <v>2025</v>
      </c>
      <c r="O161" s="320">
        <f>+GAAP!U54</f>
        <v>0</v>
      </c>
      <c r="P161" s="321" t="str">
        <f>+GAAP!V54</f>
        <v>&lt; 250k</v>
      </c>
      <c r="Q161" s="116"/>
      <c r="R161" s="64"/>
      <c r="S161" s="64"/>
      <c r="T161" s="214"/>
      <c r="U161" s="64"/>
      <c r="V161" s="64"/>
      <c r="W161" s="64"/>
    </row>
    <row r="162" spans="1:23">
      <c r="A162" s="410">
        <f>+GAAP!A56</f>
        <v>52.869799999999998</v>
      </c>
      <c r="B162" s="57" t="str">
        <f>+GAAP!B56</f>
        <v>California Water Service Co. - Tesoro Viejo RWSP Liner Repair</v>
      </c>
      <c r="C162" s="214">
        <f>+GAAP!J56</f>
        <v>0</v>
      </c>
      <c r="D162" s="214">
        <f t="shared" si="81"/>
        <v>22713</v>
      </c>
      <c r="E162" s="214">
        <f>+GAAP!C56</f>
        <v>22713</v>
      </c>
      <c r="F162" s="214">
        <f>+GAAP!F56</f>
        <v>15264</v>
      </c>
      <c r="G162" s="214">
        <f t="shared" si="82"/>
        <v>864</v>
      </c>
      <c r="H162" s="214">
        <f t="shared" si="83"/>
        <v>16128</v>
      </c>
      <c r="I162" s="214">
        <f>+GAAP!E56</f>
        <v>6585</v>
      </c>
      <c r="J162" s="319">
        <f>+GAAP!G56</f>
        <v>0.9464285714285714</v>
      </c>
      <c r="K162" s="214">
        <f>+GAAP!H56</f>
        <v>6232.2321428571422</v>
      </c>
      <c r="L162" s="214">
        <f>+GAAP!P56</f>
        <v>0</v>
      </c>
      <c r="M162" s="214">
        <f t="shared" si="84"/>
        <v>6232.2321428571422</v>
      </c>
      <c r="N162" s="118" t="str">
        <f>GAAP!T56</f>
        <v>2025</v>
      </c>
      <c r="O162" s="320">
        <f>+GAAP!U56</f>
        <v>0</v>
      </c>
      <c r="P162" s="321" t="str">
        <f>+GAAP!V56</f>
        <v>&lt; 250k</v>
      </c>
      <c r="Q162" s="116"/>
      <c r="R162" s="64"/>
      <c r="S162" s="64"/>
      <c r="T162" s="214"/>
      <c r="U162" s="64"/>
      <c r="V162" s="64"/>
      <c r="W162" s="64"/>
    </row>
    <row r="163" spans="1:23">
      <c r="A163" s="410">
        <f>+GAAP!A61</f>
        <v>52.871099999999998</v>
      </c>
      <c r="B163" s="57" t="str">
        <f>+GAAP!B61</f>
        <v>California Water Service Co. - Tesoro Viejo ARV Replacement</v>
      </c>
      <c r="C163" s="214">
        <f>+GAAP!J61</f>
        <v>0</v>
      </c>
      <c r="D163" s="214">
        <f t="shared" si="81"/>
        <v>6860</v>
      </c>
      <c r="E163" s="214">
        <f>+GAAP!C61</f>
        <v>6860</v>
      </c>
      <c r="F163" s="214">
        <f>+GAAP!F61</f>
        <v>4568.8100000000004</v>
      </c>
      <c r="G163" s="214">
        <f t="shared" si="82"/>
        <v>1746.1899999999996</v>
      </c>
      <c r="H163" s="214">
        <f t="shared" si="83"/>
        <v>6315</v>
      </c>
      <c r="I163" s="214">
        <f>+GAAP!E61</f>
        <v>545</v>
      </c>
      <c r="J163" s="319">
        <f>+GAAP!G61</f>
        <v>0.72348535233570865</v>
      </c>
      <c r="K163" s="214">
        <f>+GAAP!H61</f>
        <v>394.2995170229612</v>
      </c>
      <c r="L163" s="214">
        <f>+GAAP!P61</f>
        <v>0</v>
      </c>
      <c r="M163" s="214">
        <f t="shared" si="84"/>
        <v>394.2995170229612</v>
      </c>
      <c r="N163" s="118" t="str">
        <f>GAAP!T61</f>
        <v>2025</v>
      </c>
      <c r="O163" s="320">
        <f>+GAAP!U61</f>
        <v>0</v>
      </c>
      <c r="P163" s="321" t="str">
        <f>+GAAP!V61</f>
        <v>&lt; 250k</v>
      </c>
      <c r="Q163" s="116"/>
      <c r="R163" s="64"/>
      <c r="S163" s="64"/>
      <c r="T163" s="214"/>
      <c r="U163" s="64"/>
      <c r="V163" s="64"/>
      <c r="W163" s="64"/>
    </row>
    <row r="164" spans="1:23">
      <c r="A164" s="410">
        <f>+GAAP!A62</f>
        <v>52.871299999999998</v>
      </c>
      <c r="B164" s="57" t="str">
        <f>+GAAP!B62</f>
        <v>City of Visalia - Remove &amp; Replace Chain and Flight Mechanic</v>
      </c>
      <c r="C164" s="214">
        <f>+GAAP!J62</f>
        <v>0</v>
      </c>
      <c r="D164" s="214">
        <f t="shared" si="81"/>
        <v>218842</v>
      </c>
      <c r="E164" s="214">
        <f>+GAAP!C62</f>
        <v>218842</v>
      </c>
      <c r="F164" s="214">
        <f>+GAAP!F62</f>
        <v>927.5</v>
      </c>
      <c r="G164" s="214">
        <f t="shared" si="82"/>
        <v>189511.5</v>
      </c>
      <c r="H164" s="214">
        <f t="shared" si="83"/>
        <v>190439</v>
      </c>
      <c r="I164" s="214">
        <f>+GAAP!E62</f>
        <v>28403</v>
      </c>
      <c r="J164" s="319">
        <f>+GAAP!G62</f>
        <v>4.8703259311380547E-3</v>
      </c>
      <c r="K164" s="214">
        <f>+GAAP!H62</f>
        <v>0</v>
      </c>
      <c r="L164" s="214">
        <f>+GAAP!P62</f>
        <v>0</v>
      </c>
      <c r="M164" s="214">
        <f t="shared" si="84"/>
        <v>0</v>
      </c>
      <c r="N164" s="118" t="str">
        <f>GAAP!T62</f>
        <v>2025</v>
      </c>
      <c r="O164" s="320">
        <f>+GAAP!U62</f>
        <v>0</v>
      </c>
      <c r="P164" s="321" t="str">
        <f>+GAAP!V62</f>
        <v>&lt; 250k</v>
      </c>
      <c r="Q164" s="116"/>
      <c r="R164" s="64"/>
      <c r="S164" s="64"/>
      <c r="T164" s="214"/>
      <c r="U164" s="64"/>
      <c r="V164" s="64"/>
      <c r="W164" s="64"/>
    </row>
    <row r="165" spans="1:23">
      <c r="A165" s="410">
        <f>+GAAP!A63</f>
        <v>52.871400000000001</v>
      </c>
      <c r="B165" s="57" t="str">
        <f>+GAAP!B63</f>
        <v>New England Sheet Metal and Mechanical Co. - VCH Digging Water Line T&amp;M</v>
      </c>
      <c r="C165" s="214">
        <f>+GAAP!J63</f>
        <v>5084.9399999999996</v>
      </c>
      <c r="D165" s="214">
        <f t="shared" si="81"/>
        <v>0</v>
      </c>
      <c r="E165" s="214">
        <f>+GAAP!C63</f>
        <v>5084.9399999999996</v>
      </c>
      <c r="F165" s="214">
        <f>+GAAP!F63</f>
        <v>4465.6099999999997</v>
      </c>
      <c r="G165" s="214">
        <f t="shared" si="82"/>
        <v>0</v>
      </c>
      <c r="H165" s="214">
        <f t="shared" si="83"/>
        <v>4465.6099999999997</v>
      </c>
      <c r="I165" s="214">
        <f>+GAAP!E63</f>
        <v>619.32999999999993</v>
      </c>
      <c r="J165" s="319">
        <f>+GAAP!G63</f>
        <v>1</v>
      </c>
      <c r="K165" s="214">
        <f>+GAAP!H63</f>
        <v>619.32999999999993</v>
      </c>
      <c r="L165" s="214">
        <f>+GAAP!P63</f>
        <v>0</v>
      </c>
      <c r="M165" s="214">
        <f t="shared" si="84"/>
        <v>619.32999999999993</v>
      </c>
      <c r="N165" s="118" t="str">
        <f>GAAP!T63</f>
        <v>2025</v>
      </c>
      <c r="O165" s="320">
        <f>+GAAP!U63</f>
        <v>0</v>
      </c>
      <c r="P165" s="321" t="str">
        <f>+GAAP!V63</f>
        <v>&lt; 250k</v>
      </c>
      <c r="Q165" s="116"/>
      <c r="R165" s="64"/>
      <c r="S165" s="64"/>
      <c r="T165" s="214"/>
      <c r="U165" s="64"/>
      <c r="V165" s="64"/>
      <c r="W165" s="64"/>
    </row>
    <row r="166" spans="1:23">
      <c r="A166" s="410">
        <f>+GAAP!A79</f>
        <v>52.868000000000002</v>
      </c>
      <c r="B166" s="57" t="str">
        <f>+GAAP!B79</f>
        <v>City of Orange Cove - Orange Cove West Clarifier T&amp;M</v>
      </c>
      <c r="C166" s="214">
        <f>+GAAP!J79</f>
        <v>29838.25</v>
      </c>
      <c r="D166" s="214">
        <f t="shared" ref="D166:D186" si="85">+E166-C166</f>
        <v>0</v>
      </c>
      <c r="E166" s="214">
        <f>+GAAP!C79</f>
        <v>29838.25</v>
      </c>
      <c r="F166" s="214">
        <f>+GAAP!F79</f>
        <v>26088.33</v>
      </c>
      <c r="G166" s="214">
        <f t="shared" ref="G166:G186" si="86">+H166-F166</f>
        <v>0</v>
      </c>
      <c r="H166" s="214">
        <f t="shared" ref="H166:H186" si="87">+E166-I166</f>
        <v>26088.33</v>
      </c>
      <c r="I166" s="214">
        <f>+GAAP!E79</f>
        <v>3749.9199999999983</v>
      </c>
      <c r="J166" s="319">
        <f>+GAAP!G79</f>
        <v>1</v>
      </c>
      <c r="K166" s="214">
        <f>+GAAP!H79</f>
        <v>3749.9199999999983</v>
      </c>
      <c r="L166" s="214">
        <f>+GAAP!P79</f>
        <v>0</v>
      </c>
      <c r="M166" s="214">
        <f t="shared" ref="M166:M186" si="88">+K166-L166</f>
        <v>3749.9199999999983</v>
      </c>
      <c r="N166" s="118" t="str">
        <f>GAAP!T79</f>
        <v>2024</v>
      </c>
      <c r="O166" s="320" t="str">
        <f>+GAAP!U79</f>
        <v>2025</v>
      </c>
      <c r="P166" s="321" t="str">
        <f>+GAAP!V79</f>
        <v>&lt; 250k</v>
      </c>
      <c r="Q166" s="116"/>
      <c r="R166" s="64"/>
      <c r="S166" s="64"/>
      <c r="T166" s="214"/>
      <c r="U166" s="64"/>
      <c r="V166" s="64"/>
      <c r="W166" s="64"/>
    </row>
    <row r="167" spans="1:23">
      <c r="A167" s="410">
        <f>+GAAP!A82</f>
        <v>52.868400000000001</v>
      </c>
      <c r="B167" s="57" t="str">
        <f>+GAAP!B82</f>
        <v>Lakeside Ditch Co. - Lakeland Radial Gate Repair (T&amp;M)</v>
      </c>
      <c r="C167" s="214">
        <f>+GAAP!J82</f>
        <v>50568.05</v>
      </c>
      <c r="D167" s="214">
        <f t="shared" si="85"/>
        <v>0</v>
      </c>
      <c r="E167" s="214">
        <f>+GAAP!C82</f>
        <v>50568.05</v>
      </c>
      <c r="F167" s="214">
        <f>+GAAP!F82</f>
        <v>45291.39</v>
      </c>
      <c r="G167" s="214">
        <f t="shared" si="86"/>
        <v>0</v>
      </c>
      <c r="H167" s="214">
        <f t="shared" si="87"/>
        <v>45291.39</v>
      </c>
      <c r="I167" s="214">
        <f>+GAAP!E82</f>
        <v>5276.6600000000035</v>
      </c>
      <c r="J167" s="319">
        <f>+GAAP!G82</f>
        <v>1</v>
      </c>
      <c r="K167" s="214">
        <f>+GAAP!H82</f>
        <v>5276.6600000000035</v>
      </c>
      <c r="L167" s="214">
        <f>+GAAP!P82</f>
        <v>0</v>
      </c>
      <c r="M167" s="214">
        <f t="shared" si="88"/>
        <v>5276.6600000000035</v>
      </c>
      <c r="N167" s="118" t="str">
        <f>GAAP!T82</f>
        <v>2025</v>
      </c>
      <c r="O167" s="320" t="str">
        <f>+GAAP!U82</f>
        <v>2025</v>
      </c>
      <c r="P167" s="321" t="str">
        <f>+GAAP!V82</f>
        <v>&lt; 250k</v>
      </c>
      <c r="Q167" s="116"/>
      <c r="R167" s="64"/>
      <c r="S167" s="64"/>
      <c r="T167" s="214"/>
      <c r="U167" s="64"/>
      <c r="V167" s="64"/>
      <c r="W167" s="64"/>
    </row>
    <row r="168" spans="1:23">
      <c r="A168" s="410">
        <f>+GAAP!A84</f>
        <v>52.868600000000001</v>
      </c>
      <c r="B168" s="57" t="str">
        <f>+GAAP!B84</f>
        <v>Root Creek Water Dist. - Groundwater - 48-Inch RCP Repair</v>
      </c>
      <c r="C168" s="214">
        <f>+GAAP!J84</f>
        <v>23957</v>
      </c>
      <c r="D168" s="214">
        <f t="shared" si="85"/>
        <v>0</v>
      </c>
      <c r="E168" s="214">
        <f>+GAAP!C84</f>
        <v>23957</v>
      </c>
      <c r="F168" s="214">
        <f>+GAAP!F84</f>
        <v>7505.26</v>
      </c>
      <c r="G168" s="214">
        <f t="shared" si="86"/>
        <v>0</v>
      </c>
      <c r="H168" s="214">
        <f t="shared" si="87"/>
        <v>7505.260000000002</v>
      </c>
      <c r="I168" s="214">
        <f>+GAAP!E84</f>
        <v>16451.739999999998</v>
      </c>
      <c r="J168" s="319">
        <f>+GAAP!G84</f>
        <v>0.99999999999999978</v>
      </c>
      <c r="K168" s="214">
        <f>+GAAP!H84</f>
        <v>16451.739999999994</v>
      </c>
      <c r="L168" s="214">
        <f>+GAAP!P84</f>
        <v>15372.256719850511</v>
      </c>
      <c r="M168" s="214">
        <f t="shared" si="88"/>
        <v>1079.4832801494831</v>
      </c>
      <c r="N168" s="118" t="str">
        <f>GAAP!T84</f>
        <v>2024</v>
      </c>
      <c r="O168" s="320" t="str">
        <f>+GAAP!U84</f>
        <v>2025</v>
      </c>
      <c r="P168" s="321" t="str">
        <f>+GAAP!V84</f>
        <v>&lt; 250k</v>
      </c>
      <c r="Q168" s="116"/>
      <c r="R168" s="64"/>
      <c r="S168" s="64"/>
      <c r="T168" s="214"/>
      <c r="U168" s="64"/>
      <c r="V168" s="64"/>
      <c r="W168" s="64"/>
    </row>
    <row r="169" spans="1:23">
      <c r="A169" s="410">
        <f>+GAAP!A85</f>
        <v>52.8688</v>
      </c>
      <c r="B169" s="57" t="str">
        <f>+GAAP!B85</f>
        <v>New England Sheet Metal and Mechanical Co. - Valley Children's Hospital NESM Trench Limits</v>
      </c>
      <c r="C169" s="214">
        <f>+GAAP!J85</f>
        <v>132492.20000000001</v>
      </c>
      <c r="D169" s="214">
        <f t="shared" si="85"/>
        <v>0</v>
      </c>
      <c r="E169" s="214">
        <f>+GAAP!C85</f>
        <v>132492.20000000001</v>
      </c>
      <c r="F169" s="214">
        <f>+GAAP!F85</f>
        <v>116972.75</v>
      </c>
      <c r="G169" s="214">
        <f t="shared" si="86"/>
        <v>0</v>
      </c>
      <c r="H169" s="214">
        <f t="shared" si="87"/>
        <v>116972.75</v>
      </c>
      <c r="I169" s="214">
        <f>+GAAP!E85</f>
        <v>15519.450000000012</v>
      </c>
      <c r="J169" s="319">
        <f>+GAAP!G85</f>
        <v>1</v>
      </c>
      <c r="K169" s="214">
        <f>+GAAP!H85</f>
        <v>15519.450000000012</v>
      </c>
      <c r="L169" s="214">
        <f>+GAAP!P85</f>
        <v>0</v>
      </c>
      <c r="M169" s="214">
        <f t="shared" si="88"/>
        <v>15519.450000000012</v>
      </c>
      <c r="N169" s="118" t="str">
        <f>GAAP!T85</f>
        <v>2025</v>
      </c>
      <c r="O169" s="320" t="str">
        <f>+GAAP!U85</f>
        <v>2025</v>
      </c>
      <c r="P169" s="321" t="str">
        <f>+GAAP!V85</f>
        <v>&lt; 250k</v>
      </c>
      <c r="Q169" s="116"/>
      <c r="R169" s="64"/>
      <c r="S169" s="64"/>
      <c r="T169" s="214"/>
      <c r="U169" s="64"/>
      <c r="V169" s="64"/>
      <c r="W169" s="64"/>
    </row>
    <row r="170" spans="1:23">
      <c r="A170" s="410">
        <f>+GAAP!A86</f>
        <v>52.868899999999996</v>
      </c>
      <c r="B170" s="57" t="str">
        <f>+GAAP!B86</f>
        <v>City of Sanger - Public Works Dept. - City of Sanger WWTP- Remove and Install Valves T&amp;M</v>
      </c>
      <c r="C170" s="214">
        <f>+GAAP!J86</f>
        <v>16665.830000000002</v>
      </c>
      <c r="D170" s="214">
        <f t="shared" si="85"/>
        <v>0</v>
      </c>
      <c r="E170" s="214">
        <f>+GAAP!C86</f>
        <v>16665.830000000002</v>
      </c>
      <c r="F170" s="214">
        <f>+GAAP!F86</f>
        <v>16095.58</v>
      </c>
      <c r="G170" s="214">
        <f t="shared" si="86"/>
        <v>0</v>
      </c>
      <c r="H170" s="214">
        <f t="shared" si="87"/>
        <v>16095.58</v>
      </c>
      <c r="I170" s="214">
        <f>+GAAP!E86</f>
        <v>570.25000000000182</v>
      </c>
      <c r="J170" s="319">
        <f>+GAAP!G86</f>
        <v>1</v>
      </c>
      <c r="K170" s="214">
        <f>+GAAP!H86</f>
        <v>570.25000000000182</v>
      </c>
      <c r="L170" s="214">
        <f>+GAAP!P86</f>
        <v>0</v>
      </c>
      <c r="M170" s="214">
        <f t="shared" si="88"/>
        <v>570.25000000000182</v>
      </c>
      <c r="N170" s="118" t="str">
        <f>GAAP!T86</f>
        <v>2025</v>
      </c>
      <c r="O170" s="320" t="str">
        <f>+GAAP!U86</f>
        <v>2025</v>
      </c>
      <c r="P170" s="321" t="str">
        <f>+GAAP!V86</f>
        <v>&lt; 250k</v>
      </c>
      <c r="Q170" s="116"/>
      <c r="R170" s="64"/>
      <c r="S170" s="64"/>
      <c r="T170" s="214"/>
      <c r="U170" s="64"/>
      <c r="V170" s="64"/>
      <c r="W170" s="64"/>
    </row>
    <row r="171" spans="1:23">
      <c r="A171" s="410">
        <f>+GAAP!A87</f>
        <v>52.869</v>
      </c>
      <c r="B171" s="57" t="str">
        <f>+GAAP!B87</f>
        <v>City of Dinuba - WWTP Rake Replacement</v>
      </c>
      <c r="C171" s="214">
        <f>+GAAP!J87</f>
        <v>14151.97</v>
      </c>
      <c r="D171" s="214">
        <f t="shared" si="85"/>
        <v>0</v>
      </c>
      <c r="E171" s="214">
        <f>+GAAP!C87</f>
        <v>14151.97</v>
      </c>
      <c r="F171" s="214">
        <f>+GAAP!F87</f>
        <v>13155.83</v>
      </c>
      <c r="G171" s="214">
        <f t="shared" si="86"/>
        <v>0</v>
      </c>
      <c r="H171" s="214">
        <f t="shared" si="87"/>
        <v>13155.83</v>
      </c>
      <c r="I171" s="214">
        <f>+GAAP!E87</f>
        <v>996.13999999999942</v>
      </c>
      <c r="J171" s="319">
        <f>+GAAP!G87</f>
        <v>1</v>
      </c>
      <c r="K171" s="214">
        <f>+GAAP!H87</f>
        <v>996.13999999999942</v>
      </c>
      <c r="L171" s="214">
        <f>+GAAP!P87</f>
        <v>0</v>
      </c>
      <c r="M171" s="214">
        <f t="shared" si="88"/>
        <v>996.13999999999942</v>
      </c>
      <c r="N171" s="118" t="str">
        <f>GAAP!T87</f>
        <v>2025</v>
      </c>
      <c r="O171" s="320" t="str">
        <f>+GAAP!U87</f>
        <v>2025</v>
      </c>
      <c r="P171" s="321" t="str">
        <f>+GAAP!V87</f>
        <v>&lt; 250k</v>
      </c>
      <c r="Q171" s="116"/>
      <c r="R171" s="64"/>
      <c r="S171" s="64"/>
      <c r="T171" s="214"/>
      <c r="U171" s="64"/>
      <c r="V171" s="64"/>
      <c r="W171" s="64"/>
    </row>
    <row r="172" spans="1:23">
      <c r="A172" s="410">
        <f>+GAAP!A88</f>
        <v>52.869100000000003</v>
      </c>
      <c r="B172" s="57" t="str">
        <f>+GAAP!B88</f>
        <v>County of Fresno - Quail Lakes Repair at Bodega Bay Rd</v>
      </c>
      <c r="C172" s="214">
        <f>+GAAP!J88</f>
        <v>11302.84</v>
      </c>
      <c r="D172" s="214">
        <f t="shared" si="85"/>
        <v>0</v>
      </c>
      <c r="E172" s="214">
        <f>+GAAP!C88</f>
        <v>11302.84</v>
      </c>
      <c r="F172" s="214">
        <f>+GAAP!F88</f>
        <v>8287.82</v>
      </c>
      <c r="G172" s="214">
        <f t="shared" si="86"/>
        <v>0</v>
      </c>
      <c r="H172" s="214">
        <f t="shared" si="87"/>
        <v>8287.82</v>
      </c>
      <c r="I172" s="214">
        <f>+GAAP!E88</f>
        <v>3015.0200000000004</v>
      </c>
      <c r="J172" s="319">
        <f>+GAAP!G88</f>
        <v>1</v>
      </c>
      <c r="K172" s="214">
        <f>+GAAP!H88</f>
        <v>3015.0200000000004</v>
      </c>
      <c r="L172" s="214">
        <f>+GAAP!P88</f>
        <v>0</v>
      </c>
      <c r="M172" s="214">
        <f t="shared" si="88"/>
        <v>3015.0200000000004</v>
      </c>
      <c r="N172" s="118" t="str">
        <f>GAAP!T88</f>
        <v>2025</v>
      </c>
      <c r="O172" s="320" t="str">
        <f>+GAAP!U88</f>
        <v>2025</v>
      </c>
      <c r="P172" s="321" t="str">
        <f>+GAAP!V88</f>
        <v>&lt; 250k</v>
      </c>
      <c r="Q172" s="116"/>
      <c r="R172" s="64"/>
      <c r="S172" s="64"/>
      <c r="T172" s="214"/>
      <c r="U172" s="64"/>
      <c r="V172" s="64"/>
      <c r="W172" s="64"/>
    </row>
    <row r="173" spans="1:23">
      <c r="A173" s="410">
        <f>+GAAP!A90</f>
        <v>52.869399999999999</v>
      </c>
      <c r="B173" s="57" t="str">
        <f>+GAAP!B90</f>
        <v>Pixley Public Utility District - Pixley WWTF - STM-Aerotor Repair</v>
      </c>
      <c r="C173" s="214">
        <f>+GAAP!J90</f>
        <v>43047.45</v>
      </c>
      <c r="D173" s="214">
        <f t="shared" si="85"/>
        <v>0</v>
      </c>
      <c r="E173" s="214">
        <f>+GAAP!C90</f>
        <v>43047.45</v>
      </c>
      <c r="F173" s="214">
        <f>+GAAP!F90</f>
        <v>38541.99</v>
      </c>
      <c r="G173" s="214">
        <f t="shared" si="86"/>
        <v>0</v>
      </c>
      <c r="H173" s="214">
        <f t="shared" si="87"/>
        <v>38541.99</v>
      </c>
      <c r="I173" s="214">
        <f>+GAAP!E90</f>
        <v>4505.4599999999991</v>
      </c>
      <c r="J173" s="319">
        <f>+GAAP!G90</f>
        <v>1</v>
      </c>
      <c r="K173" s="214">
        <f>+GAAP!H90</f>
        <v>4505.4599999999991</v>
      </c>
      <c r="L173" s="214">
        <f>+GAAP!P90</f>
        <v>0</v>
      </c>
      <c r="M173" s="214">
        <f t="shared" si="88"/>
        <v>4505.4599999999991</v>
      </c>
      <c r="N173" s="118" t="str">
        <f>GAAP!T90</f>
        <v>2025</v>
      </c>
      <c r="O173" s="320" t="str">
        <f>+GAAP!U90</f>
        <v>2025</v>
      </c>
      <c r="P173" s="321" t="str">
        <f>+GAAP!V90</f>
        <v>&lt; 250k</v>
      </c>
      <c r="Q173" s="116"/>
      <c r="R173" s="64"/>
      <c r="S173" s="64"/>
      <c r="T173" s="214"/>
      <c r="U173" s="64"/>
      <c r="V173" s="64"/>
      <c r="W173" s="64"/>
    </row>
    <row r="174" spans="1:23">
      <c r="A174" s="410">
        <f>+GAAP!A91</f>
        <v>52.869500000000002</v>
      </c>
      <c r="B174" s="57" t="str">
        <f>+GAAP!B91</f>
        <v>Lyles Services Co. - LSC GO Trash Enclosure</v>
      </c>
      <c r="C174" s="214">
        <f>+GAAP!J91</f>
        <v>13769</v>
      </c>
      <c r="D174" s="214">
        <f t="shared" si="85"/>
        <v>0</v>
      </c>
      <c r="E174" s="214">
        <f>+GAAP!C91</f>
        <v>13769</v>
      </c>
      <c r="F174" s="214">
        <f>+GAAP!F91</f>
        <v>13024.37</v>
      </c>
      <c r="G174" s="214">
        <f t="shared" si="86"/>
        <v>0</v>
      </c>
      <c r="H174" s="214">
        <f t="shared" si="87"/>
        <v>13024.37</v>
      </c>
      <c r="I174" s="214">
        <f>+GAAP!E91</f>
        <v>744.6299999999992</v>
      </c>
      <c r="J174" s="319">
        <f>+GAAP!G91</f>
        <v>1</v>
      </c>
      <c r="K174" s="214">
        <f>+GAAP!H91</f>
        <v>744.6299999999992</v>
      </c>
      <c r="L174" s="214">
        <f>+GAAP!P91</f>
        <v>0</v>
      </c>
      <c r="M174" s="214">
        <f t="shared" si="88"/>
        <v>744.6299999999992</v>
      </c>
      <c r="N174" s="118" t="str">
        <f>GAAP!T91</f>
        <v>2025</v>
      </c>
      <c r="O174" s="320" t="str">
        <f>+GAAP!U91</f>
        <v>2025</v>
      </c>
      <c r="P174" s="321" t="str">
        <f>+GAAP!V91</f>
        <v>&lt; 250k</v>
      </c>
      <c r="Q174" s="116"/>
      <c r="R174" s="64"/>
      <c r="S174" s="64"/>
      <c r="T174" s="214"/>
      <c r="U174" s="64"/>
      <c r="V174" s="64"/>
      <c r="W174" s="64"/>
    </row>
    <row r="175" spans="1:23">
      <c r="A175" s="410">
        <f>+GAAP!A92</f>
        <v>52.869599999999998</v>
      </c>
      <c r="B175" s="57" t="str">
        <f>+GAAP!B92</f>
        <v>American Paving Co. - Hot Tap for APC- Tule River Parkway</v>
      </c>
      <c r="C175" s="214">
        <f>+GAAP!J92</f>
        <v>1059.22</v>
      </c>
      <c r="D175" s="214">
        <f t="shared" si="85"/>
        <v>0</v>
      </c>
      <c r="E175" s="214">
        <f>+GAAP!C92</f>
        <v>1059.22</v>
      </c>
      <c r="F175" s="214">
        <f>+GAAP!F92</f>
        <v>887.65</v>
      </c>
      <c r="G175" s="214">
        <f t="shared" si="86"/>
        <v>0</v>
      </c>
      <c r="H175" s="214">
        <f t="shared" si="87"/>
        <v>887.65</v>
      </c>
      <c r="I175" s="214">
        <f>+GAAP!E92</f>
        <v>171.57000000000005</v>
      </c>
      <c r="J175" s="319">
        <f>+GAAP!G92</f>
        <v>1</v>
      </c>
      <c r="K175" s="214">
        <f>+GAAP!H92</f>
        <v>171.57000000000005</v>
      </c>
      <c r="L175" s="214">
        <f>+GAAP!P92</f>
        <v>0</v>
      </c>
      <c r="M175" s="214">
        <f t="shared" si="88"/>
        <v>171.57000000000005</v>
      </c>
      <c r="N175" s="118" t="str">
        <f>GAAP!T92</f>
        <v>2025</v>
      </c>
      <c r="O175" s="320" t="str">
        <f>+GAAP!U92</f>
        <v>2025</v>
      </c>
      <c r="P175" s="321" t="str">
        <f>+GAAP!V92</f>
        <v>&lt; 250k</v>
      </c>
      <c r="Q175" s="116"/>
      <c r="R175" s="64"/>
      <c r="S175" s="64"/>
      <c r="T175" s="214"/>
      <c r="U175" s="64"/>
      <c r="V175" s="64"/>
      <c r="W175" s="64"/>
    </row>
    <row r="176" spans="1:23">
      <c r="A176" s="410">
        <f>+GAAP!A93</f>
        <v>52.869900000000001</v>
      </c>
      <c r="B176" s="57" t="str">
        <f>+GAAP!B93</f>
        <v>City of Hanford - WWTP Repair T&amp;M</v>
      </c>
      <c r="C176" s="214">
        <f>+GAAP!J93</f>
        <v>3001.12</v>
      </c>
      <c r="D176" s="214">
        <f t="shared" si="85"/>
        <v>0</v>
      </c>
      <c r="E176" s="214">
        <f>+GAAP!C93</f>
        <v>3001.12</v>
      </c>
      <c r="F176" s="214">
        <f>+GAAP!F93</f>
        <v>2948.91</v>
      </c>
      <c r="G176" s="214">
        <f t="shared" si="86"/>
        <v>0</v>
      </c>
      <c r="H176" s="214">
        <f t="shared" si="87"/>
        <v>2948.91</v>
      </c>
      <c r="I176" s="214">
        <f>+GAAP!E93</f>
        <v>52.210000000000036</v>
      </c>
      <c r="J176" s="319">
        <f>+GAAP!G93</f>
        <v>1</v>
      </c>
      <c r="K176" s="214">
        <f>+GAAP!H93</f>
        <v>52.210000000000036</v>
      </c>
      <c r="L176" s="214">
        <f>+GAAP!P93</f>
        <v>0</v>
      </c>
      <c r="M176" s="214">
        <f t="shared" si="88"/>
        <v>52.210000000000036</v>
      </c>
      <c r="N176" s="118" t="str">
        <f>GAAP!T93</f>
        <v>2025</v>
      </c>
      <c r="O176" s="320" t="str">
        <f>+GAAP!U93</f>
        <v>2025</v>
      </c>
      <c r="P176" s="321" t="str">
        <f>+GAAP!V93</f>
        <v>&lt; 250k</v>
      </c>
      <c r="Q176" s="116"/>
      <c r="R176" s="64"/>
      <c r="S176" s="64"/>
      <c r="T176" s="214"/>
      <c r="U176" s="64"/>
      <c r="V176" s="64"/>
      <c r="W176" s="64"/>
    </row>
    <row r="177" spans="1:23">
      <c r="A177" s="410">
        <f>+GAAP!A94</f>
        <v>52.87</v>
      </c>
      <c r="B177" s="57" t="str">
        <f>+GAAP!B94</f>
        <v>Lyles Services Co. - LSC GO Misc. Work</v>
      </c>
      <c r="C177" s="214">
        <f>+GAAP!J94</f>
        <v>5297</v>
      </c>
      <c r="D177" s="214">
        <f t="shared" si="85"/>
        <v>0</v>
      </c>
      <c r="E177" s="214">
        <f>+GAAP!C94</f>
        <v>5297</v>
      </c>
      <c r="F177" s="214">
        <f>+GAAP!F94</f>
        <v>4446.13</v>
      </c>
      <c r="G177" s="214">
        <f t="shared" si="86"/>
        <v>0</v>
      </c>
      <c r="H177" s="214">
        <f t="shared" si="87"/>
        <v>4446.13</v>
      </c>
      <c r="I177" s="214">
        <f>+GAAP!E94</f>
        <v>850.86999999999989</v>
      </c>
      <c r="J177" s="319">
        <f>+GAAP!G94</f>
        <v>1</v>
      </c>
      <c r="K177" s="214">
        <f>+GAAP!H94</f>
        <v>850.86999999999989</v>
      </c>
      <c r="L177" s="214">
        <f>+GAAP!P94</f>
        <v>0</v>
      </c>
      <c r="M177" s="214">
        <f t="shared" si="88"/>
        <v>850.86999999999989</v>
      </c>
      <c r="N177" s="118" t="str">
        <f>GAAP!T94</f>
        <v>2025</v>
      </c>
      <c r="O177" s="320" t="str">
        <f>+GAAP!U94</f>
        <v>2025</v>
      </c>
      <c r="P177" s="321" t="str">
        <f>+GAAP!V94</f>
        <v>&lt; 250k</v>
      </c>
      <c r="Q177" s="116"/>
      <c r="R177" s="64"/>
      <c r="S177" s="64"/>
      <c r="T177" s="214"/>
      <c r="U177" s="64"/>
      <c r="V177" s="64"/>
      <c r="W177" s="64"/>
    </row>
    <row r="178" spans="1:23">
      <c r="A178" s="410">
        <f>+GAAP!A95</f>
        <v>52.870100000000001</v>
      </c>
      <c r="B178" s="57" t="str">
        <f>+GAAP!B95</f>
        <v>County of Fresno - 47 Water</v>
      </c>
      <c r="C178" s="214">
        <f>+GAAP!J95</f>
        <v>13433.85</v>
      </c>
      <c r="D178" s="214">
        <f t="shared" si="85"/>
        <v>0</v>
      </c>
      <c r="E178" s="214">
        <f>+GAAP!C95</f>
        <v>13433.85</v>
      </c>
      <c r="F178" s="214">
        <f>+GAAP!F95</f>
        <v>12421.08</v>
      </c>
      <c r="G178" s="214">
        <f t="shared" si="86"/>
        <v>0</v>
      </c>
      <c r="H178" s="214">
        <f t="shared" si="87"/>
        <v>12421.08</v>
      </c>
      <c r="I178" s="214">
        <f>+GAAP!E95</f>
        <v>1012.7700000000004</v>
      </c>
      <c r="J178" s="319">
        <f>+GAAP!G95</f>
        <v>1</v>
      </c>
      <c r="K178" s="214">
        <f>+GAAP!H95</f>
        <v>1012.7700000000004</v>
      </c>
      <c r="L178" s="214">
        <f>+GAAP!P95</f>
        <v>0</v>
      </c>
      <c r="M178" s="214">
        <f t="shared" si="88"/>
        <v>1012.7700000000004</v>
      </c>
      <c r="N178" s="118" t="str">
        <f>GAAP!T95</f>
        <v>2025</v>
      </c>
      <c r="O178" s="320" t="str">
        <f>+GAAP!U95</f>
        <v>2025</v>
      </c>
      <c r="P178" s="321" t="str">
        <f>+GAAP!V95</f>
        <v>&lt; 250k</v>
      </c>
      <c r="Q178" s="116"/>
      <c r="R178" s="64"/>
      <c r="S178" s="64"/>
      <c r="T178" s="214"/>
      <c r="U178" s="64"/>
      <c r="V178" s="64"/>
      <c r="W178" s="64"/>
    </row>
    <row r="179" spans="1:23">
      <c r="A179" s="410">
        <f>+GAAP!A96</f>
        <v>52.870199999999997</v>
      </c>
      <c r="B179" s="57" t="str">
        <f>+GAAP!B96</f>
        <v>New England Sheet Metal and Mechanical Co. - FUSD Wilson Elementary T&amp;M</v>
      </c>
      <c r="C179" s="214">
        <f>+GAAP!J96</f>
        <v>5626.78</v>
      </c>
      <c r="D179" s="214">
        <f t="shared" si="85"/>
        <v>0</v>
      </c>
      <c r="E179" s="214">
        <f>+GAAP!C96</f>
        <v>5626.78</v>
      </c>
      <c r="F179" s="214">
        <f>+GAAP!F96</f>
        <v>4725.28</v>
      </c>
      <c r="G179" s="214">
        <f t="shared" si="86"/>
        <v>0</v>
      </c>
      <c r="H179" s="214">
        <f t="shared" si="87"/>
        <v>4725.28</v>
      </c>
      <c r="I179" s="214">
        <f>+GAAP!E96</f>
        <v>901.5</v>
      </c>
      <c r="J179" s="319">
        <f>+GAAP!G96</f>
        <v>1</v>
      </c>
      <c r="K179" s="214">
        <f>+GAAP!H96</f>
        <v>901.5</v>
      </c>
      <c r="L179" s="214">
        <f>+GAAP!P96</f>
        <v>0</v>
      </c>
      <c r="M179" s="214">
        <f t="shared" si="88"/>
        <v>901.5</v>
      </c>
      <c r="N179" s="118" t="str">
        <f>GAAP!T96</f>
        <v>2025</v>
      </c>
      <c r="O179" s="320" t="str">
        <f>+GAAP!U96</f>
        <v>2025</v>
      </c>
      <c r="P179" s="321" t="str">
        <f>+GAAP!V96</f>
        <v>&lt; 250k</v>
      </c>
      <c r="Q179" s="116"/>
      <c r="R179" s="64"/>
      <c r="S179" s="64"/>
      <c r="T179" s="214"/>
      <c r="U179" s="64"/>
      <c r="V179" s="64"/>
      <c r="W179" s="64"/>
    </row>
    <row r="180" spans="1:23">
      <c r="A180" s="410">
        <f>+GAAP!A97</f>
        <v>52.8703</v>
      </c>
      <c r="B180" s="57" t="str">
        <f>+GAAP!B97</f>
        <v>County of Fresno - CSA 47 Egret Point Water Line Repair</v>
      </c>
      <c r="C180" s="214">
        <f>+GAAP!J97</f>
        <v>14402.18</v>
      </c>
      <c r="D180" s="214">
        <f t="shared" si="85"/>
        <v>0</v>
      </c>
      <c r="E180" s="214">
        <f>+GAAP!C97</f>
        <v>14402.18</v>
      </c>
      <c r="F180" s="214">
        <f>+GAAP!F97</f>
        <v>12571.54</v>
      </c>
      <c r="G180" s="214">
        <f t="shared" si="86"/>
        <v>0</v>
      </c>
      <c r="H180" s="214">
        <f t="shared" si="87"/>
        <v>12571.54</v>
      </c>
      <c r="I180" s="214">
        <f>+GAAP!E97</f>
        <v>1830.6399999999994</v>
      </c>
      <c r="J180" s="319">
        <f>+GAAP!G97</f>
        <v>1</v>
      </c>
      <c r="K180" s="214">
        <f>+GAAP!H97</f>
        <v>1830.6399999999994</v>
      </c>
      <c r="L180" s="214">
        <f>+GAAP!P97</f>
        <v>0</v>
      </c>
      <c r="M180" s="214">
        <f t="shared" si="88"/>
        <v>1830.6399999999994</v>
      </c>
      <c r="N180" s="118" t="str">
        <f>GAAP!T97</f>
        <v>2025</v>
      </c>
      <c r="O180" s="320" t="str">
        <f>+GAAP!U97</f>
        <v>2025</v>
      </c>
      <c r="P180" s="321" t="str">
        <f>+GAAP!V97</f>
        <v>&lt; 250k</v>
      </c>
      <c r="Q180" s="116"/>
      <c r="R180" s="64"/>
      <c r="S180" s="64"/>
      <c r="T180" s="214"/>
      <c r="U180" s="64"/>
      <c r="V180" s="64"/>
      <c r="W180" s="64"/>
    </row>
    <row r="181" spans="1:23">
      <c r="A181" s="410">
        <f>+GAAP!A98</f>
        <v>52.870600000000003</v>
      </c>
      <c r="B181" s="57" t="str">
        <f>+GAAP!B98</f>
        <v>City of Hanford - WWTP Weld Repair T&amp;M 2</v>
      </c>
      <c r="C181" s="214">
        <f>+GAAP!J98</f>
        <v>2868.6</v>
      </c>
      <c r="D181" s="214">
        <f t="shared" si="85"/>
        <v>0</v>
      </c>
      <c r="E181" s="214">
        <f>+GAAP!C98</f>
        <v>2868.6</v>
      </c>
      <c r="F181" s="214">
        <f>+GAAP!F98</f>
        <v>2435.7800000000002</v>
      </c>
      <c r="G181" s="214">
        <f t="shared" si="86"/>
        <v>0</v>
      </c>
      <c r="H181" s="214">
        <f t="shared" si="87"/>
        <v>2435.7800000000002</v>
      </c>
      <c r="I181" s="214">
        <f>+GAAP!E98</f>
        <v>432.81999999999971</v>
      </c>
      <c r="J181" s="319">
        <f>+GAAP!G98</f>
        <v>1</v>
      </c>
      <c r="K181" s="214">
        <f>+GAAP!H98</f>
        <v>432.81999999999971</v>
      </c>
      <c r="L181" s="214">
        <f>+GAAP!P98</f>
        <v>0</v>
      </c>
      <c r="M181" s="214">
        <f t="shared" si="88"/>
        <v>432.81999999999971</v>
      </c>
      <c r="N181" s="118" t="str">
        <f>GAAP!T98</f>
        <v>2025</v>
      </c>
      <c r="O181" s="320" t="str">
        <f>+GAAP!U98</f>
        <v>2025</v>
      </c>
      <c r="P181" s="321" t="str">
        <f>+GAAP!V98</f>
        <v>&lt; 250k</v>
      </c>
      <c r="Q181" s="116"/>
      <c r="R181" s="64"/>
      <c r="S181" s="64"/>
      <c r="T181" s="214"/>
      <c r="U181" s="64"/>
      <c r="V181" s="64"/>
      <c r="W181" s="64"/>
    </row>
    <row r="182" spans="1:23">
      <c r="A182" s="410">
        <f>+GAAP!A99</f>
        <v>52.870899999999999</v>
      </c>
      <c r="B182" s="57" t="str">
        <f>+GAAP!B99</f>
        <v>County of Fresno - 47.1 Water</v>
      </c>
      <c r="C182" s="214">
        <f>+GAAP!J99</f>
        <v>17765.14</v>
      </c>
      <c r="D182" s="214">
        <f t="shared" si="85"/>
        <v>0</v>
      </c>
      <c r="E182" s="214">
        <f>+GAAP!C99</f>
        <v>17765.14</v>
      </c>
      <c r="F182" s="214">
        <f>+GAAP!F99</f>
        <v>14874.36</v>
      </c>
      <c r="G182" s="214">
        <f t="shared" si="86"/>
        <v>0</v>
      </c>
      <c r="H182" s="214">
        <f t="shared" si="87"/>
        <v>14874.36</v>
      </c>
      <c r="I182" s="214">
        <f>+GAAP!E99</f>
        <v>2890.7799999999988</v>
      </c>
      <c r="J182" s="319">
        <f>+GAAP!G99</f>
        <v>1</v>
      </c>
      <c r="K182" s="214">
        <f>+GAAP!H99</f>
        <v>2890.7799999999988</v>
      </c>
      <c r="L182" s="214">
        <f>+GAAP!P99</f>
        <v>0</v>
      </c>
      <c r="M182" s="214">
        <f t="shared" si="88"/>
        <v>2890.7799999999988</v>
      </c>
      <c r="N182" s="118" t="str">
        <f>GAAP!T99</f>
        <v>2025</v>
      </c>
      <c r="O182" s="320" t="str">
        <f>+GAAP!U99</f>
        <v>2025</v>
      </c>
      <c r="P182" s="321" t="str">
        <f>+GAAP!V99</f>
        <v>&lt; 250k</v>
      </c>
      <c r="Q182" s="116"/>
      <c r="R182" s="64"/>
      <c r="S182" s="64"/>
      <c r="T182" s="214"/>
      <c r="U182" s="64"/>
      <c r="V182" s="64"/>
      <c r="W182" s="64"/>
    </row>
    <row r="183" spans="1:23">
      <c r="A183" s="410">
        <f>+GAAP!A100</f>
        <v>52.871000000000002</v>
      </c>
      <c r="B183" s="57" t="str">
        <f>+GAAP!B100</f>
        <v>City of Dinuba - WWTP Bar Screen Motor Bracket Repair</v>
      </c>
      <c r="C183" s="214">
        <f>+GAAP!J100</f>
        <v>4064.54</v>
      </c>
      <c r="D183" s="214">
        <f t="shared" si="85"/>
        <v>0</v>
      </c>
      <c r="E183" s="214">
        <f>+GAAP!C100</f>
        <v>4064.54</v>
      </c>
      <c r="F183" s="214">
        <f>+GAAP!F100</f>
        <v>3514.84</v>
      </c>
      <c r="G183" s="214">
        <f t="shared" si="86"/>
        <v>0</v>
      </c>
      <c r="H183" s="214">
        <f t="shared" si="87"/>
        <v>3514.84</v>
      </c>
      <c r="I183" s="214">
        <f>+GAAP!E100</f>
        <v>549.69999999999982</v>
      </c>
      <c r="J183" s="319">
        <f>+GAAP!G100</f>
        <v>1</v>
      </c>
      <c r="K183" s="214">
        <f>+GAAP!H100</f>
        <v>549.69999999999982</v>
      </c>
      <c r="L183" s="214">
        <f>+GAAP!P100</f>
        <v>0</v>
      </c>
      <c r="M183" s="214">
        <f t="shared" si="88"/>
        <v>549.69999999999982</v>
      </c>
      <c r="N183" s="118" t="str">
        <f>GAAP!T100</f>
        <v>2025</v>
      </c>
      <c r="O183" s="320" t="str">
        <f>+GAAP!U100</f>
        <v>2025</v>
      </c>
      <c r="P183" s="321" t="str">
        <f>+GAAP!V100</f>
        <v>&lt; 250k</v>
      </c>
      <c r="Q183" s="116"/>
      <c r="R183" s="64"/>
      <c r="S183" s="64"/>
      <c r="T183" s="214"/>
      <c r="U183" s="64"/>
      <c r="V183" s="64"/>
      <c r="W183" s="64"/>
    </row>
    <row r="184" spans="1:23">
      <c r="A184" s="410">
        <f>+GAAP!A101</f>
        <v>52.871499999999997</v>
      </c>
      <c r="B184" s="57" t="str">
        <f>+GAAP!B101</f>
        <v>New England Sheet Metal and Mechanical Co. - Vitro Glass Plant Concrete Pad T&amp;M</v>
      </c>
      <c r="C184" s="214">
        <f>+GAAP!J101</f>
        <v>10001.43</v>
      </c>
      <c r="D184" s="214">
        <f t="shared" si="85"/>
        <v>0</v>
      </c>
      <c r="E184" s="214">
        <f>+GAAP!C101</f>
        <v>10001.43</v>
      </c>
      <c r="F184" s="214">
        <f>+GAAP!F101</f>
        <v>8585.44</v>
      </c>
      <c r="G184" s="214">
        <f t="shared" si="86"/>
        <v>0</v>
      </c>
      <c r="H184" s="214">
        <f t="shared" si="87"/>
        <v>8585.44</v>
      </c>
      <c r="I184" s="214">
        <f>+GAAP!E101</f>
        <v>1415.9899999999998</v>
      </c>
      <c r="J184" s="319">
        <f>+GAAP!G101</f>
        <v>1</v>
      </c>
      <c r="K184" s="214">
        <f>+GAAP!H101</f>
        <v>1415.9899999999998</v>
      </c>
      <c r="L184" s="214">
        <f>+GAAP!P101</f>
        <v>0</v>
      </c>
      <c r="M184" s="214">
        <f t="shared" si="88"/>
        <v>1415.9899999999998</v>
      </c>
      <c r="N184" s="118" t="str">
        <f>GAAP!T101</f>
        <v>2025</v>
      </c>
      <c r="O184" s="320" t="str">
        <f>+GAAP!U101</f>
        <v>2025</v>
      </c>
      <c r="P184" s="321" t="str">
        <f>+GAAP!V101</f>
        <v>&lt; 250k</v>
      </c>
      <c r="Q184" s="116"/>
      <c r="R184" s="64"/>
      <c r="S184" s="64"/>
      <c r="T184" s="214"/>
      <c r="U184" s="64"/>
      <c r="V184" s="64"/>
      <c r="W184" s="64"/>
    </row>
    <row r="185" spans="1:23">
      <c r="A185" s="410">
        <f>+GAAP!A120</f>
        <v>54.903300000000002</v>
      </c>
      <c r="B185" s="57" t="str">
        <f>+GAAP!B120</f>
        <v>Semitropic WSD - Stored Water Recovery Unit Phase 2A, Amendment 8</v>
      </c>
      <c r="C185" s="214">
        <f>+GAAP!J120</f>
        <v>118278.58</v>
      </c>
      <c r="D185" s="214">
        <f t="shared" si="85"/>
        <v>0</v>
      </c>
      <c r="E185" s="214">
        <f>+GAAP!C120</f>
        <v>118278.58</v>
      </c>
      <c r="F185" s="214">
        <f>+GAAP!F120</f>
        <v>104550.27</v>
      </c>
      <c r="G185" s="214">
        <f t="shared" si="86"/>
        <v>0</v>
      </c>
      <c r="H185" s="214">
        <f t="shared" si="87"/>
        <v>104550.27</v>
      </c>
      <c r="I185" s="214">
        <f>+GAAP!E120</f>
        <v>13728.309999999998</v>
      </c>
      <c r="J185" s="319">
        <f>+GAAP!G120</f>
        <v>1</v>
      </c>
      <c r="K185" s="214">
        <f>+GAAP!H120</f>
        <v>13728.309999999998</v>
      </c>
      <c r="L185" s="214">
        <f>+GAAP!P120</f>
        <v>10966.87000000001</v>
      </c>
      <c r="M185" s="214">
        <f t="shared" si="88"/>
        <v>2761.4399999999878</v>
      </c>
      <c r="N185" s="118" t="str">
        <f>GAAP!T120</f>
        <v>2021</v>
      </c>
      <c r="O185" s="320">
        <f>+GAAP!U120</f>
        <v>0</v>
      </c>
      <c r="P185" s="321" t="str">
        <f>+GAAP!V120</f>
        <v>&lt; 250k</v>
      </c>
      <c r="Q185" s="116"/>
      <c r="R185" s="64"/>
      <c r="S185" s="64"/>
      <c r="T185" s="214"/>
      <c r="U185" s="64"/>
      <c r="V185" s="64"/>
      <c r="W185" s="64"/>
    </row>
    <row r="186" spans="1:23">
      <c r="A186" s="410">
        <f>+GAAP!A138</f>
        <v>54.939599999999999</v>
      </c>
      <c r="B186" s="57" t="str">
        <f>+GAAP!B138</f>
        <v>Mojave Groundwater Storage LLC - Mojave Water Bank Northern Pipeline Facilities Construction</v>
      </c>
      <c r="C186" s="214">
        <f>+GAAP!J138</f>
        <v>0</v>
      </c>
      <c r="D186" s="214">
        <f t="shared" si="85"/>
        <v>157746.09</v>
      </c>
      <c r="E186" s="214">
        <f>+GAAP!C138</f>
        <v>157746.09</v>
      </c>
      <c r="F186" s="214">
        <f>+GAAP!F138</f>
        <v>157746.09</v>
      </c>
      <c r="G186" s="214">
        <f t="shared" si="86"/>
        <v>0</v>
      </c>
      <c r="H186" s="214">
        <f t="shared" si="87"/>
        <v>157746.09</v>
      </c>
      <c r="I186" s="214">
        <f>+GAAP!E138</f>
        <v>0</v>
      </c>
      <c r="J186" s="319">
        <f>+GAAP!G138</f>
        <v>1</v>
      </c>
      <c r="K186" s="214">
        <f>+GAAP!H138</f>
        <v>0</v>
      </c>
      <c r="L186" s="214">
        <f>+GAAP!P138</f>
        <v>0</v>
      </c>
      <c r="M186" s="214">
        <f t="shared" si="88"/>
        <v>0</v>
      </c>
      <c r="N186" s="118" t="str">
        <f>GAAP!T138</f>
        <v>2025</v>
      </c>
      <c r="O186" s="320">
        <f>+GAAP!U138</f>
        <v>0</v>
      </c>
      <c r="P186" s="321" t="str">
        <f>+GAAP!V138</f>
        <v>&lt; 250k</v>
      </c>
      <c r="Q186" s="116"/>
      <c r="R186" s="64"/>
      <c r="S186" s="64"/>
      <c r="T186" s="214"/>
      <c r="U186" s="64"/>
      <c r="V186" s="64"/>
      <c r="W186" s="64"/>
    </row>
    <row r="187" spans="1:23">
      <c r="A187" s="410">
        <f>+GAAP!A143</f>
        <v>54.940600000000003</v>
      </c>
      <c r="B187" s="57" t="str">
        <f>+GAAP!B143</f>
        <v>California Water Service Co. - Emergency PACL leak repair</v>
      </c>
      <c r="C187" s="214">
        <f>+GAAP!J143</f>
        <v>0</v>
      </c>
      <c r="D187" s="214">
        <f t="shared" ref="D187:D230" si="89">+E187-C187</f>
        <v>1120.6500000000001</v>
      </c>
      <c r="E187" s="214">
        <f>+GAAP!C143</f>
        <v>1120.6500000000001</v>
      </c>
      <c r="F187" s="214">
        <f>+GAAP!F143</f>
        <v>1120.6500000000001</v>
      </c>
      <c r="G187" s="214">
        <f t="shared" ref="G187:G230" si="90">+H187-F187</f>
        <v>0</v>
      </c>
      <c r="H187" s="214">
        <f t="shared" ref="H187:H230" si="91">+E187-I187</f>
        <v>1120.6500000000001</v>
      </c>
      <c r="I187" s="214">
        <f>+GAAP!E143</f>
        <v>0</v>
      </c>
      <c r="J187" s="319">
        <f>+GAAP!G143</f>
        <v>1</v>
      </c>
      <c r="K187" s="214">
        <f>+GAAP!H143</f>
        <v>0</v>
      </c>
      <c r="L187" s="214">
        <f>+GAAP!P143</f>
        <v>0</v>
      </c>
      <c r="M187" s="214">
        <f t="shared" ref="M187:M230" si="92">+K187-L187</f>
        <v>0</v>
      </c>
      <c r="N187" s="118" t="str">
        <f>GAAP!T143</f>
        <v>2025</v>
      </c>
      <c r="O187" s="320">
        <f>+GAAP!U143</f>
        <v>0</v>
      </c>
      <c r="P187" s="321" t="str">
        <f>+GAAP!V143</f>
        <v>&lt; 250k</v>
      </c>
      <c r="Q187" s="116"/>
      <c r="R187" s="64"/>
      <c r="S187" s="64"/>
      <c r="T187" s="214"/>
      <c r="U187" s="64"/>
      <c r="V187" s="64"/>
      <c r="W187" s="64"/>
    </row>
    <row r="188" spans="1:23">
      <c r="A188" s="410">
        <f>+GAAP!A145</f>
        <v>54.941099999999999</v>
      </c>
      <c r="B188" s="57" t="str">
        <f>+GAAP!B145</f>
        <v>Moorefield Construction Inc. - Hard Rock Tejon AEWSD Line Relocation</v>
      </c>
      <c r="C188" s="214">
        <f>+GAAP!J145</f>
        <v>103000</v>
      </c>
      <c r="D188" s="214">
        <f t="shared" si="89"/>
        <v>300</v>
      </c>
      <c r="E188" s="214">
        <f>+GAAP!C145</f>
        <v>103300</v>
      </c>
      <c r="F188" s="214">
        <f>+GAAP!F145</f>
        <v>71370.850000000006</v>
      </c>
      <c r="G188" s="214">
        <f t="shared" si="90"/>
        <v>6929.1499999999942</v>
      </c>
      <c r="H188" s="214">
        <f t="shared" si="91"/>
        <v>78300</v>
      </c>
      <c r="I188" s="214">
        <f>+GAAP!E145</f>
        <v>25000</v>
      </c>
      <c r="J188" s="319">
        <f>+GAAP!G145</f>
        <v>0.91150510855683275</v>
      </c>
      <c r="K188" s="214">
        <f>+GAAP!H145</f>
        <v>22787.627713920818</v>
      </c>
      <c r="L188" s="214">
        <f>+GAAP!P145</f>
        <v>0</v>
      </c>
      <c r="M188" s="214">
        <f t="shared" si="92"/>
        <v>22787.627713920818</v>
      </c>
      <c r="N188" s="118" t="str">
        <f>GAAP!T145</f>
        <v>2025</v>
      </c>
      <c r="O188" s="320">
        <f>+GAAP!U145</f>
        <v>0</v>
      </c>
      <c r="P188" s="321" t="str">
        <f>+GAAP!V145</f>
        <v>&lt; 250k</v>
      </c>
      <c r="Q188" s="116"/>
      <c r="R188" s="64"/>
      <c r="S188" s="64"/>
      <c r="T188" s="214"/>
      <c r="U188" s="64"/>
      <c r="V188" s="64"/>
      <c r="W188" s="64"/>
    </row>
    <row r="189" spans="1:23">
      <c r="A189" s="410">
        <f>+GAAP!A146</f>
        <v>54.941200000000002</v>
      </c>
      <c r="B189" s="57" t="str">
        <f>+GAAP!B146</f>
        <v>Arvin Edison Water Storage Dist. - Sycamore Well 39 Earthwork</v>
      </c>
      <c r="C189" s="214">
        <f>+GAAP!J146</f>
        <v>116752.04</v>
      </c>
      <c r="D189" s="214">
        <f t="shared" si="89"/>
        <v>0</v>
      </c>
      <c r="E189" s="214">
        <f>+GAAP!C146</f>
        <v>116752.04</v>
      </c>
      <c r="F189" s="214">
        <f>+GAAP!F146</f>
        <v>115708.88</v>
      </c>
      <c r="G189" s="214">
        <f t="shared" si="90"/>
        <v>0</v>
      </c>
      <c r="H189" s="214">
        <f t="shared" si="91"/>
        <v>115708.88</v>
      </c>
      <c r="I189" s="214">
        <f>+GAAP!E146</f>
        <v>1043.1599999999889</v>
      </c>
      <c r="J189" s="319">
        <f>+GAAP!G146</f>
        <v>1</v>
      </c>
      <c r="K189" s="214">
        <f>+GAAP!H146</f>
        <v>1043.1599999999889</v>
      </c>
      <c r="L189" s="214">
        <f>+GAAP!P146</f>
        <v>0</v>
      </c>
      <c r="M189" s="214">
        <f t="shared" si="92"/>
        <v>1043.1599999999889</v>
      </c>
      <c r="N189" s="118" t="str">
        <f>GAAP!T146</f>
        <v>2025</v>
      </c>
      <c r="O189" s="320">
        <f>+GAAP!U146</f>
        <v>0</v>
      </c>
      <c r="P189" s="321" t="str">
        <f>+GAAP!V146</f>
        <v>&lt; 250k</v>
      </c>
      <c r="Q189" s="116"/>
      <c r="R189" s="64"/>
      <c r="S189" s="64"/>
      <c r="T189" s="214"/>
      <c r="U189" s="64"/>
      <c r="V189" s="64"/>
      <c r="W189" s="64"/>
    </row>
    <row r="190" spans="1:23">
      <c r="A190" s="410">
        <f>+GAAP!A147</f>
        <v>54.941299999999998</v>
      </c>
      <c r="B190" s="57" t="str">
        <f>+GAAP!B147</f>
        <v>Arvin Edison Water Storage Dist. - Tejon Well 102 Earthwork</v>
      </c>
      <c r="C190" s="214">
        <f>+GAAP!J147</f>
        <v>149366.82999999999</v>
      </c>
      <c r="D190" s="214">
        <f t="shared" si="89"/>
        <v>0</v>
      </c>
      <c r="E190" s="214">
        <f>+GAAP!C147</f>
        <v>149366.82999999999</v>
      </c>
      <c r="F190" s="214">
        <f>+GAAP!F147</f>
        <v>132138.74</v>
      </c>
      <c r="G190" s="214">
        <f t="shared" si="90"/>
        <v>0</v>
      </c>
      <c r="H190" s="214">
        <f t="shared" si="91"/>
        <v>132138.74</v>
      </c>
      <c r="I190" s="214">
        <f>+GAAP!E147</f>
        <v>17228.089999999997</v>
      </c>
      <c r="J190" s="319">
        <f>+GAAP!G147</f>
        <v>1</v>
      </c>
      <c r="K190" s="214">
        <f>+GAAP!H147</f>
        <v>17228.089999999997</v>
      </c>
      <c r="L190" s="214">
        <f>+GAAP!P147</f>
        <v>0</v>
      </c>
      <c r="M190" s="214">
        <f t="shared" si="92"/>
        <v>17228.089999999997</v>
      </c>
      <c r="N190" s="118" t="str">
        <f>GAAP!T147</f>
        <v>2025</v>
      </c>
      <c r="O190" s="320">
        <f>+GAAP!U147</f>
        <v>0</v>
      </c>
      <c r="P190" s="321" t="str">
        <f>+GAAP!V147</f>
        <v>&lt; 250k</v>
      </c>
      <c r="Q190" s="116"/>
      <c r="R190" s="64"/>
      <c r="S190" s="64"/>
      <c r="T190" s="214"/>
      <c r="U190" s="64"/>
      <c r="V190" s="64"/>
      <c r="W190" s="64"/>
    </row>
    <row r="191" spans="1:23">
      <c r="A191" s="410">
        <f>+GAAP!A150</f>
        <v>54.941699999999997</v>
      </c>
      <c r="B191" s="57" t="str">
        <f>+GAAP!B150</f>
        <v>County of Santa Barbara-Public Works - Laguna WWTP WAS Pipe Modifications</v>
      </c>
      <c r="C191" s="214">
        <f>+GAAP!J150</f>
        <v>0</v>
      </c>
      <c r="D191" s="214">
        <f t="shared" si="89"/>
        <v>48439</v>
      </c>
      <c r="E191" s="214">
        <f>+GAAP!C150</f>
        <v>48439</v>
      </c>
      <c r="F191" s="214">
        <f>+GAAP!F150</f>
        <v>2299.41</v>
      </c>
      <c r="G191" s="214">
        <f t="shared" si="90"/>
        <v>40593.589999999997</v>
      </c>
      <c r="H191" s="214">
        <f t="shared" si="91"/>
        <v>42893</v>
      </c>
      <c r="I191" s="214">
        <f>+GAAP!E150</f>
        <v>5546</v>
      </c>
      <c r="J191" s="319">
        <f>+GAAP!G150</f>
        <v>5.3608047933229194E-2</v>
      </c>
      <c r="K191" s="214">
        <f>+GAAP!H150</f>
        <v>0</v>
      </c>
      <c r="L191" s="214">
        <f>+GAAP!P150</f>
        <v>0</v>
      </c>
      <c r="M191" s="214">
        <f t="shared" si="92"/>
        <v>0</v>
      </c>
      <c r="N191" s="118" t="str">
        <f>GAAP!T150</f>
        <v>2025</v>
      </c>
      <c r="O191" s="320">
        <f>+GAAP!U150</f>
        <v>0</v>
      </c>
      <c r="P191" s="321" t="str">
        <f>+GAAP!V150</f>
        <v>&lt; 250k</v>
      </c>
      <c r="Q191" s="116"/>
      <c r="R191" s="64"/>
      <c r="S191" s="64"/>
      <c r="T191" s="214"/>
      <c r="U191" s="64"/>
      <c r="V191" s="64"/>
      <c r="W191" s="64"/>
    </row>
    <row r="192" spans="1:23">
      <c r="A192" s="410">
        <f>+GAAP!A151</f>
        <v>54.941800000000001</v>
      </c>
      <c r="B192" s="57" t="str">
        <f>+GAAP!B151</f>
        <v>GenerateUpcycle - Organics Waste Processing Facility</v>
      </c>
      <c r="C192" s="214">
        <f>+GAAP!J151</f>
        <v>0</v>
      </c>
      <c r="D192" s="214">
        <f t="shared" si="89"/>
        <v>15739</v>
      </c>
      <c r="E192" s="214">
        <f>+GAAP!C151</f>
        <v>15739</v>
      </c>
      <c r="F192" s="214">
        <f>+GAAP!F151</f>
        <v>15739</v>
      </c>
      <c r="G192" s="214">
        <f t="shared" si="90"/>
        <v>0</v>
      </c>
      <c r="H192" s="214">
        <f t="shared" si="91"/>
        <v>15739</v>
      </c>
      <c r="I192" s="214">
        <f>+GAAP!E151</f>
        <v>0</v>
      </c>
      <c r="J192" s="319">
        <f>+GAAP!G151</f>
        <v>1</v>
      </c>
      <c r="K192" s="214">
        <f>+GAAP!H151</f>
        <v>0</v>
      </c>
      <c r="L192" s="214">
        <f>+GAAP!P151</f>
        <v>0</v>
      </c>
      <c r="M192" s="214">
        <f t="shared" si="92"/>
        <v>0</v>
      </c>
      <c r="N192" s="118" t="str">
        <f>GAAP!T151</f>
        <v>2025</v>
      </c>
      <c r="O192" s="320">
        <f>+GAAP!U151</f>
        <v>0</v>
      </c>
      <c r="P192" s="321" t="str">
        <f>+GAAP!V151</f>
        <v>&lt; 250k</v>
      </c>
      <c r="Q192" s="116"/>
      <c r="R192" s="64"/>
      <c r="S192" s="64"/>
      <c r="T192" s="214"/>
      <c r="U192" s="64"/>
      <c r="V192" s="64"/>
      <c r="W192" s="64"/>
    </row>
    <row r="193" spans="1:23">
      <c r="A193" s="410">
        <f>+GAAP!A152</f>
        <v>54.942100000000003</v>
      </c>
      <c r="B193" s="57" t="str">
        <f>+GAAP!B152</f>
        <v>Nipomo Community Service Dist. - Tefft Emergency Pipe Repair</v>
      </c>
      <c r="C193" s="214">
        <f>+GAAP!J152</f>
        <v>0</v>
      </c>
      <c r="D193" s="214">
        <f t="shared" si="89"/>
        <v>3703.18</v>
      </c>
      <c r="E193" s="214">
        <f>+GAAP!C152</f>
        <v>3703.18</v>
      </c>
      <c r="F193" s="214">
        <f>+GAAP!F152</f>
        <v>3703.18</v>
      </c>
      <c r="G193" s="214">
        <f t="shared" si="90"/>
        <v>0</v>
      </c>
      <c r="H193" s="214">
        <f t="shared" si="91"/>
        <v>3703.18</v>
      </c>
      <c r="I193" s="214">
        <f>+GAAP!E152</f>
        <v>0</v>
      </c>
      <c r="J193" s="319">
        <f>+GAAP!G152</f>
        <v>1</v>
      </c>
      <c r="K193" s="214">
        <f>+GAAP!H152</f>
        <v>0</v>
      </c>
      <c r="L193" s="214">
        <f>+GAAP!P152</f>
        <v>0</v>
      </c>
      <c r="M193" s="214">
        <f t="shared" si="92"/>
        <v>0</v>
      </c>
      <c r="N193" s="118" t="str">
        <f>GAAP!T152</f>
        <v>2025</v>
      </c>
      <c r="O193" s="320">
        <f>+GAAP!U152</f>
        <v>0</v>
      </c>
      <c r="P193" s="321" t="str">
        <f>+GAAP!V152</f>
        <v>&lt; 250k</v>
      </c>
      <c r="Q193" s="116"/>
      <c r="R193" s="64"/>
      <c r="S193" s="64"/>
      <c r="T193" s="214"/>
      <c r="U193" s="64"/>
      <c r="V193" s="64"/>
      <c r="W193" s="64"/>
    </row>
    <row r="194" spans="1:23">
      <c r="A194" s="410">
        <f>+GAAP!A161</f>
        <v>54.926499999999997</v>
      </c>
      <c r="B194" s="57" t="str">
        <f>+GAAP!B161</f>
        <v>Semitropic Water Storage Dist. - Amendment No. 22 JPP Valve Control Modification</v>
      </c>
      <c r="C194" s="214">
        <f>+GAAP!J161</f>
        <v>223896.47</v>
      </c>
      <c r="D194" s="214">
        <f t="shared" si="89"/>
        <v>0</v>
      </c>
      <c r="E194" s="214">
        <f>+GAAP!C161</f>
        <v>223896.47</v>
      </c>
      <c r="F194" s="214">
        <f>+GAAP!F161</f>
        <v>220754.51</v>
      </c>
      <c r="G194" s="214">
        <f t="shared" si="90"/>
        <v>0</v>
      </c>
      <c r="H194" s="214">
        <f t="shared" si="91"/>
        <v>220754.51</v>
      </c>
      <c r="I194" s="214">
        <f>+GAAP!E161</f>
        <v>3141.9599999999919</v>
      </c>
      <c r="J194" s="319">
        <f>+GAAP!G161</f>
        <v>1</v>
      </c>
      <c r="K194" s="214">
        <f>+GAAP!H161</f>
        <v>3141.9599999999919</v>
      </c>
      <c r="L194" s="214">
        <f>+GAAP!P161</f>
        <v>0</v>
      </c>
      <c r="M194" s="214">
        <f t="shared" si="92"/>
        <v>3141.9599999999919</v>
      </c>
      <c r="N194" s="118" t="str">
        <f>GAAP!T161</f>
        <v>2023</v>
      </c>
      <c r="O194" s="320" t="str">
        <f>+GAAP!U161</f>
        <v>2025</v>
      </c>
      <c r="P194" s="321" t="str">
        <f>+GAAP!V161</f>
        <v>&lt; 250k</v>
      </c>
      <c r="Q194" s="116"/>
      <c r="R194" s="64"/>
      <c r="S194" s="64"/>
      <c r="T194" s="214"/>
      <c r="U194" s="64"/>
      <c r="V194" s="64"/>
      <c r="W194" s="64"/>
    </row>
    <row r="195" spans="1:23">
      <c r="A195" s="410">
        <f>+GAAP!A163</f>
        <v>54.928899999999999</v>
      </c>
      <c r="B195" s="57" t="str">
        <f>+GAAP!B163</f>
        <v>Michael K. Nunley &amp; Assoc., Inc. - AMWC Sycamore &amp; NWT Budgeting</v>
      </c>
      <c r="C195" s="214">
        <f>+GAAP!J163</f>
        <v>44560</v>
      </c>
      <c r="D195" s="214">
        <f t="shared" si="89"/>
        <v>0</v>
      </c>
      <c r="E195" s="214">
        <f>+GAAP!C163</f>
        <v>44560</v>
      </c>
      <c r="F195" s="214">
        <f>+GAAP!F163</f>
        <v>25097.25</v>
      </c>
      <c r="G195" s="214">
        <f t="shared" si="90"/>
        <v>0</v>
      </c>
      <c r="H195" s="214">
        <f t="shared" si="91"/>
        <v>25097.25</v>
      </c>
      <c r="I195" s="214">
        <f>+GAAP!E163</f>
        <v>19462.75</v>
      </c>
      <c r="J195" s="319">
        <f>+GAAP!G163</f>
        <v>1</v>
      </c>
      <c r="K195" s="214">
        <f>+GAAP!H163</f>
        <v>19462.75</v>
      </c>
      <c r="L195" s="214">
        <f>+GAAP!P163</f>
        <v>669.80999999999949</v>
      </c>
      <c r="M195" s="214">
        <f t="shared" si="92"/>
        <v>18792.940000000002</v>
      </c>
      <c r="N195" s="118" t="str">
        <f>GAAP!T163</f>
        <v>2023</v>
      </c>
      <c r="O195" s="320" t="str">
        <f>+GAAP!U163</f>
        <v>2025</v>
      </c>
      <c r="P195" s="321" t="str">
        <f>+GAAP!V163</f>
        <v>&lt; 250k</v>
      </c>
      <c r="Q195" s="116"/>
      <c r="R195" s="64"/>
      <c r="S195" s="64"/>
      <c r="T195" s="214"/>
      <c r="U195" s="64"/>
      <c r="V195" s="64"/>
      <c r="W195" s="64"/>
    </row>
    <row r="196" spans="1:23">
      <c r="A196" s="410">
        <f>+GAAP!A164</f>
        <v>54.929200000000002</v>
      </c>
      <c r="B196" s="57" t="str">
        <f>+GAAP!B164</f>
        <v>Michael K. Nunley &amp; Assoc., Inc. - Waterton WTP Budgeting</v>
      </c>
      <c r="C196" s="214">
        <f>+GAAP!J164</f>
        <v>4300</v>
      </c>
      <c r="D196" s="214">
        <f t="shared" si="89"/>
        <v>0</v>
      </c>
      <c r="E196" s="214">
        <f>+GAAP!C164</f>
        <v>4300</v>
      </c>
      <c r="F196" s="214">
        <f>+GAAP!F164</f>
        <v>1313.45</v>
      </c>
      <c r="G196" s="214">
        <f t="shared" si="90"/>
        <v>0</v>
      </c>
      <c r="H196" s="214">
        <f t="shared" si="91"/>
        <v>1313.4499999999998</v>
      </c>
      <c r="I196" s="214">
        <f>+GAAP!E164</f>
        <v>2986.55</v>
      </c>
      <c r="J196" s="319">
        <f>+GAAP!G164</f>
        <v>1.0000000000000002</v>
      </c>
      <c r="K196" s="214">
        <f>+GAAP!H164</f>
        <v>2986.5500000000006</v>
      </c>
      <c r="L196" s="214">
        <f>+GAAP!P164</f>
        <v>2986.55</v>
      </c>
      <c r="M196" s="214">
        <f t="shared" si="92"/>
        <v>0</v>
      </c>
      <c r="N196" s="118" t="str">
        <f>GAAP!T164</f>
        <v>2023</v>
      </c>
      <c r="O196" s="320" t="str">
        <f>+GAAP!U164</f>
        <v>2025</v>
      </c>
      <c r="P196" s="321" t="str">
        <f>+GAAP!V164</f>
        <v>&lt; 250k</v>
      </c>
      <c r="Q196" s="116"/>
      <c r="R196" s="64"/>
      <c r="S196" s="64"/>
      <c r="T196" s="214"/>
      <c r="U196" s="64"/>
      <c r="V196" s="64"/>
      <c r="W196" s="64"/>
    </row>
    <row r="197" spans="1:23">
      <c r="A197" s="410">
        <f>+GAAP!A166</f>
        <v>54.932299999999998</v>
      </c>
      <c r="B197" s="57" t="str">
        <f>+GAAP!B166</f>
        <v>Semitropic Water Storage Dist. - Buena Vista Water Storage District Turnout Valve Repair</v>
      </c>
      <c r="C197" s="214">
        <f>+GAAP!J166</f>
        <v>110661.47</v>
      </c>
      <c r="D197" s="214">
        <f t="shared" si="89"/>
        <v>0</v>
      </c>
      <c r="E197" s="214">
        <f>+GAAP!C166</f>
        <v>110661.47</v>
      </c>
      <c r="F197" s="214">
        <f>+GAAP!F166</f>
        <v>94483.21</v>
      </c>
      <c r="G197" s="214">
        <f t="shared" si="90"/>
        <v>0</v>
      </c>
      <c r="H197" s="214">
        <f t="shared" si="91"/>
        <v>94483.21</v>
      </c>
      <c r="I197" s="214">
        <f>+GAAP!E166</f>
        <v>16178.259999999995</v>
      </c>
      <c r="J197" s="319">
        <f>+GAAP!G166</f>
        <v>1</v>
      </c>
      <c r="K197" s="214">
        <f>+GAAP!H166</f>
        <v>16178.259999999995</v>
      </c>
      <c r="L197" s="214">
        <f>+GAAP!P166</f>
        <v>0</v>
      </c>
      <c r="M197" s="214">
        <f t="shared" si="92"/>
        <v>16178.259999999995</v>
      </c>
      <c r="N197" s="118" t="str">
        <f>GAAP!T166</f>
        <v>2024</v>
      </c>
      <c r="O197" s="320" t="str">
        <f>+GAAP!U166</f>
        <v>2025</v>
      </c>
      <c r="P197" s="321" t="str">
        <f>+GAAP!V166</f>
        <v>&lt; 250k</v>
      </c>
      <c r="Q197" s="116"/>
      <c r="R197" s="64"/>
      <c r="S197" s="64"/>
      <c r="T197" s="214"/>
      <c r="U197" s="64"/>
      <c r="V197" s="64"/>
      <c r="W197" s="64"/>
    </row>
    <row r="198" spans="1:23">
      <c r="A198" s="410">
        <f>+GAAP!A167</f>
        <v>54.932899999999997</v>
      </c>
      <c r="B198" s="57" t="str">
        <f>+GAAP!B167</f>
        <v>Kern Water Bank Authority - Valve Replacement Parts</v>
      </c>
      <c r="C198" s="214">
        <f>+GAAP!J167</f>
        <v>18201.12</v>
      </c>
      <c r="D198" s="214">
        <f t="shared" si="89"/>
        <v>0</v>
      </c>
      <c r="E198" s="214">
        <f>+GAAP!C167</f>
        <v>18201.12</v>
      </c>
      <c r="F198" s="214">
        <f>+GAAP!F167</f>
        <v>16466.72</v>
      </c>
      <c r="G198" s="214">
        <f t="shared" si="90"/>
        <v>0</v>
      </c>
      <c r="H198" s="214">
        <f t="shared" si="91"/>
        <v>16466.72</v>
      </c>
      <c r="I198" s="214">
        <f>+GAAP!E167</f>
        <v>1734.3999999999978</v>
      </c>
      <c r="J198" s="319">
        <f>+GAAP!G167</f>
        <v>1</v>
      </c>
      <c r="K198" s="214">
        <f>+GAAP!H167</f>
        <v>1734.3999999999978</v>
      </c>
      <c r="L198" s="214">
        <f>+GAAP!P167</f>
        <v>0</v>
      </c>
      <c r="M198" s="214">
        <f t="shared" si="92"/>
        <v>1734.3999999999978</v>
      </c>
      <c r="N198" s="118" t="str">
        <f>GAAP!T167</f>
        <v>2025</v>
      </c>
      <c r="O198" s="320" t="str">
        <f>+GAAP!U167</f>
        <v>2025</v>
      </c>
      <c r="P198" s="321" t="str">
        <f>+GAAP!V167</f>
        <v>&lt; 250k</v>
      </c>
      <c r="Q198" s="116"/>
      <c r="R198" s="64"/>
      <c r="S198" s="64"/>
      <c r="T198" s="214"/>
      <c r="U198" s="64"/>
      <c r="V198" s="64"/>
      <c r="W198" s="64"/>
    </row>
    <row r="199" spans="1:23">
      <c r="A199" s="410">
        <f>+GAAP!A169</f>
        <v>54.933799999999998</v>
      </c>
      <c r="B199" s="57" t="str">
        <f>+GAAP!B169</f>
        <v>Laguna County Sanitation Dist. - WWTP Storage Pond Slide Gates Replacement</v>
      </c>
      <c r="C199" s="214">
        <f>+GAAP!J169</f>
        <v>175884.64</v>
      </c>
      <c r="D199" s="214">
        <f t="shared" si="89"/>
        <v>0</v>
      </c>
      <c r="E199" s="214">
        <f>+GAAP!C169</f>
        <v>175884.64</v>
      </c>
      <c r="F199" s="214">
        <f>+GAAP!F169</f>
        <v>119186.11</v>
      </c>
      <c r="G199" s="214">
        <f t="shared" si="90"/>
        <v>0</v>
      </c>
      <c r="H199" s="214">
        <f t="shared" si="91"/>
        <v>119186.11</v>
      </c>
      <c r="I199" s="214">
        <f>+GAAP!E169</f>
        <v>56698.530000000013</v>
      </c>
      <c r="J199" s="319">
        <f>+GAAP!G169</f>
        <v>1</v>
      </c>
      <c r="K199" s="214">
        <f>+GAAP!H169</f>
        <v>56698.530000000013</v>
      </c>
      <c r="L199" s="214">
        <f>+GAAP!P169</f>
        <v>54179.797702390708</v>
      </c>
      <c r="M199" s="214">
        <f t="shared" si="92"/>
        <v>2518.7322976093055</v>
      </c>
      <c r="N199" s="118" t="str">
        <f>GAAP!T169</f>
        <v>2024</v>
      </c>
      <c r="O199" s="320" t="str">
        <f>+GAAP!U169</f>
        <v>2025</v>
      </c>
      <c r="P199" s="321" t="str">
        <f>+GAAP!V169</f>
        <v>&lt; 250k</v>
      </c>
      <c r="Q199" s="116"/>
      <c r="R199" s="64"/>
      <c r="S199" s="64"/>
      <c r="T199" s="214"/>
      <c r="U199" s="64"/>
      <c r="V199" s="64"/>
      <c r="W199" s="64"/>
    </row>
    <row r="200" spans="1:23">
      <c r="A200" s="410">
        <f>+GAAP!A171</f>
        <v>54.934199999999997</v>
      </c>
      <c r="B200" s="57" t="str">
        <f>+GAAP!B171</f>
        <v>North of River Sanitary Dist. No. 1 - Sanitary Sewer Rehab Package 21 Remove and Replace</v>
      </c>
      <c r="C200" s="214">
        <f>+GAAP!J171</f>
        <v>199161.5</v>
      </c>
      <c r="D200" s="214">
        <f t="shared" si="89"/>
        <v>0</v>
      </c>
      <c r="E200" s="214">
        <f>+GAAP!C171</f>
        <v>199161.5</v>
      </c>
      <c r="F200" s="214">
        <f>+GAAP!F171</f>
        <v>124146.3</v>
      </c>
      <c r="G200" s="214">
        <f t="shared" si="90"/>
        <v>0</v>
      </c>
      <c r="H200" s="214">
        <f t="shared" si="91"/>
        <v>124146.3</v>
      </c>
      <c r="I200" s="214">
        <f>+GAAP!E171</f>
        <v>75015.199999999997</v>
      </c>
      <c r="J200" s="319">
        <f>+GAAP!G171</f>
        <v>1</v>
      </c>
      <c r="K200" s="214">
        <f>+GAAP!H171</f>
        <v>75015.199999999997</v>
      </c>
      <c r="L200" s="214">
        <f>+GAAP!P171</f>
        <v>41394.11273245293</v>
      </c>
      <c r="M200" s="214">
        <f t="shared" si="92"/>
        <v>33621.087267547067</v>
      </c>
      <c r="N200" s="118" t="str">
        <f>GAAP!T171</f>
        <v>2024</v>
      </c>
      <c r="O200" s="320" t="str">
        <f>+GAAP!U171</f>
        <v>2025</v>
      </c>
      <c r="P200" s="321" t="str">
        <f>+GAAP!V171</f>
        <v>&lt; 250k</v>
      </c>
      <c r="Q200" s="116"/>
      <c r="R200" s="64"/>
      <c r="S200" s="64"/>
      <c r="T200" s="214"/>
      <c r="U200" s="64"/>
      <c r="V200" s="64"/>
      <c r="W200" s="64"/>
    </row>
    <row r="201" spans="1:23">
      <c r="A201" s="410">
        <f>+GAAP!A172</f>
        <v>54.934699999999999</v>
      </c>
      <c r="B201" s="57" t="str">
        <f>+GAAP!B172</f>
        <v>City of Guadalupe - Effluent Pump Station Flow Meter Installation</v>
      </c>
      <c r="C201" s="214">
        <f>+GAAP!J172</f>
        <v>7100</v>
      </c>
      <c r="D201" s="214">
        <f t="shared" si="89"/>
        <v>0</v>
      </c>
      <c r="E201" s="214">
        <f>+GAAP!C172</f>
        <v>7100</v>
      </c>
      <c r="F201" s="214">
        <f>+GAAP!F172</f>
        <v>3227.7</v>
      </c>
      <c r="G201" s="214">
        <f t="shared" si="90"/>
        <v>0</v>
      </c>
      <c r="H201" s="214">
        <f t="shared" si="91"/>
        <v>3227.7</v>
      </c>
      <c r="I201" s="214">
        <f>+GAAP!E172</f>
        <v>3872.3</v>
      </c>
      <c r="J201" s="319">
        <f>+GAAP!G172</f>
        <v>1</v>
      </c>
      <c r="K201" s="214">
        <f>+GAAP!H172</f>
        <v>3872.3</v>
      </c>
      <c r="L201" s="214">
        <f>+GAAP!P172</f>
        <v>0</v>
      </c>
      <c r="M201" s="214">
        <f t="shared" si="92"/>
        <v>3872.3</v>
      </c>
      <c r="N201" s="118" t="str">
        <f>GAAP!T172</f>
        <v>2025</v>
      </c>
      <c r="O201" s="320" t="str">
        <f>+GAAP!U172</f>
        <v>2025</v>
      </c>
      <c r="P201" s="321" t="str">
        <f>+GAAP!V172</f>
        <v>&lt; 250k</v>
      </c>
      <c r="Q201" s="116"/>
      <c r="R201" s="64"/>
      <c r="S201" s="64"/>
      <c r="T201" s="214"/>
      <c r="U201" s="64"/>
      <c r="V201" s="64"/>
      <c r="W201" s="64"/>
    </row>
    <row r="202" spans="1:23">
      <c r="A202" s="410">
        <f>+GAAP!A174</f>
        <v>54.935000000000002</v>
      </c>
      <c r="B202" s="57" t="str">
        <f>+GAAP!B174</f>
        <v>Kern Water Bank Authority - Construct New Well 18P01</v>
      </c>
      <c r="C202" s="214">
        <f>+GAAP!J174</f>
        <v>129965.06</v>
      </c>
      <c r="D202" s="214">
        <f t="shared" si="89"/>
        <v>0</v>
      </c>
      <c r="E202" s="214">
        <f>+GAAP!C174</f>
        <v>129965.06</v>
      </c>
      <c r="F202" s="214">
        <f>+GAAP!F174</f>
        <v>120318.68</v>
      </c>
      <c r="G202" s="214">
        <f t="shared" si="90"/>
        <v>0</v>
      </c>
      <c r="H202" s="214">
        <f t="shared" si="91"/>
        <v>120318.68</v>
      </c>
      <c r="I202" s="214">
        <f>+GAAP!E174</f>
        <v>9646.3800000000047</v>
      </c>
      <c r="J202" s="319">
        <f>+GAAP!G174</f>
        <v>1</v>
      </c>
      <c r="K202" s="214">
        <f>+GAAP!H174</f>
        <v>9646.3800000000047</v>
      </c>
      <c r="L202" s="214">
        <f>+GAAP!P174</f>
        <v>0</v>
      </c>
      <c r="M202" s="214">
        <f t="shared" si="92"/>
        <v>9646.3800000000047</v>
      </c>
      <c r="N202" s="118" t="str">
        <f>GAAP!T174</f>
        <v>2024</v>
      </c>
      <c r="O202" s="320" t="str">
        <f>+GAAP!U174</f>
        <v>2025</v>
      </c>
      <c r="P202" s="321" t="str">
        <f>+GAAP!V174</f>
        <v>&lt; 250k</v>
      </c>
      <c r="Q202" s="116"/>
      <c r="R202" s="64"/>
      <c r="S202" s="64"/>
      <c r="T202" s="214"/>
      <c r="U202" s="64"/>
      <c r="V202" s="64"/>
      <c r="W202" s="64"/>
    </row>
    <row r="203" spans="1:23">
      <c r="A203" s="410">
        <f>+GAAP!A175</f>
        <v>54.935099999999998</v>
      </c>
      <c r="B203" s="57" t="str">
        <f>+GAAP!B175</f>
        <v>Arvin Edison Water Storage Dist. - Forrest Frick Valve Replacement</v>
      </c>
      <c r="C203" s="214">
        <f>+GAAP!J175</f>
        <v>153298.79</v>
      </c>
      <c r="D203" s="214">
        <f t="shared" si="89"/>
        <v>0</v>
      </c>
      <c r="E203" s="214">
        <f>+GAAP!C175</f>
        <v>153298.79</v>
      </c>
      <c r="F203" s="214">
        <f>+GAAP!F175</f>
        <v>136808.29999999999</v>
      </c>
      <c r="G203" s="214">
        <f t="shared" si="90"/>
        <v>0</v>
      </c>
      <c r="H203" s="214">
        <f t="shared" si="91"/>
        <v>136808.29999999999</v>
      </c>
      <c r="I203" s="214">
        <f>+GAAP!E175</f>
        <v>16490.49000000002</v>
      </c>
      <c r="J203" s="319">
        <f>+GAAP!G175</f>
        <v>1</v>
      </c>
      <c r="K203" s="214">
        <f>+GAAP!H175</f>
        <v>16490.49000000002</v>
      </c>
      <c r="L203" s="214">
        <f>+GAAP!P175</f>
        <v>0</v>
      </c>
      <c r="M203" s="214">
        <f t="shared" si="92"/>
        <v>16490.49000000002</v>
      </c>
      <c r="N203" s="118" t="str">
        <f>GAAP!T175</f>
        <v>2024</v>
      </c>
      <c r="O203" s="320" t="str">
        <f>+GAAP!U175</f>
        <v>2025</v>
      </c>
      <c r="P203" s="321" t="str">
        <f>+GAAP!V175</f>
        <v>&lt; 250k</v>
      </c>
      <c r="Q203" s="116"/>
      <c r="R203" s="64"/>
      <c r="S203" s="64"/>
      <c r="T203" s="214"/>
      <c r="U203" s="64"/>
      <c r="V203" s="64"/>
      <c r="W203" s="64"/>
    </row>
    <row r="204" spans="1:23">
      <c r="A204" s="410">
        <f>+GAAP!A176</f>
        <v>54.935299999999998</v>
      </c>
      <c r="B204" s="57" t="str">
        <f>+GAAP!B176</f>
        <v>Kern Water Bank Authority - Cut In Valve at Well 18R01</v>
      </c>
      <c r="C204" s="214">
        <f>+GAAP!J176</f>
        <v>2008.42</v>
      </c>
      <c r="D204" s="214">
        <f t="shared" si="89"/>
        <v>0</v>
      </c>
      <c r="E204" s="214">
        <f>+GAAP!C176</f>
        <v>2008.42</v>
      </c>
      <c r="F204" s="214">
        <f>+GAAP!F176</f>
        <v>1117.5</v>
      </c>
      <c r="G204" s="214">
        <f t="shared" si="90"/>
        <v>0</v>
      </c>
      <c r="H204" s="214">
        <f t="shared" si="91"/>
        <v>1117.5</v>
      </c>
      <c r="I204" s="214">
        <f>+GAAP!E176</f>
        <v>890.92000000000007</v>
      </c>
      <c r="J204" s="319">
        <f>+GAAP!G176</f>
        <v>1</v>
      </c>
      <c r="K204" s="214">
        <f>+GAAP!H176</f>
        <v>890.92000000000007</v>
      </c>
      <c r="L204" s="214">
        <f>+GAAP!P176</f>
        <v>0</v>
      </c>
      <c r="M204" s="214">
        <f t="shared" si="92"/>
        <v>890.92000000000007</v>
      </c>
      <c r="N204" s="118" t="str">
        <f>GAAP!T176</f>
        <v>2024</v>
      </c>
      <c r="O204" s="320" t="str">
        <f>+GAAP!U176</f>
        <v>2025</v>
      </c>
      <c r="P204" s="321" t="str">
        <f>+GAAP!V176</f>
        <v>&lt; 250k</v>
      </c>
      <c r="Q204" s="116"/>
      <c r="R204" s="64"/>
      <c r="S204" s="64"/>
      <c r="T204" s="214"/>
      <c r="U204" s="64"/>
      <c r="V204" s="64"/>
      <c r="W204" s="64"/>
    </row>
    <row r="205" spans="1:23">
      <c r="A205" s="410">
        <f>+GAAP!A177</f>
        <v>54.935400000000001</v>
      </c>
      <c r="B205" s="57" t="str">
        <f>+GAAP!B177</f>
        <v>California Water Service Co. - Northeast Plant Lift Station Pipe Repair</v>
      </c>
      <c r="C205" s="214">
        <f>+GAAP!J177</f>
        <v>9571.2000000000007</v>
      </c>
      <c r="D205" s="214">
        <f t="shared" si="89"/>
        <v>0</v>
      </c>
      <c r="E205" s="214">
        <f>+GAAP!C177</f>
        <v>9571.2000000000007</v>
      </c>
      <c r="F205" s="214">
        <f>+GAAP!F177</f>
        <v>8230.8300000000017</v>
      </c>
      <c r="G205" s="214">
        <f t="shared" si="90"/>
        <v>0</v>
      </c>
      <c r="H205" s="214">
        <f t="shared" si="91"/>
        <v>8230.8300000000017</v>
      </c>
      <c r="I205" s="214">
        <f>+GAAP!E177</f>
        <v>1340.369999999999</v>
      </c>
      <c r="J205" s="319">
        <f>+GAAP!G177</f>
        <v>1</v>
      </c>
      <c r="K205" s="214">
        <f>+GAAP!H177</f>
        <v>1340.369999999999</v>
      </c>
      <c r="L205" s="214">
        <f>+GAAP!P177</f>
        <v>1923.4300000000003</v>
      </c>
      <c r="M205" s="214">
        <f t="shared" si="92"/>
        <v>-583.06000000000131</v>
      </c>
      <c r="N205" s="118" t="str">
        <f>GAAP!T177</f>
        <v>2024</v>
      </c>
      <c r="O205" s="320" t="str">
        <f>+GAAP!U177</f>
        <v>2025</v>
      </c>
      <c r="P205" s="321" t="str">
        <f>+GAAP!V177</f>
        <v>&lt; 250k</v>
      </c>
      <c r="Q205" s="116"/>
      <c r="R205" s="64"/>
      <c r="S205" s="64"/>
      <c r="T205" s="214"/>
      <c r="U205" s="64"/>
      <c r="V205" s="64"/>
      <c r="W205" s="64"/>
    </row>
    <row r="206" spans="1:23">
      <c r="A206" s="410">
        <f>+GAAP!A178</f>
        <v>54.935499999999998</v>
      </c>
      <c r="B206" s="57" t="str">
        <f>+GAAP!B178</f>
        <v>Kern Water Bank Authority - Install Canal Valve at Well 17P01</v>
      </c>
      <c r="C206" s="214">
        <f>+GAAP!J178</f>
        <v>2806.42</v>
      </c>
      <c r="D206" s="214">
        <f t="shared" si="89"/>
        <v>0</v>
      </c>
      <c r="E206" s="214">
        <f>+GAAP!C178</f>
        <v>2806.42</v>
      </c>
      <c r="F206" s="214">
        <f>+GAAP!F178</f>
        <v>1815.23</v>
      </c>
      <c r="G206" s="214">
        <f t="shared" si="90"/>
        <v>0</v>
      </c>
      <c r="H206" s="214">
        <f t="shared" si="91"/>
        <v>1815.23</v>
      </c>
      <c r="I206" s="214">
        <f>+GAAP!E178</f>
        <v>991.19</v>
      </c>
      <c r="J206" s="319">
        <f>+GAAP!G178</f>
        <v>1</v>
      </c>
      <c r="K206" s="214">
        <f>+GAAP!H178</f>
        <v>991.19</v>
      </c>
      <c r="L206" s="214">
        <f>+GAAP!P178</f>
        <v>0</v>
      </c>
      <c r="M206" s="214">
        <f t="shared" si="92"/>
        <v>991.19</v>
      </c>
      <c r="N206" s="118" t="str">
        <f>GAAP!T178</f>
        <v>2024</v>
      </c>
      <c r="O206" s="320" t="str">
        <f>+GAAP!U178</f>
        <v>2025</v>
      </c>
      <c r="P206" s="321" t="str">
        <f>+GAAP!V178</f>
        <v>&lt; 250k</v>
      </c>
      <c r="Q206" s="116"/>
      <c r="R206" s="64"/>
      <c r="S206" s="64"/>
      <c r="T206" s="214"/>
      <c r="U206" s="64"/>
      <c r="V206" s="64"/>
      <c r="W206" s="64"/>
    </row>
    <row r="207" spans="1:23">
      <c r="A207" s="410">
        <f>+GAAP!A179</f>
        <v>54.935699999999997</v>
      </c>
      <c r="B207" s="57" t="str">
        <f>+GAAP!B179</f>
        <v>Kern Water Bank Authority - Install Canal Valve at Well 20A01</v>
      </c>
      <c r="C207" s="214">
        <f>+GAAP!J179</f>
        <v>1760.42</v>
      </c>
      <c r="D207" s="214">
        <f t="shared" si="89"/>
        <v>0</v>
      </c>
      <c r="E207" s="214">
        <f>+GAAP!C179</f>
        <v>1760.42</v>
      </c>
      <c r="F207" s="214">
        <f>+GAAP!F179</f>
        <v>889.66</v>
      </c>
      <c r="G207" s="214">
        <f t="shared" si="90"/>
        <v>0</v>
      </c>
      <c r="H207" s="214">
        <f t="shared" si="91"/>
        <v>889.66</v>
      </c>
      <c r="I207" s="214">
        <f>+GAAP!E179</f>
        <v>870.7600000000001</v>
      </c>
      <c r="J207" s="319">
        <f>+GAAP!G179</f>
        <v>1</v>
      </c>
      <c r="K207" s="214">
        <f>+GAAP!H179</f>
        <v>870.7600000000001</v>
      </c>
      <c r="L207" s="214">
        <f>+GAAP!P179</f>
        <v>0</v>
      </c>
      <c r="M207" s="214">
        <f t="shared" si="92"/>
        <v>870.7600000000001</v>
      </c>
      <c r="N207" s="118" t="str">
        <f>GAAP!T179</f>
        <v>2024</v>
      </c>
      <c r="O207" s="320" t="str">
        <f>+GAAP!U179</f>
        <v>2025</v>
      </c>
      <c r="P207" s="321" t="str">
        <f>+GAAP!V179</f>
        <v>&lt; 250k</v>
      </c>
      <c r="Q207" s="116"/>
      <c r="R207" s="64"/>
      <c r="S207" s="64"/>
      <c r="T207" s="214"/>
      <c r="U207" s="64"/>
      <c r="V207" s="64"/>
      <c r="W207" s="64"/>
    </row>
    <row r="208" spans="1:23">
      <c r="A208" s="410">
        <f>+GAAP!A181</f>
        <v>54.936</v>
      </c>
      <c r="B208" s="57" t="str">
        <f>+GAAP!B181</f>
        <v>Kern Water Bank Authority - Install Canal Valve at Well 20C01</v>
      </c>
      <c r="C208" s="214">
        <f>+GAAP!J181</f>
        <v>1855.92</v>
      </c>
      <c r="D208" s="214">
        <f t="shared" si="89"/>
        <v>0</v>
      </c>
      <c r="E208" s="214">
        <f>+GAAP!C181</f>
        <v>1855.92</v>
      </c>
      <c r="F208" s="214">
        <f>+GAAP!F181</f>
        <v>1144.8800000000001</v>
      </c>
      <c r="G208" s="214">
        <f t="shared" si="90"/>
        <v>0</v>
      </c>
      <c r="H208" s="214">
        <f t="shared" si="91"/>
        <v>1144.8800000000001</v>
      </c>
      <c r="I208" s="214">
        <f>+GAAP!E181</f>
        <v>711.04</v>
      </c>
      <c r="J208" s="319">
        <f>+GAAP!G181</f>
        <v>1</v>
      </c>
      <c r="K208" s="214">
        <f>+GAAP!H181</f>
        <v>711.04</v>
      </c>
      <c r="L208" s="214">
        <f>+GAAP!P181</f>
        <v>0</v>
      </c>
      <c r="M208" s="214">
        <f t="shared" si="92"/>
        <v>711.04</v>
      </c>
      <c r="N208" s="118" t="str">
        <f>GAAP!T181</f>
        <v>2024</v>
      </c>
      <c r="O208" s="320" t="str">
        <f>+GAAP!U181</f>
        <v>2025</v>
      </c>
      <c r="P208" s="321" t="str">
        <f>+GAAP!V181</f>
        <v>&lt; 250k</v>
      </c>
      <c r="Q208" s="116"/>
      <c r="R208" s="64"/>
      <c r="S208" s="64"/>
      <c r="T208" s="214"/>
      <c r="U208" s="64"/>
      <c r="V208" s="64"/>
      <c r="W208" s="64"/>
    </row>
    <row r="209" spans="1:23">
      <c r="A209" s="410">
        <f>+GAAP!A182</f>
        <v>54.936100000000003</v>
      </c>
      <c r="B209" s="57" t="str">
        <f>+GAAP!B182</f>
        <v>Semitropic Water Storage Dist. - Pond Poso Pumping Plant Pipe Repair</v>
      </c>
      <c r="C209" s="214">
        <f>+GAAP!J182</f>
        <v>108668.35</v>
      </c>
      <c r="D209" s="214">
        <f t="shared" si="89"/>
        <v>0</v>
      </c>
      <c r="E209" s="214">
        <f>+GAAP!C182</f>
        <v>108668.35</v>
      </c>
      <c r="F209" s="214">
        <f>+GAAP!F182</f>
        <v>107074.87000000001</v>
      </c>
      <c r="G209" s="214">
        <f t="shared" si="90"/>
        <v>0</v>
      </c>
      <c r="H209" s="214">
        <f t="shared" si="91"/>
        <v>107074.87000000001</v>
      </c>
      <c r="I209" s="214">
        <f>+GAAP!E182</f>
        <v>1593.4799999999959</v>
      </c>
      <c r="J209" s="319">
        <f>+GAAP!G182</f>
        <v>1</v>
      </c>
      <c r="K209" s="214">
        <f>+GAAP!H182</f>
        <v>1593.4799999999959</v>
      </c>
      <c r="L209" s="214">
        <f>+GAAP!P182</f>
        <v>0</v>
      </c>
      <c r="M209" s="214">
        <f t="shared" si="92"/>
        <v>1593.4799999999959</v>
      </c>
      <c r="N209" s="118" t="str">
        <f>GAAP!T182</f>
        <v>2025</v>
      </c>
      <c r="O209" s="320" t="str">
        <f>+GAAP!U182</f>
        <v>2025</v>
      </c>
      <c r="P209" s="321" t="str">
        <f>+GAAP!V182</f>
        <v>&lt; 250k</v>
      </c>
      <c r="Q209" s="116"/>
      <c r="R209" s="64"/>
      <c r="S209" s="64"/>
      <c r="T209" s="214"/>
      <c r="U209" s="64"/>
      <c r="V209" s="64"/>
      <c r="W209" s="64"/>
    </row>
    <row r="210" spans="1:23">
      <c r="A210" s="410">
        <f>+GAAP!A184</f>
        <v>54.936300000000003</v>
      </c>
      <c r="B210" s="57" t="str">
        <f>+GAAP!B184</f>
        <v>Kern Water Bank Authority - Install Canal Valve at Well 21A02</v>
      </c>
      <c r="C210" s="214">
        <f>+GAAP!J184</f>
        <v>1855.92</v>
      </c>
      <c r="D210" s="214">
        <f t="shared" si="89"/>
        <v>0</v>
      </c>
      <c r="E210" s="214">
        <f>+GAAP!C184</f>
        <v>1855.92</v>
      </c>
      <c r="F210" s="214">
        <f>+GAAP!F184</f>
        <v>777.55</v>
      </c>
      <c r="G210" s="214">
        <f t="shared" si="90"/>
        <v>0</v>
      </c>
      <c r="H210" s="214">
        <f t="shared" si="91"/>
        <v>777.55</v>
      </c>
      <c r="I210" s="214">
        <f>+GAAP!E184</f>
        <v>1078.3700000000001</v>
      </c>
      <c r="J210" s="319">
        <f>+GAAP!G184</f>
        <v>1</v>
      </c>
      <c r="K210" s="214">
        <f>+GAAP!H184</f>
        <v>1078.3700000000001</v>
      </c>
      <c r="L210" s="214">
        <f>+GAAP!P184</f>
        <v>0</v>
      </c>
      <c r="M210" s="214">
        <f t="shared" si="92"/>
        <v>1078.3700000000001</v>
      </c>
      <c r="N210" s="118" t="str">
        <f>GAAP!T184</f>
        <v>2024</v>
      </c>
      <c r="O210" s="320" t="str">
        <f>+GAAP!U184</f>
        <v>2025</v>
      </c>
      <c r="P210" s="321" t="str">
        <f>+GAAP!V184</f>
        <v>&lt; 250k</v>
      </c>
      <c r="Q210" s="116"/>
      <c r="R210" s="64"/>
      <c r="S210" s="64"/>
      <c r="T210" s="214"/>
      <c r="U210" s="64"/>
      <c r="V210" s="64"/>
      <c r="W210" s="64"/>
    </row>
    <row r="211" spans="1:23">
      <c r="A211" s="410">
        <f>+GAAP!A185</f>
        <v>54.936500000000002</v>
      </c>
      <c r="B211" s="57" t="str">
        <f>+GAAP!B185</f>
        <v>Kern Water Bank Authority - Install Canal Valve at Well 16J01</v>
      </c>
      <c r="C211" s="214">
        <f>+GAAP!J185</f>
        <v>2216.42</v>
      </c>
      <c r="D211" s="214">
        <f t="shared" si="89"/>
        <v>0</v>
      </c>
      <c r="E211" s="214">
        <f>+GAAP!C185</f>
        <v>2216.42</v>
      </c>
      <c r="F211" s="214">
        <f>+GAAP!F185</f>
        <v>1263.33</v>
      </c>
      <c r="G211" s="214">
        <f t="shared" si="90"/>
        <v>0</v>
      </c>
      <c r="H211" s="214">
        <f t="shared" si="91"/>
        <v>1263.33</v>
      </c>
      <c r="I211" s="214">
        <f>+GAAP!E185</f>
        <v>953.09000000000015</v>
      </c>
      <c r="J211" s="319">
        <f>+GAAP!G185</f>
        <v>1</v>
      </c>
      <c r="K211" s="214">
        <f>+GAAP!H185</f>
        <v>953.09000000000015</v>
      </c>
      <c r="L211" s="214">
        <f>+GAAP!P185</f>
        <v>0</v>
      </c>
      <c r="M211" s="214">
        <f t="shared" si="92"/>
        <v>953.09000000000015</v>
      </c>
      <c r="N211" s="118" t="str">
        <f>GAAP!T185</f>
        <v>2024</v>
      </c>
      <c r="O211" s="320" t="str">
        <f>+GAAP!U185</f>
        <v>2025</v>
      </c>
      <c r="P211" s="321" t="str">
        <f>+GAAP!V185</f>
        <v>&lt; 250k</v>
      </c>
      <c r="Q211" s="116"/>
      <c r="R211" s="64"/>
      <c r="S211" s="64"/>
      <c r="T211" s="214"/>
      <c r="U211" s="64"/>
      <c r="V211" s="64"/>
      <c r="W211" s="64"/>
    </row>
    <row r="212" spans="1:23">
      <c r="A212" s="410">
        <f>+GAAP!A186</f>
        <v>54.936700000000002</v>
      </c>
      <c r="B212" s="57" t="str">
        <f>+GAAP!B186</f>
        <v>Kern Water Bank Authority - Install Canal Valve at Well 15N01</v>
      </c>
      <c r="C212" s="214">
        <f>+GAAP!J186</f>
        <v>2540.42</v>
      </c>
      <c r="D212" s="214">
        <f t="shared" si="89"/>
        <v>0</v>
      </c>
      <c r="E212" s="214">
        <f>+GAAP!C186</f>
        <v>2540.42</v>
      </c>
      <c r="F212" s="214">
        <f>+GAAP!F186</f>
        <v>1602.33</v>
      </c>
      <c r="G212" s="214">
        <f t="shared" si="90"/>
        <v>0</v>
      </c>
      <c r="H212" s="214">
        <f t="shared" si="91"/>
        <v>1602.33</v>
      </c>
      <c r="I212" s="214">
        <f>+GAAP!E186</f>
        <v>938.09000000000015</v>
      </c>
      <c r="J212" s="319">
        <f>+GAAP!G186</f>
        <v>1</v>
      </c>
      <c r="K212" s="214">
        <f>+GAAP!H186</f>
        <v>938.09000000000015</v>
      </c>
      <c r="L212" s="214">
        <f>+GAAP!P186</f>
        <v>0</v>
      </c>
      <c r="M212" s="214">
        <f t="shared" si="92"/>
        <v>938.09000000000015</v>
      </c>
      <c r="N212" s="118" t="str">
        <f>GAAP!T186</f>
        <v>2024</v>
      </c>
      <c r="O212" s="320" t="str">
        <f>+GAAP!U186</f>
        <v>2025</v>
      </c>
      <c r="P212" s="321" t="str">
        <f>+GAAP!V186</f>
        <v>&lt; 250k</v>
      </c>
      <c r="Q212" s="116"/>
      <c r="R212" s="64"/>
      <c r="S212" s="64"/>
      <c r="T212" s="214"/>
      <c r="U212" s="64"/>
      <c r="V212" s="64"/>
      <c r="W212" s="64"/>
    </row>
    <row r="213" spans="1:23">
      <c r="A213" s="410">
        <f>+GAAP!A187</f>
        <v>54.936799999999998</v>
      </c>
      <c r="B213" s="57" t="str">
        <f>+GAAP!B187</f>
        <v>North of River Sanitary Dist. No. 1 - Wilson Ave Sewer Repair</v>
      </c>
      <c r="C213" s="214">
        <f>+GAAP!J187</f>
        <v>15697.91</v>
      </c>
      <c r="D213" s="214">
        <f t="shared" si="89"/>
        <v>0</v>
      </c>
      <c r="E213" s="214">
        <f>+GAAP!C187</f>
        <v>15697.91</v>
      </c>
      <c r="F213" s="214">
        <f>+GAAP!F187</f>
        <v>13653.62</v>
      </c>
      <c r="G213" s="214">
        <f t="shared" si="90"/>
        <v>0</v>
      </c>
      <c r="H213" s="214">
        <f t="shared" si="91"/>
        <v>13653.62</v>
      </c>
      <c r="I213" s="214">
        <f>+GAAP!E187</f>
        <v>2044.2899999999991</v>
      </c>
      <c r="J213" s="319">
        <f>+GAAP!G187</f>
        <v>1</v>
      </c>
      <c r="K213" s="214">
        <f>+GAAP!H187</f>
        <v>2044.2899999999991</v>
      </c>
      <c r="L213" s="214">
        <f>+GAAP!P187</f>
        <v>2044.2899999999991</v>
      </c>
      <c r="M213" s="214">
        <f t="shared" si="92"/>
        <v>0</v>
      </c>
      <c r="N213" s="118" t="str">
        <f>GAAP!T187</f>
        <v>2024</v>
      </c>
      <c r="O213" s="320" t="str">
        <f>+GAAP!U187</f>
        <v>2025</v>
      </c>
      <c r="P213" s="321" t="str">
        <f>+GAAP!V187</f>
        <v>&lt; 250k</v>
      </c>
      <c r="Q213" s="116"/>
      <c r="R213" s="64"/>
      <c r="S213" s="64"/>
      <c r="T213" s="214"/>
      <c r="U213" s="64"/>
      <c r="V213" s="64"/>
      <c r="W213" s="64"/>
    </row>
    <row r="214" spans="1:23">
      <c r="A214" s="410">
        <f>+GAAP!A188</f>
        <v>54.936999999999998</v>
      </c>
      <c r="B214" s="57" t="str">
        <f>+GAAP!B188</f>
        <v>Kern Water Bank Authority - Install Canal Valve at Well 20L01</v>
      </c>
      <c r="C214" s="214">
        <f>+GAAP!J188</f>
        <v>1760.42</v>
      </c>
      <c r="D214" s="214">
        <f t="shared" si="89"/>
        <v>0</v>
      </c>
      <c r="E214" s="214">
        <f>+GAAP!C188</f>
        <v>1760.42</v>
      </c>
      <c r="F214" s="214">
        <f>+GAAP!F188</f>
        <v>889.64</v>
      </c>
      <c r="G214" s="214">
        <f t="shared" si="90"/>
        <v>0</v>
      </c>
      <c r="H214" s="214">
        <f t="shared" si="91"/>
        <v>889.64</v>
      </c>
      <c r="I214" s="214">
        <f>+GAAP!E188</f>
        <v>870.78000000000009</v>
      </c>
      <c r="J214" s="319">
        <f>+GAAP!G188</f>
        <v>1</v>
      </c>
      <c r="K214" s="214">
        <f>+GAAP!H188</f>
        <v>870.78000000000009</v>
      </c>
      <c r="L214" s="214">
        <f>+GAAP!P188</f>
        <v>0</v>
      </c>
      <c r="M214" s="214">
        <f t="shared" si="92"/>
        <v>870.78000000000009</v>
      </c>
      <c r="N214" s="118" t="str">
        <f>GAAP!T188</f>
        <v>2024</v>
      </c>
      <c r="O214" s="320" t="str">
        <f>+GAAP!U188</f>
        <v>2025</v>
      </c>
      <c r="P214" s="321" t="str">
        <f>+GAAP!V188</f>
        <v>&lt; 250k</v>
      </c>
      <c r="Q214" s="116"/>
      <c r="R214" s="64"/>
      <c r="S214" s="64"/>
      <c r="T214" s="214"/>
      <c r="U214" s="64"/>
      <c r="V214" s="64"/>
      <c r="W214" s="64"/>
    </row>
    <row r="215" spans="1:23">
      <c r="A215" s="410">
        <f>+GAAP!A191</f>
        <v>54.937399999999997</v>
      </c>
      <c r="B215" s="57" t="str">
        <f>+GAAP!B191</f>
        <v>City of Santa Maria - WWTP Trickling Filter Repairs</v>
      </c>
      <c r="C215" s="214">
        <f>+GAAP!J191</f>
        <v>32962</v>
      </c>
      <c r="D215" s="214">
        <f t="shared" si="89"/>
        <v>0</v>
      </c>
      <c r="E215" s="214">
        <f>+GAAP!C191</f>
        <v>32962</v>
      </c>
      <c r="F215" s="214">
        <f>+GAAP!F191</f>
        <v>19986.45</v>
      </c>
      <c r="G215" s="214">
        <f t="shared" si="90"/>
        <v>0</v>
      </c>
      <c r="H215" s="214">
        <f t="shared" si="91"/>
        <v>19986.45</v>
      </c>
      <c r="I215" s="214">
        <f>+GAAP!E191</f>
        <v>12975.55</v>
      </c>
      <c r="J215" s="319">
        <f>+GAAP!G191</f>
        <v>1</v>
      </c>
      <c r="K215" s="214">
        <f>+GAAP!H191</f>
        <v>12975.55</v>
      </c>
      <c r="L215" s="214">
        <f>+GAAP!P191</f>
        <v>0</v>
      </c>
      <c r="M215" s="214">
        <f t="shared" si="92"/>
        <v>12975.55</v>
      </c>
      <c r="N215" s="118" t="str">
        <f>GAAP!T191</f>
        <v>2025</v>
      </c>
      <c r="O215" s="320" t="str">
        <f>+GAAP!U191</f>
        <v>2025</v>
      </c>
      <c r="P215" s="321" t="str">
        <f>+GAAP!V191</f>
        <v>&lt; 250k</v>
      </c>
      <c r="Q215" s="116"/>
      <c r="R215" s="64"/>
      <c r="S215" s="64"/>
      <c r="T215" s="214"/>
      <c r="U215" s="64"/>
      <c r="V215" s="64"/>
      <c r="W215" s="64"/>
    </row>
    <row r="216" spans="1:23">
      <c r="A216" s="410">
        <f>+GAAP!A192</f>
        <v>54.9375</v>
      </c>
      <c r="B216" s="57" t="str">
        <f>+GAAP!B192</f>
        <v>City of Santa Maria - WWTP Clarifier Repairs</v>
      </c>
      <c r="C216" s="214">
        <f>+GAAP!J192</f>
        <v>8232.73</v>
      </c>
      <c r="D216" s="214">
        <f t="shared" si="89"/>
        <v>0</v>
      </c>
      <c r="E216" s="214">
        <f>+GAAP!C192</f>
        <v>8232.73</v>
      </c>
      <c r="F216" s="214">
        <f>+GAAP!F192</f>
        <v>4545.4799999999996</v>
      </c>
      <c r="G216" s="214">
        <f t="shared" si="90"/>
        <v>0</v>
      </c>
      <c r="H216" s="214">
        <f t="shared" si="91"/>
        <v>4545.4799999999996</v>
      </c>
      <c r="I216" s="214">
        <f>+GAAP!E192</f>
        <v>3687.25</v>
      </c>
      <c r="J216" s="319">
        <f>+GAAP!G192</f>
        <v>1</v>
      </c>
      <c r="K216" s="214">
        <f>+GAAP!H192</f>
        <v>3687.25</v>
      </c>
      <c r="L216" s="214">
        <f>+GAAP!P192</f>
        <v>0</v>
      </c>
      <c r="M216" s="214">
        <f t="shared" si="92"/>
        <v>3687.25</v>
      </c>
      <c r="N216" s="118" t="str">
        <f>GAAP!T192</f>
        <v>2025</v>
      </c>
      <c r="O216" s="320" t="str">
        <f>+GAAP!U192</f>
        <v>2025</v>
      </c>
      <c r="P216" s="321" t="str">
        <f>+GAAP!V192</f>
        <v>&lt; 250k</v>
      </c>
      <c r="Q216" s="116"/>
      <c r="R216" s="64"/>
      <c r="S216" s="64"/>
      <c r="T216" s="214"/>
      <c r="U216" s="64"/>
      <c r="V216" s="64"/>
      <c r="W216" s="64"/>
    </row>
    <row r="217" spans="1:23">
      <c r="A217" s="410">
        <f>+GAAP!A193</f>
        <v>54.937899999999999</v>
      </c>
      <c r="B217" s="57" t="str">
        <f>+GAAP!B193</f>
        <v>Semitropic Water Storage Dist. - Delta System Pipe Repair</v>
      </c>
      <c r="C217" s="214">
        <f>+GAAP!J193</f>
        <v>41679.769999999997</v>
      </c>
      <c r="D217" s="214">
        <f t="shared" si="89"/>
        <v>0</v>
      </c>
      <c r="E217" s="214">
        <f>+GAAP!C193</f>
        <v>41679.769999999997</v>
      </c>
      <c r="F217" s="214">
        <f>+GAAP!F193</f>
        <v>36111.949999999997</v>
      </c>
      <c r="G217" s="214">
        <f t="shared" si="90"/>
        <v>0</v>
      </c>
      <c r="H217" s="214">
        <f t="shared" si="91"/>
        <v>36111.949999999997</v>
      </c>
      <c r="I217" s="214">
        <f>+GAAP!E193</f>
        <v>5567.82</v>
      </c>
      <c r="J217" s="319">
        <f>+GAAP!G193</f>
        <v>1</v>
      </c>
      <c r="K217" s="214">
        <f>+GAAP!H193</f>
        <v>5567.82</v>
      </c>
      <c r="L217" s="214">
        <f>+GAAP!P193</f>
        <v>0</v>
      </c>
      <c r="M217" s="214">
        <f t="shared" si="92"/>
        <v>5567.82</v>
      </c>
      <c r="N217" s="118" t="str">
        <f>GAAP!T193</f>
        <v>2025</v>
      </c>
      <c r="O217" s="320" t="str">
        <f>+GAAP!U193</f>
        <v>2025</v>
      </c>
      <c r="P217" s="321" t="str">
        <f>+GAAP!V193</f>
        <v>&lt; 250k</v>
      </c>
      <c r="Q217" s="116"/>
      <c r="R217" s="64"/>
      <c r="S217" s="64"/>
      <c r="T217" s="214"/>
      <c r="U217" s="64"/>
      <c r="V217" s="64"/>
      <c r="W217" s="64"/>
    </row>
    <row r="218" spans="1:23">
      <c r="A218" s="410">
        <f>+GAAP!A194</f>
        <v>54.938000000000002</v>
      </c>
      <c r="B218" s="57" t="str">
        <f>+GAAP!B194</f>
        <v>Cawelo Water Dist. - CWD Pump Station Pipe Repair</v>
      </c>
      <c r="C218" s="214">
        <f>+GAAP!J194</f>
        <v>22446.19</v>
      </c>
      <c r="D218" s="214">
        <f t="shared" si="89"/>
        <v>0</v>
      </c>
      <c r="E218" s="214">
        <f>+GAAP!C194</f>
        <v>22446.19</v>
      </c>
      <c r="F218" s="214">
        <f>+GAAP!F194</f>
        <v>18064.72</v>
      </c>
      <c r="G218" s="214">
        <f t="shared" si="90"/>
        <v>0</v>
      </c>
      <c r="H218" s="214">
        <f t="shared" si="91"/>
        <v>18064.72</v>
      </c>
      <c r="I218" s="214">
        <f>+GAAP!E194</f>
        <v>4381.4699999999975</v>
      </c>
      <c r="J218" s="319">
        <f>+GAAP!G194</f>
        <v>1</v>
      </c>
      <c r="K218" s="214">
        <f>+GAAP!H194</f>
        <v>4381.4699999999975</v>
      </c>
      <c r="L218" s="214">
        <f>+GAAP!P194</f>
        <v>0</v>
      </c>
      <c r="M218" s="214">
        <f t="shared" si="92"/>
        <v>4381.4699999999975</v>
      </c>
      <c r="N218" s="118" t="str">
        <f>GAAP!T194</f>
        <v>2025</v>
      </c>
      <c r="O218" s="320" t="str">
        <f>+GAAP!U194</f>
        <v>2025</v>
      </c>
      <c r="P218" s="321" t="str">
        <f>+GAAP!V194</f>
        <v>&lt; 250k</v>
      </c>
      <c r="Q218" s="116"/>
      <c r="R218" s="64"/>
      <c r="S218" s="64"/>
      <c r="T218" s="214"/>
      <c r="U218" s="64"/>
      <c r="V218" s="64"/>
      <c r="W218" s="64"/>
    </row>
    <row r="219" spans="1:23">
      <c r="A219" s="410">
        <f>+GAAP!A195</f>
        <v>54.938099999999999</v>
      </c>
      <c r="B219" s="57" t="str">
        <f>+GAAP!B195</f>
        <v>Kern Sanitation Authority - KSA Trickling Filter Bracket Replacement</v>
      </c>
      <c r="C219" s="214">
        <f>+GAAP!J195</f>
        <v>58900</v>
      </c>
      <c r="D219" s="214">
        <f t="shared" si="89"/>
        <v>0</v>
      </c>
      <c r="E219" s="214">
        <f>+GAAP!C195</f>
        <v>58900</v>
      </c>
      <c r="F219" s="214">
        <f>+GAAP!F195</f>
        <v>28875.38</v>
      </c>
      <c r="G219" s="214">
        <f t="shared" si="90"/>
        <v>0</v>
      </c>
      <c r="H219" s="214">
        <f t="shared" si="91"/>
        <v>28875.38</v>
      </c>
      <c r="I219" s="214">
        <f>+GAAP!E195</f>
        <v>30024.62</v>
      </c>
      <c r="J219" s="319">
        <f>+GAAP!G195</f>
        <v>1</v>
      </c>
      <c r="K219" s="214">
        <f>+GAAP!H195</f>
        <v>30024.62</v>
      </c>
      <c r="L219" s="214">
        <f>+GAAP!P195</f>
        <v>0</v>
      </c>
      <c r="M219" s="214">
        <f t="shared" si="92"/>
        <v>30024.62</v>
      </c>
      <c r="N219" s="118" t="str">
        <f>GAAP!T195</f>
        <v>2025</v>
      </c>
      <c r="O219" s="320" t="str">
        <f>+GAAP!U195</f>
        <v>2025</v>
      </c>
      <c r="P219" s="321" t="str">
        <f>+GAAP!V195</f>
        <v>&lt; 250k</v>
      </c>
      <c r="Q219" s="116"/>
      <c r="R219" s="64"/>
      <c r="S219" s="64"/>
      <c r="T219" s="214"/>
      <c r="U219" s="64"/>
      <c r="V219" s="64"/>
      <c r="W219" s="64"/>
    </row>
    <row r="220" spans="1:23">
      <c r="A220" s="410">
        <f>+GAAP!A196</f>
        <v>54.938200000000002</v>
      </c>
      <c r="B220" s="57" t="str">
        <f>+GAAP!B196</f>
        <v>Laguna County Sanitation Dist. - Laguna WWTP Flow Meter FIT-7000 Replacement</v>
      </c>
      <c r="C220" s="214">
        <f>+GAAP!J196</f>
        <v>143799</v>
      </c>
      <c r="D220" s="214">
        <f t="shared" si="89"/>
        <v>0</v>
      </c>
      <c r="E220" s="214">
        <f>+GAAP!C196</f>
        <v>143799</v>
      </c>
      <c r="F220" s="214">
        <f>+GAAP!F196</f>
        <v>108690.45</v>
      </c>
      <c r="G220" s="214">
        <f t="shared" si="90"/>
        <v>0</v>
      </c>
      <c r="H220" s="214">
        <f t="shared" si="91"/>
        <v>108690.45</v>
      </c>
      <c r="I220" s="214">
        <f>+GAAP!E196</f>
        <v>35108.550000000003</v>
      </c>
      <c r="J220" s="319">
        <f>+GAAP!G196</f>
        <v>1</v>
      </c>
      <c r="K220" s="214">
        <f>+GAAP!H196</f>
        <v>35108.550000000003</v>
      </c>
      <c r="L220" s="214">
        <f>+GAAP!P196</f>
        <v>0</v>
      </c>
      <c r="M220" s="214">
        <f t="shared" si="92"/>
        <v>35108.550000000003</v>
      </c>
      <c r="N220" s="118" t="str">
        <f>GAAP!T196</f>
        <v>2025</v>
      </c>
      <c r="O220" s="320" t="str">
        <f>+GAAP!U196</f>
        <v>2025</v>
      </c>
      <c r="P220" s="321" t="str">
        <f>+GAAP!V196</f>
        <v>&lt; 250k</v>
      </c>
      <c r="Q220" s="116"/>
      <c r="R220" s="64"/>
      <c r="S220" s="64"/>
      <c r="T220" s="214"/>
      <c r="U220" s="64"/>
      <c r="V220" s="64"/>
      <c r="W220" s="64"/>
    </row>
    <row r="221" spans="1:23">
      <c r="A221" s="410">
        <f>+GAAP!A197</f>
        <v>54.938299999999998</v>
      </c>
      <c r="B221" s="57" t="str">
        <f>+GAAP!B197</f>
        <v>Semitropic Water Storage Dist. - Amendment No. 19 Operate 300 CFS RWPP 2025</v>
      </c>
      <c r="C221" s="214">
        <f>+GAAP!J197</f>
        <v>17542.439999999999</v>
      </c>
      <c r="D221" s="214">
        <f t="shared" si="89"/>
        <v>0</v>
      </c>
      <c r="E221" s="214">
        <f>+GAAP!C197</f>
        <v>17542.439999999999</v>
      </c>
      <c r="F221" s="214">
        <f>+GAAP!F197</f>
        <v>15759.76</v>
      </c>
      <c r="G221" s="214">
        <f t="shared" si="90"/>
        <v>0</v>
      </c>
      <c r="H221" s="214">
        <f t="shared" si="91"/>
        <v>15759.76</v>
      </c>
      <c r="I221" s="214">
        <f>+GAAP!E197</f>
        <v>1782.6799999999985</v>
      </c>
      <c r="J221" s="319">
        <f>+GAAP!G197</f>
        <v>1</v>
      </c>
      <c r="K221" s="214">
        <f>+GAAP!H197</f>
        <v>1782.6799999999985</v>
      </c>
      <c r="L221" s="214">
        <f>+GAAP!P197</f>
        <v>0</v>
      </c>
      <c r="M221" s="214">
        <f t="shared" si="92"/>
        <v>1782.6799999999985</v>
      </c>
      <c r="N221" s="118" t="str">
        <f>GAAP!T197</f>
        <v>2025</v>
      </c>
      <c r="O221" s="320" t="str">
        <f>+GAAP!U197</f>
        <v>2025</v>
      </c>
      <c r="P221" s="321" t="str">
        <f>+GAAP!V197</f>
        <v>&lt; 250k</v>
      </c>
      <c r="Q221" s="116"/>
      <c r="R221" s="64"/>
      <c r="S221" s="64"/>
      <c r="T221" s="214"/>
      <c r="U221" s="64"/>
      <c r="V221" s="64"/>
      <c r="W221" s="64"/>
    </row>
    <row r="222" spans="1:23">
      <c r="A222" s="410">
        <f>+GAAP!A198</f>
        <v>54.938400000000001</v>
      </c>
      <c r="B222" s="57" t="str">
        <f>+GAAP!B198</f>
        <v>Shafter-Wasco Irrigation Dist. - 7th Street Pipe Repair</v>
      </c>
      <c r="C222" s="214">
        <f>+GAAP!J198</f>
        <v>79531.98</v>
      </c>
      <c r="D222" s="214">
        <f t="shared" si="89"/>
        <v>0</v>
      </c>
      <c r="E222" s="214">
        <f>+GAAP!C198</f>
        <v>79531.98</v>
      </c>
      <c r="F222" s="214">
        <f>+GAAP!F198</f>
        <v>70340.570000000007</v>
      </c>
      <c r="G222" s="214">
        <f t="shared" si="90"/>
        <v>0</v>
      </c>
      <c r="H222" s="214">
        <f t="shared" si="91"/>
        <v>70340.570000000007</v>
      </c>
      <c r="I222" s="214">
        <f>+GAAP!E198</f>
        <v>9191.4099999999889</v>
      </c>
      <c r="J222" s="319">
        <f>+GAAP!G198</f>
        <v>1</v>
      </c>
      <c r="K222" s="214">
        <f>+GAAP!H198</f>
        <v>9191.4099999999889</v>
      </c>
      <c r="L222" s="214">
        <f>+GAAP!P198</f>
        <v>0</v>
      </c>
      <c r="M222" s="214">
        <f t="shared" si="92"/>
        <v>9191.4099999999889</v>
      </c>
      <c r="N222" s="118" t="str">
        <f>GAAP!T198</f>
        <v>2025</v>
      </c>
      <c r="O222" s="320" t="str">
        <f>+GAAP!U198</f>
        <v>2025</v>
      </c>
      <c r="P222" s="321" t="str">
        <f>+GAAP!V198</f>
        <v>&lt; 250k</v>
      </c>
      <c r="Q222" s="116"/>
      <c r="R222" s="64"/>
      <c r="S222" s="64"/>
      <c r="T222" s="214"/>
      <c r="U222" s="64"/>
      <c r="V222" s="64"/>
      <c r="W222" s="64"/>
    </row>
    <row r="223" spans="1:23">
      <c r="A223" s="410">
        <f>+GAAP!A199</f>
        <v>54.938499999999998</v>
      </c>
      <c r="B223" s="57" t="str">
        <f>+GAAP!B199</f>
        <v>Westside Water Authority - Pump Station A - Electrical Controls and Civil</v>
      </c>
      <c r="C223" s="214">
        <f>+GAAP!J199</f>
        <v>102913.84</v>
      </c>
      <c r="D223" s="214">
        <f t="shared" si="89"/>
        <v>0</v>
      </c>
      <c r="E223" s="214">
        <f>+GAAP!C199</f>
        <v>102913.84</v>
      </c>
      <c r="F223" s="214">
        <f>+GAAP!F199</f>
        <v>98598.77</v>
      </c>
      <c r="G223" s="214">
        <f t="shared" si="90"/>
        <v>0</v>
      </c>
      <c r="H223" s="214">
        <f t="shared" si="91"/>
        <v>98598.77</v>
      </c>
      <c r="I223" s="214">
        <f>+GAAP!E199</f>
        <v>4315.0699999999924</v>
      </c>
      <c r="J223" s="319">
        <f>+GAAP!G199</f>
        <v>1</v>
      </c>
      <c r="K223" s="214">
        <f>+GAAP!H199</f>
        <v>4315.0699999999924</v>
      </c>
      <c r="L223" s="214">
        <f>+GAAP!P199</f>
        <v>0</v>
      </c>
      <c r="M223" s="214">
        <f t="shared" si="92"/>
        <v>4315.0699999999924</v>
      </c>
      <c r="N223" s="118" t="str">
        <f>GAAP!T199</f>
        <v>2025</v>
      </c>
      <c r="O223" s="320" t="str">
        <f>+GAAP!U199</f>
        <v>2025</v>
      </c>
      <c r="P223" s="321" t="str">
        <f>+GAAP!V199</f>
        <v>&lt; 250k</v>
      </c>
      <c r="Q223" s="116"/>
      <c r="R223" s="64"/>
      <c r="S223" s="64"/>
      <c r="T223" s="214"/>
      <c r="U223" s="64"/>
      <c r="V223" s="64"/>
      <c r="W223" s="64"/>
    </row>
    <row r="224" spans="1:23">
      <c r="A224" s="410">
        <f>+GAAP!A200</f>
        <v>54.938600000000001</v>
      </c>
      <c r="B224" s="57" t="str">
        <f>+GAAP!B200</f>
        <v>Kern Valley State Prison - Arsenic Pipe Leak Repair</v>
      </c>
      <c r="C224" s="214">
        <f>+GAAP!J200</f>
        <v>96086</v>
      </c>
      <c r="D224" s="214">
        <f t="shared" si="89"/>
        <v>0</v>
      </c>
      <c r="E224" s="214">
        <f>+GAAP!C200</f>
        <v>96086</v>
      </c>
      <c r="F224" s="214">
        <f>+GAAP!F200</f>
        <v>75784.739999999991</v>
      </c>
      <c r="G224" s="214">
        <f t="shared" si="90"/>
        <v>0</v>
      </c>
      <c r="H224" s="214">
        <f t="shared" si="91"/>
        <v>75784.739999999991</v>
      </c>
      <c r="I224" s="214">
        <f>+GAAP!E200</f>
        <v>20301.260000000009</v>
      </c>
      <c r="J224" s="319">
        <f>+GAAP!G200</f>
        <v>1</v>
      </c>
      <c r="K224" s="214">
        <f>+GAAP!H200</f>
        <v>20301.260000000009</v>
      </c>
      <c r="L224" s="214">
        <f>+GAAP!P200</f>
        <v>0</v>
      </c>
      <c r="M224" s="214">
        <f t="shared" si="92"/>
        <v>20301.260000000009</v>
      </c>
      <c r="N224" s="118" t="str">
        <f>GAAP!T200</f>
        <v>2025</v>
      </c>
      <c r="O224" s="320" t="str">
        <f>+GAAP!U200</f>
        <v>2025</v>
      </c>
      <c r="P224" s="321" t="str">
        <f>+GAAP!V200</f>
        <v>&lt; 250k</v>
      </c>
      <c r="Q224" s="116"/>
      <c r="R224" s="64"/>
      <c r="S224" s="64"/>
      <c r="T224" s="214"/>
      <c r="U224" s="64"/>
      <c r="V224" s="64"/>
      <c r="W224" s="64"/>
    </row>
    <row r="225" spans="1:23">
      <c r="A225" s="410">
        <f>+GAAP!A201</f>
        <v>54.938699999999997</v>
      </c>
      <c r="B225" s="57" t="str">
        <f>+GAAP!B201</f>
        <v>City of Santa Maria - Santa Maria WWTP Digester Pipe Modifications</v>
      </c>
      <c r="C225" s="214">
        <f>+GAAP!J201</f>
        <v>22619.54</v>
      </c>
      <c r="D225" s="214">
        <f t="shared" si="89"/>
        <v>0</v>
      </c>
      <c r="E225" s="214">
        <f>+GAAP!C201</f>
        <v>22619.54</v>
      </c>
      <c r="F225" s="214">
        <f>+GAAP!F201</f>
        <v>19011.650000000001</v>
      </c>
      <c r="G225" s="214">
        <f t="shared" si="90"/>
        <v>0</v>
      </c>
      <c r="H225" s="214">
        <f t="shared" si="91"/>
        <v>19011.650000000001</v>
      </c>
      <c r="I225" s="214">
        <f>+GAAP!E201</f>
        <v>3607.8899999999994</v>
      </c>
      <c r="J225" s="319">
        <f>+GAAP!G201</f>
        <v>1</v>
      </c>
      <c r="K225" s="214">
        <f>+GAAP!H201</f>
        <v>3607.8899999999994</v>
      </c>
      <c r="L225" s="214">
        <f>+GAAP!P201</f>
        <v>0</v>
      </c>
      <c r="M225" s="214">
        <f t="shared" si="92"/>
        <v>3607.8899999999994</v>
      </c>
      <c r="N225" s="118" t="str">
        <f>GAAP!T201</f>
        <v>2025</v>
      </c>
      <c r="O225" s="320" t="str">
        <f>+GAAP!U201</f>
        <v>2025</v>
      </c>
      <c r="P225" s="321" t="str">
        <f>+GAAP!V201</f>
        <v>&lt; 250k</v>
      </c>
      <c r="Q225" s="116"/>
      <c r="R225" s="64"/>
      <c r="S225" s="64"/>
      <c r="T225" s="214"/>
      <c r="U225" s="64"/>
      <c r="V225" s="64"/>
      <c r="W225" s="64"/>
    </row>
    <row r="226" spans="1:23">
      <c r="A226" s="410">
        <f>+GAAP!A202</f>
        <v>54.938800000000001</v>
      </c>
      <c r="B226" s="57" t="str">
        <f>+GAAP!B202</f>
        <v>Arvin Edison Water Storage Dist. - Tejon Spreading Ground Pipe Installation</v>
      </c>
      <c r="C226" s="214">
        <f>+GAAP!J202</f>
        <v>7454.07</v>
      </c>
      <c r="D226" s="214">
        <f t="shared" si="89"/>
        <v>0</v>
      </c>
      <c r="E226" s="214">
        <f>+GAAP!C202</f>
        <v>7454.07</v>
      </c>
      <c r="F226" s="214">
        <f>+GAAP!F202</f>
        <v>6535.41</v>
      </c>
      <c r="G226" s="214">
        <f t="shared" si="90"/>
        <v>0</v>
      </c>
      <c r="H226" s="214">
        <f t="shared" si="91"/>
        <v>6535.41</v>
      </c>
      <c r="I226" s="214">
        <f>+GAAP!E202</f>
        <v>918.65999999999985</v>
      </c>
      <c r="J226" s="319">
        <f>+GAAP!G202</f>
        <v>1</v>
      </c>
      <c r="K226" s="214">
        <f>+GAAP!H202</f>
        <v>918.65999999999985</v>
      </c>
      <c r="L226" s="214">
        <f>+GAAP!P202</f>
        <v>0</v>
      </c>
      <c r="M226" s="214">
        <f t="shared" si="92"/>
        <v>918.65999999999985</v>
      </c>
      <c r="N226" s="118" t="str">
        <f>GAAP!T202</f>
        <v>2025</v>
      </c>
      <c r="O226" s="320" t="str">
        <f>+GAAP!U202</f>
        <v>2025</v>
      </c>
      <c r="P226" s="321" t="str">
        <f>+GAAP!V202</f>
        <v>&lt; 250k</v>
      </c>
      <c r="Q226" s="116"/>
      <c r="R226" s="64"/>
      <c r="S226" s="64"/>
      <c r="T226" s="214"/>
      <c r="U226" s="64"/>
      <c r="V226" s="64"/>
      <c r="W226" s="64"/>
    </row>
    <row r="227" spans="1:23">
      <c r="A227" s="410">
        <f>+GAAP!A203</f>
        <v>54.939</v>
      </c>
      <c r="B227" s="57" t="str">
        <f>+GAAP!B203</f>
        <v>Arvin Edison Water Storage Dist. - Bar Screen Concrete Collection Pads</v>
      </c>
      <c r="C227" s="214">
        <f>+GAAP!J203</f>
        <v>101491.67</v>
      </c>
      <c r="D227" s="214">
        <f t="shared" si="89"/>
        <v>0</v>
      </c>
      <c r="E227" s="214">
        <f>+GAAP!C203</f>
        <v>101491.67</v>
      </c>
      <c r="F227" s="214">
        <f>+GAAP!F203</f>
        <v>96329.49</v>
      </c>
      <c r="G227" s="214">
        <f t="shared" si="90"/>
        <v>0</v>
      </c>
      <c r="H227" s="214">
        <f t="shared" si="91"/>
        <v>96329.49</v>
      </c>
      <c r="I227" s="214">
        <f>+GAAP!E203</f>
        <v>5162.179999999993</v>
      </c>
      <c r="J227" s="319">
        <f>+GAAP!G203</f>
        <v>1</v>
      </c>
      <c r="K227" s="214">
        <f>+GAAP!H203</f>
        <v>5162.179999999993</v>
      </c>
      <c r="L227" s="214">
        <f>+GAAP!P203</f>
        <v>0</v>
      </c>
      <c r="M227" s="214">
        <f t="shared" si="92"/>
        <v>5162.179999999993</v>
      </c>
      <c r="N227" s="118" t="str">
        <f>GAAP!T203</f>
        <v>2025</v>
      </c>
      <c r="O227" s="320" t="str">
        <f>+GAAP!U203</f>
        <v>2025</v>
      </c>
      <c r="P227" s="321" t="str">
        <f>+GAAP!V203</f>
        <v>&lt; 250k</v>
      </c>
      <c r="Q227" s="116"/>
      <c r="R227" s="64"/>
      <c r="S227" s="64"/>
      <c r="T227" s="214"/>
      <c r="U227" s="64"/>
      <c r="V227" s="64"/>
      <c r="W227" s="64"/>
    </row>
    <row r="228" spans="1:23">
      <c r="A228" s="410">
        <f>+GAAP!A204</f>
        <v>54.9392</v>
      </c>
      <c r="B228" s="57" t="str">
        <f>+GAAP!B204</f>
        <v>Arvin Edison Water Storage Dist. - Tejon Spreading Grounds Basin Repairs</v>
      </c>
      <c r="C228" s="214">
        <f>+GAAP!J204</f>
        <v>217648.89</v>
      </c>
      <c r="D228" s="214">
        <f t="shared" si="89"/>
        <v>0</v>
      </c>
      <c r="E228" s="214">
        <f>+GAAP!C204</f>
        <v>217648.89</v>
      </c>
      <c r="F228" s="214">
        <f>+GAAP!F204</f>
        <v>208346.69</v>
      </c>
      <c r="G228" s="214">
        <f t="shared" si="90"/>
        <v>0</v>
      </c>
      <c r="H228" s="214">
        <f t="shared" si="91"/>
        <v>208346.69</v>
      </c>
      <c r="I228" s="214">
        <f>+GAAP!E204</f>
        <v>9302.2000000000116</v>
      </c>
      <c r="J228" s="319">
        <f>+GAAP!G204</f>
        <v>1</v>
      </c>
      <c r="K228" s="214">
        <f>+GAAP!H204</f>
        <v>9302.2000000000116</v>
      </c>
      <c r="L228" s="214">
        <f>+GAAP!P204</f>
        <v>0</v>
      </c>
      <c r="M228" s="214">
        <f t="shared" si="92"/>
        <v>9302.2000000000116</v>
      </c>
      <c r="N228" s="118" t="str">
        <f>GAAP!T204</f>
        <v>2025</v>
      </c>
      <c r="O228" s="320" t="str">
        <f>+GAAP!U204</f>
        <v>2025</v>
      </c>
      <c r="P228" s="321" t="str">
        <f>+GAAP!V204</f>
        <v>&lt; 250k</v>
      </c>
      <c r="Q228" s="116"/>
      <c r="R228" s="64"/>
      <c r="S228" s="64"/>
      <c r="T228" s="214"/>
      <c r="U228" s="64"/>
      <c r="V228" s="64"/>
      <c r="W228" s="64"/>
    </row>
    <row r="229" spans="1:23">
      <c r="A229" s="410">
        <f>+GAAP!A205</f>
        <v>54.939300000000003</v>
      </c>
      <c r="B229" s="57" t="str">
        <f>+GAAP!B205</f>
        <v>East Niles Community Service Dist. - Freeway Tank and College Ave Repairs</v>
      </c>
      <c r="C229" s="214">
        <f>+GAAP!J205</f>
        <v>31523.02</v>
      </c>
      <c r="D229" s="214">
        <f t="shared" si="89"/>
        <v>0</v>
      </c>
      <c r="E229" s="214">
        <f>+GAAP!C205</f>
        <v>31523.02</v>
      </c>
      <c r="F229" s="214">
        <f>+GAAP!F205</f>
        <v>27539.820000000003</v>
      </c>
      <c r="G229" s="214">
        <f t="shared" si="90"/>
        <v>0</v>
      </c>
      <c r="H229" s="214">
        <f t="shared" si="91"/>
        <v>27539.820000000003</v>
      </c>
      <c r="I229" s="214">
        <f>+GAAP!E205</f>
        <v>3983.1999999999971</v>
      </c>
      <c r="J229" s="319">
        <f>+GAAP!G205</f>
        <v>1</v>
      </c>
      <c r="K229" s="214">
        <f>+GAAP!H205</f>
        <v>3983.1999999999971</v>
      </c>
      <c r="L229" s="214">
        <f>+GAAP!P205</f>
        <v>0</v>
      </c>
      <c r="M229" s="214">
        <f t="shared" si="92"/>
        <v>3983.1999999999971</v>
      </c>
      <c r="N229" s="118" t="str">
        <f>GAAP!T205</f>
        <v>2025</v>
      </c>
      <c r="O229" s="320" t="str">
        <f>+GAAP!U205</f>
        <v>2025</v>
      </c>
      <c r="P229" s="321" t="str">
        <f>+GAAP!V205</f>
        <v>&lt; 250k</v>
      </c>
      <c r="Q229" s="116"/>
      <c r="R229" s="64"/>
      <c r="S229" s="64"/>
      <c r="T229" s="214"/>
      <c r="U229" s="64"/>
      <c r="V229" s="64"/>
      <c r="W229" s="64"/>
    </row>
    <row r="230" spans="1:23">
      <c r="A230" s="410">
        <f>+GAAP!A206</f>
        <v>54.939399999999999</v>
      </c>
      <c r="B230" s="57" t="str">
        <f>+GAAP!B206</f>
        <v>City of Arvin - Haven Drive Lateral Repair</v>
      </c>
      <c r="C230" s="214">
        <f>+GAAP!J206</f>
        <v>15966.99</v>
      </c>
      <c r="D230" s="214">
        <f t="shared" si="89"/>
        <v>0</v>
      </c>
      <c r="E230" s="214">
        <f>+GAAP!C206</f>
        <v>15966.99</v>
      </c>
      <c r="F230" s="214">
        <f>+GAAP!F206</f>
        <v>14039.55</v>
      </c>
      <c r="G230" s="214">
        <f t="shared" si="90"/>
        <v>0</v>
      </c>
      <c r="H230" s="214">
        <f t="shared" si="91"/>
        <v>14039.55</v>
      </c>
      <c r="I230" s="214">
        <f>+GAAP!E206</f>
        <v>1927.4400000000005</v>
      </c>
      <c r="J230" s="319">
        <f>+GAAP!G206</f>
        <v>1</v>
      </c>
      <c r="K230" s="214">
        <f>+GAAP!H206</f>
        <v>1927.4400000000005</v>
      </c>
      <c r="L230" s="214">
        <f>+GAAP!P206</f>
        <v>0</v>
      </c>
      <c r="M230" s="214">
        <f t="shared" si="92"/>
        <v>1927.4400000000005</v>
      </c>
      <c r="N230" s="118" t="str">
        <f>GAAP!T206</f>
        <v>2025</v>
      </c>
      <c r="O230" s="320" t="str">
        <f>+GAAP!U206</f>
        <v>2025</v>
      </c>
      <c r="P230" s="321" t="str">
        <f>+GAAP!V206</f>
        <v>&lt; 250k</v>
      </c>
      <c r="Q230" s="116"/>
      <c r="R230" s="64"/>
      <c r="S230" s="64"/>
      <c r="T230" s="214"/>
      <c r="U230" s="64"/>
      <c r="V230" s="64"/>
      <c r="W230" s="64"/>
    </row>
    <row r="231" spans="1:23">
      <c r="A231" s="410">
        <f>+GAAP!A207</f>
        <v>54.939799999999998</v>
      </c>
      <c r="B231" s="57" t="str">
        <f>+GAAP!B207</f>
        <v>County of Santa Barbara Public Works - Laguna CSD  - C-Channel Installation</v>
      </c>
      <c r="C231" s="214">
        <f>+GAAP!J207</f>
        <v>14300</v>
      </c>
      <c r="D231" s="214">
        <f t="shared" ref="D231:D241" si="93">+E231-C231</f>
        <v>0</v>
      </c>
      <c r="E231" s="214">
        <f>+GAAP!C207</f>
        <v>14300</v>
      </c>
      <c r="F231" s="214">
        <f>+GAAP!F207</f>
        <v>8192.7900000000009</v>
      </c>
      <c r="G231" s="214">
        <f t="shared" ref="G231:G241" si="94">+H231-F231</f>
        <v>0</v>
      </c>
      <c r="H231" s="214">
        <f t="shared" ref="H231:H241" si="95">+E231-I231</f>
        <v>8192.7900000000009</v>
      </c>
      <c r="I231" s="214">
        <f>+GAAP!E207</f>
        <v>6107.2099999999991</v>
      </c>
      <c r="J231" s="319">
        <f>+GAAP!G207</f>
        <v>1</v>
      </c>
      <c r="K231" s="214">
        <f>+GAAP!H207</f>
        <v>6107.2099999999991</v>
      </c>
      <c r="L231" s="214">
        <f>+GAAP!P207</f>
        <v>0</v>
      </c>
      <c r="M231" s="214">
        <f t="shared" ref="M231:M241" si="96">+K231-L231</f>
        <v>6107.2099999999991</v>
      </c>
      <c r="N231" s="118" t="str">
        <f>GAAP!T207</f>
        <v>2025</v>
      </c>
      <c r="O231" s="320" t="str">
        <f>+GAAP!U207</f>
        <v>2025</v>
      </c>
      <c r="P231" s="321" t="str">
        <f>+GAAP!V207</f>
        <v>&lt; 250k</v>
      </c>
      <c r="Q231" s="116"/>
      <c r="R231" s="64"/>
      <c r="S231" s="64"/>
      <c r="T231" s="214"/>
      <c r="U231" s="64"/>
      <c r="V231" s="64"/>
      <c r="W231" s="64"/>
    </row>
    <row r="232" spans="1:23">
      <c r="A232" s="410">
        <f>+GAAP!A208</f>
        <v>54.939900000000002</v>
      </c>
      <c r="B232" s="57" t="str">
        <f>+GAAP!B208</f>
        <v>City of Atascadero - Atascadero Lift Station 6 Pipe Replacement</v>
      </c>
      <c r="C232" s="214">
        <f>+GAAP!J208</f>
        <v>24775</v>
      </c>
      <c r="D232" s="214">
        <f t="shared" si="93"/>
        <v>0</v>
      </c>
      <c r="E232" s="214">
        <f>+GAAP!C208</f>
        <v>24775</v>
      </c>
      <c r="F232" s="214">
        <f>+GAAP!F208</f>
        <v>11291.59</v>
      </c>
      <c r="G232" s="214">
        <f t="shared" si="94"/>
        <v>0</v>
      </c>
      <c r="H232" s="214">
        <f t="shared" si="95"/>
        <v>11291.59</v>
      </c>
      <c r="I232" s="214">
        <f>+GAAP!E208</f>
        <v>13483.41</v>
      </c>
      <c r="J232" s="319">
        <f>+GAAP!G208</f>
        <v>1</v>
      </c>
      <c r="K232" s="214">
        <f>+GAAP!H208</f>
        <v>13483.41</v>
      </c>
      <c r="L232" s="214">
        <f>+GAAP!P208</f>
        <v>0</v>
      </c>
      <c r="M232" s="214">
        <f t="shared" si="96"/>
        <v>13483.41</v>
      </c>
      <c r="N232" s="118" t="str">
        <f>GAAP!T208</f>
        <v>2025</v>
      </c>
      <c r="O232" s="320" t="str">
        <f>+GAAP!U208</f>
        <v>2025</v>
      </c>
      <c r="P232" s="321" t="str">
        <f>+GAAP!V208</f>
        <v>&lt; 250k</v>
      </c>
      <c r="Q232" s="116"/>
      <c r="R232" s="64"/>
      <c r="S232" s="64"/>
      <c r="T232" s="214"/>
      <c r="U232" s="64"/>
      <c r="V232" s="64"/>
      <c r="W232" s="64"/>
    </row>
    <row r="233" spans="1:23">
      <c r="A233" s="410">
        <f>+GAAP!A209</f>
        <v>54.94</v>
      </c>
      <c r="B233" s="57" t="str">
        <f>+GAAP!B209</f>
        <v>Arvin Edison Water Storage Dist. - FFPP Core Drilling</v>
      </c>
      <c r="C233" s="214">
        <f>+GAAP!J209</f>
        <v>800.69</v>
      </c>
      <c r="D233" s="214">
        <f t="shared" si="93"/>
        <v>0</v>
      </c>
      <c r="E233" s="214">
        <f>+GAAP!C209</f>
        <v>800.69</v>
      </c>
      <c r="F233" s="214">
        <f>+GAAP!F209</f>
        <v>771.32</v>
      </c>
      <c r="G233" s="214">
        <f t="shared" si="94"/>
        <v>0</v>
      </c>
      <c r="H233" s="214">
        <f t="shared" si="95"/>
        <v>771.32</v>
      </c>
      <c r="I233" s="214">
        <f>+GAAP!E209</f>
        <v>29.370000000000005</v>
      </c>
      <c r="J233" s="319">
        <f>+GAAP!G209</f>
        <v>1</v>
      </c>
      <c r="K233" s="214">
        <f>+GAAP!H209</f>
        <v>29.370000000000005</v>
      </c>
      <c r="L233" s="214">
        <f>+GAAP!P209</f>
        <v>0</v>
      </c>
      <c r="M233" s="214">
        <f t="shared" si="96"/>
        <v>29.370000000000005</v>
      </c>
      <c r="N233" s="118" t="str">
        <f>GAAP!T209</f>
        <v>2025</v>
      </c>
      <c r="O233" s="320" t="str">
        <f>+GAAP!U209</f>
        <v>2025</v>
      </c>
      <c r="P233" s="321" t="str">
        <f>+GAAP!V209</f>
        <v>&lt; 250k</v>
      </c>
      <c r="Q233" s="116"/>
      <c r="R233" s="64"/>
      <c r="S233" s="64"/>
      <c r="T233" s="214"/>
      <c r="U233" s="64"/>
      <c r="V233" s="64"/>
      <c r="W233" s="64"/>
    </row>
    <row r="234" spans="1:23">
      <c r="A234" s="410">
        <f>+GAAP!A210</f>
        <v>54.940100000000001</v>
      </c>
      <c r="B234" s="57" t="str">
        <f>+GAAP!B210</f>
        <v>Arvin Edison Water Storage Dist. - FFPP Modernization Concrete R&amp;R</v>
      </c>
      <c r="C234" s="214">
        <f>+GAAP!J210</f>
        <v>247539.61</v>
      </c>
      <c r="D234" s="214">
        <f t="shared" si="93"/>
        <v>0</v>
      </c>
      <c r="E234" s="214">
        <f>+GAAP!C210</f>
        <v>247539.61</v>
      </c>
      <c r="F234" s="214">
        <f>+GAAP!F210</f>
        <v>236312.57</v>
      </c>
      <c r="G234" s="214">
        <f t="shared" si="94"/>
        <v>0</v>
      </c>
      <c r="H234" s="214">
        <f t="shared" si="95"/>
        <v>236312.57</v>
      </c>
      <c r="I234" s="214">
        <f>+GAAP!E210</f>
        <v>11227.039999999979</v>
      </c>
      <c r="J234" s="319">
        <f>+GAAP!G210</f>
        <v>1</v>
      </c>
      <c r="K234" s="214">
        <f>+GAAP!H210</f>
        <v>11227.039999999979</v>
      </c>
      <c r="L234" s="214">
        <f>+GAAP!P210</f>
        <v>0</v>
      </c>
      <c r="M234" s="214">
        <f t="shared" si="96"/>
        <v>11227.039999999979</v>
      </c>
      <c r="N234" s="118" t="str">
        <f>GAAP!T210</f>
        <v>2025</v>
      </c>
      <c r="O234" s="320" t="str">
        <f>+GAAP!U210</f>
        <v>2025</v>
      </c>
      <c r="P234" s="321" t="str">
        <f>+GAAP!V210</f>
        <v>&lt; 250k</v>
      </c>
      <c r="Q234" s="116"/>
      <c r="R234" s="64"/>
      <c r="S234" s="64"/>
      <c r="T234" s="214"/>
      <c r="U234" s="64"/>
      <c r="V234" s="64"/>
      <c r="W234" s="64"/>
    </row>
    <row r="235" spans="1:23">
      <c r="A235" s="410">
        <f>+GAAP!A211</f>
        <v>54.9407</v>
      </c>
      <c r="B235" s="57" t="str">
        <f>+GAAP!B211</f>
        <v>Semitropic Water Storage Dist. - North Plant Emergency Repair</v>
      </c>
      <c r="C235" s="214">
        <f>+GAAP!J211</f>
        <v>31296.85</v>
      </c>
      <c r="D235" s="214">
        <f t="shared" si="93"/>
        <v>0</v>
      </c>
      <c r="E235" s="214">
        <f>+GAAP!C211</f>
        <v>31296.85</v>
      </c>
      <c r="F235" s="214">
        <f>+GAAP!F211</f>
        <v>25667.34</v>
      </c>
      <c r="G235" s="214">
        <f t="shared" si="94"/>
        <v>0</v>
      </c>
      <c r="H235" s="214">
        <f t="shared" si="95"/>
        <v>25667.34</v>
      </c>
      <c r="I235" s="214">
        <f>+GAAP!E211</f>
        <v>5629.5099999999984</v>
      </c>
      <c r="J235" s="319">
        <f>+GAAP!G211</f>
        <v>1</v>
      </c>
      <c r="K235" s="214">
        <f>+GAAP!H211</f>
        <v>5629.5099999999984</v>
      </c>
      <c r="L235" s="214">
        <f>+GAAP!P211</f>
        <v>0</v>
      </c>
      <c r="M235" s="214">
        <f t="shared" si="96"/>
        <v>5629.5099999999984</v>
      </c>
      <c r="N235" s="118" t="str">
        <f>GAAP!T211</f>
        <v>2025</v>
      </c>
      <c r="O235" s="320" t="str">
        <f>+GAAP!U211</f>
        <v>2025</v>
      </c>
      <c r="P235" s="321" t="str">
        <f>+GAAP!V211</f>
        <v>&lt; 250k</v>
      </c>
      <c r="Q235" s="116"/>
      <c r="R235" s="64"/>
      <c r="S235" s="64"/>
      <c r="T235" s="214"/>
      <c r="U235" s="64"/>
      <c r="V235" s="64"/>
      <c r="W235" s="64"/>
    </row>
    <row r="236" spans="1:23">
      <c r="A236" s="410">
        <f>+GAAP!A212</f>
        <v>54.940899999999999</v>
      </c>
      <c r="B236" s="57" t="str">
        <f>+GAAP!B212</f>
        <v xml:space="preserve">Nipomo CSD Osage Emergency Waterline Repair </v>
      </c>
      <c r="C236" s="214">
        <f>+GAAP!J212</f>
        <v>20123.71</v>
      </c>
      <c r="D236" s="214">
        <f t="shared" si="93"/>
        <v>0</v>
      </c>
      <c r="E236" s="214">
        <f>+GAAP!C212</f>
        <v>20123.71</v>
      </c>
      <c r="F236" s="214">
        <f>+GAAP!F212</f>
        <v>17411.71</v>
      </c>
      <c r="G236" s="214">
        <f t="shared" si="94"/>
        <v>0</v>
      </c>
      <c r="H236" s="214">
        <f t="shared" si="95"/>
        <v>17411.71</v>
      </c>
      <c r="I236" s="214">
        <f>+GAAP!E212</f>
        <v>2712</v>
      </c>
      <c r="J236" s="319">
        <f>+GAAP!G212</f>
        <v>1</v>
      </c>
      <c r="K236" s="214">
        <f>+GAAP!H212</f>
        <v>2712</v>
      </c>
      <c r="L236" s="214">
        <f>+GAAP!P212</f>
        <v>0</v>
      </c>
      <c r="M236" s="214">
        <f t="shared" si="96"/>
        <v>2712</v>
      </c>
      <c r="N236" s="118" t="str">
        <f>GAAP!T212</f>
        <v>2025</v>
      </c>
      <c r="O236" s="320" t="str">
        <f>+GAAP!U212</f>
        <v>2025</v>
      </c>
      <c r="P236" s="321" t="str">
        <f>+GAAP!V212</f>
        <v>&lt; 250k</v>
      </c>
      <c r="Q236" s="116"/>
      <c r="R236" s="64"/>
      <c r="S236" s="64"/>
      <c r="T236" s="214"/>
      <c r="U236" s="64"/>
      <c r="V236" s="64"/>
      <c r="W236" s="64"/>
    </row>
    <row r="237" spans="1:23">
      <c r="A237" s="410">
        <f>+GAAP!A213</f>
        <v>54.941000000000003</v>
      </c>
      <c r="B237" s="57" t="str">
        <f>+GAAP!B213</f>
        <v>SWID - Burbank St. Repair</v>
      </c>
      <c r="C237" s="214">
        <f>+GAAP!J213</f>
        <v>8241.5499999999993</v>
      </c>
      <c r="D237" s="214">
        <f t="shared" si="93"/>
        <v>0</v>
      </c>
      <c r="E237" s="214">
        <f>+GAAP!C213</f>
        <v>8241.5499999999993</v>
      </c>
      <c r="F237" s="214">
        <f>+GAAP!F213</f>
        <v>6965.65</v>
      </c>
      <c r="G237" s="214">
        <f t="shared" si="94"/>
        <v>0</v>
      </c>
      <c r="H237" s="214">
        <f t="shared" si="95"/>
        <v>6965.65</v>
      </c>
      <c r="I237" s="214">
        <f>+GAAP!E213</f>
        <v>1275.8999999999996</v>
      </c>
      <c r="J237" s="319">
        <f>+GAAP!G213</f>
        <v>1</v>
      </c>
      <c r="K237" s="214">
        <f>+GAAP!H213</f>
        <v>1275.8999999999996</v>
      </c>
      <c r="L237" s="214">
        <f>+GAAP!P213</f>
        <v>0</v>
      </c>
      <c r="M237" s="214">
        <f t="shared" si="96"/>
        <v>1275.8999999999996</v>
      </c>
      <c r="N237" s="118" t="str">
        <f>GAAP!T213</f>
        <v>2025</v>
      </c>
      <c r="O237" s="320" t="str">
        <f>+GAAP!U213</f>
        <v>2025</v>
      </c>
      <c r="P237" s="321" t="str">
        <f>+GAAP!V213</f>
        <v>&lt; 250k</v>
      </c>
      <c r="Q237" s="116"/>
      <c r="R237" s="64"/>
      <c r="S237" s="64"/>
      <c r="T237" s="214"/>
      <c r="U237" s="64"/>
      <c r="V237" s="64"/>
      <c r="W237" s="64"/>
    </row>
    <row r="238" spans="1:23">
      <c r="A238" s="410">
        <f>+GAAP!A234</f>
        <v>55.125500000000002</v>
      </c>
      <c r="B238" s="57" t="str">
        <f>+GAAP!B234</f>
        <v>City of Riverside - RWQCP Emergency Repair</v>
      </c>
      <c r="C238" s="214">
        <f>+GAAP!J234</f>
        <v>0</v>
      </c>
      <c r="D238" s="214">
        <f t="shared" si="93"/>
        <v>14160.81</v>
      </c>
      <c r="E238" s="214">
        <f>+GAAP!C234</f>
        <v>14160.81</v>
      </c>
      <c r="F238" s="214">
        <f>+GAAP!F234</f>
        <v>14160.81</v>
      </c>
      <c r="G238" s="214">
        <f t="shared" si="94"/>
        <v>0</v>
      </c>
      <c r="H238" s="214">
        <f t="shared" si="95"/>
        <v>14160.81</v>
      </c>
      <c r="I238" s="214">
        <f>+GAAP!E234</f>
        <v>0</v>
      </c>
      <c r="J238" s="319">
        <f>+GAAP!G234</f>
        <v>1</v>
      </c>
      <c r="K238" s="214">
        <f>+GAAP!H234</f>
        <v>0</v>
      </c>
      <c r="L238" s="214">
        <f>+GAAP!P234</f>
        <v>0</v>
      </c>
      <c r="M238" s="214">
        <f t="shared" si="96"/>
        <v>0</v>
      </c>
      <c r="N238" s="118" t="str">
        <f>GAAP!T234</f>
        <v>2025</v>
      </c>
      <c r="O238" s="320">
        <f>+GAAP!U234</f>
        <v>0</v>
      </c>
      <c r="P238" s="321" t="str">
        <f>+GAAP!V234</f>
        <v>&lt; 250k</v>
      </c>
      <c r="Q238" s="116"/>
      <c r="R238" s="64"/>
      <c r="S238" s="64"/>
      <c r="T238" s="214"/>
      <c r="U238" s="64"/>
      <c r="V238" s="64"/>
      <c r="W238" s="64"/>
    </row>
    <row r="239" spans="1:23">
      <c r="A239" s="410">
        <f>+GAAP!A242</f>
        <v>55.123800000000003</v>
      </c>
      <c r="B239" s="57" t="str">
        <f>+GAAP!B242</f>
        <v>Anaergia Technologies LLC - East County Package 5</v>
      </c>
      <c r="C239" s="214">
        <f>+GAAP!J242</f>
        <v>34207.53</v>
      </c>
      <c r="D239" s="214">
        <f t="shared" si="93"/>
        <v>0</v>
      </c>
      <c r="E239" s="214">
        <f>+GAAP!C242</f>
        <v>34207.53</v>
      </c>
      <c r="F239" s="214">
        <f>+GAAP!F242</f>
        <v>32500.859999999997</v>
      </c>
      <c r="G239" s="214">
        <f t="shared" si="94"/>
        <v>0</v>
      </c>
      <c r="H239" s="214">
        <f t="shared" si="95"/>
        <v>32500.859999999997</v>
      </c>
      <c r="I239" s="214">
        <f>+GAAP!E242</f>
        <v>1706.6700000000019</v>
      </c>
      <c r="J239" s="319">
        <f>+GAAP!G242</f>
        <v>1</v>
      </c>
      <c r="K239" s="214">
        <f>+GAAP!H242</f>
        <v>1706.6700000000019</v>
      </c>
      <c r="L239" s="214">
        <f>+GAAP!P242</f>
        <v>8107.48</v>
      </c>
      <c r="M239" s="214">
        <f t="shared" si="96"/>
        <v>-6400.8099999999977</v>
      </c>
      <c r="N239" s="118" t="str">
        <f>GAAP!T242</f>
        <v>2023</v>
      </c>
      <c r="O239" s="320" t="str">
        <f>+GAAP!U242</f>
        <v>2025</v>
      </c>
      <c r="P239" s="321" t="str">
        <f>+GAAP!V242</f>
        <v>&lt; 250k</v>
      </c>
      <c r="Q239" s="116"/>
      <c r="R239" s="64"/>
      <c r="S239" s="64"/>
      <c r="T239" s="214"/>
      <c r="U239" s="64"/>
      <c r="V239" s="64"/>
      <c r="W239" s="64"/>
    </row>
    <row r="240" spans="1:23">
      <c r="A240" s="410">
        <f>+GAAP!A243</f>
        <v>55.125</v>
      </c>
      <c r="B240" s="57" t="str">
        <f>+GAAP!B243</f>
        <v>Anaergia Technologies LLC - VVWRA Digester Dome No. 1 Repair</v>
      </c>
      <c r="C240" s="214">
        <f>+GAAP!J243</f>
        <v>184557.17</v>
      </c>
      <c r="D240" s="214">
        <f t="shared" si="93"/>
        <v>0</v>
      </c>
      <c r="E240" s="214">
        <f>+GAAP!C243</f>
        <v>184557.17</v>
      </c>
      <c r="F240" s="214">
        <f>+GAAP!F243</f>
        <v>48293.94</v>
      </c>
      <c r="G240" s="214">
        <f t="shared" si="94"/>
        <v>0</v>
      </c>
      <c r="H240" s="214">
        <f t="shared" si="95"/>
        <v>48293.94</v>
      </c>
      <c r="I240" s="214">
        <f>+GAAP!E243</f>
        <v>136263.23000000001</v>
      </c>
      <c r="J240" s="319">
        <f>+GAAP!G243</f>
        <v>1</v>
      </c>
      <c r="K240" s="214">
        <f>+GAAP!H243</f>
        <v>136263.23000000001</v>
      </c>
      <c r="L240" s="214">
        <f>+GAAP!P243</f>
        <v>101052.15979904546</v>
      </c>
      <c r="M240" s="214">
        <f t="shared" si="96"/>
        <v>35211.070200954549</v>
      </c>
      <c r="N240" s="118" t="str">
        <f>GAAP!T243</f>
        <v>2024</v>
      </c>
      <c r="O240" s="320" t="str">
        <f>+GAAP!U243</f>
        <v>2025</v>
      </c>
      <c r="P240" s="321" t="str">
        <f>+GAAP!V243</f>
        <v>&lt; 250k</v>
      </c>
      <c r="Q240" s="116"/>
      <c r="R240" s="64"/>
      <c r="S240" s="64"/>
      <c r="T240" s="214"/>
      <c r="U240" s="64"/>
      <c r="V240" s="64"/>
      <c r="W240" s="64"/>
    </row>
    <row r="241" spans="1:23">
      <c r="A241" s="410">
        <f>+GAAP!A254</f>
        <v>57.000700000000002</v>
      </c>
      <c r="B241" s="57" t="str">
        <f>+GAAP!B254</f>
        <v>Anaergia Technologies, LLC - East County Package 5 - Phase 1B</v>
      </c>
      <c r="C241" s="214">
        <f>+GAAP!J254</f>
        <v>153858.35999999999</v>
      </c>
      <c r="D241" s="214">
        <f t="shared" si="93"/>
        <v>42390.040000000008</v>
      </c>
      <c r="E241" s="214">
        <f>+GAAP!C254</f>
        <v>196248.4</v>
      </c>
      <c r="F241" s="214">
        <f>+GAAP!F254</f>
        <v>196248.4</v>
      </c>
      <c r="G241" s="214">
        <f t="shared" si="94"/>
        <v>0</v>
      </c>
      <c r="H241" s="214">
        <f t="shared" si="95"/>
        <v>196248.4</v>
      </c>
      <c r="I241" s="214">
        <f>+GAAP!E254</f>
        <v>0</v>
      </c>
      <c r="J241" s="319">
        <f>+GAAP!G254</f>
        <v>1</v>
      </c>
      <c r="K241" s="214">
        <f>+GAAP!H254</f>
        <v>0</v>
      </c>
      <c r="L241" s="214">
        <f>+GAAP!P254</f>
        <v>0</v>
      </c>
      <c r="M241" s="214">
        <f t="shared" si="96"/>
        <v>0</v>
      </c>
      <c r="N241" s="118" t="str">
        <f>GAAP!T254</f>
        <v>2025</v>
      </c>
      <c r="O241" s="320">
        <f>+GAAP!U254</f>
        <v>0</v>
      </c>
      <c r="P241" s="321" t="str">
        <f>+GAAP!V254</f>
        <v>&lt; 250k</v>
      </c>
      <c r="Q241" s="116"/>
      <c r="R241" s="64"/>
      <c r="S241" s="64"/>
      <c r="T241" s="214"/>
      <c r="U241" s="64"/>
      <c r="V241" s="64"/>
      <c r="W241" s="64"/>
    </row>
    <row r="242" spans="1:23">
      <c r="A242" s="410">
        <f>+GAAP!A284</f>
        <v>56.100499999999997</v>
      </c>
      <c r="B242" s="57" t="str">
        <f>+GAAP!B284</f>
        <v>SD Electric, Inc. - Stormwater Evacuation Lines &amp; Outfall Manifold</v>
      </c>
      <c r="C242" s="214">
        <f>+GAAP!J284</f>
        <v>135000</v>
      </c>
      <c r="D242" s="214">
        <f t="shared" ref="D242:D271" si="97">+E242-C242</f>
        <v>0</v>
      </c>
      <c r="E242" s="214">
        <f>+GAAP!C284</f>
        <v>135000</v>
      </c>
      <c r="F242" s="214">
        <f>+GAAP!F284</f>
        <v>51037.42</v>
      </c>
      <c r="G242" s="214">
        <f t="shared" ref="G242:G271" si="98">+H242-F242</f>
        <v>16987.580000000002</v>
      </c>
      <c r="H242" s="214">
        <f t="shared" ref="H242:H271" si="99">+E242-I242</f>
        <v>68025</v>
      </c>
      <c r="I242" s="214">
        <f>+GAAP!E284</f>
        <v>66975</v>
      </c>
      <c r="J242" s="319">
        <f>+GAAP!G284</f>
        <v>0.75027445791988234</v>
      </c>
      <c r="K242" s="214">
        <f>+GAAP!H284</f>
        <v>50249.63181918412</v>
      </c>
      <c r="L242" s="214">
        <f>+GAAP!P284</f>
        <v>14525.327230298393</v>
      </c>
      <c r="M242" s="214">
        <f t="shared" ref="M242:M271" si="100">+K242-L242</f>
        <v>35724.30458888573</v>
      </c>
      <c r="N242" s="118" t="str">
        <f>GAAP!T284</f>
        <v>2024</v>
      </c>
      <c r="O242" s="320">
        <f>+GAAP!U284</f>
        <v>0</v>
      </c>
      <c r="P242" s="321" t="str">
        <f>+GAAP!V284</f>
        <v>&lt; 250k</v>
      </c>
      <c r="Q242" s="116"/>
      <c r="R242" s="64"/>
      <c r="S242" s="64"/>
      <c r="T242" s="214"/>
      <c r="U242" s="64"/>
      <c r="V242" s="64"/>
      <c r="W242" s="64"/>
    </row>
    <row r="243" spans="1:23">
      <c r="A243" s="410">
        <f>+GAAP!A285</f>
        <v>56.100999999999999</v>
      </c>
      <c r="B243" s="57" t="str">
        <f>+GAAP!B285</f>
        <v>Placer County Water Agency -PCWA Time &amp; Material Contract</v>
      </c>
      <c r="C243" s="214">
        <f>+GAAP!J285</f>
        <v>49250</v>
      </c>
      <c r="D243" s="214">
        <f t="shared" si="97"/>
        <v>0</v>
      </c>
      <c r="E243" s="214">
        <f>+GAAP!C285</f>
        <v>49250</v>
      </c>
      <c r="F243" s="214">
        <f>+GAAP!F285</f>
        <v>36461.94</v>
      </c>
      <c r="G243" s="214">
        <f t="shared" si="98"/>
        <v>0</v>
      </c>
      <c r="H243" s="214">
        <f t="shared" si="99"/>
        <v>36461.94</v>
      </c>
      <c r="I243" s="214">
        <f>+GAAP!E285</f>
        <v>12788.059999999998</v>
      </c>
      <c r="J243" s="319">
        <f>+GAAP!G285</f>
        <v>1</v>
      </c>
      <c r="K243" s="214">
        <f>+GAAP!H285</f>
        <v>12788.059999999998</v>
      </c>
      <c r="L243" s="214">
        <f>+GAAP!P285</f>
        <v>0</v>
      </c>
      <c r="M243" s="214">
        <f t="shared" si="100"/>
        <v>12788.059999999998</v>
      </c>
      <c r="N243" s="118" t="str">
        <f>GAAP!T285</f>
        <v>2025</v>
      </c>
      <c r="O243" s="320">
        <f>+GAAP!U285</f>
        <v>0</v>
      </c>
      <c r="P243" s="321" t="str">
        <f>+GAAP!V285</f>
        <v>&lt; 250k</v>
      </c>
      <c r="Q243" s="116"/>
      <c r="R243" s="64"/>
      <c r="S243" s="64"/>
      <c r="T243" s="214"/>
      <c r="U243" s="64"/>
      <c r="V243" s="64"/>
      <c r="W243" s="64"/>
    </row>
    <row r="244" spans="1:23">
      <c r="A244" s="410">
        <f>+GAAP!A286</f>
        <v>56.101500000000001</v>
      </c>
      <c r="B244" s="57" t="str">
        <f>+GAAP!B286</f>
        <v>Mike Brown Electric Co. - Riverside Ponds &amp; Headworks Mitigation – City of Calistoga</v>
      </c>
      <c r="C244" s="214">
        <f>+GAAP!J286</f>
        <v>160000</v>
      </c>
      <c r="D244" s="214">
        <f t="shared" si="97"/>
        <v>0</v>
      </c>
      <c r="E244" s="214">
        <f>+GAAP!C286</f>
        <v>160000</v>
      </c>
      <c r="F244" s="214">
        <f>+GAAP!F286</f>
        <v>142358.95000000001</v>
      </c>
      <c r="G244" s="214">
        <f t="shared" si="98"/>
        <v>0</v>
      </c>
      <c r="H244" s="214">
        <f t="shared" si="99"/>
        <v>142358.95000000001</v>
      </c>
      <c r="I244" s="214">
        <f>+GAAP!E286</f>
        <v>17641.049999999988</v>
      </c>
      <c r="J244" s="319">
        <f>+GAAP!G286</f>
        <v>1</v>
      </c>
      <c r="K244" s="214">
        <f>+GAAP!H286</f>
        <v>17641.049999999988</v>
      </c>
      <c r="L244" s="214">
        <f>+GAAP!P286</f>
        <v>29395.330313379258</v>
      </c>
      <c r="M244" s="214">
        <f t="shared" si="100"/>
        <v>-11754.28031337927</v>
      </c>
      <c r="N244" s="118" t="str">
        <f>GAAP!T286</f>
        <v>2024</v>
      </c>
      <c r="O244" s="320">
        <f>+GAAP!U286</f>
        <v>0</v>
      </c>
      <c r="P244" s="321" t="str">
        <f>+GAAP!V286</f>
        <v>&lt; 250k</v>
      </c>
      <c r="Q244" s="116"/>
      <c r="R244" s="64"/>
      <c r="S244" s="64"/>
      <c r="T244" s="214"/>
      <c r="U244" s="64"/>
      <c r="V244" s="64"/>
      <c r="W244" s="64"/>
    </row>
    <row r="245" spans="1:23">
      <c r="A245" s="410">
        <f>+GAAP!A287</f>
        <v>56.101700000000001</v>
      </c>
      <c r="B245" s="57" t="str">
        <f>+GAAP!B287</f>
        <v>Bay Tech Engineering - SDDS Gate Valves Replacement – SF International Airport</v>
      </c>
      <c r="C245" s="214">
        <f>+GAAP!J287</f>
        <v>99118</v>
      </c>
      <c r="D245" s="214">
        <f t="shared" si="97"/>
        <v>3750</v>
      </c>
      <c r="E245" s="214">
        <f>+GAAP!C287</f>
        <v>102868</v>
      </c>
      <c r="F245" s="214">
        <f>+GAAP!F287</f>
        <v>95450.46</v>
      </c>
      <c r="G245" s="214">
        <f t="shared" si="98"/>
        <v>19444.539999999994</v>
      </c>
      <c r="H245" s="214">
        <f t="shared" si="99"/>
        <v>114895</v>
      </c>
      <c r="I245" s="214">
        <f>+GAAP!E287</f>
        <v>-12027</v>
      </c>
      <c r="J245" s="319">
        <f>+GAAP!G287</f>
        <v>0.83076252230297232</v>
      </c>
      <c r="K245" s="214">
        <f>+GAAP!H287</f>
        <v>-12027</v>
      </c>
      <c r="L245" s="214">
        <f>+GAAP!P287</f>
        <v>19016.572776670284</v>
      </c>
      <c r="M245" s="214">
        <f t="shared" si="100"/>
        <v>-31043.572776670284</v>
      </c>
      <c r="N245" s="118" t="str">
        <f>GAAP!T287</f>
        <v>2024</v>
      </c>
      <c r="O245" s="320">
        <f>+GAAP!U287</f>
        <v>0</v>
      </c>
      <c r="P245" s="321" t="str">
        <f>+GAAP!V287</f>
        <v>&lt; 250k</v>
      </c>
      <c r="Q245" s="116"/>
      <c r="R245" s="64"/>
      <c r="S245" s="64"/>
      <c r="T245" s="214"/>
      <c r="U245" s="64"/>
      <c r="V245" s="64"/>
      <c r="W245" s="64"/>
    </row>
    <row r="246" spans="1:23">
      <c r="A246" s="410">
        <f>+GAAP!A288</f>
        <v>56.101799999999997</v>
      </c>
      <c r="B246" s="57" t="str">
        <f>+GAAP!B288</f>
        <v>CM Controls - Salinas AG Industrial Phase 1 – City of Salinas</v>
      </c>
      <c r="C246" s="214">
        <f>+GAAP!J288</f>
        <v>50000</v>
      </c>
      <c r="D246" s="214">
        <f t="shared" si="97"/>
        <v>103913</v>
      </c>
      <c r="E246" s="214">
        <f>+GAAP!C288</f>
        <v>153913</v>
      </c>
      <c r="F246" s="214">
        <f>+GAAP!F288</f>
        <v>41991.15</v>
      </c>
      <c r="G246" s="214">
        <f t="shared" si="98"/>
        <v>29053.85</v>
      </c>
      <c r="H246" s="214">
        <f t="shared" si="99"/>
        <v>71045</v>
      </c>
      <c r="I246" s="214">
        <f>+GAAP!E288</f>
        <v>82868</v>
      </c>
      <c r="J246" s="319">
        <f>+GAAP!G288</f>
        <v>0.59105003870786121</v>
      </c>
      <c r="K246" s="214">
        <f>+GAAP!H288</f>
        <v>48979.134607643042</v>
      </c>
      <c r="L246" s="214">
        <f>+GAAP!P288</f>
        <v>31982.954561396826</v>
      </c>
      <c r="M246" s="214">
        <f t="shared" si="100"/>
        <v>16996.180046246216</v>
      </c>
      <c r="N246" s="118" t="str">
        <f>GAAP!T288</f>
        <v>2024</v>
      </c>
      <c r="O246" s="320">
        <f>+GAAP!U288</f>
        <v>0</v>
      </c>
      <c r="P246" s="321" t="str">
        <f>+GAAP!V288</f>
        <v>&lt; 250k</v>
      </c>
      <c r="Q246" s="116"/>
      <c r="R246" s="64"/>
      <c r="S246" s="64"/>
      <c r="T246" s="214"/>
      <c r="U246" s="64"/>
      <c r="V246" s="64"/>
      <c r="W246" s="64"/>
    </row>
    <row r="247" spans="1:23">
      <c r="A247" s="410">
        <f>+GAAP!A289</f>
        <v>56.103200000000001</v>
      </c>
      <c r="B247" s="57" t="str">
        <f>+GAAP!B289</f>
        <v>Newtron - Watsonville, City of - Zone 2 Water Res &amp; AirportBPS Mods</v>
      </c>
      <c r="C247" s="214">
        <f>+GAAP!J289</f>
        <v>0</v>
      </c>
      <c r="D247" s="214">
        <f t="shared" si="97"/>
        <v>85000</v>
      </c>
      <c r="E247" s="214">
        <f>+GAAP!C289</f>
        <v>85000</v>
      </c>
      <c r="F247" s="214">
        <f>+GAAP!F289</f>
        <v>35024.339999999997</v>
      </c>
      <c r="G247" s="214">
        <f t="shared" si="98"/>
        <v>47950.66</v>
      </c>
      <c r="H247" s="214">
        <f t="shared" si="99"/>
        <v>82975</v>
      </c>
      <c r="I247" s="214">
        <f>+GAAP!E289</f>
        <v>2025</v>
      </c>
      <c r="J247" s="319">
        <f>+GAAP!G289</f>
        <v>0.42210714070503158</v>
      </c>
      <c r="K247" s="214">
        <f>+GAAP!H289</f>
        <v>854.76695992768896</v>
      </c>
      <c r="L247" s="214">
        <f>+GAAP!P289</f>
        <v>1044.5898173599978</v>
      </c>
      <c r="M247" s="214">
        <f t="shared" si="100"/>
        <v>-189.82285743230887</v>
      </c>
      <c r="N247" s="118" t="str">
        <f>GAAP!T289</f>
        <v>2024</v>
      </c>
      <c r="O247" s="320">
        <f>+GAAP!U289</f>
        <v>0</v>
      </c>
      <c r="P247" s="321" t="str">
        <f>+GAAP!V289</f>
        <v>&lt; 250k</v>
      </c>
      <c r="Q247" s="116"/>
      <c r="R247" s="64"/>
      <c r="S247" s="64"/>
      <c r="T247" s="214"/>
      <c r="U247" s="64"/>
      <c r="V247" s="64"/>
      <c r="W247" s="64"/>
    </row>
    <row r="248" spans="1:23">
      <c r="A248" s="410">
        <f>+GAAP!A291</f>
        <v>56.103700000000003</v>
      </c>
      <c r="B248" s="57" t="str">
        <f>+GAAP!B291</f>
        <v>East Orange County Water District - EOCWD - On-Call SCADA Integration Services</v>
      </c>
      <c r="C248" s="214">
        <f>+GAAP!J291</f>
        <v>36491</v>
      </c>
      <c r="D248" s="214">
        <f t="shared" si="97"/>
        <v>0</v>
      </c>
      <c r="E248" s="214">
        <f>+GAAP!C291</f>
        <v>36491</v>
      </c>
      <c r="F248" s="214">
        <f>+GAAP!F291</f>
        <v>21674.2</v>
      </c>
      <c r="G248" s="214">
        <f t="shared" si="98"/>
        <v>0</v>
      </c>
      <c r="H248" s="214">
        <f t="shared" si="99"/>
        <v>21674.2</v>
      </c>
      <c r="I248" s="214">
        <f>+GAAP!E291</f>
        <v>14816.8</v>
      </c>
      <c r="J248" s="319">
        <f>+GAAP!G291</f>
        <v>1</v>
      </c>
      <c r="K248" s="214">
        <f>+GAAP!H291</f>
        <v>14816.8</v>
      </c>
      <c r="L248" s="214">
        <f>+GAAP!P291</f>
        <v>338.11999999999989</v>
      </c>
      <c r="M248" s="214">
        <f t="shared" si="100"/>
        <v>14478.68</v>
      </c>
      <c r="N248" s="118" t="str">
        <f>GAAP!T291</f>
        <v>2024</v>
      </c>
      <c r="O248" s="320">
        <f>+GAAP!U291</f>
        <v>0</v>
      </c>
      <c r="P248" s="321" t="str">
        <f>+GAAP!V291</f>
        <v>&lt; 250k</v>
      </c>
      <c r="Q248" s="116"/>
      <c r="R248" s="64"/>
      <c r="S248" s="64"/>
      <c r="T248" s="214"/>
      <c r="U248" s="64"/>
      <c r="V248" s="64"/>
      <c r="W248" s="64"/>
    </row>
    <row r="249" spans="1:23">
      <c r="A249" s="410">
        <f>+GAAP!A292</f>
        <v>56.1038</v>
      </c>
      <c r="B249" s="57" t="str">
        <f>+GAAP!B292</f>
        <v>Troxell JH Electrical Inc - Keyes CSD TCP Treatment Impvmts Wells 7,8,9,10</v>
      </c>
      <c r="C249" s="214">
        <f>+GAAP!J292</f>
        <v>0</v>
      </c>
      <c r="D249" s="214">
        <f t="shared" ref="D249" si="101">+E249-C249</f>
        <v>95000</v>
      </c>
      <c r="E249" s="214">
        <f>+GAAP!C292</f>
        <v>95000</v>
      </c>
      <c r="F249" s="214">
        <f>+GAAP!F292</f>
        <v>100049.89</v>
      </c>
      <c r="G249" s="214">
        <f t="shared" ref="G249" si="102">+H249-F249</f>
        <v>17326.11</v>
      </c>
      <c r="H249" s="214">
        <f t="shared" ref="H249" si="103">+E249-I249</f>
        <v>117376</v>
      </c>
      <c r="I249" s="214">
        <f>+GAAP!E292</f>
        <v>-22376</v>
      </c>
      <c r="J249" s="319">
        <f>+GAAP!G292</f>
        <v>0.85238796687568152</v>
      </c>
      <c r="K249" s="214">
        <f>+GAAP!H292</f>
        <v>-22376</v>
      </c>
      <c r="L249" s="214">
        <f>+GAAP!P292</f>
        <v>6303.4541681630926</v>
      </c>
      <c r="M249" s="214">
        <f t="shared" ref="M249" si="104">+K249-L249</f>
        <v>-28679.454168163094</v>
      </c>
      <c r="N249" s="118" t="str">
        <f>GAAP!T292</f>
        <v>2024</v>
      </c>
      <c r="O249" s="320">
        <f>+GAAP!U292</f>
        <v>0</v>
      </c>
      <c r="P249" s="321" t="str">
        <f>+GAAP!V292</f>
        <v>&lt; 250k</v>
      </c>
      <c r="Q249" s="116"/>
      <c r="R249" s="64"/>
      <c r="S249" s="64"/>
      <c r="T249" s="214"/>
      <c r="U249" s="64"/>
      <c r="V249" s="64"/>
      <c r="W249" s="64"/>
    </row>
    <row r="250" spans="1:23">
      <c r="A250" s="410">
        <f>+GAAP!A296</f>
        <v>56.104599999999998</v>
      </c>
      <c r="B250" s="57" t="str">
        <f>+GAAP!B296</f>
        <v>California Water Service Co. - SSF-1 - Visalia St. 97 Panelboard Mods</v>
      </c>
      <c r="C250" s="214">
        <f>+GAAP!J296</f>
        <v>75120</v>
      </c>
      <c r="D250" s="214">
        <f t="shared" si="97"/>
        <v>2000</v>
      </c>
      <c r="E250" s="214">
        <f>+GAAP!C296</f>
        <v>77120</v>
      </c>
      <c r="F250" s="214">
        <f>+GAAP!F296</f>
        <v>77765.8</v>
      </c>
      <c r="G250" s="214">
        <f t="shared" si="98"/>
        <v>2190.1999999999971</v>
      </c>
      <c r="H250" s="214">
        <f t="shared" si="99"/>
        <v>79956</v>
      </c>
      <c r="I250" s="214">
        <f>+GAAP!E296</f>
        <v>-2836</v>
      </c>
      <c r="J250" s="319">
        <f>+GAAP!G296</f>
        <v>0.97260743408874883</v>
      </c>
      <c r="K250" s="214">
        <f>+GAAP!H296</f>
        <v>-2836</v>
      </c>
      <c r="L250" s="214">
        <f>+GAAP!P296</f>
        <v>1603.6473077127516</v>
      </c>
      <c r="M250" s="214">
        <f t="shared" si="100"/>
        <v>-4439.6473077127521</v>
      </c>
      <c r="N250" s="118" t="str">
        <f>GAAP!T296</f>
        <v>2024</v>
      </c>
      <c r="O250" s="320">
        <f>+GAAP!U296</f>
        <v>0</v>
      </c>
      <c r="P250" s="321" t="str">
        <f>+GAAP!V296</f>
        <v>&lt; 250k</v>
      </c>
      <c r="Q250" s="116"/>
      <c r="R250" s="64"/>
      <c r="S250" s="64"/>
      <c r="T250" s="214"/>
      <c r="U250" s="64"/>
      <c r="V250" s="64"/>
      <c r="W250" s="64"/>
    </row>
    <row r="251" spans="1:23">
      <c r="A251" s="410">
        <f>+GAAP!A298</f>
        <v>56.104799999999997</v>
      </c>
      <c r="B251" s="57" t="str">
        <f>+GAAP!B298</f>
        <v>Blocka Construction, Inc - West Bay Sanitary District - Telemetry Panel Replacement</v>
      </c>
      <c r="C251" s="214">
        <f>+GAAP!J298</f>
        <v>187500</v>
      </c>
      <c r="D251" s="214">
        <f t="shared" si="97"/>
        <v>12500</v>
      </c>
      <c r="E251" s="214">
        <f>+GAAP!C298</f>
        <v>200000</v>
      </c>
      <c r="F251" s="214">
        <f>+GAAP!F298</f>
        <v>157916.15</v>
      </c>
      <c r="G251" s="214">
        <f t="shared" si="98"/>
        <v>3202.8500000000058</v>
      </c>
      <c r="H251" s="214">
        <f t="shared" si="99"/>
        <v>161119</v>
      </c>
      <c r="I251" s="214">
        <f>+GAAP!E298</f>
        <v>38881</v>
      </c>
      <c r="J251" s="319">
        <f>+GAAP!G298</f>
        <v>0.98012121475431202</v>
      </c>
      <c r="K251" s="214">
        <f>+GAAP!H298</f>
        <v>38108.092950862403</v>
      </c>
      <c r="L251" s="214">
        <f>+GAAP!P298</f>
        <v>34643.742911328278</v>
      </c>
      <c r="M251" s="214">
        <f t="shared" si="100"/>
        <v>3464.3500395341252</v>
      </c>
      <c r="N251" s="118" t="str">
        <f>GAAP!T298</f>
        <v>2024</v>
      </c>
      <c r="O251" s="320">
        <f>+GAAP!U298</f>
        <v>0</v>
      </c>
      <c r="P251" s="321" t="str">
        <f>+GAAP!V298</f>
        <v>&lt; 250k</v>
      </c>
      <c r="Q251" s="116"/>
      <c r="R251" s="64"/>
      <c r="S251" s="64"/>
      <c r="T251" s="214"/>
      <c r="U251" s="64"/>
      <c r="V251" s="64"/>
      <c r="W251" s="64"/>
    </row>
    <row r="252" spans="1:23">
      <c r="A252" s="410">
        <f>+GAAP!A301</f>
        <v>56.105499999999999</v>
      </c>
      <c r="B252" s="57" t="str">
        <f>+GAAP!B301</f>
        <v>Strategic Mechanical, Inc - Tranquility Irrigation District - Tranquility Well 8 Project</v>
      </c>
      <c r="C252" s="214">
        <f>+GAAP!J301</f>
        <v>120891</v>
      </c>
      <c r="D252" s="214">
        <f t="shared" si="97"/>
        <v>0</v>
      </c>
      <c r="E252" s="214">
        <f>+GAAP!C301</f>
        <v>120891</v>
      </c>
      <c r="F252" s="214">
        <f>+GAAP!F301</f>
        <v>78736.44</v>
      </c>
      <c r="G252" s="214">
        <f t="shared" si="98"/>
        <v>14111.559999999998</v>
      </c>
      <c r="H252" s="214">
        <f t="shared" si="99"/>
        <v>92848</v>
      </c>
      <c r="I252" s="214">
        <f>+GAAP!E301</f>
        <v>28043</v>
      </c>
      <c r="J252" s="319">
        <f>+GAAP!G301</f>
        <v>0.84801438910908156</v>
      </c>
      <c r="K252" s="214">
        <f>+GAAP!H301</f>
        <v>23780.867513785975</v>
      </c>
      <c r="L252" s="214">
        <f>+GAAP!P301</f>
        <v>2514.9895595313742</v>
      </c>
      <c r="M252" s="214">
        <f t="shared" si="100"/>
        <v>21265.8779542546</v>
      </c>
      <c r="N252" s="118" t="str">
        <f>GAAP!T301</f>
        <v>2024</v>
      </c>
      <c r="O252" s="320">
        <f>+GAAP!U301</f>
        <v>0</v>
      </c>
      <c r="P252" s="321" t="str">
        <f>+GAAP!V301</f>
        <v>&lt; 250k</v>
      </c>
      <c r="Q252" s="116"/>
      <c r="R252" s="64"/>
      <c r="S252" s="64"/>
      <c r="T252" s="214"/>
      <c r="U252" s="64"/>
      <c r="V252" s="64"/>
      <c r="W252" s="64"/>
    </row>
    <row r="253" spans="1:23">
      <c r="A253" s="410">
        <f>+GAAP!A304</f>
        <v>56.106299999999997</v>
      </c>
      <c r="B253" s="57" t="str">
        <f>+GAAP!B304</f>
        <v>Bay Tech Engineering - West Bay Sanitary District - Stowe Lane Pump Station Project</v>
      </c>
      <c r="C253" s="214">
        <f>+GAAP!J304</f>
        <v>10000</v>
      </c>
      <c r="D253" s="214">
        <f t="shared" si="97"/>
        <v>98000</v>
      </c>
      <c r="E253" s="214">
        <f>+GAAP!C304</f>
        <v>108000</v>
      </c>
      <c r="F253" s="214">
        <f>+GAAP!F304</f>
        <v>74040.41</v>
      </c>
      <c r="G253" s="214">
        <f t="shared" si="98"/>
        <v>23880.589999999997</v>
      </c>
      <c r="H253" s="214">
        <f t="shared" si="99"/>
        <v>97921</v>
      </c>
      <c r="I253" s="214">
        <f>+GAAP!E304</f>
        <v>10079</v>
      </c>
      <c r="J253" s="319">
        <f>+GAAP!G304</f>
        <v>0.75612391621817587</v>
      </c>
      <c r="K253" s="214">
        <f>+GAAP!H304</f>
        <v>7620.9729515629942</v>
      </c>
      <c r="L253" s="214">
        <f>+GAAP!P304</f>
        <v>2968.0708063102543</v>
      </c>
      <c r="M253" s="214">
        <f t="shared" si="100"/>
        <v>4652.9021452527395</v>
      </c>
      <c r="N253" s="118" t="str">
        <f>GAAP!T304</f>
        <v>2024</v>
      </c>
      <c r="O253" s="320">
        <f>+GAAP!U304</f>
        <v>0</v>
      </c>
      <c r="P253" s="321" t="str">
        <f>+GAAP!V304</f>
        <v>&lt; 250k</v>
      </c>
      <c r="Q253" s="116"/>
      <c r="R253" s="64"/>
      <c r="S253" s="64"/>
      <c r="T253" s="214"/>
      <c r="U253" s="64"/>
      <c r="V253" s="64"/>
      <c r="W253" s="64"/>
    </row>
    <row r="254" spans="1:23">
      <c r="A254" s="410">
        <f>+GAAP!A307</f>
        <v>56.107300000000002</v>
      </c>
      <c r="B254" s="57" t="str">
        <f>+GAAP!B307</f>
        <v>California Water Service Co. - Stockton Station 66-02 Panelboard Replacement - California W</v>
      </c>
      <c r="C254" s="214">
        <f>+GAAP!J307</f>
        <v>0</v>
      </c>
      <c r="D254" s="214">
        <f t="shared" si="97"/>
        <v>122210</v>
      </c>
      <c r="E254" s="214">
        <f>+GAAP!C307</f>
        <v>122210</v>
      </c>
      <c r="F254" s="214">
        <f>+GAAP!F307</f>
        <v>108855.81</v>
      </c>
      <c r="G254" s="214">
        <f t="shared" si="98"/>
        <v>5191.1900000000023</v>
      </c>
      <c r="H254" s="214">
        <f t="shared" si="99"/>
        <v>114047</v>
      </c>
      <c r="I254" s="214">
        <f>+GAAP!E307</f>
        <v>8163</v>
      </c>
      <c r="J254" s="319">
        <f>+GAAP!G307</f>
        <v>0.95448201180215175</v>
      </c>
      <c r="K254" s="214">
        <f>+GAAP!H307</f>
        <v>7791.4366623409651</v>
      </c>
      <c r="L254" s="214">
        <f>+GAAP!P307</f>
        <v>0</v>
      </c>
      <c r="M254" s="214">
        <f t="shared" si="100"/>
        <v>7791.4366623409651</v>
      </c>
      <c r="N254" s="118" t="str">
        <f>GAAP!T307</f>
        <v>2025</v>
      </c>
      <c r="O254" s="320">
        <f>+GAAP!U307</f>
        <v>0</v>
      </c>
      <c r="P254" s="321" t="str">
        <f>+GAAP!V307</f>
        <v>&lt; 250k</v>
      </c>
      <c r="Q254" s="116"/>
      <c r="R254" s="64"/>
      <c r="S254" s="64"/>
      <c r="T254" s="214"/>
      <c r="U254" s="64"/>
      <c r="V254" s="64"/>
      <c r="W254" s="64"/>
    </row>
    <row r="255" spans="1:23">
      <c r="A255" s="410">
        <f>+GAAP!A309</f>
        <v>56.107799999999997</v>
      </c>
      <c r="B255" s="57" t="str">
        <f>+GAAP!B309</f>
        <v>City of Napa - On-Call Control Systems Integrator Services</v>
      </c>
      <c r="C255" s="214">
        <f>+GAAP!J309</f>
        <v>17050.240000000002</v>
      </c>
      <c r="D255" s="214">
        <f t="shared" si="97"/>
        <v>8306.0099999999984</v>
      </c>
      <c r="E255" s="214">
        <f>+GAAP!C309</f>
        <v>25356.25</v>
      </c>
      <c r="F255" s="214">
        <f>+GAAP!F309</f>
        <v>25356.25</v>
      </c>
      <c r="G255" s="214">
        <f t="shared" si="98"/>
        <v>0</v>
      </c>
      <c r="H255" s="214">
        <f t="shared" si="99"/>
        <v>25356.25</v>
      </c>
      <c r="I255" s="214">
        <f>+GAAP!E309</f>
        <v>0</v>
      </c>
      <c r="J255" s="319">
        <f>+GAAP!G309</f>
        <v>1</v>
      </c>
      <c r="K255" s="214">
        <f>+GAAP!H309</f>
        <v>0</v>
      </c>
      <c r="L255" s="214">
        <f>+GAAP!P309</f>
        <v>0</v>
      </c>
      <c r="M255" s="214">
        <f t="shared" si="100"/>
        <v>0</v>
      </c>
      <c r="N255" s="118" t="str">
        <f>GAAP!T309</f>
        <v>2025</v>
      </c>
      <c r="O255" s="320">
        <f>+GAAP!U309</f>
        <v>0</v>
      </c>
      <c r="P255" s="321" t="str">
        <f>+GAAP!V309</f>
        <v>&lt; 250k</v>
      </c>
      <c r="Q255" s="116"/>
      <c r="R255" s="64"/>
      <c r="S255" s="64"/>
      <c r="T255" s="214"/>
      <c r="U255" s="64"/>
      <c r="V255" s="64"/>
      <c r="W255" s="64"/>
    </row>
    <row r="256" spans="1:23">
      <c r="A256" s="410">
        <f>+GAAP!A310</f>
        <v>56.1081</v>
      </c>
      <c r="B256" s="57" t="str">
        <f>+GAAP!B310</f>
        <v>Rancho Murieta Community Service District - RFP for Replacement of WTP SCADA</v>
      </c>
      <c r="C256" s="214">
        <f>+GAAP!J310</f>
        <v>164416.35</v>
      </c>
      <c r="D256" s="214">
        <f t="shared" si="97"/>
        <v>15273.649999999994</v>
      </c>
      <c r="E256" s="214">
        <f>+GAAP!C310</f>
        <v>179690</v>
      </c>
      <c r="F256" s="214">
        <f>+GAAP!F310</f>
        <v>156744.37</v>
      </c>
      <c r="G256" s="214">
        <f t="shared" si="98"/>
        <v>3040.6300000000047</v>
      </c>
      <c r="H256" s="214">
        <f t="shared" si="99"/>
        <v>159785</v>
      </c>
      <c r="I256" s="214">
        <f>+GAAP!E310</f>
        <v>19905</v>
      </c>
      <c r="J256" s="319">
        <f>+GAAP!G310</f>
        <v>0.98097049159808491</v>
      </c>
      <c r="K256" s="214">
        <f>+GAAP!H310</f>
        <v>19526.21763525988</v>
      </c>
      <c r="L256" s="214">
        <f>+GAAP!P310</f>
        <v>0</v>
      </c>
      <c r="M256" s="214">
        <f t="shared" si="100"/>
        <v>19526.21763525988</v>
      </c>
      <c r="N256" s="118" t="str">
        <f>GAAP!T310</f>
        <v>2025</v>
      </c>
      <c r="O256" s="320">
        <f>+GAAP!U310</f>
        <v>0</v>
      </c>
      <c r="P256" s="321" t="str">
        <f>+GAAP!V310</f>
        <v>&lt; 250k</v>
      </c>
      <c r="Q256" s="116"/>
      <c r="R256" s="64"/>
      <c r="S256" s="64"/>
      <c r="T256" s="214"/>
      <c r="U256" s="64"/>
      <c r="V256" s="64"/>
      <c r="W256" s="64"/>
    </row>
    <row r="257" spans="1:23">
      <c r="A257" s="410">
        <f>+GAAP!A312</f>
        <v>56.108499999999999</v>
      </c>
      <c r="B257" s="57" t="str">
        <f>+GAAP!B312</f>
        <v>Bullert Industrial Electric, Inc - Pkg 3 Chico PFAS RFP (CTS) - California Water Service</v>
      </c>
      <c r="C257" s="214">
        <f>+GAAP!J312</f>
        <v>0</v>
      </c>
      <c r="D257" s="214">
        <f t="shared" si="97"/>
        <v>80000</v>
      </c>
      <c r="E257" s="214">
        <f>+GAAP!C312</f>
        <v>80000</v>
      </c>
      <c r="F257" s="214">
        <f>+GAAP!F312</f>
        <v>1090.31</v>
      </c>
      <c r="G257" s="214">
        <f t="shared" si="98"/>
        <v>65864.69</v>
      </c>
      <c r="H257" s="214">
        <f t="shared" si="99"/>
        <v>66955</v>
      </c>
      <c r="I257" s="214">
        <f>+GAAP!E312</f>
        <v>13045</v>
      </c>
      <c r="J257" s="319">
        <f>+GAAP!G312</f>
        <v>1.6284220745276679E-2</v>
      </c>
      <c r="K257" s="214">
        <f>+GAAP!H312</f>
        <v>0</v>
      </c>
      <c r="L257" s="214">
        <f>+GAAP!P312</f>
        <v>0</v>
      </c>
      <c r="M257" s="214">
        <f t="shared" si="100"/>
        <v>0</v>
      </c>
      <c r="N257" s="118" t="str">
        <f>GAAP!T312</f>
        <v>2025</v>
      </c>
      <c r="O257" s="320">
        <f>+GAAP!U312</f>
        <v>0</v>
      </c>
      <c r="P257" s="321" t="str">
        <f>+GAAP!V312</f>
        <v>&lt; 250k</v>
      </c>
      <c r="Q257" s="116"/>
      <c r="R257" s="64"/>
      <c r="S257" s="64"/>
      <c r="T257" s="214"/>
      <c r="U257" s="64"/>
      <c r="V257" s="64"/>
      <c r="W257" s="64"/>
    </row>
    <row r="258" spans="1:23">
      <c r="A258" s="410">
        <f>+GAAP!A314</f>
        <v>56.108699999999999</v>
      </c>
      <c r="B258" s="57" t="str">
        <f>+GAAP!B314</f>
        <v>San Gabrial Valley Water Companyy - WNOU Plant Replacement Flow Transmitters</v>
      </c>
      <c r="C258" s="214">
        <f>+GAAP!J314</f>
        <v>37977</v>
      </c>
      <c r="D258" s="214">
        <f t="shared" si="97"/>
        <v>11392</v>
      </c>
      <c r="E258" s="214">
        <f>+GAAP!C314</f>
        <v>49369</v>
      </c>
      <c r="F258" s="214">
        <f>+GAAP!F314</f>
        <v>39121.54</v>
      </c>
      <c r="G258" s="214">
        <f t="shared" si="98"/>
        <v>3904.4599999999991</v>
      </c>
      <c r="H258" s="214">
        <f t="shared" si="99"/>
        <v>43026</v>
      </c>
      <c r="I258" s="214">
        <f>+GAAP!E314</f>
        <v>6343</v>
      </c>
      <c r="J258" s="319">
        <f>+GAAP!G314</f>
        <v>0.90925347464323902</v>
      </c>
      <c r="K258" s="214">
        <f>+GAAP!H314</f>
        <v>5767.3947896620648</v>
      </c>
      <c r="L258" s="214">
        <f>+GAAP!P314</f>
        <v>0</v>
      </c>
      <c r="M258" s="214">
        <f t="shared" si="100"/>
        <v>5767.3947896620648</v>
      </c>
      <c r="N258" s="118" t="str">
        <f>GAAP!T314</f>
        <v>2025</v>
      </c>
      <c r="O258" s="320">
        <f>+GAAP!U314</f>
        <v>0</v>
      </c>
      <c r="P258" s="321" t="str">
        <f>+GAAP!V314</f>
        <v>&lt; 250k</v>
      </c>
      <c r="Q258" s="116"/>
      <c r="R258" s="64"/>
      <c r="S258" s="64"/>
      <c r="T258" s="214"/>
      <c r="U258" s="64"/>
      <c r="V258" s="64"/>
      <c r="W258" s="64"/>
    </row>
    <row r="259" spans="1:23">
      <c r="A259" s="410">
        <f>+GAAP!A315</f>
        <v>56.108800000000002</v>
      </c>
      <c r="B259" s="57" t="str">
        <f>+GAAP!B315</f>
        <v>California Water Service Company - Salinas District Station 304 Panelboard Replacement - Califo</v>
      </c>
      <c r="C259" s="214">
        <f>+GAAP!J315</f>
        <v>0</v>
      </c>
      <c r="D259" s="214">
        <f t="shared" si="97"/>
        <v>117985</v>
      </c>
      <c r="E259" s="214">
        <f>+GAAP!C315</f>
        <v>117985</v>
      </c>
      <c r="F259" s="214">
        <f>+GAAP!F315</f>
        <v>66827.490000000005</v>
      </c>
      <c r="G259" s="214">
        <f t="shared" si="98"/>
        <v>18577.509999999995</v>
      </c>
      <c r="H259" s="214">
        <f t="shared" si="99"/>
        <v>85405</v>
      </c>
      <c r="I259" s="214">
        <f>+GAAP!E315</f>
        <v>32580</v>
      </c>
      <c r="J259" s="319">
        <f>+GAAP!G315</f>
        <v>0.78247748960833685</v>
      </c>
      <c r="K259" s="214">
        <f>+GAAP!H315</f>
        <v>25493.116611439615</v>
      </c>
      <c r="L259" s="214">
        <f>+GAAP!P315</f>
        <v>0</v>
      </c>
      <c r="M259" s="214">
        <f t="shared" si="100"/>
        <v>25493.116611439615</v>
      </c>
      <c r="N259" s="118" t="str">
        <f>GAAP!T315</f>
        <v>2025</v>
      </c>
      <c r="O259" s="320">
        <f>+GAAP!U315</f>
        <v>0</v>
      </c>
      <c r="P259" s="321" t="str">
        <f>+GAAP!V315</f>
        <v>&lt; 250k</v>
      </c>
      <c r="Q259" s="116"/>
      <c r="R259" s="64"/>
      <c r="S259" s="64"/>
      <c r="T259" s="214"/>
      <c r="U259" s="64"/>
      <c r="V259" s="64"/>
      <c r="W259" s="64"/>
    </row>
    <row r="260" spans="1:23">
      <c r="A260" s="410">
        <f>+GAAP!A320</f>
        <v>56.100200000000001</v>
      </c>
      <c r="B260" s="57" t="str">
        <f>+GAAP!B320</f>
        <v>San Joaquin Electric - Bowman WTP Phase 3 Improvements - Placer County Water Agency</v>
      </c>
      <c r="C260" s="214">
        <f>+GAAP!J320</f>
        <v>185000</v>
      </c>
      <c r="D260" s="214">
        <f t="shared" si="97"/>
        <v>0</v>
      </c>
      <c r="E260" s="214">
        <f>+GAAP!C320</f>
        <v>185000</v>
      </c>
      <c r="F260" s="214">
        <f>+GAAP!F320</f>
        <v>114485.82</v>
      </c>
      <c r="G260" s="214">
        <f t="shared" si="98"/>
        <v>0</v>
      </c>
      <c r="H260" s="214">
        <f t="shared" si="99"/>
        <v>114485.82</v>
      </c>
      <c r="I260" s="214">
        <f>+GAAP!E320</f>
        <v>70514.179999999993</v>
      </c>
      <c r="J260" s="319">
        <f>+GAAP!G320</f>
        <v>1</v>
      </c>
      <c r="K260" s="214">
        <f>+GAAP!H320</f>
        <v>70514.179999999993</v>
      </c>
      <c r="L260" s="214">
        <f>+GAAP!P320</f>
        <v>50745.239508834726</v>
      </c>
      <c r="M260" s="214">
        <f t="shared" si="100"/>
        <v>19768.940491165267</v>
      </c>
      <c r="N260" s="118" t="str">
        <f>GAAP!T320</f>
        <v>2024</v>
      </c>
      <c r="O260" s="320" t="str">
        <f>+GAAP!U320</f>
        <v>2025</v>
      </c>
      <c r="P260" s="321" t="str">
        <f>+GAAP!V320</f>
        <v>&lt; 250k</v>
      </c>
      <c r="Q260" s="116"/>
      <c r="R260" s="64"/>
      <c r="S260" s="64"/>
      <c r="T260" s="214"/>
      <c r="U260" s="64"/>
      <c r="V260" s="64"/>
      <c r="W260" s="64"/>
    </row>
    <row r="261" spans="1:23">
      <c r="A261" s="410">
        <f>+GAAP!A322</f>
        <v>56.100700000000003</v>
      </c>
      <c r="B261" s="57" t="str">
        <f>+GAAP!B322</f>
        <v>Fusion Electric - Waterman WTP Ozone System Improvements - City of Fairfield</v>
      </c>
      <c r="C261" s="214">
        <f>+GAAP!J322</f>
        <v>16814</v>
      </c>
      <c r="D261" s="214">
        <f t="shared" si="97"/>
        <v>0</v>
      </c>
      <c r="E261" s="214">
        <f>+GAAP!C322</f>
        <v>16814</v>
      </c>
      <c r="F261" s="214">
        <f>+GAAP!F322</f>
        <v>19362.98</v>
      </c>
      <c r="G261" s="214">
        <f t="shared" si="98"/>
        <v>0</v>
      </c>
      <c r="H261" s="214">
        <f t="shared" si="99"/>
        <v>19362.98</v>
      </c>
      <c r="I261" s="214">
        <f>+GAAP!E322</f>
        <v>-2548.9799999999996</v>
      </c>
      <c r="J261" s="319">
        <f>+GAAP!G322</f>
        <v>1</v>
      </c>
      <c r="K261" s="214">
        <f>+GAAP!H322</f>
        <v>-2548.9799999999996</v>
      </c>
      <c r="L261" s="214">
        <f>+GAAP!P322</f>
        <v>3177.4410223965583</v>
      </c>
      <c r="M261" s="214">
        <f t="shared" si="100"/>
        <v>-5726.4210223965583</v>
      </c>
      <c r="N261" s="118" t="str">
        <f>GAAP!T322</f>
        <v>2024</v>
      </c>
      <c r="O261" s="320" t="str">
        <f>+GAAP!U322</f>
        <v>2025</v>
      </c>
      <c r="P261" s="321" t="str">
        <f>+GAAP!V322</f>
        <v>&lt; 250k</v>
      </c>
      <c r="Q261" s="116"/>
      <c r="R261" s="64"/>
      <c r="S261" s="64"/>
      <c r="T261" s="214"/>
      <c r="U261" s="64"/>
      <c r="V261" s="64"/>
      <c r="W261" s="64"/>
    </row>
    <row r="262" spans="1:23">
      <c r="A262" s="410">
        <f>+GAAP!A323</f>
        <v>56.1008</v>
      </c>
      <c r="B262" s="57" t="str">
        <f>+GAAP!B323</f>
        <v>SD Electric, Inc. - Treatment Plant Seismic Retrofit of Secondary Clarifiers</v>
      </c>
      <c r="C262" s="214">
        <f>+GAAP!J323</f>
        <v>55000</v>
      </c>
      <c r="D262" s="214">
        <f t="shared" si="97"/>
        <v>0</v>
      </c>
      <c r="E262" s="214">
        <f>+GAAP!C323</f>
        <v>55000</v>
      </c>
      <c r="F262" s="214">
        <f>+GAAP!F323</f>
        <v>30551.919999999998</v>
      </c>
      <c r="G262" s="214">
        <f t="shared" si="98"/>
        <v>0</v>
      </c>
      <c r="H262" s="214">
        <f t="shared" si="99"/>
        <v>30551.919999999998</v>
      </c>
      <c r="I262" s="214">
        <f>+GAAP!E323</f>
        <v>24448.080000000002</v>
      </c>
      <c r="J262" s="319">
        <f>+GAAP!G323</f>
        <v>1</v>
      </c>
      <c r="K262" s="214">
        <f>+GAAP!H323</f>
        <v>24448.080000000002</v>
      </c>
      <c r="L262" s="214">
        <f>+GAAP!P323</f>
        <v>23094.02235391947</v>
      </c>
      <c r="M262" s="214">
        <f t="shared" si="100"/>
        <v>1354.0576460805314</v>
      </c>
      <c r="N262" s="118" t="str">
        <f>GAAP!T323</f>
        <v>2024</v>
      </c>
      <c r="O262" s="320" t="str">
        <f>+GAAP!U323</f>
        <v>2025</v>
      </c>
      <c r="P262" s="321" t="str">
        <f>+GAAP!V323</f>
        <v>&lt; 250k</v>
      </c>
      <c r="Q262" s="116"/>
      <c r="R262" s="64"/>
      <c r="S262" s="64"/>
      <c r="T262" s="214"/>
      <c r="U262" s="64"/>
      <c r="V262" s="64"/>
      <c r="W262" s="64"/>
    </row>
    <row r="263" spans="1:23">
      <c r="A263" s="410" t="str">
        <f>+GAAP!A324</f>
        <v>56.1010.01</v>
      </c>
      <c r="B263" s="57" t="str">
        <f>+GAAP!B324</f>
        <v>Placer County Water Agency - Auburn WTP Removal of 531s from Filter Control Panels</v>
      </c>
      <c r="C263" s="214">
        <f>+GAAP!J324</f>
        <v>9569</v>
      </c>
      <c r="D263" s="214">
        <f t="shared" si="97"/>
        <v>0</v>
      </c>
      <c r="E263" s="214">
        <f>+GAAP!C324</f>
        <v>9569</v>
      </c>
      <c r="F263" s="214">
        <f>+GAAP!F324</f>
        <v>7097.1</v>
      </c>
      <c r="G263" s="214">
        <f t="shared" si="98"/>
        <v>0</v>
      </c>
      <c r="H263" s="214">
        <f t="shared" si="99"/>
        <v>7097.1</v>
      </c>
      <c r="I263" s="214">
        <f>+GAAP!E324</f>
        <v>2471.8999999999996</v>
      </c>
      <c r="J263" s="319">
        <f>+GAAP!G324</f>
        <v>1</v>
      </c>
      <c r="K263" s="214">
        <f>+GAAP!H324</f>
        <v>2471.8999999999996</v>
      </c>
      <c r="L263" s="214">
        <f>+GAAP!P324</f>
        <v>619.64706943899569</v>
      </c>
      <c r="M263" s="214">
        <f t="shared" si="100"/>
        <v>1852.252930561004</v>
      </c>
      <c r="N263" s="118" t="str">
        <f>GAAP!T324</f>
        <v>2024</v>
      </c>
      <c r="O263" s="320" t="str">
        <f>+GAAP!U324</f>
        <v>2025</v>
      </c>
      <c r="P263" s="321" t="str">
        <f>+GAAP!V324</f>
        <v>&lt; 250k</v>
      </c>
      <c r="Q263" s="116"/>
      <c r="R263" s="64"/>
      <c r="S263" s="64"/>
      <c r="T263" s="214"/>
      <c r="U263" s="64"/>
      <c r="V263" s="64"/>
      <c r="W263" s="64"/>
    </row>
    <row r="264" spans="1:23">
      <c r="A264" s="410">
        <f>+GAAP!A325</f>
        <v>56.101599999999998</v>
      </c>
      <c r="B264" s="57" t="str">
        <f>+GAAP!B325</f>
        <v>Trabuco Canyon Water Dist. - On-Call Services - Trabuco Canyon Water District</v>
      </c>
      <c r="C264" s="214">
        <f>+GAAP!J325</f>
        <v>150064.25</v>
      </c>
      <c r="D264" s="214">
        <f t="shared" si="97"/>
        <v>0</v>
      </c>
      <c r="E264" s="214">
        <f>+GAAP!C325</f>
        <v>150064.25</v>
      </c>
      <c r="F264" s="214">
        <f>+GAAP!F325</f>
        <v>110083.62000000001</v>
      </c>
      <c r="G264" s="214">
        <f t="shared" si="98"/>
        <v>0</v>
      </c>
      <c r="H264" s="214">
        <f t="shared" si="99"/>
        <v>110083.62000000001</v>
      </c>
      <c r="I264" s="214">
        <f>+GAAP!E325</f>
        <v>39980.62999999999</v>
      </c>
      <c r="J264" s="319">
        <f>+GAAP!G325</f>
        <v>1</v>
      </c>
      <c r="K264" s="214">
        <f>+GAAP!H325</f>
        <v>39980.62999999999</v>
      </c>
      <c r="L264" s="214">
        <f>+GAAP!P325</f>
        <v>14743.36</v>
      </c>
      <c r="M264" s="214">
        <f t="shared" si="100"/>
        <v>25237.26999999999</v>
      </c>
      <c r="N264" s="118" t="str">
        <f>GAAP!T325</f>
        <v>2024</v>
      </c>
      <c r="O264" s="320" t="str">
        <f>+GAAP!U325</f>
        <v>2025</v>
      </c>
      <c r="P264" s="321" t="str">
        <f>+GAAP!V325</f>
        <v>&lt; 250k</v>
      </c>
      <c r="Q264" s="116"/>
      <c r="R264" s="64"/>
      <c r="S264" s="64"/>
      <c r="T264" s="214"/>
      <c r="U264" s="64"/>
      <c r="V264" s="64"/>
      <c r="W264" s="64"/>
    </row>
    <row r="265" spans="1:23">
      <c r="A265" s="410">
        <f>+GAAP!A326</f>
        <v>56.101900000000001</v>
      </c>
      <c r="B265" s="57" t="str">
        <f>+GAAP!B326</f>
        <v>Conco-West - Monte Vista Collection Subdivision (Onsite) - Stanislaus Co.</v>
      </c>
      <c r="C265" s="214">
        <f>+GAAP!J326</f>
        <v>193845</v>
      </c>
      <c r="D265" s="214">
        <f t="shared" si="97"/>
        <v>0</v>
      </c>
      <c r="E265" s="214">
        <f>+GAAP!C326</f>
        <v>193845</v>
      </c>
      <c r="F265" s="214">
        <f>+GAAP!F326</f>
        <v>143764.57999999999</v>
      </c>
      <c r="G265" s="214">
        <f t="shared" si="98"/>
        <v>0</v>
      </c>
      <c r="H265" s="214">
        <f t="shared" si="99"/>
        <v>143764.57999999999</v>
      </c>
      <c r="I265" s="214">
        <f>+GAAP!E326</f>
        <v>50080.420000000013</v>
      </c>
      <c r="J265" s="319">
        <f>+GAAP!G326</f>
        <v>1</v>
      </c>
      <c r="K265" s="214">
        <f>+GAAP!H326</f>
        <v>50080.420000000013</v>
      </c>
      <c r="L265" s="214">
        <f>+GAAP!P326</f>
        <v>4594.7942619688129</v>
      </c>
      <c r="M265" s="214">
        <f t="shared" si="100"/>
        <v>45485.625738031202</v>
      </c>
      <c r="N265" s="118" t="str">
        <f>GAAP!T326</f>
        <v>2024</v>
      </c>
      <c r="O265" s="320" t="str">
        <f>+GAAP!U326</f>
        <v>2025</v>
      </c>
      <c r="P265" s="321" t="str">
        <f>+GAAP!V326</f>
        <v>&lt; 250k</v>
      </c>
      <c r="Q265" s="116"/>
      <c r="R265" s="64"/>
      <c r="S265" s="64"/>
      <c r="T265" s="214"/>
      <c r="U265" s="64"/>
      <c r="V265" s="64"/>
      <c r="W265" s="64"/>
    </row>
    <row r="266" spans="1:23">
      <c r="A266" s="410">
        <f>+GAAP!A327</f>
        <v>56.1021</v>
      </c>
      <c r="B266" s="57" t="str">
        <f>+GAAP!B327</f>
        <v>Darrel Varni Electric, Inc. - City of Santa Cruz – Rail Trail Segment 7 – Phase 2</v>
      </c>
      <c r="C266" s="214">
        <f>+GAAP!J327</f>
        <v>244760</v>
      </c>
      <c r="D266" s="214">
        <f t="shared" si="97"/>
        <v>0</v>
      </c>
      <c r="E266" s="214">
        <f>+GAAP!C327</f>
        <v>244760</v>
      </c>
      <c r="F266" s="214">
        <f>+GAAP!F327</f>
        <v>116752.52</v>
      </c>
      <c r="G266" s="214">
        <f t="shared" si="98"/>
        <v>0</v>
      </c>
      <c r="H266" s="214">
        <f t="shared" si="99"/>
        <v>116752.52</v>
      </c>
      <c r="I266" s="214">
        <f>+GAAP!E327</f>
        <v>128007.48</v>
      </c>
      <c r="J266" s="319">
        <f>+GAAP!G327</f>
        <v>1</v>
      </c>
      <c r="K266" s="214">
        <f>+GAAP!H327</f>
        <v>128007.48</v>
      </c>
      <c r="L266" s="214">
        <f>+GAAP!P327</f>
        <v>38878.539262879734</v>
      </c>
      <c r="M266" s="214">
        <f t="shared" si="100"/>
        <v>89128.940737120254</v>
      </c>
      <c r="N266" s="118" t="str">
        <f>GAAP!T327</f>
        <v>2024</v>
      </c>
      <c r="O266" s="320" t="str">
        <f>+GAAP!U327</f>
        <v>2025</v>
      </c>
      <c r="P266" s="321" t="str">
        <f>+GAAP!V327</f>
        <v>&lt; 250k</v>
      </c>
      <c r="Q266" s="116"/>
      <c r="R266" s="64"/>
      <c r="S266" s="64"/>
      <c r="T266" s="214"/>
      <c r="U266" s="64"/>
      <c r="V266" s="64"/>
      <c r="W266" s="64"/>
    </row>
    <row r="267" spans="1:23">
      <c r="A267" s="410">
        <f>+GAAP!A328</f>
        <v>56.102200000000003</v>
      </c>
      <c r="B267" s="57" t="str">
        <f>+GAAP!B328</f>
        <v>W.M. Lyles Co. - Graham Hill WTP Facility Improvements - City of Santa Cruz</v>
      </c>
      <c r="C267" s="214">
        <f>+GAAP!J328</f>
        <v>0</v>
      </c>
      <c r="D267" s="214">
        <f t="shared" si="97"/>
        <v>0</v>
      </c>
      <c r="E267" s="214">
        <f>+GAAP!C328</f>
        <v>0</v>
      </c>
      <c r="F267" s="214">
        <f>+GAAP!F328</f>
        <v>0</v>
      </c>
      <c r="G267" s="214">
        <f t="shared" si="98"/>
        <v>0</v>
      </c>
      <c r="H267" s="214">
        <f t="shared" si="99"/>
        <v>0</v>
      </c>
      <c r="I267" s="214">
        <f>+GAAP!E328</f>
        <v>0</v>
      </c>
      <c r="J267" s="319">
        <f>+GAAP!G328</f>
        <v>0</v>
      </c>
      <c r="K267" s="214">
        <f>+GAAP!H328</f>
        <v>0</v>
      </c>
      <c r="L267" s="214">
        <f>+GAAP!P328</f>
        <v>0</v>
      </c>
      <c r="M267" s="214">
        <f t="shared" si="100"/>
        <v>0</v>
      </c>
      <c r="N267" s="118" t="str">
        <f>GAAP!T328</f>
        <v>2024</v>
      </c>
      <c r="O267" s="320" t="str">
        <f>+GAAP!U328</f>
        <v>2025</v>
      </c>
      <c r="P267" s="321" t="str">
        <f>+GAAP!V328</f>
        <v>&lt; 250k</v>
      </c>
      <c r="Q267" s="116"/>
      <c r="R267" s="64"/>
      <c r="S267" s="64"/>
      <c r="T267" s="214"/>
      <c r="U267" s="64"/>
      <c r="V267" s="64"/>
      <c r="W267" s="64"/>
    </row>
    <row r="268" spans="1:23">
      <c r="A268" s="410">
        <f>+GAAP!A329</f>
        <v>56.1023</v>
      </c>
      <c r="B268" s="57" t="str">
        <f>+GAAP!B329</f>
        <v>Cal Electro Inc. - 13th Street OC Pumping Plant Upgrade</v>
      </c>
      <c r="C268" s="214">
        <f>+GAAP!J329</f>
        <v>220390</v>
      </c>
      <c r="D268" s="214">
        <f t="shared" si="97"/>
        <v>0</v>
      </c>
      <c r="E268" s="214">
        <f>+GAAP!C329</f>
        <v>220390</v>
      </c>
      <c r="F268" s="214">
        <f>+GAAP!F329</f>
        <v>150504.73000000001</v>
      </c>
      <c r="G268" s="214">
        <f t="shared" si="98"/>
        <v>0</v>
      </c>
      <c r="H268" s="214">
        <f t="shared" si="99"/>
        <v>150504.73000000001</v>
      </c>
      <c r="I268" s="214">
        <f>+GAAP!E329</f>
        <v>69885.26999999999</v>
      </c>
      <c r="J268" s="319">
        <f>+GAAP!G329</f>
        <v>1</v>
      </c>
      <c r="K268" s="214">
        <f>+GAAP!H329</f>
        <v>69885.26999999999</v>
      </c>
      <c r="L268" s="214">
        <f>+GAAP!P329</f>
        <v>40095.312541281011</v>
      </c>
      <c r="M268" s="214">
        <f t="shared" si="100"/>
        <v>29789.957458718978</v>
      </c>
      <c r="N268" s="118" t="str">
        <f>GAAP!T329</f>
        <v>2024</v>
      </c>
      <c r="O268" s="320" t="str">
        <f>+GAAP!U329</f>
        <v>2025</v>
      </c>
      <c r="P268" s="321" t="str">
        <f>+GAAP!V329</f>
        <v>&lt; 250k</v>
      </c>
      <c r="Q268" s="116"/>
      <c r="R268" s="64"/>
      <c r="S268" s="64"/>
      <c r="T268" s="214"/>
      <c r="U268" s="64"/>
      <c r="V268" s="64"/>
      <c r="W268" s="64"/>
    </row>
    <row r="269" spans="1:23">
      <c r="A269" s="410">
        <f>+GAAP!A331</f>
        <v>56.104100000000003</v>
      </c>
      <c r="B269" s="57" t="str">
        <f>+GAAP!B331</f>
        <v>AIC - Irvin Rranch District - MWRP Fueling Facility CP-100 Programming</v>
      </c>
      <c r="C269" s="214">
        <f>+GAAP!J331</f>
        <v>20016.78</v>
      </c>
      <c r="D269" s="214">
        <f t="shared" si="97"/>
        <v>0</v>
      </c>
      <c r="E269" s="214">
        <f>+GAAP!C331</f>
        <v>20016.78</v>
      </c>
      <c r="F269" s="214">
        <f>+GAAP!F331</f>
        <v>20016.78</v>
      </c>
      <c r="G269" s="214">
        <f t="shared" si="98"/>
        <v>0</v>
      </c>
      <c r="H269" s="214">
        <f t="shared" si="99"/>
        <v>20016.78</v>
      </c>
      <c r="I269" s="214">
        <f>+GAAP!E331</f>
        <v>0</v>
      </c>
      <c r="J269" s="319">
        <f>+GAAP!G331</f>
        <v>1</v>
      </c>
      <c r="K269" s="214">
        <f>+GAAP!H331</f>
        <v>0</v>
      </c>
      <c r="L269" s="214">
        <f>+GAAP!P331</f>
        <v>7002.2380436271851</v>
      </c>
      <c r="M269" s="214">
        <f t="shared" si="100"/>
        <v>-7002.2380436271851</v>
      </c>
      <c r="N269" s="118" t="str">
        <f>GAAP!T331</f>
        <v>2024</v>
      </c>
      <c r="O269" s="320" t="str">
        <f>+GAAP!U331</f>
        <v>2025</v>
      </c>
      <c r="P269" s="321" t="str">
        <f>+GAAP!V331</f>
        <v>&lt; 250k</v>
      </c>
      <c r="Q269" s="116"/>
      <c r="R269" s="64"/>
      <c r="S269" s="64"/>
      <c r="T269" s="214"/>
      <c r="U269" s="64"/>
      <c r="V269" s="64"/>
      <c r="W269" s="64"/>
    </row>
    <row r="270" spans="1:23">
      <c r="A270" s="410">
        <f>+GAAP!A332</f>
        <v>56.1051</v>
      </c>
      <c r="B270" s="57" t="str">
        <f>+GAAP!B332</f>
        <v>Las Gallinas Valley Sanitary District - PE Pump Variable Frequency Drives</v>
      </c>
      <c r="C270" s="214">
        <f>+GAAP!J332</f>
        <v>136875</v>
      </c>
      <c r="D270" s="214">
        <f t="shared" si="97"/>
        <v>0</v>
      </c>
      <c r="E270" s="214">
        <f>+GAAP!C332</f>
        <v>136875</v>
      </c>
      <c r="F270" s="214">
        <f>+GAAP!F332</f>
        <v>98718.18</v>
      </c>
      <c r="G270" s="214">
        <f t="shared" si="98"/>
        <v>0</v>
      </c>
      <c r="H270" s="214">
        <f t="shared" si="99"/>
        <v>98718.18</v>
      </c>
      <c r="I270" s="214">
        <f>+GAAP!E332</f>
        <v>38156.820000000007</v>
      </c>
      <c r="J270" s="319">
        <f>+GAAP!G332</f>
        <v>1</v>
      </c>
      <c r="K270" s="214">
        <f>+GAAP!H332</f>
        <v>38156.820000000007</v>
      </c>
      <c r="L270" s="214">
        <f>+GAAP!P332</f>
        <v>16220.539798717673</v>
      </c>
      <c r="M270" s="214">
        <f t="shared" si="100"/>
        <v>21936.280201282334</v>
      </c>
      <c r="N270" s="118" t="str">
        <f>GAAP!T332</f>
        <v>2024</v>
      </c>
      <c r="O270" s="320" t="str">
        <f>+GAAP!U332</f>
        <v>2025</v>
      </c>
      <c r="P270" s="321" t="str">
        <f>+GAAP!V332</f>
        <v>&lt; 250k</v>
      </c>
      <c r="Q270" s="116"/>
      <c r="R270" s="64"/>
      <c r="S270" s="64"/>
      <c r="T270" s="214"/>
      <c r="U270" s="64"/>
      <c r="V270" s="64"/>
      <c r="W270" s="64"/>
    </row>
    <row r="271" spans="1:23">
      <c r="A271" s="410">
        <f>+GAAP!A333</f>
        <v>56.105200000000004</v>
      </c>
      <c r="B271" s="57" t="str">
        <f>+GAAP!B333</f>
        <v>San Jose Water - Williams Back ATS Replacement</v>
      </c>
      <c r="C271" s="214">
        <f>+GAAP!J333</f>
        <v>8887</v>
      </c>
      <c r="D271" s="214">
        <f t="shared" si="97"/>
        <v>0</v>
      </c>
      <c r="E271" s="214">
        <f>+GAAP!C333</f>
        <v>8887</v>
      </c>
      <c r="F271" s="214">
        <f>+GAAP!F333</f>
        <v>6400.94</v>
      </c>
      <c r="G271" s="214">
        <f t="shared" si="98"/>
        <v>0</v>
      </c>
      <c r="H271" s="214">
        <f t="shared" si="99"/>
        <v>6400.94</v>
      </c>
      <c r="I271" s="214">
        <f>+GAAP!E333</f>
        <v>2486.0600000000004</v>
      </c>
      <c r="J271" s="319">
        <f>+GAAP!G333</f>
        <v>1</v>
      </c>
      <c r="K271" s="214">
        <f>+GAAP!H333</f>
        <v>2486.0600000000004</v>
      </c>
      <c r="L271" s="214">
        <f>+GAAP!P333</f>
        <v>369.09362582187686</v>
      </c>
      <c r="M271" s="214">
        <f t="shared" si="100"/>
        <v>2116.9663741781237</v>
      </c>
      <c r="N271" s="118" t="str">
        <f>GAAP!T333</f>
        <v>2024</v>
      </c>
      <c r="O271" s="320" t="str">
        <f>+GAAP!U333</f>
        <v>2025</v>
      </c>
      <c r="P271" s="321" t="str">
        <f>+GAAP!V333</f>
        <v>&lt; 250k</v>
      </c>
      <c r="Q271" s="116"/>
      <c r="R271" s="64"/>
      <c r="S271" s="64"/>
      <c r="T271" s="214"/>
      <c r="U271" s="64"/>
      <c r="V271" s="64"/>
      <c r="W271" s="64"/>
    </row>
    <row r="272" spans="1:23">
      <c r="A272" s="410">
        <f>+GAAP!A334</f>
        <v>56.1053</v>
      </c>
      <c r="B272" s="57" t="str">
        <f>+GAAP!B334</f>
        <v>Bay Tech Engineering - San Francisco Public Utilities Commission (SFPUC) - Geary Un</v>
      </c>
      <c r="C272" s="214">
        <f>+GAAP!J334</f>
        <v>35000</v>
      </c>
      <c r="D272" s="214">
        <f t="shared" ref="D272:D315" si="105">+E272-C272</f>
        <v>0</v>
      </c>
      <c r="E272" s="214">
        <f>+GAAP!C334</f>
        <v>35000</v>
      </c>
      <c r="F272" s="214">
        <f>+GAAP!F334</f>
        <v>19964.78</v>
      </c>
      <c r="G272" s="214">
        <f t="shared" ref="G272:G315" si="106">+H272-F272</f>
        <v>0</v>
      </c>
      <c r="H272" s="214">
        <f t="shared" ref="H272:H315" si="107">+E272-I272</f>
        <v>19964.78</v>
      </c>
      <c r="I272" s="214">
        <f>+GAAP!E334</f>
        <v>15035.220000000001</v>
      </c>
      <c r="J272" s="319">
        <f>+GAAP!G334</f>
        <v>1</v>
      </c>
      <c r="K272" s="214">
        <f>+GAAP!H334</f>
        <v>15035.220000000001</v>
      </c>
      <c r="L272" s="214">
        <f>+GAAP!P334</f>
        <v>4187.360644777893</v>
      </c>
      <c r="M272" s="214">
        <f t="shared" ref="M272:M315" si="108">+K272-L272</f>
        <v>10847.859355222108</v>
      </c>
      <c r="N272" s="118" t="str">
        <f>GAAP!T334</f>
        <v>2024</v>
      </c>
      <c r="O272" s="320" t="str">
        <f>+GAAP!U334</f>
        <v>2025</v>
      </c>
      <c r="P272" s="321" t="str">
        <f>+GAAP!V334</f>
        <v>&lt; 250k</v>
      </c>
      <c r="Q272" s="116"/>
      <c r="R272" s="64"/>
      <c r="S272" s="64"/>
      <c r="T272" s="214"/>
      <c r="U272" s="64"/>
      <c r="V272" s="64"/>
      <c r="W272" s="64"/>
    </row>
    <row r="273" spans="1:23">
      <c r="A273" s="410">
        <f>+GAAP!A335</f>
        <v>56.105400000000003</v>
      </c>
      <c r="B273" s="57" t="str">
        <f>+GAAP!B335</f>
        <v>AIC - Riverside Public Works - Digester 5 Rehab</v>
      </c>
      <c r="C273" s="214">
        <f>+GAAP!J335</f>
        <v>37648.03</v>
      </c>
      <c r="D273" s="214">
        <f t="shared" si="105"/>
        <v>0</v>
      </c>
      <c r="E273" s="214">
        <f>+GAAP!C335</f>
        <v>37648.03</v>
      </c>
      <c r="F273" s="214">
        <f>+GAAP!F335</f>
        <v>37648.03</v>
      </c>
      <c r="G273" s="214">
        <f t="shared" si="106"/>
        <v>0</v>
      </c>
      <c r="H273" s="214">
        <f t="shared" si="107"/>
        <v>37648.03</v>
      </c>
      <c r="I273" s="214">
        <f>+GAAP!E335</f>
        <v>0</v>
      </c>
      <c r="J273" s="319">
        <f>+GAAP!G335</f>
        <v>1</v>
      </c>
      <c r="K273" s="214">
        <f>+GAAP!H335</f>
        <v>0</v>
      </c>
      <c r="L273" s="214">
        <f>+GAAP!P335</f>
        <v>0</v>
      </c>
      <c r="M273" s="214">
        <f t="shared" si="108"/>
        <v>0</v>
      </c>
      <c r="N273" s="118" t="str">
        <f>GAAP!T335</f>
        <v>2024</v>
      </c>
      <c r="O273" s="320" t="str">
        <f>+GAAP!U335</f>
        <v>2025</v>
      </c>
      <c r="P273" s="321" t="str">
        <f>+GAAP!V335</f>
        <v>&lt; 250k</v>
      </c>
      <c r="Q273" s="116"/>
      <c r="R273" s="64"/>
      <c r="S273" s="64"/>
      <c r="T273" s="214"/>
      <c r="U273" s="64"/>
      <c r="V273" s="64"/>
      <c r="W273" s="64"/>
    </row>
    <row r="274" spans="1:23">
      <c r="A274" s="410">
        <f>+GAAP!A336</f>
        <v>56.105600000000003</v>
      </c>
      <c r="B274" s="57" t="str">
        <f>+GAAP!B336</f>
        <v>AIC - Irvine Ranch Water District - Michelson Water Recycling Plan</v>
      </c>
      <c r="C274" s="214">
        <f>+GAAP!J336</f>
        <v>98280.63</v>
      </c>
      <c r="D274" s="214">
        <f t="shared" si="105"/>
        <v>0</v>
      </c>
      <c r="E274" s="214">
        <f>+GAAP!C336</f>
        <v>98280.63</v>
      </c>
      <c r="F274" s="214">
        <f>+GAAP!F336</f>
        <v>98280.63</v>
      </c>
      <c r="G274" s="214">
        <f t="shared" si="106"/>
        <v>0</v>
      </c>
      <c r="H274" s="214">
        <f t="shared" si="107"/>
        <v>98280.63</v>
      </c>
      <c r="I274" s="214">
        <f>+GAAP!E336</f>
        <v>0</v>
      </c>
      <c r="J274" s="319">
        <f>+GAAP!G336</f>
        <v>1</v>
      </c>
      <c r="K274" s="214">
        <f>+GAAP!H336</f>
        <v>0</v>
      </c>
      <c r="L274" s="214">
        <f>+GAAP!P336</f>
        <v>20551.575703079532</v>
      </c>
      <c r="M274" s="214">
        <f t="shared" si="108"/>
        <v>-20551.575703079532</v>
      </c>
      <c r="N274" s="118" t="str">
        <f>GAAP!T336</f>
        <v>2024</v>
      </c>
      <c r="O274" s="320" t="str">
        <f>+GAAP!U336</f>
        <v>2025</v>
      </c>
      <c r="P274" s="321" t="str">
        <f>+GAAP!V336</f>
        <v>&lt; 250k</v>
      </c>
      <c r="Q274" s="116"/>
      <c r="R274" s="64"/>
      <c r="S274" s="64"/>
      <c r="T274" s="214"/>
      <c r="U274" s="64"/>
      <c r="V274" s="64"/>
      <c r="W274" s="64"/>
    </row>
    <row r="275" spans="1:23">
      <c r="A275" s="410">
        <f>+GAAP!A337</f>
        <v>56.105699999999999</v>
      </c>
      <c r="B275" s="57" t="str">
        <f>+GAAP!B337</f>
        <v>A-C Electric Company - Caltrans District 06 - Olive Avenue Pumping Plant</v>
      </c>
      <c r="C275" s="214">
        <f>+GAAP!J337</f>
        <v>0</v>
      </c>
      <c r="D275" s="214">
        <f t="shared" si="105"/>
        <v>0</v>
      </c>
      <c r="E275" s="214">
        <f>+GAAP!C337</f>
        <v>0</v>
      </c>
      <c r="F275" s="214">
        <f>+GAAP!F337</f>
        <v>0</v>
      </c>
      <c r="G275" s="214">
        <f t="shared" si="106"/>
        <v>0</v>
      </c>
      <c r="H275" s="214">
        <f t="shared" si="107"/>
        <v>0</v>
      </c>
      <c r="I275" s="214">
        <f>+GAAP!E337</f>
        <v>0</v>
      </c>
      <c r="J275" s="319">
        <f>+GAAP!G337</f>
        <v>0</v>
      </c>
      <c r="K275" s="214">
        <f>+GAAP!H337</f>
        <v>0</v>
      </c>
      <c r="L275" s="214">
        <f>+GAAP!P337</f>
        <v>0</v>
      </c>
      <c r="M275" s="214">
        <f t="shared" si="108"/>
        <v>0</v>
      </c>
      <c r="N275" s="118" t="str">
        <f>GAAP!T337</f>
        <v>2024</v>
      </c>
      <c r="O275" s="320" t="str">
        <f>+GAAP!U337</f>
        <v>2025</v>
      </c>
      <c r="P275" s="321" t="str">
        <f>+GAAP!V337</f>
        <v>&lt; 250k</v>
      </c>
      <c r="Q275" s="116"/>
      <c r="R275" s="64"/>
      <c r="S275" s="64"/>
      <c r="T275" s="214"/>
      <c r="U275" s="64"/>
      <c r="V275" s="64"/>
      <c r="W275" s="64"/>
    </row>
    <row r="276" spans="1:23">
      <c r="A276" s="410">
        <f>+GAAP!A338</f>
        <v>56.106099999999998</v>
      </c>
      <c r="B276" s="57" t="str">
        <f>+GAAP!B338</f>
        <v>San Jose Water - PLC System Assessment</v>
      </c>
      <c r="C276" s="214">
        <f>+GAAP!J338</f>
        <v>11269</v>
      </c>
      <c r="D276" s="214">
        <f t="shared" si="105"/>
        <v>0</v>
      </c>
      <c r="E276" s="214">
        <f>+GAAP!C338</f>
        <v>11269</v>
      </c>
      <c r="F276" s="214">
        <f>+GAAP!F338</f>
        <v>5582.66</v>
      </c>
      <c r="G276" s="214">
        <f t="shared" si="106"/>
        <v>0</v>
      </c>
      <c r="H276" s="214">
        <f t="shared" si="107"/>
        <v>5582.66</v>
      </c>
      <c r="I276" s="214">
        <f>+GAAP!E338</f>
        <v>5686.34</v>
      </c>
      <c r="J276" s="319">
        <f>+GAAP!G338</f>
        <v>1</v>
      </c>
      <c r="K276" s="214">
        <f>+GAAP!H338</f>
        <v>5686.34</v>
      </c>
      <c r="L276" s="214">
        <f>+GAAP!P338</f>
        <v>5163.830381105744</v>
      </c>
      <c r="M276" s="214">
        <f t="shared" si="108"/>
        <v>522.50961889425616</v>
      </c>
      <c r="N276" s="118" t="str">
        <f>GAAP!T338</f>
        <v>2024</v>
      </c>
      <c r="O276" s="320" t="str">
        <f>+GAAP!U338</f>
        <v>2025</v>
      </c>
      <c r="P276" s="321" t="str">
        <f>+GAAP!V338</f>
        <v>&lt; 250k</v>
      </c>
      <c r="Q276" s="116"/>
      <c r="R276" s="64"/>
      <c r="S276" s="64"/>
      <c r="T276" s="214"/>
      <c r="U276" s="64"/>
      <c r="V276" s="64"/>
      <c r="W276" s="64"/>
    </row>
    <row r="277" spans="1:23">
      <c r="A277" s="410">
        <f>+GAAP!A341</f>
        <v>56.106499999999997</v>
      </c>
      <c r="B277" s="57" t="str">
        <f>+GAAP!B341</f>
        <v>TNT Industrial Contractors Inc. - WWTF Sodium Hypochlorite Improvements / Chlorine Contact</v>
      </c>
      <c r="C277" s="214">
        <f>+GAAP!J341</f>
        <v>226400.8</v>
      </c>
      <c r="D277" s="214">
        <f t="shared" si="105"/>
        <v>0</v>
      </c>
      <c r="E277" s="214">
        <f>+GAAP!C341</f>
        <v>226400.8</v>
      </c>
      <c r="F277" s="214">
        <f>+GAAP!F341</f>
        <v>192023.81</v>
      </c>
      <c r="G277" s="214">
        <f t="shared" si="106"/>
        <v>0</v>
      </c>
      <c r="H277" s="214">
        <f t="shared" si="107"/>
        <v>192023.81</v>
      </c>
      <c r="I277" s="214">
        <f>+GAAP!E341</f>
        <v>34376.989999999991</v>
      </c>
      <c r="J277" s="319">
        <f>+GAAP!G341</f>
        <v>1</v>
      </c>
      <c r="K277" s="214">
        <f>+GAAP!H341</f>
        <v>34376.989999999991</v>
      </c>
      <c r="L277" s="214">
        <f>+GAAP!P341</f>
        <v>0</v>
      </c>
      <c r="M277" s="214">
        <f t="shared" si="108"/>
        <v>34376.989999999991</v>
      </c>
      <c r="N277" s="118" t="str">
        <f>GAAP!T341</f>
        <v>2024</v>
      </c>
      <c r="O277" s="320" t="str">
        <f>+GAAP!U341</f>
        <v>2025</v>
      </c>
      <c r="P277" s="321" t="str">
        <f>+GAAP!V341</f>
        <v>&lt; 250k</v>
      </c>
      <c r="Q277" s="116"/>
      <c r="R277" s="64"/>
      <c r="S277" s="64"/>
      <c r="T277" s="214"/>
      <c r="U277" s="64"/>
      <c r="V277" s="64"/>
      <c r="W277" s="64"/>
    </row>
    <row r="278" spans="1:23">
      <c r="A278" s="410">
        <f>+GAAP!A342</f>
        <v>56.106900000000003</v>
      </c>
      <c r="B278" s="57" t="str">
        <f>+GAAP!B342</f>
        <v>AIC - City of Brentwood - Brentwood, City of - On-Call Agreement</v>
      </c>
      <c r="C278" s="214">
        <f>+GAAP!J342</f>
        <v>2525</v>
      </c>
      <c r="D278" s="214">
        <f t="shared" si="105"/>
        <v>0</v>
      </c>
      <c r="E278" s="214">
        <f>+GAAP!C342</f>
        <v>2525</v>
      </c>
      <c r="F278" s="214">
        <f>+GAAP!F342</f>
        <v>3821.46</v>
      </c>
      <c r="G278" s="214">
        <f t="shared" si="106"/>
        <v>0</v>
      </c>
      <c r="H278" s="214">
        <f t="shared" si="107"/>
        <v>3821.46</v>
      </c>
      <c r="I278" s="214">
        <f>+GAAP!E342</f>
        <v>-1296.46</v>
      </c>
      <c r="J278" s="319">
        <f>+GAAP!G342</f>
        <v>1</v>
      </c>
      <c r="K278" s="214">
        <f>+GAAP!H342</f>
        <v>-1296.46</v>
      </c>
      <c r="L278" s="214">
        <f>+GAAP!P342</f>
        <v>0</v>
      </c>
      <c r="M278" s="214">
        <f t="shared" si="108"/>
        <v>-1296.46</v>
      </c>
      <c r="N278" s="118" t="str">
        <f>GAAP!T342</f>
        <v>2025</v>
      </c>
      <c r="O278" s="320" t="str">
        <f>+GAAP!U342</f>
        <v>2025</v>
      </c>
      <c r="P278" s="321" t="str">
        <f>+GAAP!V342</f>
        <v>&lt; 250k</v>
      </c>
      <c r="Q278" s="116"/>
      <c r="R278" s="64"/>
      <c r="S278" s="64"/>
      <c r="T278" s="214"/>
      <c r="U278" s="64"/>
      <c r="V278" s="64"/>
      <c r="W278" s="64"/>
    </row>
    <row r="279" spans="1:23">
      <c r="A279" s="410">
        <f>+GAAP!A343</f>
        <v>56.107100000000003</v>
      </c>
      <c r="B279" s="57" t="str">
        <f>+GAAP!B343</f>
        <v>San Jose Water Co. - 3 Mile Station 3000 Amp Switchboard</v>
      </c>
      <c r="C279" s="214">
        <f>+GAAP!J343</f>
        <v>34000</v>
      </c>
      <c r="D279" s="214">
        <f t="shared" si="105"/>
        <v>0</v>
      </c>
      <c r="E279" s="214">
        <f>+GAAP!C343</f>
        <v>34000</v>
      </c>
      <c r="F279" s="214">
        <f>+GAAP!F343</f>
        <v>3596.56</v>
      </c>
      <c r="G279" s="214">
        <f t="shared" si="106"/>
        <v>0</v>
      </c>
      <c r="H279" s="214">
        <f t="shared" si="107"/>
        <v>3596.5600000000013</v>
      </c>
      <c r="I279" s="214">
        <f>+GAAP!E343</f>
        <v>30403.439999999999</v>
      </c>
      <c r="J279" s="319">
        <f>+GAAP!G343</f>
        <v>0.99999999999999967</v>
      </c>
      <c r="K279" s="214">
        <f>+GAAP!H343</f>
        <v>30403.439999999988</v>
      </c>
      <c r="L279" s="214">
        <f>+GAAP!P343</f>
        <v>0</v>
      </c>
      <c r="M279" s="214">
        <f t="shared" si="108"/>
        <v>30403.439999999988</v>
      </c>
      <c r="N279" s="118" t="str">
        <f>GAAP!T343</f>
        <v>2024</v>
      </c>
      <c r="O279" s="320" t="str">
        <f>+GAAP!U343</f>
        <v>2025</v>
      </c>
      <c r="P279" s="321" t="str">
        <f>+GAAP!V343</f>
        <v>&lt; 250k</v>
      </c>
      <c r="Q279" s="116"/>
      <c r="R279" s="64"/>
      <c r="S279" s="64"/>
      <c r="T279" s="214"/>
      <c r="U279" s="64"/>
      <c r="V279" s="64"/>
      <c r="W279" s="64"/>
    </row>
    <row r="280" spans="1:23">
      <c r="A280" s="410">
        <f>+GAAP!A344</f>
        <v>56.107199999999999</v>
      </c>
      <c r="B280" s="57" t="str">
        <f>+GAAP!B344</f>
        <v>Bullert Industrial Electric, Inc. - Washwater Equalizer Tank Replacement Project – Paradise Irri</v>
      </c>
      <c r="C280" s="214">
        <f>+GAAP!J344</f>
        <v>65960</v>
      </c>
      <c r="D280" s="214">
        <f t="shared" si="105"/>
        <v>0</v>
      </c>
      <c r="E280" s="214">
        <f>+GAAP!C344</f>
        <v>65960</v>
      </c>
      <c r="F280" s="214">
        <f>+GAAP!F344</f>
        <v>41538.839999999997</v>
      </c>
      <c r="G280" s="214">
        <f t="shared" si="106"/>
        <v>0</v>
      </c>
      <c r="H280" s="214">
        <f t="shared" si="107"/>
        <v>41538.839999999997</v>
      </c>
      <c r="I280" s="214">
        <f>+GAAP!E344</f>
        <v>24421.160000000003</v>
      </c>
      <c r="J280" s="319">
        <f>+GAAP!G344</f>
        <v>1</v>
      </c>
      <c r="K280" s="214">
        <f>+GAAP!H344</f>
        <v>24421.160000000003</v>
      </c>
      <c r="L280" s="214">
        <f>+GAAP!P344</f>
        <v>0</v>
      </c>
      <c r="M280" s="214">
        <f t="shared" si="108"/>
        <v>24421.160000000003</v>
      </c>
      <c r="N280" s="118" t="str">
        <f>GAAP!T344</f>
        <v>2024</v>
      </c>
      <c r="O280" s="320" t="str">
        <f>+GAAP!U344</f>
        <v>2025</v>
      </c>
      <c r="P280" s="321" t="str">
        <f>+GAAP!V344</f>
        <v>&lt; 250k</v>
      </c>
      <c r="Q280" s="116"/>
      <c r="R280" s="64"/>
      <c r="S280" s="64"/>
      <c r="T280" s="214"/>
      <c r="U280" s="64"/>
      <c r="V280" s="64"/>
      <c r="W280" s="64"/>
    </row>
    <row r="281" spans="1:23">
      <c r="A281" s="410">
        <f>+GAAP!A345</f>
        <v>56.107399999999998</v>
      </c>
      <c r="B281" s="57" t="str">
        <f>+GAAP!B345</f>
        <v>San Gabriel Valley Water Co. - Power Monitor Replacement at B24 Hydro – San Gabriel Valley</v>
      </c>
      <c r="C281" s="214">
        <f>+GAAP!J345</f>
        <v>12650</v>
      </c>
      <c r="D281" s="214">
        <f t="shared" si="105"/>
        <v>0</v>
      </c>
      <c r="E281" s="214">
        <f>+GAAP!C345</f>
        <v>12650</v>
      </c>
      <c r="F281" s="214">
        <f>+GAAP!F345</f>
        <v>10641.86</v>
      </c>
      <c r="G281" s="214">
        <f t="shared" si="106"/>
        <v>0</v>
      </c>
      <c r="H281" s="214">
        <f t="shared" si="107"/>
        <v>10641.86</v>
      </c>
      <c r="I281" s="214">
        <f>+GAAP!E345</f>
        <v>2008.1399999999994</v>
      </c>
      <c r="J281" s="319">
        <f>+GAAP!G345</f>
        <v>1</v>
      </c>
      <c r="K281" s="214">
        <f>+GAAP!H345</f>
        <v>2008.1399999999994</v>
      </c>
      <c r="L281" s="214">
        <f>+GAAP!P345</f>
        <v>1239.6880980447188</v>
      </c>
      <c r="M281" s="214">
        <f t="shared" si="108"/>
        <v>768.45190195528062</v>
      </c>
      <c r="N281" s="118" t="str">
        <f>GAAP!T345</f>
        <v>2024</v>
      </c>
      <c r="O281" s="320" t="str">
        <f>+GAAP!U345</f>
        <v>2025</v>
      </c>
      <c r="P281" s="321" t="str">
        <f>+GAAP!V345</f>
        <v>&lt; 250k</v>
      </c>
      <c r="Q281" s="116"/>
      <c r="R281" s="64"/>
      <c r="S281" s="64"/>
      <c r="T281" s="214"/>
      <c r="U281" s="64"/>
      <c r="V281" s="64"/>
      <c r="W281" s="64"/>
    </row>
    <row r="282" spans="1:23">
      <c r="A282" s="410">
        <f>+GAAP!A346</f>
        <v>56.107599999999998</v>
      </c>
      <c r="B282" s="57" t="str">
        <f>+GAAP!B346</f>
        <v>San Jose Water Co. - Saratoga Plant Feed Pump 1 VFD Replacement</v>
      </c>
      <c r="C282" s="214">
        <f>+GAAP!J346</f>
        <v>19200</v>
      </c>
      <c r="D282" s="214">
        <f t="shared" si="105"/>
        <v>0</v>
      </c>
      <c r="E282" s="214">
        <f>+GAAP!C346</f>
        <v>19200</v>
      </c>
      <c r="F282" s="214">
        <f>+GAAP!F346</f>
        <v>11577.77</v>
      </c>
      <c r="G282" s="214">
        <f t="shared" si="106"/>
        <v>0</v>
      </c>
      <c r="H282" s="214">
        <f t="shared" si="107"/>
        <v>11577.77</v>
      </c>
      <c r="I282" s="214">
        <f>+GAAP!E346</f>
        <v>7622.23</v>
      </c>
      <c r="J282" s="319">
        <f>+GAAP!G346</f>
        <v>1</v>
      </c>
      <c r="K282" s="214">
        <f>+GAAP!H346</f>
        <v>7622.23</v>
      </c>
      <c r="L282" s="214">
        <f>+GAAP!P346</f>
        <v>0</v>
      </c>
      <c r="M282" s="214">
        <f t="shared" si="108"/>
        <v>7622.23</v>
      </c>
      <c r="N282" s="118" t="str">
        <f>GAAP!T346</f>
        <v>2024</v>
      </c>
      <c r="O282" s="320" t="str">
        <f>+GAAP!U346</f>
        <v>2025</v>
      </c>
      <c r="P282" s="321" t="str">
        <f>+GAAP!V346</f>
        <v>&lt; 250k</v>
      </c>
      <c r="Q282" s="116"/>
      <c r="R282" s="64"/>
      <c r="S282" s="64"/>
      <c r="T282" s="214"/>
      <c r="U282" s="64"/>
      <c r="V282" s="64"/>
      <c r="W282" s="64"/>
    </row>
    <row r="283" spans="1:23">
      <c r="A283" s="410">
        <f>+GAAP!A348</f>
        <v>56.107900000000001</v>
      </c>
      <c r="B283" s="57" t="str">
        <f>+GAAP!B348</f>
        <v>AIC - San Jose Water Co - Montevina PLC Upgrade</v>
      </c>
      <c r="C283" s="214">
        <f>+GAAP!J348</f>
        <v>29235.63</v>
      </c>
      <c r="D283" s="214">
        <f t="shared" si="105"/>
        <v>0</v>
      </c>
      <c r="E283" s="214">
        <f>+GAAP!C348</f>
        <v>29235.63</v>
      </c>
      <c r="F283" s="214">
        <f>+GAAP!F348</f>
        <v>29235.63</v>
      </c>
      <c r="G283" s="214">
        <f t="shared" si="106"/>
        <v>0</v>
      </c>
      <c r="H283" s="214">
        <f t="shared" si="107"/>
        <v>29235.63</v>
      </c>
      <c r="I283" s="214">
        <f>+GAAP!E348</f>
        <v>0</v>
      </c>
      <c r="J283" s="319">
        <f>+GAAP!G348</f>
        <v>1</v>
      </c>
      <c r="K283" s="214">
        <f>+GAAP!H348</f>
        <v>0</v>
      </c>
      <c r="L283" s="214">
        <f>+GAAP!P348</f>
        <v>0</v>
      </c>
      <c r="M283" s="214">
        <f t="shared" si="108"/>
        <v>0</v>
      </c>
      <c r="N283" s="118" t="str">
        <f>GAAP!T348</f>
        <v>2025</v>
      </c>
      <c r="O283" s="320" t="str">
        <f>+GAAP!U348</f>
        <v>2025</v>
      </c>
      <c r="P283" s="321" t="str">
        <f>+GAAP!V348</f>
        <v>&lt; 250k</v>
      </c>
      <c r="Q283" s="116"/>
      <c r="R283" s="64"/>
      <c r="S283" s="64"/>
      <c r="T283" s="214"/>
      <c r="U283" s="64"/>
      <c r="V283" s="64"/>
      <c r="W283" s="64"/>
    </row>
    <row r="284" spans="1:23">
      <c r="A284" s="410">
        <f>+GAAP!A350</f>
        <v>56.108199999999997</v>
      </c>
      <c r="B284" s="57" t="str">
        <f>+GAAP!B350</f>
        <v>City of Clovis - Pump Station E New Pump 5 VFD Startup</v>
      </c>
      <c r="C284" s="214">
        <f>+GAAP!J350</f>
        <v>19800</v>
      </c>
      <c r="D284" s="214">
        <f t="shared" si="105"/>
        <v>0</v>
      </c>
      <c r="E284" s="214">
        <f>+GAAP!C350</f>
        <v>19800</v>
      </c>
      <c r="F284" s="214">
        <f>+GAAP!F350</f>
        <v>20583.039999999997</v>
      </c>
      <c r="G284" s="214">
        <f t="shared" si="106"/>
        <v>0</v>
      </c>
      <c r="H284" s="214">
        <f t="shared" si="107"/>
        <v>20583.039999999997</v>
      </c>
      <c r="I284" s="214">
        <f>+GAAP!E350</f>
        <v>-783.03999999999724</v>
      </c>
      <c r="J284" s="319">
        <f>+GAAP!G350</f>
        <v>1</v>
      </c>
      <c r="K284" s="214">
        <f>+GAAP!H350</f>
        <v>-783.03999999999724</v>
      </c>
      <c r="L284" s="214">
        <f>+GAAP!P350</f>
        <v>0</v>
      </c>
      <c r="M284" s="214">
        <f t="shared" si="108"/>
        <v>-783.03999999999724</v>
      </c>
      <c r="N284" s="118" t="str">
        <f>GAAP!T350</f>
        <v>2025</v>
      </c>
      <c r="O284" s="320" t="str">
        <f>+GAAP!U350</f>
        <v>2025</v>
      </c>
      <c r="P284" s="321" t="str">
        <f>+GAAP!V350</f>
        <v>&lt; 250k</v>
      </c>
      <c r="Q284" s="116"/>
      <c r="R284" s="64"/>
      <c r="S284" s="64"/>
      <c r="T284" s="214"/>
      <c r="U284" s="64"/>
      <c r="V284" s="64"/>
      <c r="W284" s="64"/>
    </row>
    <row r="285" spans="1:23">
      <c r="A285" s="410">
        <f>+GAAP!A351</f>
        <v>56.108400000000003</v>
      </c>
      <c r="B285" s="57" t="str">
        <f>+GAAP!B351</f>
        <v>South Orange County Water Authority - PLC Programming Support - South Orange County Wastewater Aut</v>
      </c>
      <c r="C285" s="214">
        <f>+GAAP!J351</f>
        <v>8000</v>
      </c>
      <c r="D285" s="214">
        <f t="shared" si="105"/>
        <v>0</v>
      </c>
      <c r="E285" s="214">
        <f>+GAAP!C351</f>
        <v>8000</v>
      </c>
      <c r="F285" s="214">
        <f>+GAAP!F351</f>
        <v>4228.13</v>
      </c>
      <c r="G285" s="214">
        <f t="shared" si="106"/>
        <v>0</v>
      </c>
      <c r="H285" s="214">
        <f t="shared" si="107"/>
        <v>4228.13</v>
      </c>
      <c r="I285" s="214">
        <f>+GAAP!E351</f>
        <v>3771.87</v>
      </c>
      <c r="J285" s="319">
        <f>+GAAP!G351</f>
        <v>1</v>
      </c>
      <c r="K285" s="214">
        <f>+GAAP!H351</f>
        <v>3771.87</v>
      </c>
      <c r="L285" s="214">
        <f>+GAAP!P351</f>
        <v>0</v>
      </c>
      <c r="M285" s="214">
        <f t="shared" si="108"/>
        <v>3771.87</v>
      </c>
      <c r="N285" s="118" t="str">
        <f>GAAP!T351</f>
        <v>2025</v>
      </c>
      <c r="O285" s="320" t="str">
        <f>+GAAP!U351</f>
        <v>2025</v>
      </c>
      <c r="P285" s="321" t="str">
        <f>+GAAP!V351</f>
        <v>&lt; 250k</v>
      </c>
      <c r="Q285" s="116"/>
      <c r="R285" s="64"/>
      <c r="S285" s="64"/>
      <c r="T285" s="214"/>
      <c r="U285" s="64"/>
      <c r="V285" s="64"/>
      <c r="W285" s="64"/>
    </row>
    <row r="286" spans="1:23">
      <c r="A286" s="410">
        <f>+GAAP!A352</f>
        <v>56.110199999999999</v>
      </c>
      <c r="B286" s="57" t="str">
        <f>+GAAP!B352</f>
        <v>AIC - San Benito County Water District - West Hills WTP Exp. - San Benito County WD - Royal</v>
      </c>
      <c r="C286" s="214">
        <f>+GAAP!J352</f>
        <v>19815.939999999999</v>
      </c>
      <c r="D286" s="214">
        <f t="shared" si="105"/>
        <v>0</v>
      </c>
      <c r="E286" s="214">
        <f>+GAAP!C352</f>
        <v>19815.939999999999</v>
      </c>
      <c r="F286" s="214">
        <f>+GAAP!F352</f>
        <v>19815.939999999999</v>
      </c>
      <c r="G286" s="214">
        <f t="shared" si="106"/>
        <v>0</v>
      </c>
      <c r="H286" s="214">
        <f t="shared" si="107"/>
        <v>19815.939999999999</v>
      </c>
      <c r="I286" s="214">
        <f>+GAAP!E352</f>
        <v>0</v>
      </c>
      <c r="J286" s="319">
        <f>+GAAP!G352</f>
        <v>1</v>
      </c>
      <c r="K286" s="214">
        <f>+GAAP!H352</f>
        <v>0</v>
      </c>
      <c r="L286" s="214">
        <f>+GAAP!P352</f>
        <v>0</v>
      </c>
      <c r="M286" s="214">
        <f t="shared" si="108"/>
        <v>0</v>
      </c>
      <c r="N286" s="118" t="str">
        <f>GAAP!T352</f>
        <v>2025</v>
      </c>
      <c r="O286" s="320" t="str">
        <f>+GAAP!U352</f>
        <v>2025</v>
      </c>
      <c r="P286" s="321" t="str">
        <f>+GAAP!V352</f>
        <v>&lt; 250k</v>
      </c>
      <c r="Q286" s="116"/>
      <c r="R286" s="64"/>
      <c r="S286" s="64"/>
      <c r="T286" s="214"/>
      <c r="U286" s="64"/>
      <c r="V286" s="64"/>
      <c r="W286" s="64"/>
    </row>
    <row r="287" spans="1:23">
      <c r="A287" s="410">
        <f>+GAAP!A353</f>
        <v>56.110300000000002</v>
      </c>
      <c r="B287" s="57" t="str">
        <f>+GAAP!B353</f>
        <v>AIC - Willitts Equipment &amp; Engineering Co., Inc. - Washington &amp; S. Union PP Repair- Caltrans District</v>
      </c>
      <c r="C287" s="214">
        <f>+GAAP!J353</f>
        <v>55855.24</v>
      </c>
      <c r="D287" s="214">
        <f t="shared" si="105"/>
        <v>0</v>
      </c>
      <c r="E287" s="214">
        <f>+GAAP!C353</f>
        <v>55855.24</v>
      </c>
      <c r="F287" s="214">
        <f>+GAAP!F353</f>
        <v>55855.24</v>
      </c>
      <c r="G287" s="214">
        <f t="shared" si="106"/>
        <v>0</v>
      </c>
      <c r="H287" s="214">
        <f t="shared" si="107"/>
        <v>55855.24</v>
      </c>
      <c r="I287" s="214">
        <f>+GAAP!E353</f>
        <v>0</v>
      </c>
      <c r="J287" s="319">
        <f>+GAAP!G353</f>
        <v>1</v>
      </c>
      <c r="K287" s="214">
        <f>+GAAP!H353</f>
        <v>0</v>
      </c>
      <c r="L287" s="214">
        <f>+GAAP!P353</f>
        <v>0</v>
      </c>
      <c r="M287" s="214">
        <f t="shared" si="108"/>
        <v>0</v>
      </c>
      <c r="N287" s="118" t="str">
        <f>GAAP!T353</f>
        <v>2025</v>
      </c>
      <c r="O287" s="320" t="str">
        <f>+GAAP!U353</f>
        <v>2025</v>
      </c>
      <c r="P287" s="321" t="str">
        <f>+GAAP!V353</f>
        <v>&lt; 250k</v>
      </c>
      <c r="Q287" s="116"/>
      <c r="R287" s="64"/>
      <c r="S287" s="64"/>
      <c r="T287" s="214"/>
      <c r="U287" s="64"/>
      <c r="V287" s="64"/>
      <c r="W287" s="64"/>
    </row>
    <row r="288" spans="1:23">
      <c r="A288" s="410">
        <f>+GAAP!A354</f>
        <v>56.110399999999998</v>
      </c>
      <c r="B288" s="57" t="str">
        <f>+GAAP!B354</f>
        <v>AIC - Monterey Mechanical Co. - Tunnel SCADA Integration Config - Caltrans Distric</v>
      </c>
      <c r="C288" s="214">
        <f>+GAAP!J354</f>
        <v>9500.31</v>
      </c>
      <c r="D288" s="214">
        <f t="shared" si="105"/>
        <v>0</v>
      </c>
      <c r="E288" s="214">
        <f>+GAAP!C354</f>
        <v>9500.31</v>
      </c>
      <c r="F288" s="214">
        <f>+GAAP!F354</f>
        <v>9500.31</v>
      </c>
      <c r="G288" s="214">
        <f t="shared" si="106"/>
        <v>0</v>
      </c>
      <c r="H288" s="214">
        <f t="shared" si="107"/>
        <v>9500.31</v>
      </c>
      <c r="I288" s="214">
        <f>+GAAP!E354</f>
        <v>0</v>
      </c>
      <c r="J288" s="319">
        <f>+GAAP!G354</f>
        <v>1</v>
      </c>
      <c r="K288" s="214">
        <f>+GAAP!H354</f>
        <v>0</v>
      </c>
      <c r="L288" s="214">
        <f>+GAAP!P354</f>
        <v>0</v>
      </c>
      <c r="M288" s="214">
        <f t="shared" si="108"/>
        <v>0</v>
      </c>
      <c r="N288" s="118" t="str">
        <f>GAAP!T354</f>
        <v>2025</v>
      </c>
      <c r="O288" s="320" t="str">
        <f>+GAAP!U354</f>
        <v>2025</v>
      </c>
      <c r="P288" s="321" t="str">
        <f>+GAAP!V354</f>
        <v>&lt; 250k</v>
      </c>
      <c r="Q288" s="116"/>
      <c r="R288" s="64"/>
      <c r="S288" s="64"/>
      <c r="T288" s="214"/>
      <c r="U288" s="64"/>
      <c r="V288" s="64"/>
      <c r="W288" s="64"/>
    </row>
    <row r="289" spans="1:23">
      <c r="A289" s="410">
        <f>+GAAP!A355</f>
        <v>56.110500000000002</v>
      </c>
      <c r="B289" s="57" t="str">
        <f>+GAAP!B355</f>
        <v>AIC - Koch &amp; Koch, Inc. - Monte Vista Tank Replacement Project – Placer Coun</v>
      </c>
      <c r="C289" s="214">
        <f>+GAAP!J355</f>
        <v>30502.53</v>
      </c>
      <c r="D289" s="214">
        <f t="shared" si="105"/>
        <v>0</v>
      </c>
      <c r="E289" s="214">
        <f>+GAAP!C355</f>
        <v>30502.53</v>
      </c>
      <c r="F289" s="214">
        <f>+GAAP!F355</f>
        <v>30502.53</v>
      </c>
      <c r="G289" s="214">
        <f t="shared" si="106"/>
        <v>0</v>
      </c>
      <c r="H289" s="214">
        <f t="shared" si="107"/>
        <v>30502.53</v>
      </c>
      <c r="I289" s="214">
        <f>+GAAP!E355</f>
        <v>0</v>
      </c>
      <c r="J289" s="319">
        <f>+GAAP!G355</f>
        <v>1</v>
      </c>
      <c r="K289" s="214">
        <f>+GAAP!H355</f>
        <v>0</v>
      </c>
      <c r="L289" s="214">
        <f>+GAAP!P355</f>
        <v>0</v>
      </c>
      <c r="M289" s="214">
        <f t="shared" si="108"/>
        <v>0</v>
      </c>
      <c r="N289" s="118" t="str">
        <f>GAAP!T355</f>
        <v>2025</v>
      </c>
      <c r="O289" s="320" t="str">
        <f>+GAAP!U355</f>
        <v>2025</v>
      </c>
      <c r="P289" s="321" t="str">
        <f>+GAAP!V355</f>
        <v>&lt; 250k</v>
      </c>
      <c r="Q289" s="116"/>
      <c r="R289" s="64"/>
      <c r="S289" s="64"/>
      <c r="T289" s="214"/>
      <c r="U289" s="64"/>
      <c r="V289" s="64"/>
      <c r="W289" s="64"/>
    </row>
    <row r="290" spans="1:23">
      <c r="A290" s="410">
        <f>+GAAP!A356</f>
        <v>56.110599999999998</v>
      </c>
      <c r="B290" s="57" t="str">
        <f>+GAAP!B356</f>
        <v>AIC - Cal Signal Corp - SR211 Fernbridge Eel River Bridge Seismic Gates -</v>
      </c>
      <c r="C290" s="214">
        <f>+GAAP!J356</f>
        <v>54742.18</v>
      </c>
      <c r="D290" s="214">
        <f t="shared" si="105"/>
        <v>0</v>
      </c>
      <c r="E290" s="214">
        <f>+GAAP!C356</f>
        <v>54742.18</v>
      </c>
      <c r="F290" s="214">
        <f>+GAAP!F356</f>
        <v>54742.18</v>
      </c>
      <c r="G290" s="214">
        <f t="shared" si="106"/>
        <v>0</v>
      </c>
      <c r="H290" s="214">
        <f t="shared" si="107"/>
        <v>54742.18</v>
      </c>
      <c r="I290" s="214">
        <f>+GAAP!E356</f>
        <v>0</v>
      </c>
      <c r="J290" s="319">
        <f>+GAAP!G356</f>
        <v>1</v>
      </c>
      <c r="K290" s="214">
        <f>+GAAP!H356</f>
        <v>0</v>
      </c>
      <c r="L290" s="214">
        <f>+GAAP!P356</f>
        <v>0</v>
      </c>
      <c r="M290" s="214">
        <f t="shared" si="108"/>
        <v>0</v>
      </c>
      <c r="N290" s="118" t="str">
        <f>GAAP!T356</f>
        <v>2025</v>
      </c>
      <c r="O290" s="320" t="str">
        <f>+GAAP!U356</f>
        <v>2025</v>
      </c>
      <c r="P290" s="321" t="str">
        <f>+GAAP!V356</f>
        <v>&lt; 250k</v>
      </c>
      <c r="Q290" s="116"/>
      <c r="R290" s="64"/>
      <c r="S290" s="64"/>
      <c r="T290" s="214"/>
      <c r="U290" s="64"/>
      <c r="V290" s="64"/>
      <c r="W290" s="64"/>
    </row>
    <row r="291" spans="1:23">
      <c r="A291" s="410">
        <f>+GAAP!A357</f>
        <v>56.110700000000001</v>
      </c>
      <c r="B291" s="57" t="str">
        <f>+GAAP!B357</f>
        <v>AIC - San Joaquin Electric - Pkg 4 Livermore &amp; Stockton PFAS RFP – California W</v>
      </c>
      <c r="C291" s="214">
        <f>+GAAP!J357</f>
        <v>3429.06</v>
      </c>
      <c r="D291" s="214">
        <f t="shared" si="105"/>
        <v>0</v>
      </c>
      <c r="E291" s="214">
        <f>+GAAP!C357</f>
        <v>3429.06</v>
      </c>
      <c r="F291" s="214">
        <f>+GAAP!F357</f>
        <v>3429.06</v>
      </c>
      <c r="G291" s="214">
        <f t="shared" si="106"/>
        <v>0</v>
      </c>
      <c r="H291" s="214">
        <f t="shared" si="107"/>
        <v>3429.06</v>
      </c>
      <c r="I291" s="214">
        <f>+GAAP!E357</f>
        <v>0</v>
      </c>
      <c r="J291" s="319">
        <f>+GAAP!G357</f>
        <v>1</v>
      </c>
      <c r="K291" s="214">
        <f>+GAAP!H357</f>
        <v>0</v>
      </c>
      <c r="L291" s="214">
        <f>+GAAP!P357</f>
        <v>0</v>
      </c>
      <c r="M291" s="214">
        <f t="shared" si="108"/>
        <v>0</v>
      </c>
      <c r="N291" s="118" t="str">
        <f>GAAP!T357</f>
        <v>2025</v>
      </c>
      <c r="O291" s="320" t="str">
        <f>+GAAP!U357</f>
        <v>2025</v>
      </c>
      <c r="P291" s="321" t="str">
        <f>+GAAP!V357</f>
        <v>&lt; 250k</v>
      </c>
      <c r="Q291" s="116"/>
      <c r="R291" s="64"/>
      <c r="S291" s="64"/>
      <c r="T291" s="214"/>
      <c r="U291" s="64"/>
      <c r="V291" s="64"/>
      <c r="W291" s="64"/>
    </row>
    <row r="292" spans="1:23">
      <c r="A292" s="410">
        <f>+GAAP!A358</f>
        <v>56.110799999999998</v>
      </c>
      <c r="B292" s="57" t="str">
        <f>+GAAP!B358</f>
        <v>AIC - City of Davis - Programming and Panel Modifications at Turnout Sit</v>
      </c>
      <c r="C292" s="214">
        <f>+GAAP!J358</f>
        <v>20729.84</v>
      </c>
      <c r="D292" s="214">
        <f t="shared" si="105"/>
        <v>0</v>
      </c>
      <c r="E292" s="214">
        <f>+GAAP!C358</f>
        <v>20729.84</v>
      </c>
      <c r="F292" s="214">
        <f>+GAAP!F358</f>
        <v>20729.84</v>
      </c>
      <c r="G292" s="214">
        <f t="shared" si="106"/>
        <v>0</v>
      </c>
      <c r="H292" s="214">
        <f t="shared" si="107"/>
        <v>20729.84</v>
      </c>
      <c r="I292" s="214">
        <f>+GAAP!E358</f>
        <v>0</v>
      </c>
      <c r="J292" s="319">
        <f>+GAAP!G358</f>
        <v>1</v>
      </c>
      <c r="K292" s="214">
        <f>+GAAP!H358</f>
        <v>0</v>
      </c>
      <c r="L292" s="214">
        <f>+GAAP!P358</f>
        <v>0</v>
      </c>
      <c r="M292" s="214">
        <f t="shared" si="108"/>
        <v>0</v>
      </c>
      <c r="N292" s="118" t="str">
        <f>GAAP!T358</f>
        <v>2025</v>
      </c>
      <c r="O292" s="320" t="str">
        <f>+GAAP!U358</f>
        <v>2025</v>
      </c>
      <c r="P292" s="321" t="str">
        <f>+GAAP!V358</f>
        <v>&lt; 250k</v>
      </c>
      <c r="Q292" s="116"/>
      <c r="R292" s="64"/>
      <c r="S292" s="64"/>
      <c r="T292" s="214"/>
      <c r="U292" s="64"/>
      <c r="V292" s="64"/>
      <c r="W292" s="64"/>
    </row>
    <row r="293" spans="1:23">
      <c r="A293" s="410">
        <f>+GAAP!A359</f>
        <v>56.110900000000001</v>
      </c>
      <c r="B293" s="57" t="str">
        <f>+GAAP!B359</f>
        <v>AIC - Fusion Electric, Inc.. - Moccasin WWTP Replacement - San Francisco Public U</v>
      </c>
      <c r="C293" s="214">
        <f>+GAAP!J359</f>
        <v>14772.26</v>
      </c>
      <c r="D293" s="214">
        <f t="shared" si="105"/>
        <v>0</v>
      </c>
      <c r="E293" s="214">
        <f>+GAAP!C359</f>
        <v>14772.26</v>
      </c>
      <c r="F293" s="214">
        <f>+GAAP!F359</f>
        <v>14772.26</v>
      </c>
      <c r="G293" s="214">
        <f t="shared" si="106"/>
        <v>0</v>
      </c>
      <c r="H293" s="214">
        <f t="shared" si="107"/>
        <v>14772.26</v>
      </c>
      <c r="I293" s="214">
        <f>+GAAP!E359</f>
        <v>0</v>
      </c>
      <c r="J293" s="319">
        <f>+GAAP!G359</f>
        <v>1</v>
      </c>
      <c r="K293" s="214">
        <f>+GAAP!H359</f>
        <v>0</v>
      </c>
      <c r="L293" s="214">
        <f>+GAAP!P359</f>
        <v>0</v>
      </c>
      <c r="M293" s="214">
        <f t="shared" si="108"/>
        <v>0</v>
      </c>
      <c r="N293" s="118" t="str">
        <f>GAAP!T359</f>
        <v>2025</v>
      </c>
      <c r="O293" s="320" t="str">
        <f>+GAAP!U359</f>
        <v>2025</v>
      </c>
      <c r="P293" s="321" t="str">
        <f>+GAAP!V359</f>
        <v>&lt; 250k</v>
      </c>
      <c r="Q293" s="116"/>
      <c r="R293" s="64"/>
      <c r="S293" s="64"/>
      <c r="T293" s="214"/>
      <c r="U293" s="64"/>
      <c r="V293" s="64"/>
      <c r="W293" s="64"/>
    </row>
    <row r="294" spans="1:23">
      <c r="A294" s="410">
        <f>+GAAP!A360</f>
        <v>56.110999999999997</v>
      </c>
      <c r="B294" s="57" t="str">
        <f>+GAAP!B360</f>
        <v>AIC - Al Fresco Landscape Management Inc. - East Garrison Autodialer Replacement - County of M</v>
      </c>
      <c r="C294" s="214">
        <f>+GAAP!J360</f>
        <v>4596.42</v>
      </c>
      <c r="D294" s="214">
        <f t="shared" si="105"/>
        <v>0</v>
      </c>
      <c r="E294" s="214">
        <f>+GAAP!C360</f>
        <v>4596.42</v>
      </c>
      <c r="F294" s="214">
        <f>+GAAP!F360</f>
        <v>4596.42</v>
      </c>
      <c r="G294" s="214">
        <f t="shared" si="106"/>
        <v>0</v>
      </c>
      <c r="H294" s="214">
        <f t="shared" si="107"/>
        <v>4596.42</v>
      </c>
      <c r="I294" s="214">
        <f>+GAAP!E360</f>
        <v>0</v>
      </c>
      <c r="J294" s="319">
        <f>+GAAP!G360</f>
        <v>1</v>
      </c>
      <c r="K294" s="214">
        <f>+GAAP!H360</f>
        <v>0</v>
      </c>
      <c r="L294" s="214">
        <f>+GAAP!P360</f>
        <v>0</v>
      </c>
      <c r="M294" s="214">
        <f t="shared" si="108"/>
        <v>0</v>
      </c>
      <c r="N294" s="118" t="str">
        <f>GAAP!T360</f>
        <v>2025</v>
      </c>
      <c r="O294" s="320" t="str">
        <f>+GAAP!U360</f>
        <v>2025</v>
      </c>
      <c r="P294" s="321" t="str">
        <f>+GAAP!V360</f>
        <v>&lt; 250k</v>
      </c>
      <c r="Q294" s="116"/>
      <c r="R294" s="64"/>
      <c r="S294" s="64"/>
      <c r="T294" s="214"/>
      <c r="U294" s="64"/>
      <c r="V294" s="64"/>
      <c r="W294" s="64"/>
    </row>
    <row r="295" spans="1:23">
      <c r="A295" s="410">
        <f>+GAAP!A361</f>
        <v>56.1111</v>
      </c>
      <c r="B295" s="57" t="str">
        <f>+GAAP!B361</f>
        <v>AIC - California American Water - Luzern Well Treatment Design</v>
      </c>
      <c r="C295" s="214">
        <f>+GAAP!J361</f>
        <v>17210.009999999998</v>
      </c>
      <c r="D295" s="214">
        <f t="shared" si="105"/>
        <v>0</v>
      </c>
      <c r="E295" s="214">
        <f>+GAAP!C361</f>
        <v>17210.009999999998</v>
      </c>
      <c r="F295" s="214">
        <f>+GAAP!F361</f>
        <v>17210.009999999998</v>
      </c>
      <c r="G295" s="214">
        <f t="shared" si="106"/>
        <v>0</v>
      </c>
      <c r="H295" s="214">
        <f t="shared" si="107"/>
        <v>17210.009999999998</v>
      </c>
      <c r="I295" s="214">
        <f>+GAAP!E361</f>
        <v>0</v>
      </c>
      <c r="J295" s="319">
        <f>+GAAP!G361</f>
        <v>1</v>
      </c>
      <c r="K295" s="214">
        <f>+GAAP!H361</f>
        <v>0</v>
      </c>
      <c r="L295" s="214">
        <f>+GAAP!P361</f>
        <v>0</v>
      </c>
      <c r="M295" s="214">
        <f t="shared" si="108"/>
        <v>0</v>
      </c>
      <c r="N295" s="118" t="str">
        <f>GAAP!T361</f>
        <v>2025</v>
      </c>
      <c r="O295" s="320" t="str">
        <f>+GAAP!U361</f>
        <v>2025</v>
      </c>
      <c r="P295" s="321" t="str">
        <f>+GAAP!V361</f>
        <v>&lt; 250k</v>
      </c>
      <c r="Q295" s="116"/>
      <c r="R295" s="64"/>
      <c r="S295" s="64"/>
      <c r="T295" s="214"/>
      <c r="U295" s="64"/>
      <c r="V295" s="64"/>
      <c r="W295" s="64"/>
    </row>
    <row r="296" spans="1:23">
      <c r="A296" s="410">
        <f>+GAAP!A362</f>
        <v>56.111199999999997</v>
      </c>
      <c r="B296" s="57" t="str">
        <f>+GAAP!B362</f>
        <v>AIC - Westside Water Authority - Pump Station A On-Site Support - Westside Water Au</v>
      </c>
      <c r="C296" s="214">
        <f>+GAAP!J362</f>
        <v>27241.58</v>
      </c>
      <c r="D296" s="214">
        <f t="shared" si="105"/>
        <v>0</v>
      </c>
      <c r="E296" s="214">
        <f>+GAAP!C362</f>
        <v>27241.58</v>
      </c>
      <c r="F296" s="214">
        <f>+GAAP!F362</f>
        <v>27241.58</v>
      </c>
      <c r="G296" s="214">
        <f t="shared" si="106"/>
        <v>0</v>
      </c>
      <c r="H296" s="214">
        <f t="shared" si="107"/>
        <v>27241.58</v>
      </c>
      <c r="I296" s="214">
        <f>+GAAP!E362</f>
        <v>0</v>
      </c>
      <c r="J296" s="319">
        <f>+GAAP!G362</f>
        <v>1</v>
      </c>
      <c r="K296" s="214">
        <f>+GAAP!H362</f>
        <v>0</v>
      </c>
      <c r="L296" s="214">
        <f>+GAAP!P362</f>
        <v>0</v>
      </c>
      <c r="M296" s="214">
        <f t="shared" si="108"/>
        <v>0</v>
      </c>
      <c r="N296" s="118" t="str">
        <f>GAAP!T362</f>
        <v>2025</v>
      </c>
      <c r="O296" s="320" t="str">
        <f>+GAAP!U362</f>
        <v>2025</v>
      </c>
      <c r="P296" s="321" t="str">
        <f>+GAAP!V362</f>
        <v>&lt; 250k</v>
      </c>
      <c r="Q296" s="116"/>
      <c r="R296" s="64"/>
      <c r="S296" s="64"/>
      <c r="T296" s="214"/>
      <c r="U296" s="64"/>
      <c r="V296" s="64"/>
      <c r="W296" s="64"/>
    </row>
    <row r="297" spans="1:23">
      <c r="A297" s="410">
        <f>+GAAP!A363</f>
        <v>56.1113</v>
      </c>
      <c r="B297" s="57" t="str">
        <f>+GAAP!B363</f>
        <v>AIC - Central Sierra Electric Co., Inc. - Industrial WWTF - City of Gonzales - Central Sierr</v>
      </c>
      <c r="C297" s="214">
        <f>+GAAP!J363</f>
        <v>49233.440000000002</v>
      </c>
      <c r="D297" s="214">
        <f t="shared" si="105"/>
        <v>0</v>
      </c>
      <c r="E297" s="214">
        <f>+GAAP!C363</f>
        <v>49233.440000000002</v>
      </c>
      <c r="F297" s="214">
        <f>+GAAP!F363</f>
        <v>49233.440000000002</v>
      </c>
      <c r="G297" s="214">
        <f t="shared" si="106"/>
        <v>0</v>
      </c>
      <c r="H297" s="214">
        <f t="shared" si="107"/>
        <v>49233.440000000002</v>
      </c>
      <c r="I297" s="214">
        <f>+GAAP!E363</f>
        <v>0</v>
      </c>
      <c r="J297" s="319">
        <f>+GAAP!G363</f>
        <v>1</v>
      </c>
      <c r="K297" s="214">
        <f>+GAAP!H363</f>
        <v>0</v>
      </c>
      <c r="L297" s="214">
        <f>+GAAP!P363</f>
        <v>0</v>
      </c>
      <c r="M297" s="214">
        <f t="shared" si="108"/>
        <v>0</v>
      </c>
      <c r="N297" s="118" t="str">
        <f>GAAP!T363</f>
        <v>2025</v>
      </c>
      <c r="O297" s="320" t="str">
        <f>+GAAP!U363</f>
        <v>2025</v>
      </c>
      <c r="P297" s="321" t="str">
        <f>+GAAP!V363</f>
        <v>&lt; 250k</v>
      </c>
      <c r="Q297" s="116"/>
      <c r="R297" s="64"/>
      <c r="S297" s="64"/>
      <c r="T297" s="214"/>
      <c r="U297" s="64"/>
      <c r="V297" s="64"/>
      <c r="W297" s="64"/>
    </row>
    <row r="298" spans="1:23">
      <c r="A298" s="410">
        <f>+GAAP!A364</f>
        <v>56.111499999999999</v>
      </c>
      <c r="B298" s="57" t="str">
        <f>+GAAP!B364</f>
        <v>AIC - UC Davis - WWTP Annual Instrument Calibrations</v>
      </c>
      <c r="C298" s="214">
        <f>+GAAP!J364</f>
        <v>5895.77</v>
      </c>
      <c r="D298" s="214">
        <f t="shared" si="105"/>
        <v>0</v>
      </c>
      <c r="E298" s="214">
        <f>+GAAP!C364</f>
        <v>5895.77</v>
      </c>
      <c r="F298" s="214">
        <f>+GAAP!F364</f>
        <v>5895.77</v>
      </c>
      <c r="G298" s="214">
        <f t="shared" si="106"/>
        <v>0</v>
      </c>
      <c r="H298" s="214">
        <f t="shared" si="107"/>
        <v>5895.77</v>
      </c>
      <c r="I298" s="214">
        <f>+GAAP!E364</f>
        <v>0</v>
      </c>
      <c r="J298" s="319">
        <f>+GAAP!G364</f>
        <v>1</v>
      </c>
      <c r="K298" s="214">
        <f>+GAAP!H364</f>
        <v>0</v>
      </c>
      <c r="L298" s="214">
        <f>+GAAP!P364</f>
        <v>0</v>
      </c>
      <c r="M298" s="214">
        <f t="shared" si="108"/>
        <v>0</v>
      </c>
      <c r="N298" s="118" t="str">
        <f>GAAP!T364</f>
        <v>2025</v>
      </c>
      <c r="O298" s="320" t="str">
        <f>+GAAP!U364</f>
        <v>2025</v>
      </c>
      <c r="P298" s="321" t="str">
        <f>+GAAP!V364</f>
        <v>&lt; 250k</v>
      </c>
      <c r="Q298" s="116"/>
      <c r="R298" s="64"/>
      <c r="S298" s="64"/>
      <c r="T298" s="214"/>
      <c r="U298" s="64"/>
      <c r="V298" s="64"/>
      <c r="W298" s="64"/>
    </row>
    <row r="299" spans="1:23">
      <c r="A299" s="410">
        <f>+GAAP!A365</f>
        <v>56.111899999999999</v>
      </c>
      <c r="B299" s="57" t="str">
        <f>+GAAP!B365</f>
        <v>AIC - SD Electric Inc. - Chrysler Stormwater Pump Station Switchboard - Cit</v>
      </c>
      <c r="C299" s="214">
        <f>+GAAP!J365</f>
        <v>22184.06</v>
      </c>
      <c r="D299" s="214">
        <f t="shared" si="105"/>
        <v>0</v>
      </c>
      <c r="E299" s="214">
        <f>+GAAP!C365</f>
        <v>22184.06</v>
      </c>
      <c r="F299" s="214">
        <f>+GAAP!F365</f>
        <v>22184.06</v>
      </c>
      <c r="G299" s="214">
        <f t="shared" si="106"/>
        <v>0</v>
      </c>
      <c r="H299" s="214">
        <f t="shared" si="107"/>
        <v>22184.06</v>
      </c>
      <c r="I299" s="214">
        <f>+GAAP!E365</f>
        <v>0</v>
      </c>
      <c r="J299" s="319">
        <f>+GAAP!G365</f>
        <v>1</v>
      </c>
      <c r="K299" s="214">
        <f>+GAAP!H365</f>
        <v>0</v>
      </c>
      <c r="L299" s="214">
        <f>+GAAP!P365</f>
        <v>0</v>
      </c>
      <c r="M299" s="214">
        <f t="shared" si="108"/>
        <v>0</v>
      </c>
      <c r="N299" s="118" t="str">
        <f>GAAP!T365</f>
        <v>2025</v>
      </c>
      <c r="O299" s="320" t="str">
        <f>+GAAP!U365</f>
        <v>2025</v>
      </c>
      <c r="P299" s="321" t="str">
        <f>+GAAP!V365</f>
        <v>&lt; 250k</v>
      </c>
      <c r="Q299" s="116"/>
      <c r="R299" s="64"/>
      <c r="S299" s="64"/>
      <c r="T299" s="214"/>
      <c r="U299" s="64"/>
      <c r="V299" s="64"/>
      <c r="W299" s="64"/>
    </row>
    <row r="300" spans="1:23">
      <c r="A300" s="410">
        <f>+GAAP!A366</f>
        <v>56.112000000000002</v>
      </c>
      <c r="B300" s="57" t="str">
        <f>+GAAP!B366</f>
        <v>AIC - Strategic Mechanical - Construction Plans for 2-Water Booster Pump Statio</v>
      </c>
      <c r="C300" s="214">
        <f>+GAAP!J366</f>
        <v>1045.6300000000001</v>
      </c>
      <c r="D300" s="214">
        <f t="shared" si="105"/>
        <v>0</v>
      </c>
      <c r="E300" s="214">
        <f>+GAAP!C366</f>
        <v>1045.6300000000001</v>
      </c>
      <c r="F300" s="214">
        <f>+GAAP!F366</f>
        <v>1045.6300000000001</v>
      </c>
      <c r="G300" s="214">
        <f t="shared" si="106"/>
        <v>0</v>
      </c>
      <c r="H300" s="214">
        <f t="shared" si="107"/>
        <v>1045.6300000000001</v>
      </c>
      <c r="I300" s="214">
        <f>+GAAP!E366</f>
        <v>0</v>
      </c>
      <c r="J300" s="319">
        <f>+GAAP!G366</f>
        <v>1</v>
      </c>
      <c r="K300" s="214">
        <f>+GAAP!H366</f>
        <v>0</v>
      </c>
      <c r="L300" s="214">
        <f>+GAAP!P366</f>
        <v>0</v>
      </c>
      <c r="M300" s="214">
        <f t="shared" si="108"/>
        <v>0</v>
      </c>
      <c r="N300" s="118" t="str">
        <f>GAAP!T366</f>
        <v>2025</v>
      </c>
      <c r="O300" s="320" t="str">
        <f>+GAAP!U366</f>
        <v>2025</v>
      </c>
      <c r="P300" s="321" t="str">
        <f>+GAAP!V366</f>
        <v>&lt; 250k</v>
      </c>
      <c r="Q300" s="116"/>
      <c r="R300" s="64"/>
      <c r="S300" s="64"/>
      <c r="T300" s="214"/>
      <c r="U300" s="64"/>
      <c r="V300" s="64"/>
      <c r="W300" s="64"/>
    </row>
    <row r="301" spans="1:23">
      <c r="A301" s="410">
        <f>+GAAP!A367</f>
        <v>56.112099999999998</v>
      </c>
      <c r="B301" s="57" t="str">
        <f>+GAAP!B367</f>
        <v>AIC - San Joaquin Electric, Inc.  -WQCF Sludge Thickener and Dewatering Unit No. 3 Pro</v>
      </c>
      <c r="C301" s="214">
        <f>+GAAP!J367</f>
        <v>22824.38</v>
      </c>
      <c r="D301" s="214">
        <f t="shared" si="105"/>
        <v>0</v>
      </c>
      <c r="E301" s="214">
        <f>+GAAP!C367</f>
        <v>22824.38</v>
      </c>
      <c r="F301" s="214">
        <f>+GAAP!F367</f>
        <v>22824.38</v>
      </c>
      <c r="G301" s="214">
        <f t="shared" si="106"/>
        <v>0</v>
      </c>
      <c r="H301" s="214">
        <f t="shared" si="107"/>
        <v>22824.38</v>
      </c>
      <c r="I301" s="214">
        <f>+GAAP!E367</f>
        <v>0</v>
      </c>
      <c r="J301" s="319">
        <f>+GAAP!G367</f>
        <v>1</v>
      </c>
      <c r="K301" s="214">
        <f>+GAAP!H367</f>
        <v>0</v>
      </c>
      <c r="L301" s="214">
        <f>+GAAP!P367</f>
        <v>0</v>
      </c>
      <c r="M301" s="214">
        <f t="shared" si="108"/>
        <v>0</v>
      </c>
      <c r="N301" s="118" t="str">
        <f>GAAP!T367</f>
        <v>2025</v>
      </c>
      <c r="O301" s="320" t="str">
        <f>+GAAP!U367</f>
        <v>2025</v>
      </c>
      <c r="P301" s="321" t="str">
        <f>+GAAP!V367</f>
        <v>&lt; 250k</v>
      </c>
      <c r="Q301" s="116"/>
      <c r="R301" s="64"/>
      <c r="S301" s="64"/>
      <c r="T301" s="214"/>
      <c r="U301" s="64"/>
      <c r="V301" s="64"/>
      <c r="W301" s="64"/>
    </row>
    <row r="302" spans="1:23">
      <c r="A302" s="410">
        <f>+GAAP!A368</f>
        <v>56.112200000000001</v>
      </c>
      <c r="B302" s="57" t="str">
        <f>+GAAP!B368</f>
        <v>AIC - West Bay Sanitary District  - West Bay Sanitary District - Soft Starter Retrofit</v>
      </c>
      <c r="C302" s="214">
        <f>+GAAP!J368</f>
        <v>6289.38</v>
      </c>
      <c r="D302" s="214">
        <f t="shared" si="105"/>
        <v>0</v>
      </c>
      <c r="E302" s="214">
        <f>+GAAP!C368</f>
        <v>6289.38</v>
      </c>
      <c r="F302" s="214">
        <f>+GAAP!F368</f>
        <v>6289.38</v>
      </c>
      <c r="G302" s="214">
        <f t="shared" si="106"/>
        <v>0</v>
      </c>
      <c r="H302" s="214">
        <f t="shared" si="107"/>
        <v>6289.38</v>
      </c>
      <c r="I302" s="214">
        <f>+GAAP!E368</f>
        <v>0</v>
      </c>
      <c r="J302" s="319">
        <f>+GAAP!G368</f>
        <v>1</v>
      </c>
      <c r="K302" s="214">
        <f>+GAAP!H368</f>
        <v>0</v>
      </c>
      <c r="L302" s="214">
        <f>+GAAP!P368</f>
        <v>0</v>
      </c>
      <c r="M302" s="214">
        <f t="shared" si="108"/>
        <v>0</v>
      </c>
      <c r="N302" s="118" t="str">
        <f>GAAP!T368</f>
        <v>2025</v>
      </c>
      <c r="O302" s="320" t="str">
        <f>+GAAP!U368</f>
        <v>2025</v>
      </c>
      <c r="P302" s="321" t="str">
        <f>+GAAP!V368</f>
        <v>&lt; 250k</v>
      </c>
      <c r="Q302" s="116"/>
      <c r="R302" s="64"/>
      <c r="S302" s="64"/>
      <c r="T302" s="214"/>
      <c r="U302" s="64"/>
      <c r="V302" s="64"/>
      <c r="W302" s="64"/>
    </row>
    <row r="303" spans="1:23">
      <c r="A303" s="410">
        <f>+GAAP!A369</f>
        <v>56.112299999999998</v>
      </c>
      <c r="B303" s="57" t="str">
        <f>+GAAP!B369</f>
        <v>AIC - UC Davis  - Landfill Flare PLC &amp; SCADA Integration - UC Davis</v>
      </c>
      <c r="C303" s="214">
        <f>+GAAP!J369</f>
        <v>3772.82</v>
      </c>
      <c r="D303" s="214">
        <f t="shared" si="105"/>
        <v>0</v>
      </c>
      <c r="E303" s="214">
        <f>+GAAP!C369</f>
        <v>3772.82</v>
      </c>
      <c r="F303" s="214">
        <f>+GAAP!F369</f>
        <v>3772.82</v>
      </c>
      <c r="G303" s="214">
        <f t="shared" si="106"/>
        <v>0</v>
      </c>
      <c r="H303" s="214">
        <f t="shared" si="107"/>
        <v>3772.82</v>
      </c>
      <c r="I303" s="214">
        <f>+GAAP!E369</f>
        <v>0</v>
      </c>
      <c r="J303" s="319">
        <f>+GAAP!G369</f>
        <v>1</v>
      </c>
      <c r="K303" s="214">
        <f>+GAAP!H369</f>
        <v>0</v>
      </c>
      <c r="L303" s="214">
        <f>+GAAP!P369</f>
        <v>0</v>
      </c>
      <c r="M303" s="214">
        <f t="shared" si="108"/>
        <v>0</v>
      </c>
      <c r="N303" s="118" t="str">
        <f>GAAP!T369</f>
        <v>2025</v>
      </c>
      <c r="O303" s="320" t="str">
        <f>+GAAP!U369</f>
        <v>2025</v>
      </c>
      <c r="P303" s="321" t="str">
        <f>+GAAP!V369</f>
        <v>&lt; 250k</v>
      </c>
      <c r="Q303" s="116"/>
      <c r="R303" s="64"/>
      <c r="S303" s="64"/>
      <c r="T303" s="214"/>
      <c r="U303" s="64"/>
      <c r="V303" s="64"/>
      <c r="W303" s="64"/>
    </row>
    <row r="304" spans="1:23">
      <c r="A304" s="410">
        <f>+GAAP!A370</f>
        <v>56.112400000000001</v>
      </c>
      <c r="B304" s="57" t="str">
        <f>+GAAP!B370</f>
        <v>AIC - Cupertino Electric Inc.- Eagle Rock Aggregrates Oakland Terminal - Port of</v>
      </c>
      <c r="C304" s="214">
        <f>+GAAP!J370</f>
        <v>28950</v>
      </c>
      <c r="D304" s="214">
        <f t="shared" si="105"/>
        <v>0</v>
      </c>
      <c r="E304" s="214">
        <f>+GAAP!C370</f>
        <v>28950</v>
      </c>
      <c r="F304" s="214">
        <f>+GAAP!F370</f>
        <v>28950</v>
      </c>
      <c r="G304" s="214">
        <f t="shared" si="106"/>
        <v>0</v>
      </c>
      <c r="H304" s="214">
        <f t="shared" si="107"/>
        <v>28950</v>
      </c>
      <c r="I304" s="214">
        <f>+GAAP!E370</f>
        <v>0</v>
      </c>
      <c r="J304" s="319">
        <f>+GAAP!G370</f>
        <v>1</v>
      </c>
      <c r="K304" s="214">
        <f>+GAAP!H370</f>
        <v>0</v>
      </c>
      <c r="L304" s="214">
        <f>+GAAP!P370</f>
        <v>0</v>
      </c>
      <c r="M304" s="214">
        <f t="shared" si="108"/>
        <v>0</v>
      </c>
      <c r="N304" s="118" t="str">
        <f>GAAP!T370</f>
        <v>2025</v>
      </c>
      <c r="O304" s="320" t="str">
        <f>+GAAP!U370</f>
        <v>2025</v>
      </c>
      <c r="P304" s="321" t="str">
        <f>+GAAP!V370</f>
        <v>&lt; 250k</v>
      </c>
      <c r="Q304" s="116"/>
      <c r="R304" s="64"/>
      <c r="S304" s="64"/>
      <c r="T304" s="214"/>
      <c r="U304" s="64"/>
      <c r="V304" s="64"/>
      <c r="W304" s="64"/>
    </row>
    <row r="305" spans="1:27">
      <c r="A305" s="410">
        <f>+GAAP!A371</f>
        <v>56.112499999999997</v>
      </c>
      <c r="B305" s="57" t="str">
        <f>+GAAP!B371</f>
        <v>AIC - Fowler Electric Services Inc.  - Third Street Pump Station - San Rafael Sanitation</v>
      </c>
      <c r="C305" s="214">
        <f>+GAAP!J371</f>
        <v>14229.38</v>
      </c>
      <c r="D305" s="214">
        <f t="shared" si="105"/>
        <v>0</v>
      </c>
      <c r="E305" s="214">
        <f>+GAAP!C371</f>
        <v>14229.38</v>
      </c>
      <c r="F305" s="214">
        <f>+GAAP!F371</f>
        <v>14229.38</v>
      </c>
      <c r="G305" s="214">
        <f t="shared" si="106"/>
        <v>0</v>
      </c>
      <c r="H305" s="214">
        <f t="shared" si="107"/>
        <v>14229.38</v>
      </c>
      <c r="I305" s="214">
        <f>+GAAP!E371</f>
        <v>0</v>
      </c>
      <c r="J305" s="319">
        <f>+GAAP!G371</f>
        <v>1</v>
      </c>
      <c r="K305" s="214">
        <f>+GAAP!H371</f>
        <v>0</v>
      </c>
      <c r="L305" s="214">
        <f>+GAAP!P371</f>
        <v>0</v>
      </c>
      <c r="M305" s="214">
        <f t="shared" si="108"/>
        <v>0</v>
      </c>
      <c r="N305" s="118" t="str">
        <f>GAAP!T371</f>
        <v>2025</v>
      </c>
      <c r="O305" s="320" t="str">
        <f>+GAAP!U371</f>
        <v>2025</v>
      </c>
      <c r="P305" s="321" t="str">
        <f>+GAAP!V371</f>
        <v>&lt; 250k</v>
      </c>
      <c r="Q305" s="116"/>
      <c r="R305" s="64"/>
      <c r="S305" s="64"/>
      <c r="T305" s="214"/>
      <c r="U305" s="64"/>
      <c r="V305" s="64"/>
      <c r="W305" s="64"/>
    </row>
    <row r="306" spans="1:27">
      <c r="A306" s="410">
        <f>+GAAP!A372</f>
        <v>56.1126</v>
      </c>
      <c r="B306" s="57" t="str">
        <f>+GAAP!B372</f>
        <v>AIC - Fowler Electric Services Inc.  - Parr Tank and Pipeline Project – North Gualala Wat</v>
      </c>
      <c r="C306" s="214">
        <f>+GAAP!J372</f>
        <v>9526.8799999999992</v>
      </c>
      <c r="D306" s="214">
        <f t="shared" si="105"/>
        <v>0</v>
      </c>
      <c r="E306" s="214">
        <f>+GAAP!C372</f>
        <v>9526.8799999999992</v>
      </c>
      <c r="F306" s="214">
        <f>+GAAP!F372</f>
        <v>9526.8799999999992</v>
      </c>
      <c r="G306" s="214">
        <f t="shared" si="106"/>
        <v>0</v>
      </c>
      <c r="H306" s="214">
        <f t="shared" si="107"/>
        <v>9526.8799999999992</v>
      </c>
      <c r="I306" s="214">
        <f>+GAAP!E372</f>
        <v>0</v>
      </c>
      <c r="J306" s="319">
        <f>+GAAP!G372</f>
        <v>1</v>
      </c>
      <c r="K306" s="214">
        <f>+GAAP!H372</f>
        <v>0</v>
      </c>
      <c r="L306" s="214">
        <f>+GAAP!P372</f>
        <v>0</v>
      </c>
      <c r="M306" s="214">
        <f t="shared" si="108"/>
        <v>0</v>
      </c>
      <c r="N306" s="118" t="str">
        <f>GAAP!T372</f>
        <v>2025</v>
      </c>
      <c r="O306" s="320" t="str">
        <f>+GAAP!U372</f>
        <v>2025</v>
      </c>
      <c r="P306" s="321" t="str">
        <f>+GAAP!V372</f>
        <v>&lt; 250k</v>
      </c>
      <c r="Q306" s="116"/>
      <c r="R306" s="64"/>
      <c r="S306" s="64"/>
      <c r="T306" s="214"/>
      <c r="U306" s="64"/>
      <c r="V306" s="64"/>
      <c r="W306" s="64"/>
    </row>
    <row r="307" spans="1:27">
      <c r="A307" s="410">
        <f>+GAAP!A373</f>
        <v>56.112699999999997</v>
      </c>
      <c r="B307" s="57" t="str">
        <f>+GAAP!B373</f>
        <v>AIC - Auburn Constructors, LLC - Colfax Water Treatment Plant Replacement Project – Placer Co</v>
      </c>
      <c r="C307" s="214">
        <f>+GAAP!J373</f>
        <v>6519.07</v>
      </c>
      <c r="D307" s="214">
        <f t="shared" si="105"/>
        <v>0</v>
      </c>
      <c r="E307" s="214">
        <f>+GAAP!C373</f>
        <v>6519.07</v>
      </c>
      <c r="F307" s="214">
        <f>+GAAP!F373</f>
        <v>6519.07</v>
      </c>
      <c r="G307" s="214">
        <f t="shared" si="106"/>
        <v>0</v>
      </c>
      <c r="H307" s="214">
        <f t="shared" si="107"/>
        <v>6519.07</v>
      </c>
      <c r="I307" s="214">
        <f>+GAAP!E373</f>
        <v>0</v>
      </c>
      <c r="J307" s="319">
        <f>+GAAP!G373</f>
        <v>1</v>
      </c>
      <c r="K307" s="214">
        <f>+GAAP!H373</f>
        <v>0</v>
      </c>
      <c r="L307" s="214">
        <f>+GAAP!P373</f>
        <v>0</v>
      </c>
      <c r="M307" s="214">
        <f t="shared" si="108"/>
        <v>0</v>
      </c>
      <c r="N307" s="118" t="str">
        <f>GAAP!T373</f>
        <v>2025</v>
      </c>
      <c r="O307" s="320" t="str">
        <f>+GAAP!U373</f>
        <v>2025</v>
      </c>
      <c r="P307" s="321" t="str">
        <f>+GAAP!V373</f>
        <v>&lt; 250k</v>
      </c>
      <c r="Q307" s="116"/>
      <c r="R307" s="64"/>
      <c r="S307" s="64"/>
      <c r="T307" s="214"/>
      <c r="U307" s="64"/>
      <c r="V307" s="64"/>
      <c r="W307" s="64"/>
    </row>
    <row r="308" spans="1:27">
      <c r="A308" s="410">
        <f>+GAAP!A374</f>
        <v>56.1128</v>
      </c>
      <c r="B308" s="57" t="str">
        <f>+GAAP!B374</f>
        <v>AIC - Con J. Franke Electric Inc. - San Joaquin Pipeline Valve and Safe Entry Improvements Phase</v>
      </c>
      <c r="C308" s="214">
        <f>+GAAP!J374</f>
        <v>4793.13</v>
      </c>
      <c r="D308" s="214">
        <f t="shared" si="105"/>
        <v>0</v>
      </c>
      <c r="E308" s="214">
        <f>+GAAP!C374</f>
        <v>4793.13</v>
      </c>
      <c r="F308" s="214">
        <f>+GAAP!F374</f>
        <v>4793.13</v>
      </c>
      <c r="G308" s="214">
        <f t="shared" si="106"/>
        <v>0</v>
      </c>
      <c r="H308" s="214">
        <f t="shared" si="107"/>
        <v>4793.13</v>
      </c>
      <c r="I308" s="214">
        <f>+GAAP!E374</f>
        <v>0</v>
      </c>
      <c r="J308" s="319">
        <f>+GAAP!G374</f>
        <v>1</v>
      </c>
      <c r="K308" s="214">
        <f>+GAAP!H374</f>
        <v>0</v>
      </c>
      <c r="L308" s="214">
        <f>+GAAP!P374</f>
        <v>0</v>
      </c>
      <c r="M308" s="214">
        <f t="shared" si="108"/>
        <v>0</v>
      </c>
      <c r="N308" s="118" t="str">
        <f>GAAP!T374</f>
        <v>2025</v>
      </c>
      <c r="O308" s="320" t="str">
        <f>+GAAP!U374</f>
        <v>2025</v>
      </c>
      <c r="P308" s="321" t="str">
        <f>+GAAP!V374</f>
        <v>&lt; 250k</v>
      </c>
      <c r="Q308" s="116"/>
      <c r="R308" s="64"/>
      <c r="S308" s="64"/>
      <c r="T308" s="214"/>
      <c r="U308" s="64"/>
      <c r="V308" s="64"/>
      <c r="W308" s="64"/>
    </row>
    <row r="309" spans="1:27">
      <c r="A309" s="410">
        <f>+GAAP!A375</f>
        <v>56.112900000000003</v>
      </c>
      <c r="B309" s="57" t="str">
        <f>+GAAP!B375</f>
        <v>AIC - RMCSD - VEEAM SFTWR</v>
      </c>
      <c r="C309" s="214">
        <f>+GAAP!J375</f>
        <v>133.75</v>
      </c>
      <c r="D309" s="214">
        <f t="shared" si="105"/>
        <v>0</v>
      </c>
      <c r="E309" s="214">
        <f>+GAAP!C375</f>
        <v>133.75</v>
      </c>
      <c r="F309" s="214">
        <f>+GAAP!F375</f>
        <v>133.75</v>
      </c>
      <c r="G309" s="214">
        <f t="shared" si="106"/>
        <v>0</v>
      </c>
      <c r="H309" s="214">
        <f t="shared" si="107"/>
        <v>133.75</v>
      </c>
      <c r="I309" s="214">
        <f>+GAAP!E375</f>
        <v>0</v>
      </c>
      <c r="J309" s="319">
        <f>+GAAP!G375</f>
        <v>1</v>
      </c>
      <c r="K309" s="214">
        <f>+GAAP!H375</f>
        <v>0</v>
      </c>
      <c r="L309" s="214">
        <f>+GAAP!P375</f>
        <v>0</v>
      </c>
      <c r="M309" s="214">
        <f t="shared" si="108"/>
        <v>0</v>
      </c>
      <c r="N309" s="118" t="str">
        <f>GAAP!T375</f>
        <v>2025</v>
      </c>
      <c r="O309" s="320" t="str">
        <f>+GAAP!U375</f>
        <v>2025</v>
      </c>
      <c r="P309" s="321" t="str">
        <f>+GAAP!V375</f>
        <v>&lt; 250k</v>
      </c>
      <c r="Q309" s="116"/>
      <c r="R309" s="64"/>
      <c r="S309" s="64"/>
      <c r="T309" s="214"/>
      <c r="U309" s="64"/>
      <c r="V309" s="64"/>
      <c r="W309" s="64"/>
    </row>
    <row r="310" spans="1:27">
      <c r="A310" s="410">
        <f>+GAAP!A377</f>
        <v>56.113100000000003</v>
      </c>
      <c r="B310" s="57" t="str">
        <f>+GAAP!B377</f>
        <v>AIC - North Star Construction - Sweeney Ranch Pump Station Pumps &amp; Temp Electrical – Sacrame</v>
      </c>
      <c r="C310" s="214">
        <f>+GAAP!J377</f>
        <v>2388.75</v>
      </c>
      <c r="D310" s="214">
        <f t="shared" si="105"/>
        <v>0</v>
      </c>
      <c r="E310" s="214">
        <f>+GAAP!C377</f>
        <v>2388.75</v>
      </c>
      <c r="F310" s="214">
        <f>+GAAP!F377</f>
        <v>2388.75</v>
      </c>
      <c r="G310" s="214">
        <f t="shared" si="106"/>
        <v>0</v>
      </c>
      <c r="H310" s="214">
        <f t="shared" si="107"/>
        <v>2388.75</v>
      </c>
      <c r="I310" s="214">
        <f>+GAAP!E377</f>
        <v>0</v>
      </c>
      <c r="J310" s="319">
        <f>+GAAP!G377</f>
        <v>1</v>
      </c>
      <c r="K310" s="214">
        <f>+GAAP!H377</f>
        <v>0</v>
      </c>
      <c r="L310" s="214">
        <f>+GAAP!P377</f>
        <v>0</v>
      </c>
      <c r="M310" s="214">
        <f t="shared" si="108"/>
        <v>0</v>
      </c>
      <c r="N310" s="118" t="str">
        <f>GAAP!T377</f>
        <v>2025</v>
      </c>
      <c r="O310" s="320" t="str">
        <f>+GAAP!U377</f>
        <v>2025</v>
      </c>
      <c r="P310" s="321" t="str">
        <f>+GAAP!V377</f>
        <v>&lt; 250k</v>
      </c>
      <c r="Q310" s="116"/>
      <c r="R310" s="64"/>
      <c r="S310" s="64"/>
      <c r="T310" s="214"/>
      <c r="U310" s="64"/>
      <c r="V310" s="64"/>
      <c r="W310" s="64"/>
    </row>
    <row r="311" spans="1:27">
      <c r="A311" s="410">
        <f>+GAAP!A378</f>
        <v>56.113199999999999</v>
      </c>
      <c r="B311" s="57" t="str">
        <f>+GAAP!B378</f>
        <v xml:space="preserve">AIC - UC Davis  - CABA Well Pump Station Rehabilitation – UC Davis </v>
      </c>
      <c r="C311" s="214">
        <f>+GAAP!J378</f>
        <v>585</v>
      </c>
      <c r="D311" s="214">
        <f t="shared" si="105"/>
        <v>0</v>
      </c>
      <c r="E311" s="214">
        <f>+GAAP!C378</f>
        <v>585</v>
      </c>
      <c r="F311" s="214">
        <f>+GAAP!F378</f>
        <v>585</v>
      </c>
      <c r="G311" s="214">
        <f t="shared" si="106"/>
        <v>0</v>
      </c>
      <c r="H311" s="214">
        <f t="shared" si="107"/>
        <v>585</v>
      </c>
      <c r="I311" s="214">
        <f>+GAAP!E378</f>
        <v>0</v>
      </c>
      <c r="J311" s="319">
        <f>+GAAP!G378</f>
        <v>1</v>
      </c>
      <c r="K311" s="214">
        <f>+GAAP!H378</f>
        <v>0</v>
      </c>
      <c r="L311" s="214">
        <f>+GAAP!P378</f>
        <v>0</v>
      </c>
      <c r="M311" s="214">
        <f t="shared" si="108"/>
        <v>0</v>
      </c>
      <c r="N311" s="118" t="str">
        <f>GAAP!T378</f>
        <v>2025</v>
      </c>
      <c r="O311" s="320" t="str">
        <f>+GAAP!U378</f>
        <v>2025</v>
      </c>
      <c r="P311" s="321" t="str">
        <f>+GAAP!V378</f>
        <v>&lt; 250k</v>
      </c>
      <c r="Q311" s="116"/>
      <c r="R311" s="64"/>
      <c r="S311" s="64"/>
      <c r="T311" s="214"/>
      <c r="U311" s="64"/>
      <c r="V311" s="64"/>
      <c r="W311" s="64"/>
    </row>
    <row r="312" spans="1:27">
      <c r="A312" s="410">
        <f>+GAAP!A379</f>
        <v>56.113300000000002</v>
      </c>
      <c r="B312" s="57" t="str">
        <f>+GAAP!B379</f>
        <v>AIC - UC Davis  - CABA Ag Pump Station Rehabilitation – UC Davis</v>
      </c>
      <c r="C312" s="214">
        <f>+GAAP!J379</f>
        <v>2827.5</v>
      </c>
      <c r="D312" s="214">
        <f t="shared" si="105"/>
        <v>0</v>
      </c>
      <c r="E312" s="214">
        <f>+GAAP!C379</f>
        <v>2827.5</v>
      </c>
      <c r="F312" s="214">
        <f>+GAAP!F379</f>
        <v>2827.5</v>
      </c>
      <c r="G312" s="214">
        <f t="shared" si="106"/>
        <v>0</v>
      </c>
      <c r="H312" s="214">
        <f t="shared" si="107"/>
        <v>2827.5</v>
      </c>
      <c r="I312" s="214">
        <f>+GAAP!E379</f>
        <v>0</v>
      </c>
      <c r="J312" s="319">
        <f>+GAAP!G379</f>
        <v>1</v>
      </c>
      <c r="K312" s="214">
        <f>+GAAP!H379</f>
        <v>0</v>
      </c>
      <c r="L312" s="214">
        <f>+GAAP!P379</f>
        <v>0</v>
      </c>
      <c r="M312" s="214">
        <f t="shared" si="108"/>
        <v>0</v>
      </c>
      <c r="N312" s="118" t="str">
        <f>GAAP!T379</f>
        <v>2025</v>
      </c>
      <c r="O312" s="320" t="str">
        <f>+GAAP!U379</f>
        <v>2025</v>
      </c>
      <c r="P312" s="321" t="str">
        <f>+GAAP!V379</f>
        <v>&lt; 250k</v>
      </c>
      <c r="Q312" s="116"/>
      <c r="R312" s="64"/>
      <c r="S312" s="64"/>
      <c r="T312" s="214"/>
      <c r="U312" s="64"/>
      <c r="V312" s="64"/>
      <c r="W312" s="64"/>
    </row>
    <row r="313" spans="1:27">
      <c r="A313" s="410">
        <f>+GAAP!A380</f>
        <v>56.113399999999999</v>
      </c>
      <c r="B313" s="57" t="str">
        <f>+GAAP!B380</f>
        <v>AIC - Cupertino Electric Inc. - Headworks (Cupertino Troubleshooting Project) - San Francisc</v>
      </c>
      <c r="C313" s="214">
        <f>+GAAP!J380</f>
        <v>965.51</v>
      </c>
      <c r="D313" s="214">
        <f t="shared" si="105"/>
        <v>0</v>
      </c>
      <c r="E313" s="214">
        <f>+GAAP!C380</f>
        <v>965.51</v>
      </c>
      <c r="F313" s="214">
        <f>+GAAP!F380</f>
        <v>965.51</v>
      </c>
      <c r="G313" s="214">
        <f t="shared" si="106"/>
        <v>0</v>
      </c>
      <c r="H313" s="214">
        <f t="shared" si="107"/>
        <v>965.51</v>
      </c>
      <c r="I313" s="214">
        <f>+GAAP!E380</f>
        <v>0</v>
      </c>
      <c r="J313" s="319">
        <f>+GAAP!G380</f>
        <v>1</v>
      </c>
      <c r="K313" s="214">
        <f>+GAAP!H380</f>
        <v>0</v>
      </c>
      <c r="L313" s="214">
        <f>+GAAP!P380</f>
        <v>0</v>
      </c>
      <c r="M313" s="214">
        <f t="shared" si="108"/>
        <v>0</v>
      </c>
      <c r="N313" s="118" t="str">
        <f>GAAP!T380</f>
        <v>2025</v>
      </c>
      <c r="O313" s="320" t="str">
        <f>+GAAP!U380</f>
        <v>2025</v>
      </c>
      <c r="P313" s="321" t="str">
        <f>+GAAP!V380</f>
        <v>&lt; 250k</v>
      </c>
      <c r="Q313" s="116"/>
      <c r="R313" s="64"/>
      <c r="S313" s="64"/>
      <c r="T313" s="214"/>
      <c r="U313" s="64"/>
      <c r="V313" s="64"/>
      <c r="W313" s="64"/>
    </row>
    <row r="314" spans="1:27">
      <c r="A314" s="410">
        <f>+GAAP!A381</f>
        <v>56.113500000000002</v>
      </c>
      <c r="B314" s="57" t="str">
        <f>+GAAP!B381</f>
        <v xml:space="preserve">AIC - San Joaquin Electric - Lurline Check and Siphon Replacement Project - Glenn-Colusa </v>
      </c>
      <c r="C314" s="214">
        <f>+GAAP!J381</f>
        <v>112.5</v>
      </c>
      <c r="D314" s="214">
        <f t="shared" si="105"/>
        <v>0</v>
      </c>
      <c r="E314" s="214">
        <f>+GAAP!C381</f>
        <v>112.5</v>
      </c>
      <c r="F314" s="214">
        <f>+GAAP!F381</f>
        <v>112.5</v>
      </c>
      <c r="G314" s="214">
        <f t="shared" si="106"/>
        <v>0</v>
      </c>
      <c r="H314" s="214">
        <f t="shared" si="107"/>
        <v>112.5</v>
      </c>
      <c r="I314" s="214">
        <f>+GAAP!E381</f>
        <v>0</v>
      </c>
      <c r="J314" s="319">
        <f>+GAAP!G381</f>
        <v>1</v>
      </c>
      <c r="K314" s="214">
        <f>+GAAP!H381</f>
        <v>0</v>
      </c>
      <c r="L314" s="214">
        <f>+GAAP!P381</f>
        <v>0</v>
      </c>
      <c r="M314" s="214">
        <f t="shared" si="108"/>
        <v>0</v>
      </c>
      <c r="N314" s="118" t="str">
        <f>GAAP!T381</f>
        <v>2025</v>
      </c>
      <c r="O314" s="320" t="str">
        <f>+GAAP!U381</f>
        <v>2025</v>
      </c>
      <c r="P314" s="321" t="str">
        <f>+GAAP!V381</f>
        <v>&lt; 250k</v>
      </c>
      <c r="Q314" s="116"/>
      <c r="R314" s="64"/>
      <c r="S314" s="64"/>
      <c r="T314" s="214"/>
      <c r="U314" s="64"/>
      <c r="V314" s="64"/>
      <c r="W314" s="64"/>
    </row>
    <row r="315" spans="1:27">
      <c r="A315" s="410">
        <f>+GAAP!A382</f>
        <v>56.114100000000001</v>
      </c>
      <c r="B315" s="57" t="str">
        <f>+GAAP!B382</f>
        <v>AIC - Blocka Construction Inc. - Glenview Reservoir Recoating and Tank Improvements - San Jos</v>
      </c>
      <c r="C315" s="214">
        <f>+GAAP!J382</f>
        <v>2827.5</v>
      </c>
      <c r="D315" s="214">
        <f t="shared" si="105"/>
        <v>0</v>
      </c>
      <c r="E315" s="214">
        <f>+GAAP!C382</f>
        <v>2827.5</v>
      </c>
      <c r="F315" s="214">
        <f>+GAAP!F382</f>
        <v>2827.5</v>
      </c>
      <c r="G315" s="214">
        <f t="shared" si="106"/>
        <v>0</v>
      </c>
      <c r="H315" s="214">
        <f t="shared" si="107"/>
        <v>2827.5</v>
      </c>
      <c r="I315" s="214">
        <f>+GAAP!E382</f>
        <v>0</v>
      </c>
      <c r="J315" s="319">
        <f>+GAAP!G382</f>
        <v>1</v>
      </c>
      <c r="K315" s="214">
        <f>+GAAP!H382</f>
        <v>0</v>
      </c>
      <c r="L315" s="214">
        <f>+GAAP!P382</f>
        <v>0</v>
      </c>
      <c r="M315" s="214">
        <f t="shared" si="108"/>
        <v>0</v>
      </c>
      <c r="N315" s="118" t="str">
        <f>GAAP!T382</f>
        <v>2025</v>
      </c>
      <c r="O315" s="320" t="str">
        <f>+GAAP!U382</f>
        <v>2025</v>
      </c>
      <c r="P315" s="321" t="str">
        <f>+GAAP!V382</f>
        <v>&lt; 250k</v>
      </c>
      <c r="Q315" s="116"/>
      <c r="R315" s="64"/>
      <c r="S315" s="64"/>
      <c r="T315" s="214"/>
      <c r="U315" s="64"/>
      <c r="V315" s="64"/>
      <c r="W315" s="64"/>
    </row>
    <row r="316" spans="1:27">
      <c r="A316" s="69"/>
      <c r="C316" s="214"/>
      <c r="D316" s="214"/>
      <c r="E316" s="214"/>
      <c r="F316" s="214"/>
      <c r="G316" s="214"/>
      <c r="H316" s="214"/>
      <c r="I316" s="214"/>
      <c r="J316" s="319"/>
      <c r="K316" s="214"/>
      <c r="L316" s="214"/>
      <c r="M316" s="214"/>
      <c r="N316" s="118"/>
      <c r="O316" s="320"/>
      <c r="P316" s="321"/>
      <c r="Q316" s="116"/>
      <c r="R316" s="64"/>
      <c r="S316" s="64"/>
      <c r="T316" s="64"/>
      <c r="U316" s="64"/>
      <c r="V316" s="64"/>
      <c r="W316" s="64"/>
    </row>
    <row r="317" spans="1:27">
      <c r="A317" s="534" t="s">
        <v>107</v>
      </c>
      <c r="B317" s="322"/>
      <c r="C317" s="323">
        <f t="shared" ref="C317:I317" si="109">SUM(C$158:C$316)</f>
        <v>7420887.2099999981</v>
      </c>
      <c r="D317" s="323">
        <f t="shared" si="109"/>
        <v>1359507.43</v>
      </c>
      <c r="E317" s="323">
        <f t="shared" si="109"/>
        <v>8780394.6400000043</v>
      </c>
      <c r="F317" s="323">
        <f t="shared" si="109"/>
        <v>6642719.5799999973</v>
      </c>
      <c r="G317" s="323">
        <f t="shared" si="109"/>
        <v>557856.16</v>
      </c>
      <c r="H317" s="323">
        <f t="shared" si="109"/>
        <v>7200575.7399999984</v>
      </c>
      <c r="I317" s="323">
        <f t="shared" si="109"/>
        <v>1579818.9</v>
      </c>
      <c r="J317" s="323"/>
      <c r="K317" s="323">
        <f>SUM(K$158:K$316)</f>
        <v>1462418.6918754694</v>
      </c>
      <c r="L317" s="323">
        <f>SUM(L$158:L$316)</f>
        <v>618142.59771469585</v>
      </c>
      <c r="M317" s="323">
        <f>SUM(M$158:M$316)</f>
        <v>844276.09416077391</v>
      </c>
      <c r="N317" s="118"/>
      <c r="O317" s="320"/>
      <c r="P317" s="321"/>
      <c r="Q317" s="116"/>
      <c r="R317" s="64"/>
      <c r="S317" s="64"/>
      <c r="T317" s="64"/>
      <c r="U317" s="64"/>
      <c r="V317" s="64"/>
      <c r="W317" s="64"/>
    </row>
    <row r="318" spans="1:27">
      <c r="C318" s="214"/>
      <c r="D318" s="214"/>
      <c r="E318" s="214"/>
      <c r="F318" s="214"/>
      <c r="G318" s="214"/>
      <c r="H318" s="214"/>
      <c r="I318" s="214"/>
      <c r="J318" s="214"/>
      <c r="K318" s="214"/>
      <c r="L318" s="214"/>
      <c r="M318" s="214"/>
      <c r="N318" s="214"/>
      <c r="O318" s="214"/>
      <c r="P318" s="214"/>
      <c r="Q318" s="56"/>
      <c r="R318" s="214"/>
      <c r="S318" s="214"/>
      <c r="T318" s="214"/>
      <c r="U318" s="214"/>
      <c r="V318" s="214"/>
      <c r="W318" s="214"/>
      <c r="X318" s="215"/>
      <c r="Y318" s="215"/>
      <c r="Z318" s="215"/>
      <c r="AA318" s="215"/>
    </row>
    <row r="319" spans="1:27">
      <c r="A319" s="81" t="s">
        <v>204</v>
      </c>
      <c r="C319" s="214"/>
      <c r="D319" s="214"/>
      <c r="E319" s="214"/>
      <c r="F319" s="214"/>
      <c r="G319" s="214"/>
      <c r="H319" s="214"/>
      <c r="I319" s="214"/>
      <c r="J319" s="319"/>
      <c r="K319" s="214"/>
      <c r="L319" s="214"/>
      <c r="M319" s="214"/>
      <c r="N319" s="214"/>
      <c r="O319" s="214"/>
      <c r="P319" s="214"/>
      <c r="Q319" s="56"/>
      <c r="R319" s="214"/>
      <c r="S319" s="214"/>
      <c r="T319" s="214"/>
      <c r="U319" s="214"/>
      <c r="V319" s="214"/>
      <c r="W319" s="214"/>
      <c r="X319" s="215"/>
      <c r="Y319" s="215"/>
      <c r="Z319" s="215"/>
      <c r="AA319" s="215"/>
    </row>
    <row r="320" spans="1:27">
      <c r="A320" s="410">
        <f>+GAAP!A37</f>
        <v>51.115600000000001</v>
      </c>
      <c r="B320" s="57" t="str">
        <f>+GAAP!B37</f>
        <v>Rocklin Overhead 2025</v>
      </c>
      <c r="C320" s="214">
        <f>+GAAP!J37</f>
        <v>0</v>
      </c>
      <c r="D320" s="214">
        <f t="shared" ref="D320:D323" si="110">+E320-C320</f>
        <v>0</v>
      </c>
      <c r="E320" s="214">
        <f>+GAAP!C37</f>
        <v>0</v>
      </c>
      <c r="F320" s="214">
        <f>+GAAP!F37</f>
        <v>1426058.69</v>
      </c>
      <c r="G320" s="214">
        <f t="shared" ref="G320:G323" si="111">+H320-F320</f>
        <v>0</v>
      </c>
      <c r="H320" s="214">
        <f t="shared" ref="H320:H323" si="112">+E320-I320</f>
        <v>1426058.69</v>
      </c>
      <c r="I320" s="214">
        <f>+GAAP!E37</f>
        <v>-1426058.69</v>
      </c>
      <c r="J320" s="319">
        <f>+GAAP!G37</f>
        <v>1</v>
      </c>
      <c r="K320" s="214">
        <f>+GAAP!H37</f>
        <v>-1426058.69</v>
      </c>
      <c r="L320" s="214">
        <f>+GAAP!P37</f>
        <v>0</v>
      </c>
      <c r="M320" s="214">
        <f t="shared" ref="M320:M323" si="113">+K320-L320</f>
        <v>-1426058.69</v>
      </c>
      <c r="N320" s="118" t="str">
        <f>GAAP!T37</f>
        <v>2025</v>
      </c>
      <c r="O320" s="320" t="str">
        <f>+GAAP!U37</f>
        <v>2025</v>
      </c>
      <c r="P320" s="321" t="str">
        <f>+GAAP!V37</f>
        <v>OH</v>
      </c>
      <c r="Q320" s="56"/>
      <c r="R320" s="214"/>
      <c r="S320" s="214"/>
      <c r="T320" s="214"/>
      <c r="U320" s="214"/>
      <c r="V320" s="214"/>
      <c r="W320" s="214"/>
      <c r="X320" s="215"/>
      <c r="Y320" s="215"/>
      <c r="Z320" s="215"/>
      <c r="AA320" s="215"/>
    </row>
    <row r="321" spans="1:27">
      <c r="A321" s="410">
        <f>+GAAP!A38</f>
        <v>51.115699999999997</v>
      </c>
      <c r="B321" s="57" t="str">
        <f>+GAAP!B38</f>
        <v>Rocklin Estimating 2025</v>
      </c>
      <c r="C321" s="214">
        <f>+GAAP!J38</f>
        <v>0</v>
      </c>
      <c r="D321" s="214">
        <f t="shared" si="110"/>
        <v>0</v>
      </c>
      <c r="E321" s="214">
        <f>+GAAP!C38</f>
        <v>0</v>
      </c>
      <c r="F321" s="214">
        <f>+GAAP!F38</f>
        <v>613546.52</v>
      </c>
      <c r="G321" s="214">
        <f t="shared" si="111"/>
        <v>0</v>
      </c>
      <c r="H321" s="214">
        <f t="shared" si="112"/>
        <v>613546.52</v>
      </c>
      <c r="I321" s="214">
        <f>+GAAP!E38</f>
        <v>-613546.52</v>
      </c>
      <c r="J321" s="319">
        <f>+GAAP!G38</f>
        <v>1</v>
      </c>
      <c r="K321" s="214">
        <f>+GAAP!H38</f>
        <v>-613546.52</v>
      </c>
      <c r="L321" s="214">
        <f>+GAAP!P38</f>
        <v>0</v>
      </c>
      <c r="M321" s="214">
        <f t="shared" si="113"/>
        <v>-613546.52</v>
      </c>
      <c r="N321" s="118" t="str">
        <f>GAAP!T38</f>
        <v>2025</v>
      </c>
      <c r="O321" s="320" t="str">
        <f>+GAAP!U38</f>
        <v>2025</v>
      </c>
      <c r="P321" s="321" t="str">
        <f>+GAAP!V38</f>
        <v>OH</v>
      </c>
      <c r="Q321" s="56"/>
      <c r="R321" s="214"/>
      <c r="S321" s="214"/>
      <c r="T321" s="214"/>
      <c r="U321" s="214"/>
      <c r="V321" s="214"/>
      <c r="W321" s="214"/>
      <c r="X321" s="215"/>
      <c r="Y321" s="215"/>
      <c r="Z321" s="215"/>
      <c r="AA321" s="215"/>
    </row>
    <row r="322" spans="1:27">
      <c r="A322" s="410">
        <f>+GAAP!A80</f>
        <v>52.868200000000002</v>
      </c>
      <c r="B322" s="57" t="str">
        <f>+GAAP!B80</f>
        <v>Fresno Overhead 2025</v>
      </c>
      <c r="C322" s="214">
        <f>+GAAP!J80</f>
        <v>0</v>
      </c>
      <c r="D322" s="214">
        <f t="shared" si="110"/>
        <v>0</v>
      </c>
      <c r="E322" s="214">
        <f>+GAAP!C80</f>
        <v>0</v>
      </c>
      <c r="F322" s="214">
        <f>+GAAP!F80</f>
        <v>1121157.1000000001</v>
      </c>
      <c r="G322" s="214">
        <f t="shared" si="111"/>
        <v>0</v>
      </c>
      <c r="H322" s="214">
        <f t="shared" si="112"/>
        <v>1121157.1000000001</v>
      </c>
      <c r="I322" s="214">
        <f>+GAAP!E80</f>
        <v>-1121157.1000000001</v>
      </c>
      <c r="J322" s="319">
        <f>+GAAP!G80</f>
        <v>1</v>
      </c>
      <c r="K322" s="214">
        <f>+GAAP!H80</f>
        <v>-1121157.1000000001</v>
      </c>
      <c r="L322" s="214">
        <f>+GAAP!P80</f>
        <v>0</v>
      </c>
      <c r="M322" s="214">
        <f t="shared" si="113"/>
        <v>-1121157.1000000001</v>
      </c>
      <c r="N322" s="118" t="str">
        <f>GAAP!T80</f>
        <v>2025</v>
      </c>
      <c r="O322" s="320" t="str">
        <f>+GAAP!U80</f>
        <v>2025</v>
      </c>
      <c r="P322" s="321" t="str">
        <f>+GAAP!V80</f>
        <v>OH</v>
      </c>
      <c r="Q322" s="56"/>
      <c r="R322" s="214"/>
      <c r="S322" s="214"/>
      <c r="T322" s="214"/>
      <c r="U322" s="214"/>
      <c r="V322" s="214"/>
      <c r="W322" s="214"/>
      <c r="X322" s="215"/>
      <c r="Y322" s="215"/>
      <c r="Z322" s="215"/>
      <c r="AA322" s="215"/>
    </row>
    <row r="323" spans="1:27">
      <c r="A323" s="410">
        <f>+GAAP!A81</f>
        <v>52.868299999999998</v>
      </c>
      <c r="B323" s="57" t="str">
        <f>+GAAP!B81</f>
        <v>Fresno Estimating 2025</v>
      </c>
      <c r="C323" s="214">
        <f>+GAAP!J81</f>
        <v>0</v>
      </c>
      <c r="D323" s="214">
        <f t="shared" si="110"/>
        <v>0</v>
      </c>
      <c r="E323" s="214">
        <f>+GAAP!C81</f>
        <v>0</v>
      </c>
      <c r="F323" s="214">
        <f>+GAAP!F81</f>
        <v>415452.52</v>
      </c>
      <c r="G323" s="214">
        <f t="shared" si="111"/>
        <v>0</v>
      </c>
      <c r="H323" s="214">
        <f t="shared" si="112"/>
        <v>415452.52</v>
      </c>
      <c r="I323" s="214">
        <f>+GAAP!E81</f>
        <v>-415452.52</v>
      </c>
      <c r="J323" s="319">
        <f>+GAAP!G81</f>
        <v>1</v>
      </c>
      <c r="K323" s="214">
        <f>+GAAP!H81</f>
        <v>-415452.52</v>
      </c>
      <c r="L323" s="214">
        <f>+GAAP!P81</f>
        <v>0</v>
      </c>
      <c r="M323" s="214">
        <f t="shared" si="113"/>
        <v>-415452.52</v>
      </c>
      <c r="N323" s="118" t="str">
        <f>GAAP!T81</f>
        <v>2025</v>
      </c>
      <c r="O323" s="320" t="str">
        <f>+GAAP!U81</f>
        <v>2025</v>
      </c>
      <c r="P323" s="321" t="str">
        <f>+GAAP!V81</f>
        <v>OH</v>
      </c>
      <c r="Q323" s="56"/>
      <c r="R323" s="214"/>
      <c r="S323" s="214"/>
      <c r="T323" s="214"/>
      <c r="U323" s="214"/>
      <c r="V323" s="214"/>
      <c r="W323" s="214"/>
      <c r="X323" s="215"/>
      <c r="Y323" s="215"/>
      <c r="Z323" s="215"/>
      <c r="AA323" s="215"/>
    </row>
    <row r="324" spans="1:27">
      <c r="A324" s="410">
        <f>+GAAP!A113</f>
        <v>53.200499999999998</v>
      </c>
      <c r="B324" s="57" t="str">
        <f>+GAAP!B113</f>
        <v>East Bay Overhead 2025</v>
      </c>
      <c r="C324" s="214">
        <f>+GAAP!J113</f>
        <v>0</v>
      </c>
      <c r="D324" s="214">
        <f t="shared" ref="D324:D325" si="114">+E324-C324</f>
        <v>0</v>
      </c>
      <c r="E324" s="214">
        <f>+GAAP!C113</f>
        <v>0</v>
      </c>
      <c r="F324" s="214">
        <f>+GAAP!F113</f>
        <v>279281.96000000002</v>
      </c>
      <c r="G324" s="214">
        <f t="shared" ref="G324:G325" si="115">+H324-F324</f>
        <v>0</v>
      </c>
      <c r="H324" s="214">
        <f t="shared" ref="H324:H325" si="116">+E324-I324</f>
        <v>279281.96000000002</v>
      </c>
      <c r="I324" s="214">
        <f>+GAAP!E113</f>
        <v>-279281.96000000002</v>
      </c>
      <c r="J324" s="319">
        <f>+GAAP!G113</f>
        <v>1</v>
      </c>
      <c r="K324" s="214">
        <f>+GAAP!H113</f>
        <v>-279281.96000000002</v>
      </c>
      <c r="L324" s="214">
        <f>+GAAP!P113</f>
        <v>0</v>
      </c>
      <c r="M324" s="214">
        <f t="shared" ref="M324:M325" si="117">+K324-L324</f>
        <v>-279281.96000000002</v>
      </c>
      <c r="N324" s="118" t="str">
        <f>GAAP!T113</f>
        <v>2025</v>
      </c>
      <c r="O324" s="320" t="str">
        <f>+GAAP!U113</f>
        <v>2025</v>
      </c>
      <c r="P324" s="321" t="str">
        <f>+GAAP!V113</f>
        <v>OH</v>
      </c>
      <c r="Q324" s="56"/>
      <c r="R324" s="214"/>
      <c r="S324" s="214"/>
      <c r="T324" s="214"/>
      <c r="U324" s="214"/>
      <c r="V324" s="214"/>
      <c r="W324" s="214"/>
      <c r="X324" s="215"/>
      <c r="Y324" s="215"/>
      <c r="Z324" s="215"/>
      <c r="AA324" s="215"/>
    </row>
    <row r="325" spans="1:27">
      <c r="A325" s="410">
        <f>+GAAP!A114</f>
        <v>53.200600000000001</v>
      </c>
      <c r="B325" s="57" t="str">
        <f>+GAAP!B114</f>
        <v>East Bay Estimating 2026</v>
      </c>
      <c r="C325" s="214">
        <f>+GAAP!J114</f>
        <v>0</v>
      </c>
      <c r="D325" s="214">
        <f t="shared" si="114"/>
        <v>0</v>
      </c>
      <c r="E325" s="214">
        <f>+GAAP!C114</f>
        <v>0</v>
      </c>
      <c r="F325" s="214">
        <f>+GAAP!F114</f>
        <v>304986.32</v>
      </c>
      <c r="G325" s="214">
        <f t="shared" si="115"/>
        <v>0</v>
      </c>
      <c r="H325" s="214">
        <f t="shared" si="116"/>
        <v>304986.32</v>
      </c>
      <c r="I325" s="214">
        <f>+GAAP!E114</f>
        <v>-304986.32</v>
      </c>
      <c r="J325" s="319">
        <f>+GAAP!G114</f>
        <v>1</v>
      </c>
      <c r="K325" s="214">
        <f>+GAAP!H114</f>
        <v>-304986.32</v>
      </c>
      <c r="L325" s="214">
        <f>+GAAP!P114</f>
        <v>0</v>
      </c>
      <c r="M325" s="214">
        <f t="shared" si="117"/>
        <v>-304986.32</v>
      </c>
      <c r="N325" s="118" t="str">
        <f>GAAP!T114</f>
        <v>2025</v>
      </c>
      <c r="O325" s="320" t="str">
        <f>+GAAP!U114</f>
        <v>2025</v>
      </c>
      <c r="P325" s="321" t="str">
        <f>+GAAP!V114</f>
        <v>OH</v>
      </c>
      <c r="Q325" s="56"/>
      <c r="R325" s="214"/>
      <c r="S325" s="214"/>
      <c r="T325" s="214"/>
      <c r="U325" s="214"/>
      <c r="V325" s="214"/>
      <c r="W325" s="214"/>
      <c r="X325" s="215"/>
      <c r="Y325" s="215"/>
      <c r="Z325" s="215"/>
      <c r="AA325" s="215"/>
    </row>
    <row r="326" spans="1:27">
      <c r="A326" s="410">
        <f>+GAAP!A189</f>
        <v>54.937100000000001</v>
      </c>
      <c r="B326" s="57" t="str">
        <f>+GAAP!B189</f>
        <v>Bakersfield Overhead 2025</v>
      </c>
      <c r="C326" s="214">
        <f>+GAAP!J189</f>
        <v>0</v>
      </c>
      <c r="D326" s="214">
        <f t="shared" ref="D326:D327" si="118">+E326-C326</f>
        <v>0</v>
      </c>
      <c r="E326" s="214">
        <f>+GAAP!C189</f>
        <v>0</v>
      </c>
      <c r="F326" s="214">
        <f>+GAAP!F189</f>
        <v>1267652.77</v>
      </c>
      <c r="G326" s="214">
        <f t="shared" ref="G326:G327" si="119">+H326-F326</f>
        <v>0</v>
      </c>
      <c r="H326" s="214">
        <f t="shared" ref="H326:H327" si="120">+E326-I326</f>
        <v>1267652.77</v>
      </c>
      <c r="I326" s="214">
        <f>+GAAP!E189</f>
        <v>-1267652.77</v>
      </c>
      <c r="J326" s="319">
        <f>+GAAP!G189</f>
        <v>1</v>
      </c>
      <c r="K326" s="214">
        <f>+GAAP!H189</f>
        <v>-1267652.77</v>
      </c>
      <c r="L326" s="214">
        <f>+GAAP!P189</f>
        <v>0</v>
      </c>
      <c r="M326" s="214">
        <f t="shared" ref="M326:M327" si="121">+K326-L326</f>
        <v>-1267652.77</v>
      </c>
      <c r="N326" s="118" t="str">
        <f>GAAP!T189</f>
        <v>2025</v>
      </c>
      <c r="O326" s="320" t="str">
        <f>+GAAP!U189</f>
        <v>2025</v>
      </c>
      <c r="P326" s="321" t="str">
        <f>+GAAP!V189</f>
        <v>OH</v>
      </c>
      <c r="Q326" s="56"/>
      <c r="R326" s="214"/>
      <c r="S326" s="214"/>
      <c r="T326" s="214"/>
      <c r="U326" s="214"/>
      <c r="V326" s="214"/>
      <c r="W326" s="214"/>
      <c r="X326" s="215"/>
      <c r="Y326" s="215"/>
      <c r="Z326" s="215"/>
      <c r="AA326" s="215"/>
    </row>
    <row r="327" spans="1:27">
      <c r="A327" s="410">
        <f>+GAAP!A190</f>
        <v>54.937199999999997</v>
      </c>
      <c r="B327" s="57" t="str">
        <f>+GAAP!B190</f>
        <v>Bakersfield Estimating 2025</v>
      </c>
      <c r="C327" s="214">
        <f>+GAAP!J190</f>
        <v>0</v>
      </c>
      <c r="D327" s="214">
        <f t="shared" si="118"/>
        <v>0</v>
      </c>
      <c r="E327" s="214">
        <f>+GAAP!C190</f>
        <v>0</v>
      </c>
      <c r="F327" s="214">
        <f>+GAAP!F190</f>
        <v>588792.6</v>
      </c>
      <c r="G327" s="214">
        <f t="shared" si="119"/>
        <v>0</v>
      </c>
      <c r="H327" s="214">
        <f t="shared" si="120"/>
        <v>588792.6</v>
      </c>
      <c r="I327" s="214">
        <f>+GAAP!E190</f>
        <v>-588792.6</v>
      </c>
      <c r="J327" s="319">
        <f>+GAAP!G190</f>
        <v>1</v>
      </c>
      <c r="K327" s="214">
        <f>+GAAP!H190</f>
        <v>-588792.6</v>
      </c>
      <c r="L327" s="214">
        <f>+GAAP!P190</f>
        <v>0</v>
      </c>
      <c r="M327" s="214">
        <f t="shared" si="121"/>
        <v>-588792.6</v>
      </c>
      <c r="N327" s="118" t="str">
        <f>GAAP!T190</f>
        <v>2025</v>
      </c>
      <c r="O327" s="320" t="str">
        <f>+GAAP!U190</f>
        <v>2025</v>
      </c>
      <c r="P327" s="321" t="str">
        <f>+GAAP!V190</f>
        <v>OH</v>
      </c>
      <c r="Q327" s="56"/>
      <c r="R327" s="214"/>
      <c r="S327" s="214"/>
      <c r="T327" s="214"/>
      <c r="U327" s="214"/>
      <c r="V327" s="214"/>
      <c r="W327" s="214"/>
      <c r="X327" s="215"/>
      <c r="Y327" s="215"/>
      <c r="Z327" s="215"/>
      <c r="AA327" s="215"/>
    </row>
    <row r="328" spans="1:27">
      <c r="A328" s="410">
        <f>+GAAP!A245</f>
        <v>55.1252</v>
      </c>
      <c r="B328" s="57" t="str">
        <f>+GAAP!B245</f>
        <v>Murrieta Overhead 2025</v>
      </c>
      <c r="C328" s="214">
        <f>+GAAP!J245</f>
        <v>0</v>
      </c>
      <c r="D328" s="214">
        <f t="shared" ref="D328:D335" si="122">+E328-C328</f>
        <v>0</v>
      </c>
      <c r="E328" s="214">
        <f>+GAAP!C245</f>
        <v>0</v>
      </c>
      <c r="F328" s="214">
        <f>+GAAP!F245</f>
        <v>1958826.45</v>
      </c>
      <c r="G328" s="214">
        <f t="shared" ref="G328:G335" si="123">+H328-F328</f>
        <v>0</v>
      </c>
      <c r="H328" s="214">
        <f t="shared" ref="H328:H335" si="124">+E328-I328</f>
        <v>1958826.45</v>
      </c>
      <c r="I328" s="214">
        <f>+GAAP!E245</f>
        <v>-1958826.45</v>
      </c>
      <c r="J328" s="319">
        <f>+GAAP!G245</f>
        <v>1</v>
      </c>
      <c r="K328" s="214">
        <f>+GAAP!H245</f>
        <v>-1958826.45</v>
      </c>
      <c r="L328" s="214">
        <f>+GAAP!P245</f>
        <v>0</v>
      </c>
      <c r="M328" s="214">
        <f t="shared" ref="M328:M335" si="125">+K328-L328</f>
        <v>-1958826.45</v>
      </c>
      <c r="N328" s="118" t="str">
        <f>GAAP!T245</f>
        <v>2025</v>
      </c>
      <c r="O328" s="320" t="str">
        <f>+GAAP!U245</f>
        <v>2025</v>
      </c>
      <c r="P328" s="321" t="str">
        <f>+GAAP!V245</f>
        <v>OH</v>
      </c>
      <c r="Q328" s="56"/>
      <c r="R328" s="214"/>
      <c r="S328" s="214"/>
      <c r="T328" s="214"/>
      <c r="U328" s="214"/>
      <c r="V328" s="214"/>
      <c r="W328" s="214"/>
      <c r="X328" s="215"/>
      <c r="Y328" s="215"/>
      <c r="Z328" s="215"/>
      <c r="AA328" s="215"/>
    </row>
    <row r="329" spans="1:27">
      <c r="A329" s="410">
        <f>+GAAP!A246</f>
        <v>55.125300000000003</v>
      </c>
      <c r="B329" s="57" t="str">
        <f>+GAAP!B246</f>
        <v>Murrieta Estimating 2025</v>
      </c>
      <c r="C329" s="214">
        <f>+GAAP!J246</f>
        <v>0</v>
      </c>
      <c r="D329" s="214">
        <f t="shared" si="122"/>
        <v>0</v>
      </c>
      <c r="E329" s="214">
        <f>+GAAP!C246</f>
        <v>0</v>
      </c>
      <c r="F329" s="214">
        <f>+GAAP!F246</f>
        <v>475814.03</v>
      </c>
      <c r="G329" s="214">
        <f t="shared" si="123"/>
        <v>0</v>
      </c>
      <c r="H329" s="214">
        <f t="shared" si="124"/>
        <v>475814.03</v>
      </c>
      <c r="I329" s="214">
        <f>+GAAP!E246</f>
        <v>-475814.03</v>
      </c>
      <c r="J329" s="319">
        <f>+GAAP!G246</f>
        <v>1</v>
      </c>
      <c r="K329" s="214">
        <f>+GAAP!H246</f>
        <v>-475814.03</v>
      </c>
      <c r="L329" s="214">
        <f>+GAAP!P246</f>
        <v>0</v>
      </c>
      <c r="M329" s="214">
        <f t="shared" si="125"/>
        <v>-475814.03</v>
      </c>
      <c r="N329" s="118" t="str">
        <f>GAAP!T246</f>
        <v>2025</v>
      </c>
      <c r="O329" s="320" t="str">
        <f>+GAAP!U246</f>
        <v>2025</v>
      </c>
      <c r="P329" s="321" t="str">
        <f>+GAAP!V246</f>
        <v>OH</v>
      </c>
      <c r="Q329" s="56"/>
      <c r="R329" s="214"/>
      <c r="S329" s="214"/>
      <c r="T329" s="214"/>
      <c r="U329" s="214"/>
      <c r="V329" s="214"/>
      <c r="W329" s="214"/>
      <c r="X329" s="215"/>
      <c r="Y329" s="215"/>
      <c r="Z329" s="215"/>
      <c r="AA329" s="215"/>
    </row>
    <row r="330" spans="1:27">
      <c r="A330" s="410">
        <f>+GAAP!A347</f>
        <v>56.107700000000001</v>
      </c>
      <c r="B330" s="57" t="str">
        <f>+GAAP!B347</f>
        <v>System Integration Overhead 2025</v>
      </c>
      <c r="C330" s="214">
        <f>+GAAP!J347</f>
        <v>0</v>
      </c>
      <c r="D330" s="214">
        <f t="shared" ref="D330" si="126">+E330-C330</f>
        <v>0</v>
      </c>
      <c r="E330" s="214">
        <f>+GAAP!C347</f>
        <v>0</v>
      </c>
      <c r="F330" s="214">
        <f>+GAAP!F347</f>
        <v>4370841.4000000004</v>
      </c>
      <c r="G330" s="214">
        <f t="shared" ref="G330" si="127">+H330-F330</f>
        <v>0</v>
      </c>
      <c r="H330" s="214">
        <f t="shared" ref="H330" si="128">+E330-I330</f>
        <v>4370841.4000000004</v>
      </c>
      <c r="I330" s="214">
        <f>+GAAP!E347</f>
        <v>-4370841.4000000004</v>
      </c>
      <c r="J330" s="319">
        <f>+GAAP!G347</f>
        <v>1</v>
      </c>
      <c r="K330" s="214">
        <f>+GAAP!H347</f>
        <v>-4370841.4000000004</v>
      </c>
      <c r="L330" s="214">
        <f>+GAAP!P347</f>
        <v>0</v>
      </c>
      <c r="M330" s="214">
        <f t="shared" ref="M330" si="129">+K330-L330</f>
        <v>-4370841.4000000004</v>
      </c>
      <c r="N330" s="118" t="str">
        <f>GAAP!T347</f>
        <v>2025</v>
      </c>
      <c r="O330" s="320" t="str">
        <f>+GAAP!U347</f>
        <v>2025</v>
      </c>
      <c r="P330" s="321" t="str">
        <f>+GAAP!V347</f>
        <v>OH</v>
      </c>
      <c r="Q330" s="56"/>
      <c r="R330" s="214"/>
      <c r="S330" s="214"/>
      <c r="T330" s="214"/>
      <c r="U330" s="214"/>
      <c r="V330" s="214"/>
      <c r="W330" s="214"/>
      <c r="X330" s="215"/>
      <c r="Y330" s="215"/>
      <c r="Z330" s="215"/>
      <c r="AA330" s="215"/>
    </row>
    <row r="331" spans="1:27">
      <c r="A331" s="410">
        <f>+GAAP!A376</f>
        <v>56.113</v>
      </c>
      <c r="B331" s="57" t="str">
        <f>+GAAP!B376</f>
        <v>System Integration Division Estimating 2025</v>
      </c>
      <c r="C331" s="214">
        <f>+GAAP!J376</f>
        <v>0</v>
      </c>
      <c r="D331" s="214">
        <f t="shared" ref="D331" si="130">+E331-C331</f>
        <v>0</v>
      </c>
      <c r="E331" s="214">
        <f>+GAAP!C376</f>
        <v>0</v>
      </c>
      <c r="F331" s="214">
        <f>+GAAP!F376</f>
        <v>267.5</v>
      </c>
      <c r="G331" s="214">
        <f t="shared" ref="G331" si="131">+H331-F331</f>
        <v>0</v>
      </c>
      <c r="H331" s="214">
        <f t="shared" ref="H331" si="132">+E331-I331</f>
        <v>267.5</v>
      </c>
      <c r="I331" s="214">
        <f>+GAAP!E376</f>
        <v>-267.5</v>
      </c>
      <c r="J331" s="319">
        <f>+GAAP!G376</f>
        <v>1</v>
      </c>
      <c r="K331" s="214">
        <f>+GAAP!H376</f>
        <v>-267.5</v>
      </c>
      <c r="L331" s="214">
        <f>+GAAP!P376</f>
        <v>0</v>
      </c>
      <c r="M331" s="214">
        <f t="shared" ref="M331" si="133">+K331-L331</f>
        <v>-267.5</v>
      </c>
      <c r="N331" s="118" t="str">
        <f>GAAP!T376</f>
        <v>2025</v>
      </c>
      <c r="O331" s="320" t="str">
        <f>+GAAP!U376</f>
        <v>2025</v>
      </c>
      <c r="P331" s="321" t="str">
        <f>+GAAP!V376</f>
        <v>OH</v>
      </c>
      <c r="Q331" s="56"/>
      <c r="R331" s="214"/>
      <c r="S331" s="214"/>
      <c r="T331" s="214"/>
      <c r="U331" s="214"/>
      <c r="V331" s="214"/>
      <c r="W331" s="214"/>
      <c r="X331" s="215"/>
      <c r="Y331" s="215"/>
      <c r="Z331" s="215"/>
      <c r="AA331" s="215"/>
    </row>
    <row r="332" spans="1:27">
      <c r="A332" s="410">
        <f>+GAAP!A260</f>
        <v>57.000500000000002</v>
      </c>
      <c r="B332" s="57" t="str">
        <f>+GAAP!B260</f>
        <v>San Diego Overhead 2025</v>
      </c>
      <c r="C332" s="214">
        <f>+GAAP!J260</f>
        <v>0</v>
      </c>
      <c r="D332" s="214">
        <f t="shared" si="122"/>
        <v>0</v>
      </c>
      <c r="E332" s="214">
        <f>+GAAP!C260</f>
        <v>0</v>
      </c>
      <c r="F332" s="214">
        <f>+GAAP!F260</f>
        <v>92874.26</v>
      </c>
      <c r="G332" s="214">
        <f t="shared" si="123"/>
        <v>0</v>
      </c>
      <c r="H332" s="214">
        <f t="shared" si="124"/>
        <v>92874.26</v>
      </c>
      <c r="I332" s="214">
        <f>+GAAP!E260</f>
        <v>-92874.26</v>
      </c>
      <c r="J332" s="319">
        <f>+GAAP!G260</f>
        <v>1</v>
      </c>
      <c r="K332" s="214">
        <f>+GAAP!H260</f>
        <v>-92874.26</v>
      </c>
      <c r="L332" s="214">
        <f>+GAAP!P260</f>
        <v>0</v>
      </c>
      <c r="M332" s="214">
        <f t="shared" si="125"/>
        <v>-92874.26</v>
      </c>
      <c r="N332" s="118" t="str">
        <f>GAAP!T260</f>
        <v>2025</v>
      </c>
      <c r="O332" s="320" t="str">
        <f>+GAAP!U260</f>
        <v>2025</v>
      </c>
      <c r="P332" s="321" t="str">
        <f>+GAAP!V260</f>
        <v>OH</v>
      </c>
      <c r="Q332" s="56"/>
      <c r="R332" s="214"/>
      <c r="S332" s="214"/>
      <c r="T332" s="214"/>
      <c r="U332" s="214"/>
      <c r="V332" s="214"/>
      <c r="W332" s="214"/>
      <c r="X332" s="215"/>
      <c r="Y332" s="215"/>
      <c r="Z332" s="215"/>
      <c r="AA332" s="215"/>
    </row>
    <row r="333" spans="1:27">
      <c r="A333" s="410">
        <f>+GAAP!A261</f>
        <v>57.000599999999999</v>
      </c>
      <c r="B333" s="57" t="str">
        <f>+GAAP!B261</f>
        <v>San Diego Estimating 2025</v>
      </c>
      <c r="C333" s="214">
        <f>+GAAP!J261</f>
        <v>0</v>
      </c>
      <c r="D333" s="214">
        <f t="shared" si="122"/>
        <v>0</v>
      </c>
      <c r="E333" s="214">
        <f>+GAAP!C261</f>
        <v>0</v>
      </c>
      <c r="F333" s="214">
        <f>+GAAP!F261</f>
        <v>13743.76</v>
      </c>
      <c r="G333" s="214">
        <f t="shared" si="123"/>
        <v>0</v>
      </c>
      <c r="H333" s="214">
        <f t="shared" si="124"/>
        <v>13743.76</v>
      </c>
      <c r="I333" s="214">
        <f>+GAAP!E261</f>
        <v>-13743.76</v>
      </c>
      <c r="J333" s="319">
        <f>+GAAP!G261</f>
        <v>1</v>
      </c>
      <c r="K333" s="214">
        <f>+GAAP!H261</f>
        <v>-13743.76</v>
      </c>
      <c r="L333" s="214">
        <f>+GAAP!P261</f>
        <v>0</v>
      </c>
      <c r="M333" s="214">
        <f t="shared" si="125"/>
        <v>-13743.76</v>
      </c>
      <c r="N333" s="118" t="str">
        <f>GAAP!T261</f>
        <v>2025</v>
      </c>
      <c r="O333" s="320" t="str">
        <f>+GAAP!U261</f>
        <v>2025</v>
      </c>
      <c r="P333" s="321" t="str">
        <f>+GAAP!V261</f>
        <v>OH</v>
      </c>
      <c r="Q333" s="56"/>
      <c r="R333" s="214"/>
      <c r="S333" s="214"/>
      <c r="T333" s="214"/>
      <c r="U333" s="214"/>
      <c r="V333" s="214"/>
      <c r="W333" s="214"/>
      <c r="X333" s="215"/>
      <c r="Y333" s="215"/>
      <c r="Z333" s="215"/>
      <c r="AA333" s="215"/>
    </row>
    <row r="334" spans="1:27">
      <c r="A334" s="410">
        <f>+GAAP!A272</f>
        <v>58.000399999999999</v>
      </c>
      <c r="B334" s="57" t="str">
        <f>+GAAP!B272</f>
        <v>Los Angeles Overhead 2025</v>
      </c>
      <c r="C334" s="214">
        <f>+GAAP!J272</f>
        <v>0</v>
      </c>
      <c r="D334" s="214">
        <f t="shared" si="122"/>
        <v>0</v>
      </c>
      <c r="E334" s="214">
        <f>+GAAP!C272</f>
        <v>0</v>
      </c>
      <c r="F334" s="214">
        <f>+GAAP!F272</f>
        <v>147282.12</v>
      </c>
      <c r="G334" s="214">
        <f t="shared" si="123"/>
        <v>0</v>
      </c>
      <c r="H334" s="214">
        <f t="shared" si="124"/>
        <v>147282.12</v>
      </c>
      <c r="I334" s="214">
        <f>+GAAP!E272</f>
        <v>-147282.12</v>
      </c>
      <c r="J334" s="319">
        <f>+GAAP!G272</f>
        <v>1</v>
      </c>
      <c r="K334" s="214">
        <f>+GAAP!H272</f>
        <v>-147282.12</v>
      </c>
      <c r="L334" s="214">
        <f>+GAAP!P272</f>
        <v>0</v>
      </c>
      <c r="M334" s="214">
        <f t="shared" si="125"/>
        <v>-147282.12</v>
      </c>
      <c r="N334" s="118" t="str">
        <f>GAAP!T272</f>
        <v>2025</v>
      </c>
      <c r="O334" s="320" t="str">
        <f>+GAAP!U272</f>
        <v>2025</v>
      </c>
      <c r="P334" s="321" t="str">
        <f>+GAAP!V272</f>
        <v>OH</v>
      </c>
      <c r="Q334" s="56"/>
      <c r="R334" s="214"/>
      <c r="S334" s="214"/>
      <c r="T334" s="214"/>
      <c r="U334" s="214"/>
      <c r="V334" s="214"/>
      <c r="W334" s="214"/>
      <c r="X334" s="215"/>
      <c r="Y334" s="215"/>
      <c r="Z334" s="215"/>
      <c r="AA334" s="215"/>
    </row>
    <row r="335" spans="1:27">
      <c r="A335" s="410">
        <f>+GAAP!A273</f>
        <v>58.000500000000002</v>
      </c>
      <c r="B335" s="57" t="str">
        <f>+GAAP!B273</f>
        <v>Los Angeles Estimating 2025</v>
      </c>
      <c r="C335" s="214">
        <f>+GAAP!J273</f>
        <v>0</v>
      </c>
      <c r="D335" s="214">
        <f t="shared" si="122"/>
        <v>0</v>
      </c>
      <c r="E335" s="214">
        <f>+GAAP!C273</f>
        <v>0</v>
      </c>
      <c r="F335" s="214">
        <f>+GAAP!F273</f>
        <v>135037.09</v>
      </c>
      <c r="G335" s="214">
        <f t="shared" si="123"/>
        <v>0</v>
      </c>
      <c r="H335" s="214">
        <f t="shared" si="124"/>
        <v>135037.09</v>
      </c>
      <c r="I335" s="214">
        <f>+GAAP!E273</f>
        <v>-135037.09</v>
      </c>
      <c r="J335" s="319">
        <f>+GAAP!G273</f>
        <v>1</v>
      </c>
      <c r="K335" s="214">
        <f>+GAAP!H273</f>
        <v>-135037.09</v>
      </c>
      <c r="L335" s="214">
        <f>+GAAP!P273</f>
        <v>0</v>
      </c>
      <c r="M335" s="214">
        <f t="shared" si="125"/>
        <v>-135037.09</v>
      </c>
      <c r="N335" s="118" t="str">
        <f>GAAP!T273</f>
        <v>2025</v>
      </c>
      <c r="O335" s="320" t="str">
        <f>+GAAP!U273</f>
        <v>2025</v>
      </c>
      <c r="P335" s="321" t="str">
        <f>+GAAP!V273</f>
        <v>OH</v>
      </c>
      <c r="Q335" s="56"/>
      <c r="R335" s="214"/>
      <c r="S335" s="214"/>
      <c r="T335" s="214"/>
      <c r="U335" s="214"/>
      <c r="V335" s="214"/>
      <c r="W335" s="214"/>
      <c r="X335" s="215"/>
      <c r="Y335" s="215"/>
      <c r="Z335" s="215"/>
      <c r="AA335" s="215"/>
    </row>
    <row r="336" spans="1:27">
      <c r="A336" s="410"/>
      <c r="C336" s="214"/>
      <c r="D336" s="214"/>
      <c r="E336" s="214"/>
      <c r="F336" s="214"/>
      <c r="G336" s="214"/>
      <c r="H336" s="214"/>
      <c r="I336" s="214"/>
      <c r="J336" s="319"/>
      <c r="K336" s="214"/>
      <c r="L336" s="214"/>
      <c r="M336" s="214"/>
      <c r="N336" s="118"/>
      <c r="O336" s="320"/>
      <c r="P336" s="321"/>
      <c r="Q336" s="56"/>
      <c r="R336" s="214"/>
      <c r="S336" s="214"/>
      <c r="T336" s="214"/>
      <c r="U336" s="214"/>
      <c r="V336" s="214"/>
      <c r="W336" s="214"/>
      <c r="X336" s="215"/>
      <c r="Y336" s="215"/>
      <c r="Z336" s="215"/>
      <c r="AA336" s="215"/>
    </row>
    <row r="337" spans="1:27">
      <c r="A337" s="195" t="s">
        <v>421</v>
      </c>
      <c r="C337" s="214"/>
      <c r="D337" s="214"/>
      <c r="E337" s="214"/>
      <c r="F337" s="214"/>
      <c r="G337" s="214"/>
      <c r="H337" s="214"/>
      <c r="I337" s="214"/>
      <c r="J337" s="319"/>
      <c r="K337" s="214"/>
      <c r="L337" s="214"/>
      <c r="M337" s="214"/>
      <c r="N337" s="118"/>
      <c r="O337" s="320"/>
      <c r="P337" s="321"/>
      <c r="Q337" s="56"/>
      <c r="R337" s="214"/>
      <c r="S337" s="214"/>
      <c r="T337" s="214"/>
      <c r="U337" s="214"/>
      <c r="V337" s="214"/>
      <c r="W337" s="214"/>
      <c r="X337" s="215"/>
      <c r="Y337" s="215"/>
      <c r="Z337" s="215"/>
      <c r="AA337" s="215"/>
    </row>
    <row r="338" spans="1:27">
      <c r="A338" s="410">
        <f>+GAAP!A388</f>
        <v>50.054099999999998</v>
      </c>
      <c r="B338" s="57" t="str">
        <f>+GAAP!B388</f>
        <v>W.M. Lyles Co. - General Overhead</v>
      </c>
      <c r="C338" s="214">
        <f>+GAAP!J388</f>
        <v>0</v>
      </c>
      <c r="D338" s="214">
        <f t="shared" ref="D338:D344" si="134">+E338-C338</f>
        <v>0</v>
      </c>
      <c r="E338" s="214">
        <f>+GAAP!C388</f>
        <v>0</v>
      </c>
      <c r="F338" s="214">
        <f>+GAAP!F388</f>
        <v>3642039.89</v>
      </c>
      <c r="G338" s="214">
        <f t="shared" ref="G338:G344" si="135">+H338-F338</f>
        <v>0</v>
      </c>
      <c r="H338" s="214">
        <f t="shared" ref="H338:H344" si="136">+E338-I338</f>
        <v>3642039.89</v>
      </c>
      <c r="I338" s="214">
        <f>+GAAP!E388</f>
        <v>-3642039.89</v>
      </c>
      <c r="J338" s="319">
        <f>+GAAP!G388</f>
        <v>1</v>
      </c>
      <c r="K338" s="214">
        <f>+GAAP!H388</f>
        <v>-3642039.89</v>
      </c>
      <c r="L338" s="214">
        <f>+GAAP!P388</f>
        <v>0</v>
      </c>
      <c r="M338" s="214">
        <f t="shared" ref="M338:M344" si="137">+K338-L338</f>
        <v>-3642039.89</v>
      </c>
      <c r="N338" s="118" t="str">
        <f>GAAP!T388</f>
        <v>50</v>
      </c>
      <c r="O338" s="320" t="str">
        <f>+GAAP!U388</f>
        <v>50</v>
      </c>
      <c r="P338" s="321">
        <f>+GAAP!V388</f>
        <v>0</v>
      </c>
      <c r="Q338" s="56"/>
      <c r="R338" s="214"/>
      <c r="S338" s="214"/>
      <c r="T338" s="214"/>
      <c r="U338" s="214"/>
      <c r="V338" s="214"/>
      <c r="W338" s="214"/>
      <c r="X338" s="215"/>
      <c r="Y338" s="215"/>
      <c r="Z338" s="215"/>
      <c r="AA338" s="215"/>
    </row>
    <row r="339" spans="1:27">
      <c r="A339" s="410">
        <f>+GAAP!A389</f>
        <v>50.054200000000002</v>
      </c>
      <c r="B339" s="57" t="str">
        <f>+GAAP!B389</f>
        <v>W.M. Lyles Co. - General Estimating</v>
      </c>
      <c r="C339" s="214">
        <f>+GAAP!J389</f>
        <v>0</v>
      </c>
      <c r="D339" s="214">
        <f t="shared" si="134"/>
        <v>0</v>
      </c>
      <c r="E339" s="214">
        <f>+GAAP!C389</f>
        <v>0</v>
      </c>
      <c r="F339" s="214">
        <f>+GAAP!F389</f>
        <v>100487.45</v>
      </c>
      <c r="G339" s="214">
        <f t="shared" si="135"/>
        <v>0</v>
      </c>
      <c r="H339" s="214">
        <f t="shared" si="136"/>
        <v>100487.45</v>
      </c>
      <c r="I339" s="214">
        <f>+GAAP!E389</f>
        <v>-100487.45</v>
      </c>
      <c r="J339" s="319">
        <f>+GAAP!G389</f>
        <v>1</v>
      </c>
      <c r="K339" s="214">
        <f>+GAAP!H389</f>
        <v>-100487.45</v>
      </c>
      <c r="L339" s="214">
        <f>+GAAP!P389</f>
        <v>0</v>
      </c>
      <c r="M339" s="214">
        <f t="shared" si="137"/>
        <v>-100487.45</v>
      </c>
      <c r="N339" s="118" t="str">
        <f>GAAP!T389</f>
        <v>50</v>
      </c>
      <c r="O339" s="320" t="str">
        <f>+GAAP!U389</f>
        <v>50</v>
      </c>
      <c r="P339" s="321">
        <f>+GAAP!V389</f>
        <v>0</v>
      </c>
      <c r="Q339" s="56"/>
      <c r="R339" s="214"/>
      <c r="S339" s="214"/>
      <c r="T339" s="214"/>
      <c r="U339" s="214"/>
      <c r="V339" s="214"/>
      <c r="W339" s="214"/>
      <c r="X339" s="215"/>
      <c r="Y339" s="215"/>
      <c r="Z339" s="215"/>
      <c r="AA339" s="215"/>
    </row>
    <row r="340" spans="1:27">
      <c r="A340" s="410">
        <f>+GAAP!A390</f>
        <v>50.054299999999998</v>
      </c>
      <c r="B340" s="57" t="str">
        <f>+GAAP!B390</f>
        <v>American Paving</v>
      </c>
      <c r="C340" s="214">
        <f>+GAAP!J390</f>
        <v>7051.01</v>
      </c>
      <c r="D340" s="214">
        <f t="shared" si="134"/>
        <v>0</v>
      </c>
      <c r="E340" s="214">
        <f>+GAAP!C390</f>
        <v>7051.01</v>
      </c>
      <c r="F340" s="214">
        <f>+GAAP!F390</f>
        <v>7051.01</v>
      </c>
      <c r="G340" s="214">
        <f t="shared" si="135"/>
        <v>0</v>
      </c>
      <c r="H340" s="214">
        <f t="shared" si="136"/>
        <v>7051.01</v>
      </c>
      <c r="I340" s="214">
        <f>+GAAP!E390</f>
        <v>0</v>
      </c>
      <c r="J340" s="319">
        <f>+GAAP!G390</f>
        <v>1</v>
      </c>
      <c r="K340" s="214">
        <f>+GAAP!H390</f>
        <v>0</v>
      </c>
      <c r="L340" s="214">
        <f>+GAAP!P390</f>
        <v>0</v>
      </c>
      <c r="M340" s="214">
        <f t="shared" si="137"/>
        <v>0</v>
      </c>
      <c r="N340" s="118" t="str">
        <f>GAAP!T390</f>
        <v>50</v>
      </c>
      <c r="O340" s="320" t="str">
        <f>+GAAP!U390</f>
        <v>50</v>
      </c>
      <c r="P340" s="321">
        <f>+GAAP!V390</f>
        <v>0</v>
      </c>
      <c r="Q340" s="56"/>
      <c r="R340" s="214"/>
      <c r="S340" s="214"/>
      <c r="T340" s="214"/>
      <c r="U340" s="214"/>
      <c r="V340" s="214"/>
      <c r="W340" s="214"/>
      <c r="X340" s="215"/>
      <c r="Y340" s="215"/>
      <c r="Z340" s="215"/>
      <c r="AA340" s="215"/>
    </row>
    <row r="341" spans="1:27">
      <c r="A341" s="410">
        <f>+GAAP!A391</f>
        <v>50.054400000000001</v>
      </c>
      <c r="B341" s="57" t="str">
        <f>+GAAP!B391</f>
        <v>Lyles Services Co.</v>
      </c>
      <c r="C341" s="214">
        <f>+GAAP!J391</f>
        <v>13555.8</v>
      </c>
      <c r="D341" s="214">
        <f t="shared" si="134"/>
        <v>0</v>
      </c>
      <c r="E341" s="214">
        <f>+GAAP!C391</f>
        <v>13555.8</v>
      </c>
      <c r="F341" s="214">
        <f>+GAAP!F391</f>
        <v>13555.8</v>
      </c>
      <c r="G341" s="214">
        <f t="shared" si="135"/>
        <v>0</v>
      </c>
      <c r="H341" s="214">
        <f t="shared" si="136"/>
        <v>13555.8</v>
      </c>
      <c r="I341" s="214">
        <f>+GAAP!E391</f>
        <v>0</v>
      </c>
      <c r="J341" s="319">
        <f>+GAAP!G391</f>
        <v>1</v>
      </c>
      <c r="K341" s="214">
        <f>+GAAP!H391</f>
        <v>0</v>
      </c>
      <c r="L341" s="214">
        <f>+GAAP!P391</f>
        <v>0</v>
      </c>
      <c r="M341" s="214">
        <f t="shared" si="137"/>
        <v>0</v>
      </c>
      <c r="N341" s="118" t="str">
        <f>GAAP!T391</f>
        <v>50</v>
      </c>
      <c r="O341" s="320" t="str">
        <f>+GAAP!U391</f>
        <v>50</v>
      </c>
      <c r="P341" s="321">
        <f>+GAAP!V391</f>
        <v>0</v>
      </c>
      <c r="Q341" s="56"/>
      <c r="R341" s="214"/>
      <c r="S341" s="214"/>
      <c r="T341" s="214"/>
      <c r="U341" s="214"/>
      <c r="V341" s="214"/>
      <c r="W341" s="214"/>
      <c r="X341" s="215"/>
      <c r="Y341" s="215"/>
      <c r="Z341" s="215"/>
      <c r="AA341" s="215"/>
    </row>
    <row r="342" spans="1:27">
      <c r="A342" s="410">
        <f>+GAAP!A392</f>
        <v>50.054499999999997</v>
      </c>
      <c r="B342" s="57" t="str">
        <f>+GAAP!B392</f>
        <v>New England Sheet Metal and Mechanical Co.</v>
      </c>
      <c r="C342" s="214">
        <f>+GAAP!J392</f>
        <v>2226.16</v>
      </c>
      <c r="D342" s="214">
        <f t="shared" si="134"/>
        <v>0</v>
      </c>
      <c r="E342" s="214">
        <f>+GAAP!C392</f>
        <v>2226.16</v>
      </c>
      <c r="F342" s="214">
        <f>+GAAP!F392</f>
        <v>2226.16</v>
      </c>
      <c r="G342" s="214">
        <f t="shared" si="135"/>
        <v>0</v>
      </c>
      <c r="H342" s="214">
        <f t="shared" si="136"/>
        <v>2226.16</v>
      </c>
      <c r="I342" s="214">
        <f>+GAAP!E392</f>
        <v>0</v>
      </c>
      <c r="J342" s="319">
        <f>+GAAP!G392</f>
        <v>1</v>
      </c>
      <c r="K342" s="214">
        <f>+GAAP!H392</f>
        <v>0</v>
      </c>
      <c r="L342" s="214">
        <f>+GAAP!P392</f>
        <v>0</v>
      </c>
      <c r="M342" s="214">
        <f t="shared" si="137"/>
        <v>0</v>
      </c>
      <c r="N342" s="118" t="str">
        <f>GAAP!T392</f>
        <v>50</v>
      </c>
      <c r="O342" s="320" t="str">
        <f>+GAAP!U392</f>
        <v>50</v>
      </c>
      <c r="P342" s="321">
        <f>+GAAP!V392</f>
        <v>0</v>
      </c>
      <c r="Q342" s="56"/>
      <c r="R342" s="214"/>
      <c r="S342" s="214"/>
      <c r="T342" s="214"/>
      <c r="U342" s="214"/>
      <c r="V342" s="214"/>
      <c r="W342" s="214"/>
      <c r="X342" s="215"/>
      <c r="Y342" s="215"/>
      <c r="Z342" s="215"/>
      <c r="AA342" s="215"/>
    </row>
    <row r="343" spans="1:27">
      <c r="A343" s="410">
        <f>+GAAP!A393</f>
        <v>50.054600000000001</v>
      </c>
      <c r="B343" s="57" t="str">
        <f>+GAAP!B393</f>
        <v>Lyles Utility Construction, LLC</v>
      </c>
      <c r="C343" s="214">
        <f>+GAAP!J393</f>
        <v>11256.72</v>
      </c>
      <c r="D343" s="214">
        <f t="shared" si="134"/>
        <v>0</v>
      </c>
      <c r="E343" s="214">
        <f>+GAAP!C393</f>
        <v>11256.72</v>
      </c>
      <c r="F343" s="214">
        <f>+GAAP!F393</f>
        <v>10468.06</v>
      </c>
      <c r="G343" s="214">
        <f t="shared" si="135"/>
        <v>0</v>
      </c>
      <c r="H343" s="214">
        <f t="shared" si="136"/>
        <v>10468.06</v>
      </c>
      <c r="I343" s="214">
        <f>+GAAP!E393</f>
        <v>788.65999999999985</v>
      </c>
      <c r="J343" s="319">
        <f>+GAAP!G393</f>
        <v>1</v>
      </c>
      <c r="K343" s="214">
        <f>+GAAP!H393</f>
        <v>788.65999999999985</v>
      </c>
      <c r="L343" s="214">
        <f>+GAAP!P393</f>
        <v>0</v>
      </c>
      <c r="M343" s="214">
        <f t="shared" si="137"/>
        <v>788.65999999999985</v>
      </c>
      <c r="N343" s="118" t="str">
        <f>GAAP!T393</f>
        <v>50</v>
      </c>
      <c r="O343" s="320" t="str">
        <f>+GAAP!U393</f>
        <v>50</v>
      </c>
      <c r="P343" s="321">
        <f>+GAAP!V393</f>
        <v>0</v>
      </c>
      <c r="Q343" s="56"/>
      <c r="R343" s="214"/>
      <c r="S343" s="214"/>
      <c r="T343" s="214"/>
      <c r="U343" s="214"/>
      <c r="V343" s="214"/>
      <c r="W343" s="214"/>
      <c r="X343" s="215"/>
      <c r="Y343" s="215"/>
      <c r="Z343" s="215"/>
      <c r="AA343" s="215"/>
    </row>
    <row r="344" spans="1:27">
      <c r="A344" s="410">
        <f>+GAAP!A394</f>
        <v>50.055100000000003</v>
      </c>
      <c r="B344" s="57" t="str">
        <f>+GAAP!B394</f>
        <v>Advanced Integration &amp; Controls</v>
      </c>
      <c r="C344" s="214">
        <f>+GAAP!J394</f>
        <v>5457.42</v>
      </c>
      <c r="D344" s="214">
        <f t="shared" si="134"/>
        <v>0</v>
      </c>
      <c r="E344" s="214">
        <f>+GAAP!C394</f>
        <v>5457.42</v>
      </c>
      <c r="F344" s="214">
        <f>+GAAP!F394</f>
        <v>5457.42</v>
      </c>
      <c r="G344" s="214">
        <f t="shared" si="135"/>
        <v>0</v>
      </c>
      <c r="H344" s="214">
        <f t="shared" si="136"/>
        <v>5457.42</v>
      </c>
      <c r="I344" s="214">
        <f>+GAAP!E394</f>
        <v>0</v>
      </c>
      <c r="J344" s="319">
        <f>+GAAP!G394</f>
        <v>1</v>
      </c>
      <c r="K344" s="214">
        <f>+GAAP!H394</f>
        <v>0</v>
      </c>
      <c r="L344" s="214">
        <f>+GAAP!P394</f>
        <v>0</v>
      </c>
      <c r="M344" s="214">
        <f t="shared" si="137"/>
        <v>0</v>
      </c>
      <c r="N344" s="118" t="str">
        <f>GAAP!T394</f>
        <v>50</v>
      </c>
      <c r="O344" s="320" t="str">
        <f>+GAAP!U394</f>
        <v>50</v>
      </c>
      <c r="P344" s="321">
        <f>+GAAP!V394</f>
        <v>0</v>
      </c>
      <c r="Q344" s="56"/>
      <c r="R344" s="214"/>
      <c r="S344" s="214"/>
      <c r="T344" s="214"/>
      <c r="U344" s="214"/>
      <c r="V344" s="214"/>
      <c r="W344" s="214"/>
      <c r="X344" s="215"/>
      <c r="Y344" s="215"/>
      <c r="Z344" s="215"/>
      <c r="AA344" s="215"/>
    </row>
    <row r="345" spans="1:27">
      <c r="A345" s="410"/>
      <c r="C345" s="214"/>
      <c r="D345" s="214"/>
      <c r="E345" s="214"/>
      <c r="F345" s="214"/>
      <c r="G345" s="214"/>
      <c r="H345" s="214"/>
      <c r="I345" s="214"/>
      <c r="J345" s="319"/>
      <c r="K345" s="214"/>
      <c r="L345" s="214"/>
      <c r="M345" s="214"/>
      <c r="N345" s="320"/>
      <c r="O345" s="104"/>
      <c r="P345" s="321"/>
      <c r="Q345" s="56"/>
      <c r="R345" s="214"/>
      <c r="S345" s="214"/>
      <c r="T345" s="214"/>
      <c r="U345" s="214"/>
      <c r="V345" s="214"/>
      <c r="W345" s="214"/>
      <c r="X345" s="215"/>
      <c r="Y345" s="215"/>
      <c r="Z345" s="215"/>
      <c r="AA345" s="215"/>
    </row>
    <row r="346" spans="1:27">
      <c r="A346" s="534" t="s">
        <v>107</v>
      </c>
      <c r="B346" s="322"/>
      <c r="C346" s="323">
        <f t="shared" ref="C346:I346" si="138">SUM(C$319:C$345)</f>
        <v>39547.109999999993</v>
      </c>
      <c r="D346" s="323">
        <f t="shared" si="138"/>
        <v>0</v>
      </c>
      <c r="E346" s="323">
        <f t="shared" si="138"/>
        <v>39547.109999999993</v>
      </c>
      <c r="F346" s="323">
        <f t="shared" si="138"/>
        <v>16992900.879999999</v>
      </c>
      <c r="G346" s="323">
        <f t="shared" si="138"/>
        <v>0</v>
      </c>
      <c r="H346" s="323">
        <f t="shared" si="138"/>
        <v>16992900.879999999</v>
      </c>
      <c r="I346" s="323">
        <f t="shared" si="138"/>
        <v>-16953353.769999996</v>
      </c>
      <c r="J346" s="323"/>
      <c r="K346" s="323">
        <f>SUM(K$319:K$345)</f>
        <v>-16953353.769999996</v>
      </c>
      <c r="L346" s="323">
        <f>SUM(L$319:L$345)</f>
        <v>0</v>
      </c>
      <c r="M346" s="323">
        <f>SUM(M$319:M$345)</f>
        <v>-16953353.769999996</v>
      </c>
      <c r="N346" s="214"/>
      <c r="O346" s="214"/>
      <c r="P346" s="214"/>
      <c r="Q346" s="338" t="s">
        <v>228</v>
      </c>
      <c r="R346" s="214"/>
      <c r="S346" s="214"/>
      <c r="T346" s="214"/>
      <c r="U346" s="214"/>
      <c r="V346" s="214"/>
      <c r="W346" s="214"/>
      <c r="X346" s="215"/>
      <c r="Y346" s="215"/>
      <c r="Z346" s="215"/>
      <c r="AA346" s="215"/>
    </row>
    <row r="347" spans="1:27">
      <c r="C347" s="214"/>
      <c r="D347" s="214"/>
      <c r="E347" s="214"/>
      <c r="F347" s="214"/>
      <c r="G347" s="214"/>
      <c r="H347" s="214"/>
      <c r="I347" s="214"/>
      <c r="J347" s="214"/>
      <c r="K347" s="214"/>
      <c r="L347" s="214"/>
      <c r="M347" s="214"/>
      <c r="N347" s="214"/>
      <c r="O347" s="214"/>
      <c r="P347" s="214"/>
      <c r="Q347" s="56"/>
      <c r="R347" s="214"/>
      <c r="S347" s="214"/>
      <c r="T347" s="214"/>
      <c r="U347" s="214"/>
      <c r="V347" s="214"/>
      <c r="W347" s="214"/>
      <c r="X347" s="215"/>
      <c r="Y347" s="215"/>
      <c r="Z347" s="215"/>
      <c r="AA347" s="215"/>
    </row>
    <row r="348" spans="1:27">
      <c r="A348" s="57" t="s">
        <v>54</v>
      </c>
      <c r="C348" s="214">
        <f t="shared" ref="C348:I348" si="139">C144+C317+C346</f>
        <v>1260032177.6700001</v>
      </c>
      <c r="D348" s="214">
        <f t="shared" si="139"/>
        <v>751698755.73999989</v>
      </c>
      <c r="E348" s="214">
        <f t="shared" si="139"/>
        <v>2011730933.4100003</v>
      </c>
      <c r="F348" s="214">
        <f t="shared" si="139"/>
        <v>1189375151.0800011</v>
      </c>
      <c r="G348" s="214">
        <f t="shared" si="139"/>
        <v>693304584.15999973</v>
      </c>
      <c r="H348" s="214">
        <f t="shared" si="139"/>
        <v>1882679735.2400005</v>
      </c>
      <c r="I348" s="214">
        <f t="shared" si="139"/>
        <v>129051198.16999997</v>
      </c>
      <c r="J348" s="214"/>
      <c r="K348" s="214">
        <f>K144+K317+K346</f>
        <v>70178120.297191888</v>
      </c>
      <c r="L348" s="214">
        <f>L144+L317+L346</f>
        <v>52896373.239297763</v>
      </c>
      <c r="M348" s="214">
        <f>M144+M317+M346</f>
        <v>17281747.057894103</v>
      </c>
      <c r="N348" s="214"/>
      <c r="O348" s="214"/>
      <c r="P348" s="214"/>
      <c r="Q348" s="56"/>
      <c r="R348" s="214"/>
      <c r="S348" s="214"/>
      <c r="T348" s="214"/>
      <c r="U348" s="214"/>
      <c r="V348" s="214"/>
      <c r="W348" s="214"/>
      <c r="X348" s="215"/>
      <c r="Y348" s="215"/>
      <c r="Z348" s="215"/>
      <c r="AA348" s="215"/>
    </row>
    <row r="349" spans="1:27">
      <c r="A349" s="57" t="s">
        <v>132</v>
      </c>
      <c r="C349" s="214">
        <f>+GAAP!J400</f>
        <v>1260032177.6699998</v>
      </c>
      <c r="D349" s="214">
        <f>+GAAP!M400</f>
        <v>751698755.74000001</v>
      </c>
      <c r="E349" s="214">
        <f>+GAAP!C400</f>
        <v>2011730933.4099998</v>
      </c>
      <c r="F349" s="214">
        <f>+GAAP!F400</f>
        <v>1189375151.0799999</v>
      </c>
      <c r="G349" s="214">
        <f>+GAAP!L400</f>
        <v>693304584.15999997</v>
      </c>
      <c r="H349" s="214">
        <f>+GAAP!D400</f>
        <v>1882679735.2399998</v>
      </c>
      <c r="I349" s="214">
        <f>+GAAP!E400</f>
        <v>129051198.16999999</v>
      </c>
      <c r="J349" s="214"/>
      <c r="K349" s="214">
        <f>+GAAP!H400</f>
        <v>70178120.297191858</v>
      </c>
      <c r="L349" s="214">
        <f>+GAAP!P400</f>
        <v>52896373.239297763</v>
      </c>
      <c r="M349" s="214">
        <f>+GAAP!S400</f>
        <v>17281747.057894088</v>
      </c>
      <c r="N349" s="214"/>
      <c r="O349" s="214"/>
      <c r="P349" s="214"/>
      <c r="Q349" s="56"/>
      <c r="R349" s="214"/>
      <c r="S349" s="214"/>
      <c r="T349" s="214"/>
      <c r="U349" s="214"/>
      <c r="V349" s="214"/>
      <c r="W349" s="214"/>
      <c r="X349" s="215"/>
      <c r="Y349" s="215"/>
      <c r="Z349" s="215"/>
      <c r="AA349" s="215"/>
    </row>
    <row r="350" spans="1:27">
      <c r="A350" s="57" t="s">
        <v>108</v>
      </c>
      <c r="B350" s="215"/>
      <c r="C350" s="327">
        <f>+C348-C349</f>
        <v>0</v>
      </c>
      <c r="D350" s="327">
        <f>+D348-D349</f>
        <v>0</v>
      </c>
      <c r="E350" s="327">
        <f t="shared" ref="E350:I350" si="140">+E348-E349</f>
        <v>0</v>
      </c>
      <c r="F350" s="327">
        <f t="shared" si="140"/>
        <v>0</v>
      </c>
      <c r="G350" s="327">
        <f t="shared" si="140"/>
        <v>0</v>
      </c>
      <c r="H350" s="327">
        <f t="shared" si="140"/>
        <v>0</v>
      </c>
      <c r="I350" s="327">
        <f t="shared" si="140"/>
        <v>0</v>
      </c>
      <c r="J350" s="327"/>
      <c r="K350" s="327">
        <f>+K348-K349</f>
        <v>0</v>
      </c>
      <c r="L350" s="327">
        <f>+L348-L349</f>
        <v>0</v>
      </c>
      <c r="M350" s="327">
        <f>+M348-M349</f>
        <v>0</v>
      </c>
      <c r="N350" s="214"/>
      <c r="O350" s="214"/>
      <c r="P350" s="214"/>
      <c r="Q350" s="56"/>
      <c r="R350" s="214"/>
      <c r="S350" s="214"/>
      <c r="T350" s="214"/>
      <c r="U350" s="214"/>
      <c r="V350" s="214"/>
      <c r="W350" s="214"/>
      <c r="X350" s="215"/>
      <c r="Y350" s="215"/>
      <c r="Z350" s="215"/>
      <c r="AA350" s="215"/>
    </row>
    <row r="351" spans="1:27">
      <c r="C351" s="214"/>
      <c r="D351" s="214"/>
      <c r="E351" s="214"/>
      <c r="F351" s="214"/>
      <c r="G351" s="214"/>
      <c r="H351" s="214"/>
      <c r="I351" s="214"/>
      <c r="J351" s="214"/>
      <c r="K351" s="214"/>
      <c r="L351" s="214"/>
      <c r="M351" s="214"/>
      <c r="N351" s="214"/>
      <c r="O351" s="214"/>
      <c r="P351" s="214"/>
      <c r="Q351" s="56"/>
      <c r="R351" s="214"/>
      <c r="S351" s="214"/>
      <c r="T351" s="214"/>
      <c r="U351" s="214"/>
      <c r="V351" s="214"/>
      <c r="W351" s="214"/>
      <c r="X351" s="215"/>
      <c r="Y351" s="215"/>
      <c r="Z351" s="215"/>
      <c r="AA351" s="215"/>
    </row>
    <row r="352" spans="1:27">
      <c r="C352" s="214"/>
      <c r="D352" s="214"/>
      <c r="E352" s="214"/>
      <c r="F352" s="214"/>
      <c r="G352" s="214"/>
      <c r="H352" s="214"/>
      <c r="I352" s="214"/>
      <c r="J352" s="214"/>
      <c r="K352" s="214"/>
      <c r="L352" s="214"/>
      <c r="M352" s="214"/>
      <c r="N352" s="214"/>
      <c r="O352" s="214"/>
      <c r="P352" s="214"/>
      <c r="Q352" s="56"/>
      <c r="R352" s="214"/>
      <c r="S352" s="214"/>
      <c r="T352" s="214"/>
      <c r="U352" s="214"/>
      <c r="V352" s="214"/>
      <c r="W352" s="214"/>
      <c r="X352" s="215"/>
      <c r="Y352" s="215"/>
      <c r="Z352" s="215"/>
      <c r="AA352" s="215"/>
    </row>
    <row r="353" spans="3:27">
      <c r="C353" s="214"/>
      <c r="D353" s="214"/>
      <c r="E353" s="214"/>
      <c r="F353" s="214"/>
      <c r="G353" s="214"/>
      <c r="H353" s="214"/>
      <c r="I353" s="214"/>
      <c r="J353" s="214"/>
      <c r="K353" s="214"/>
      <c r="L353" s="214"/>
      <c r="M353" s="214"/>
      <c r="N353" s="214"/>
      <c r="O353" s="214"/>
      <c r="P353" s="214"/>
      <c r="Q353" s="56"/>
      <c r="R353" s="214"/>
      <c r="S353" s="214"/>
      <c r="T353" s="214"/>
      <c r="U353" s="214"/>
      <c r="V353" s="214"/>
      <c r="W353" s="214"/>
      <c r="X353" s="215"/>
      <c r="Y353" s="215"/>
      <c r="Z353" s="215"/>
      <c r="AA353" s="215"/>
    </row>
    <row r="354" spans="3:27">
      <c r="C354" s="214"/>
      <c r="D354" s="214"/>
      <c r="E354" s="214"/>
      <c r="F354" s="214"/>
      <c r="G354" s="214"/>
      <c r="H354" s="214"/>
      <c r="I354" s="214"/>
      <c r="J354" s="214"/>
      <c r="K354" s="214"/>
      <c r="L354" s="214" t="s">
        <v>66</v>
      </c>
      <c r="M354" s="214">
        <f>SUM(M320:M335)</f>
        <v>-13211615.089999998</v>
      </c>
      <c r="N354" s="214"/>
      <c r="O354" s="214"/>
      <c r="P354" s="214"/>
      <c r="Q354" s="56"/>
      <c r="R354" s="214"/>
      <c r="S354" s="214"/>
      <c r="T354" s="214"/>
      <c r="U354" s="214"/>
      <c r="V354" s="214"/>
      <c r="W354" s="214"/>
      <c r="X354" s="215"/>
      <c r="Y354" s="215"/>
      <c r="Z354" s="215"/>
      <c r="AA354" s="215"/>
    </row>
    <row r="355" spans="3:27">
      <c r="C355" s="214"/>
      <c r="D355" s="214"/>
      <c r="E355" s="214"/>
      <c r="F355" s="214"/>
      <c r="G355" s="214"/>
      <c r="H355" s="214"/>
      <c r="I355" s="214"/>
      <c r="J355" s="214"/>
      <c r="K355" s="214"/>
      <c r="L355" s="214"/>
      <c r="M355" s="214"/>
      <c r="N355" s="214"/>
      <c r="O355" s="214"/>
      <c r="P355" s="214"/>
      <c r="Q355" s="56"/>
      <c r="R355" s="214"/>
      <c r="S355" s="214"/>
      <c r="T355" s="214"/>
      <c r="U355" s="214"/>
      <c r="V355" s="214"/>
      <c r="W355" s="214"/>
      <c r="X355" s="215"/>
      <c r="Y355" s="215"/>
      <c r="Z355" s="215"/>
      <c r="AA355" s="215"/>
    </row>
    <row r="356" spans="3:27">
      <c r="C356" s="214"/>
      <c r="D356" s="214"/>
      <c r="E356" s="214"/>
      <c r="F356" s="214"/>
      <c r="G356" s="215"/>
      <c r="H356" s="215"/>
      <c r="I356" s="214"/>
      <c r="J356" s="214"/>
      <c r="K356" s="214"/>
      <c r="L356" s="214"/>
      <c r="M356" s="214"/>
      <c r="N356" s="214"/>
      <c r="O356" s="214"/>
      <c r="P356" s="214"/>
      <c r="Q356" s="56"/>
      <c r="R356" s="214"/>
      <c r="S356" s="214"/>
      <c r="T356" s="214"/>
      <c r="U356" s="214"/>
      <c r="V356" s="214"/>
      <c r="W356" s="214"/>
      <c r="X356" s="215"/>
      <c r="Y356" s="215"/>
      <c r="Z356" s="215"/>
      <c r="AA356" s="215"/>
    </row>
    <row r="357" spans="3:27">
      <c r="C357" s="214"/>
      <c r="D357" s="214"/>
      <c r="E357" s="214"/>
      <c r="F357" s="214"/>
      <c r="G357" s="214"/>
      <c r="H357" s="214"/>
      <c r="I357" s="214"/>
      <c r="J357" s="214"/>
      <c r="K357" s="214"/>
      <c r="L357" s="214"/>
      <c r="M357" s="214"/>
      <c r="N357" s="214"/>
      <c r="O357" s="214"/>
      <c r="P357" s="214"/>
      <c r="Q357" s="56"/>
      <c r="R357" s="214"/>
      <c r="S357" s="214"/>
      <c r="T357" s="214"/>
      <c r="U357" s="214"/>
      <c r="V357" s="214"/>
      <c r="W357" s="214"/>
      <c r="X357" s="215"/>
      <c r="Y357" s="215"/>
      <c r="Z357" s="215"/>
      <c r="AA357" s="215"/>
    </row>
    <row r="358" spans="3:27">
      <c r="C358" s="214"/>
      <c r="D358" s="214"/>
      <c r="E358" s="214"/>
      <c r="F358" s="214"/>
      <c r="G358" s="214"/>
      <c r="H358" s="214"/>
      <c r="I358" s="214"/>
      <c r="J358" s="214"/>
      <c r="K358" s="214"/>
      <c r="L358" s="214"/>
      <c r="M358" s="214"/>
      <c r="N358" s="214"/>
      <c r="O358" s="214"/>
      <c r="P358" s="214"/>
      <c r="Q358" s="56"/>
      <c r="R358" s="214"/>
      <c r="S358" s="214"/>
      <c r="T358" s="214"/>
      <c r="U358" s="214"/>
      <c r="V358" s="214"/>
      <c r="W358" s="214"/>
      <c r="X358" s="215"/>
      <c r="Y358" s="215"/>
      <c r="Z358" s="215"/>
      <c r="AA358" s="215"/>
    </row>
    <row r="359" spans="3:27">
      <c r="C359" s="214"/>
      <c r="D359" s="214"/>
      <c r="E359" s="214"/>
      <c r="F359" s="214"/>
      <c r="G359" s="215"/>
      <c r="H359" s="215"/>
      <c r="I359" s="214"/>
      <c r="J359" s="214"/>
      <c r="K359" s="214"/>
      <c r="L359" s="214"/>
      <c r="M359" s="214"/>
      <c r="N359" s="214"/>
      <c r="O359" s="214"/>
      <c r="P359" s="214"/>
      <c r="Q359" s="56"/>
      <c r="R359" s="214"/>
      <c r="S359" s="214"/>
      <c r="T359" s="214"/>
      <c r="U359" s="214"/>
      <c r="V359" s="214"/>
      <c r="W359" s="214"/>
      <c r="X359" s="215"/>
      <c r="Y359" s="215"/>
      <c r="Z359" s="215"/>
      <c r="AA359" s="215"/>
    </row>
    <row r="360" spans="3:27">
      <c r="C360" s="214"/>
      <c r="D360" s="214"/>
      <c r="E360" s="214"/>
      <c r="F360" s="214"/>
      <c r="G360" s="214"/>
      <c r="H360" s="214"/>
      <c r="I360" s="214"/>
      <c r="J360" s="214"/>
      <c r="K360" s="214"/>
      <c r="L360" s="214"/>
      <c r="M360" s="214"/>
      <c r="N360" s="214"/>
      <c r="O360" s="214"/>
      <c r="P360" s="214"/>
      <c r="Q360" s="56"/>
      <c r="R360" s="214"/>
      <c r="S360" s="214"/>
      <c r="T360" s="214"/>
      <c r="U360" s="214"/>
      <c r="V360" s="214"/>
      <c r="W360" s="214"/>
      <c r="X360" s="215"/>
      <c r="Y360" s="215"/>
      <c r="Z360" s="215"/>
      <c r="AA360" s="215"/>
    </row>
    <row r="361" spans="3:27">
      <c r="C361" s="214"/>
      <c r="D361" s="214"/>
      <c r="E361" s="214"/>
      <c r="F361" s="214"/>
      <c r="G361" s="214"/>
      <c r="H361" s="214"/>
      <c r="I361" s="214"/>
      <c r="J361" s="214"/>
      <c r="K361" s="214"/>
      <c r="L361" s="214"/>
      <c r="M361" s="214"/>
      <c r="N361" s="214"/>
      <c r="O361" s="214"/>
      <c r="P361" s="214"/>
      <c r="Q361" s="56"/>
      <c r="R361" s="214"/>
      <c r="S361" s="214"/>
      <c r="T361" s="214"/>
      <c r="U361" s="214"/>
      <c r="V361" s="214"/>
      <c r="W361" s="214"/>
      <c r="X361" s="215"/>
      <c r="Y361" s="215"/>
      <c r="Z361" s="215"/>
      <c r="AA361" s="215"/>
    </row>
    <row r="362" spans="3:27">
      <c r="C362" s="214"/>
      <c r="D362" s="214"/>
      <c r="E362" s="214"/>
      <c r="F362" s="214"/>
      <c r="G362" s="214"/>
      <c r="H362" s="214"/>
      <c r="I362" s="214"/>
      <c r="J362" s="214"/>
      <c r="K362" s="214"/>
      <c r="L362" s="214"/>
      <c r="M362" s="214"/>
      <c r="N362" s="214"/>
      <c r="O362" s="214"/>
      <c r="P362" s="214"/>
      <c r="Q362" s="56"/>
      <c r="R362" s="214"/>
      <c r="S362" s="214"/>
      <c r="T362" s="214"/>
      <c r="U362" s="214"/>
      <c r="V362" s="214"/>
      <c r="W362" s="214"/>
      <c r="X362" s="215"/>
      <c r="Y362" s="215"/>
      <c r="Z362" s="215"/>
      <c r="AA362" s="215"/>
    </row>
    <row r="363" spans="3:27">
      <c r="C363" s="214"/>
      <c r="D363" s="214"/>
      <c r="E363" s="214"/>
      <c r="F363" s="214"/>
      <c r="G363" s="214"/>
      <c r="H363" s="214"/>
      <c r="I363" s="214"/>
      <c r="J363" s="214"/>
      <c r="K363" s="214"/>
      <c r="L363" s="214"/>
      <c r="M363" s="214"/>
      <c r="N363" s="214"/>
      <c r="O363" s="214"/>
      <c r="P363" s="214"/>
      <c r="Q363" s="56"/>
      <c r="R363" s="214"/>
      <c r="S363" s="214"/>
      <c r="T363" s="214"/>
      <c r="U363" s="214"/>
      <c r="V363" s="214"/>
      <c r="W363" s="214"/>
      <c r="X363" s="215"/>
      <c r="Y363" s="215"/>
      <c r="Z363" s="215"/>
      <c r="AA363" s="215"/>
    </row>
    <row r="434" spans="3:23">
      <c r="C434" s="64"/>
      <c r="D434" s="64"/>
      <c r="E434" s="64"/>
      <c r="F434" s="64"/>
      <c r="G434" s="64"/>
      <c r="H434" s="64"/>
      <c r="I434" s="64"/>
      <c r="J434" s="64"/>
      <c r="K434" s="64"/>
      <c r="L434" s="64"/>
      <c r="M434" s="64"/>
      <c r="N434" s="64"/>
      <c r="O434" s="64"/>
      <c r="P434" s="64"/>
      <c r="Q434" s="116"/>
      <c r="R434" s="64"/>
      <c r="S434" s="64"/>
      <c r="T434" s="64"/>
      <c r="U434" s="64"/>
      <c r="V434" s="64"/>
      <c r="W434" s="64"/>
    </row>
    <row r="435" spans="3:23">
      <c r="C435" s="64"/>
      <c r="D435" s="64"/>
      <c r="E435" s="64"/>
      <c r="F435" s="64"/>
      <c r="G435" s="64"/>
      <c r="H435" s="64"/>
      <c r="I435" s="64"/>
      <c r="J435" s="64"/>
      <c r="K435" s="64"/>
      <c r="L435" s="64"/>
      <c r="M435" s="64"/>
      <c r="N435" s="64"/>
      <c r="O435" s="64"/>
      <c r="P435" s="64"/>
      <c r="Q435" s="116"/>
      <c r="R435" s="64"/>
      <c r="S435" s="64"/>
      <c r="T435" s="64"/>
      <c r="U435" s="64"/>
      <c r="V435" s="64"/>
      <c r="W435" s="64"/>
    </row>
    <row r="436" spans="3:23">
      <c r="C436" s="64"/>
      <c r="D436" s="64"/>
      <c r="E436" s="64"/>
      <c r="F436" s="64"/>
      <c r="G436" s="64"/>
      <c r="H436" s="64"/>
      <c r="I436" s="64"/>
      <c r="J436" s="64"/>
      <c r="K436" s="64"/>
      <c r="L436" s="64"/>
      <c r="M436" s="64"/>
      <c r="N436" s="64"/>
      <c r="O436" s="64"/>
      <c r="P436" s="64"/>
      <c r="Q436" s="116"/>
      <c r="R436" s="64"/>
      <c r="S436" s="64"/>
      <c r="T436" s="64"/>
      <c r="U436" s="64"/>
      <c r="V436" s="64"/>
      <c r="W436" s="64"/>
    </row>
    <row r="437" spans="3:23">
      <c r="C437" s="64"/>
      <c r="D437" s="64"/>
      <c r="E437" s="64"/>
      <c r="F437" s="64"/>
      <c r="G437" s="64"/>
      <c r="H437" s="64"/>
      <c r="I437" s="64"/>
      <c r="J437" s="64"/>
      <c r="K437" s="64"/>
      <c r="L437" s="64"/>
      <c r="M437" s="64"/>
      <c r="N437" s="64"/>
      <c r="O437" s="64"/>
      <c r="P437" s="64"/>
      <c r="Q437" s="116"/>
      <c r="R437" s="64"/>
      <c r="S437" s="64"/>
      <c r="T437" s="64"/>
      <c r="U437" s="64"/>
      <c r="V437" s="64"/>
      <c r="W437" s="64"/>
    </row>
    <row r="438" spans="3:23">
      <c r="C438" s="64"/>
      <c r="D438" s="64"/>
      <c r="E438" s="64"/>
      <c r="F438" s="64"/>
      <c r="G438" s="64"/>
      <c r="H438" s="64"/>
      <c r="I438" s="64"/>
      <c r="J438" s="64"/>
      <c r="K438" s="64"/>
      <c r="L438" s="64"/>
      <c r="M438" s="64"/>
      <c r="N438" s="64"/>
      <c r="O438" s="64"/>
      <c r="P438" s="64"/>
      <c r="Q438" s="116"/>
      <c r="R438" s="64"/>
      <c r="S438" s="64"/>
      <c r="T438" s="64"/>
      <c r="U438" s="64"/>
      <c r="V438" s="64"/>
      <c r="W438" s="64"/>
    </row>
    <row r="439" spans="3:23">
      <c r="C439" s="64"/>
      <c r="D439" s="64"/>
      <c r="E439" s="64"/>
      <c r="F439" s="64"/>
      <c r="G439" s="64"/>
      <c r="H439" s="64"/>
      <c r="I439" s="64"/>
      <c r="J439" s="64"/>
      <c r="K439" s="64"/>
      <c r="L439" s="64"/>
      <c r="M439" s="64"/>
      <c r="N439" s="64"/>
      <c r="O439" s="64"/>
      <c r="P439" s="64"/>
      <c r="Q439" s="116"/>
      <c r="R439" s="64"/>
      <c r="S439" s="64"/>
      <c r="T439" s="64"/>
      <c r="U439" s="64"/>
      <c r="V439" s="64"/>
      <c r="W439" s="64"/>
    </row>
    <row r="440" spans="3:23">
      <c r="C440" s="64"/>
      <c r="D440" s="64"/>
      <c r="E440" s="64"/>
      <c r="F440" s="64"/>
      <c r="G440" s="64"/>
      <c r="H440" s="64"/>
      <c r="I440" s="64"/>
      <c r="J440" s="64"/>
      <c r="K440" s="64"/>
      <c r="L440" s="64"/>
      <c r="M440" s="64"/>
      <c r="N440" s="64"/>
      <c r="O440" s="64"/>
      <c r="P440" s="64"/>
      <c r="Q440" s="116"/>
      <c r="R440" s="64"/>
      <c r="S440" s="64"/>
      <c r="T440" s="64"/>
      <c r="U440" s="64"/>
      <c r="V440" s="64"/>
      <c r="W440" s="64"/>
    </row>
    <row r="441" spans="3:23">
      <c r="C441" s="64"/>
      <c r="D441" s="64"/>
      <c r="E441" s="64"/>
      <c r="F441" s="64"/>
      <c r="G441" s="64"/>
      <c r="H441" s="64"/>
      <c r="I441" s="64"/>
      <c r="J441" s="64"/>
      <c r="K441" s="64"/>
      <c r="L441" s="64"/>
      <c r="M441" s="64"/>
      <c r="N441" s="64"/>
      <c r="O441" s="64"/>
      <c r="P441" s="64"/>
      <c r="Q441" s="116"/>
      <c r="R441" s="64"/>
      <c r="S441" s="64"/>
      <c r="T441" s="64"/>
      <c r="U441" s="64"/>
      <c r="V441" s="64"/>
      <c r="W441" s="64"/>
    </row>
    <row r="442" spans="3:23">
      <c r="C442" s="64"/>
      <c r="D442" s="64"/>
      <c r="E442" s="64"/>
      <c r="F442" s="64"/>
      <c r="G442" s="64"/>
      <c r="H442" s="64"/>
      <c r="I442" s="64"/>
      <c r="J442" s="64"/>
      <c r="K442" s="64"/>
      <c r="L442" s="64"/>
      <c r="M442" s="64"/>
      <c r="N442" s="64"/>
      <c r="O442" s="64"/>
      <c r="P442" s="64"/>
      <c r="Q442" s="116"/>
      <c r="R442" s="64"/>
      <c r="S442" s="64"/>
      <c r="T442" s="64"/>
      <c r="U442" s="64"/>
      <c r="V442" s="64"/>
      <c r="W442" s="64"/>
    </row>
    <row r="443" spans="3:23">
      <c r="C443" s="64"/>
      <c r="D443" s="64"/>
      <c r="E443" s="64"/>
      <c r="F443" s="64"/>
      <c r="G443" s="64"/>
      <c r="H443" s="64"/>
      <c r="I443" s="64"/>
      <c r="J443" s="64"/>
      <c r="K443" s="64"/>
      <c r="L443" s="64"/>
      <c r="M443" s="64"/>
      <c r="N443" s="64"/>
      <c r="O443" s="64"/>
      <c r="P443" s="64"/>
      <c r="Q443" s="116"/>
      <c r="R443" s="64"/>
      <c r="S443" s="64"/>
      <c r="T443" s="64"/>
      <c r="U443" s="64"/>
      <c r="V443" s="64"/>
      <c r="W443" s="64"/>
    </row>
    <row r="444" spans="3:23">
      <c r="C444" s="64"/>
      <c r="D444" s="64"/>
      <c r="E444" s="64"/>
      <c r="F444" s="64"/>
      <c r="G444" s="64"/>
      <c r="H444" s="64"/>
      <c r="I444" s="64"/>
      <c r="J444" s="64"/>
      <c r="K444" s="64"/>
      <c r="L444" s="64"/>
      <c r="M444" s="64"/>
      <c r="N444" s="64"/>
      <c r="O444" s="64"/>
      <c r="P444" s="64"/>
      <c r="Q444" s="116"/>
      <c r="R444" s="64"/>
      <c r="S444" s="64"/>
      <c r="T444" s="64"/>
      <c r="U444" s="64"/>
      <c r="V444" s="64"/>
      <c r="W444" s="64"/>
    </row>
    <row r="445" spans="3:23">
      <c r="C445" s="64"/>
      <c r="D445" s="64"/>
      <c r="E445" s="64"/>
      <c r="F445" s="64"/>
      <c r="G445" s="64"/>
      <c r="H445" s="64"/>
      <c r="I445" s="64"/>
      <c r="J445" s="64"/>
      <c r="K445" s="64"/>
      <c r="L445" s="64"/>
      <c r="M445" s="64"/>
      <c r="N445" s="64"/>
      <c r="O445" s="64"/>
      <c r="P445" s="64"/>
      <c r="Q445" s="116"/>
      <c r="R445" s="64"/>
      <c r="S445" s="64"/>
      <c r="T445" s="64"/>
      <c r="U445" s="64"/>
      <c r="V445" s="64"/>
      <c r="W445" s="64"/>
    </row>
    <row r="446" spans="3:23">
      <c r="C446" s="64"/>
      <c r="D446" s="64"/>
      <c r="E446" s="64"/>
      <c r="F446" s="64"/>
      <c r="G446" s="64"/>
      <c r="H446" s="64"/>
      <c r="I446" s="64"/>
      <c r="J446" s="64"/>
      <c r="K446" s="64"/>
      <c r="L446" s="64"/>
      <c r="M446" s="64"/>
      <c r="N446" s="64"/>
      <c r="O446" s="64"/>
      <c r="P446" s="64"/>
      <c r="Q446" s="116"/>
      <c r="R446" s="64"/>
      <c r="S446" s="64"/>
      <c r="T446" s="64"/>
      <c r="U446" s="64"/>
      <c r="V446" s="64"/>
      <c r="W446" s="64"/>
    </row>
    <row r="447" spans="3:23">
      <c r="C447" s="64"/>
      <c r="D447" s="64"/>
      <c r="E447" s="64"/>
      <c r="F447" s="64"/>
      <c r="G447" s="64"/>
      <c r="H447" s="64"/>
      <c r="I447" s="64"/>
      <c r="J447" s="64"/>
      <c r="K447" s="64"/>
      <c r="L447" s="64"/>
      <c r="M447" s="64"/>
      <c r="N447" s="64"/>
      <c r="O447" s="64"/>
      <c r="P447" s="64"/>
      <c r="Q447" s="116"/>
      <c r="R447" s="64"/>
      <c r="S447" s="64"/>
      <c r="T447" s="64"/>
      <c r="U447" s="64"/>
      <c r="V447" s="64"/>
      <c r="W447" s="64"/>
    </row>
    <row r="448" spans="3:23">
      <c r="C448" s="64"/>
      <c r="D448" s="64"/>
      <c r="E448" s="64"/>
      <c r="F448" s="64"/>
      <c r="G448" s="64"/>
      <c r="H448" s="64"/>
      <c r="I448" s="64"/>
      <c r="J448" s="64"/>
      <c r="K448" s="64"/>
      <c r="L448" s="64"/>
      <c r="M448" s="64"/>
      <c r="N448" s="64"/>
      <c r="O448" s="64"/>
      <c r="P448" s="64"/>
      <c r="Q448" s="116"/>
      <c r="R448" s="64"/>
      <c r="S448" s="64"/>
      <c r="T448" s="64"/>
      <c r="U448" s="64"/>
      <c r="V448" s="64"/>
      <c r="W448" s="64"/>
    </row>
    <row r="449" spans="3:23">
      <c r="C449" s="64"/>
      <c r="D449" s="64"/>
      <c r="E449" s="64"/>
      <c r="F449" s="64"/>
      <c r="G449" s="64"/>
      <c r="H449" s="64"/>
      <c r="I449" s="64"/>
      <c r="J449" s="64"/>
      <c r="K449" s="64"/>
      <c r="L449" s="64"/>
      <c r="M449" s="64"/>
      <c r="N449" s="64"/>
      <c r="O449" s="64"/>
      <c r="P449" s="64"/>
      <c r="Q449" s="116"/>
      <c r="R449" s="64"/>
      <c r="S449" s="64"/>
      <c r="T449" s="64"/>
      <c r="U449" s="64"/>
      <c r="V449" s="64"/>
      <c r="W449" s="64"/>
    </row>
    <row r="450" spans="3:23">
      <c r="C450" s="64"/>
      <c r="D450" s="64"/>
      <c r="E450" s="64"/>
      <c r="F450" s="64"/>
      <c r="G450" s="64"/>
      <c r="H450" s="64"/>
      <c r="I450" s="64"/>
      <c r="J450" s="64"/>
      <c r="K450" s="64"/>
      <c r="L450" s="64"/>
      <c r="M450" s="64"/>
      <c r="N450" s="64"/>
      <c r="O450" s="64"/>
      <c r="P450" s="64"/>
      <c r="Q450" s="116"/>
      <c r="R450" s="64"/>
      <c r="S450" s="64"/>
      <c r="T450" s="64"/>
      <c r="U450" s="64"/>
      <c r="V450" s="64"/>
      <c r="W450" s="64"/>
    </row>
    <row r="451" spans="3:23">
      <c r="C451" s="64"/>
      <c r="D451" s="64"/>
      <c r="E451" s="64"/>
      <c r="F451" s="64"/>
      <c r="G451" s="64"/>
      <c r="H451" s="64"/>
      <c r="I451" s="64"/>
      <c r="J451" s="64"/>
      <c r="K451" s="64"/>
      <c r="L451" s="64"/>
      <c r="M451" s="64"/>
      <c r="N451" s="64"/>
      <c r="O451" s="64"/>
      <c r="P451" s="64"/>
      <c r="Q451" s="116"/>
      <c r="R451" s="64"/>
      <c r="S451" s="64"/>
      <c r="T451" s="64"/>
      <c r="U451" s="64"/>
      <c r="V451" s="64"/>
      <c r="W451" s="64"/>
    </row>
    <row r="452" spans="3:23">
      <c r="C452" s="64"/>
      <c r="D452" s="64"/>
      <c r="E452" s="64"/>
      <c r="F452" s="64"/>
      <c r="G452" s="64"/>
      <c r="H452" s="64"/>
      <c r="I452" s="64"/>
      <c r="J452" s="64"/>
      <c r="K452" s="64"/>
      <c r="L452" s="64"/>
      <c r="M452" s="64"/>
      <c r="N452" s="64"/>
      <c r="O452" s="64"/>
      <c r="P452" s="64"/>
      <c r="Q452" s="116"/>
      <c r="R452" s="64"/>
      <c r="S452" s="64"/>
      <c r="T452" s="64"/>
      <c r="U452" s="64"/>
      <c r="V452" s="64"/>
      <c r="W452" s="64"/>
    </row>
    <row r="453" spans="3:23">
      <c r="C453" s="64"/>
      <c r="D453" s="64"/>
      <c r="E453" s="64"/>
      <c r="F453" s="64"/>
      <c r="G453" s="64"/>
      <c r="H453" s="64"/>
      <c r="I453" s="64"/>
      <c r="J453" s="64"/>
      <c r="K453" s="64"/>
      <c r="L453" s="64"/>
      <c r="M453" s="64"/>
      <c r="N453" s="64"/>
      <c r="O453" s="64"/>
      <c r="P453" s="64"/>
      <c r="Q453" s="116"/>
      <c r="R453" s="64"/>
      <c r="S453" s="64"/>
      <c r="T453" s="64"/>
      <c r="U453" s="64"/>
      <c r="V453" s="64"/>
      <c r="W453" s="64"/>
    </row>
    <row r="454" spans="3:23">
      <c r="C454" s="64"/>
      <c r="D454" s="64"/>
      <c r="E454" s="64"/>
      <c r="F454" s="64"/>
      <c r="G454" s="64"/>
      <c r="H454" s="64"/>
      <c r="I454" s="64"/>
      <c r="J454" s="64"/>
      <c r="K454" s="64"/>
      <c r="L454" s="64"/>
      <c r="M454" s="64"/>
      <c r="N454" s="64"/>
      <c r="O454" s="64"/>
      <c r="P454" s="64"/>
      <c r="Q454" s="116"/>
      <c r="R454" s="64"/>
      <c r="S454" s="64"/>
      <c r="T454" s="64"/>
      <c r="U454" s="64"/>
      <c r="V454" s="64"/>
      <c r="W454" s="64"/>
    </row>
    <row r="455" spans="3:23">
      <c r="C455" s="64"/>
      <c r="D455" s="64"/>
      <c r="E455" s="64"/>
      <c r="F455" s="64"/>
      <c r="G455" s="64"/>
      <c r="H455" s="64"/>
      <c r="I455" s="64"/>
      <c r="J455" s="64"/>
      <c r="K455" s="64"/>
      <c r="L455" s="64"/>
      <c r="M455" s="64"/>
      <c r="N455" s="64"/>
      <c r="O455" s="64"/>
      <c r="P455" s="64"/>
      <c r="Q455" s="116"/>
      <c r="R455" s="64"/>
      <c r="S455" s="64"/>
      <c r="T455" s="64"/>
      <c r="U455" s="64"/>
      <c r="V455" s="64"/>
      <c r="W455" s="64"/>
    </row>
    <row r="456" spans="3:23">
      <c r="C456" s="64"/>
      <c r="D456" s="64"/>
      <c r="E456" s="64"/>
      <c r="F456" s="64"/>
      <c r="G456" s="64"/>
      <c r="H456" s="64"/>
      <c r="I456" s="64"/>
      <c r="J456" s="64"/>
      <c r="K456" s="64"/>
      <c r="L456" s="64"/>
      <c r="M456" s="64"/>
      <c r="N456" s="64"/>
      <c r="O456" s="64"/>
      <c r="P456" s="64"/>
      <c r="Q456" s="116"/>
      <c r="R456" s="64"/>
      <c r="S456" s="64"/>
      <c r="T456" s="64"/>
      <c r="U456" s="64"/>
      <c r="V456" s="64"/>
      <c r="W456" s="64"/>
    </row>
    <row r="457" spans="3:23">
      <c r="C457" s="64"/>
      <c r="D457" s="64"/>
      <c r="E457" s="64"/>
      <c r="F457" s="64"/>
      <c r="G457" s="64"/>
      <c r="H457" s="64"/>
      <c r="I457" s="64"/>
      <c r="J457" s="64"/>
      <c r="K457" s="64"/>
      <c r="L457" s="64"/>
      <c r="M457" s="64"/>
      <c r="N457" s="64"/>
      <c r="O457" s="64"/>
      <c r="P457" s="64"/>
      <c r="Q457" s="116"/>
      <c r="R457" s="64"/>
      <c r="S457" s="64"/>
      <c r="T457" s="64"/>
      <c r="U457" s="64"/>
      <c r="V457" s="64"/>
      <c r="W457" s="64"/>
    </row>
    <row r="458" spans="3:23">
      <c r="C458" s="64"/>
      <c r="D458" s="64"/>
      <c r="E458" s="64"/>
      <c r="F458" s="64"/>
      <c r="G458" s="64"/>
      <c r="H458" s="64"/>
      <c r="I458" s="64"/>
      <c r="J458" s="64"/>
      <c r="K458" s="64"/>
      <c r="L458" s="64"/>
      <c r="M458" s="64"/>
      <c r="N458" s="64"/>
      <c r="O458" s="64"/>
      <c r="P458" s="64"/>
      <c r="Q458" s="116"/>
      <c r="R458" s="64"/>
      <c r="S458" s="64"/>
      <c r="T458" s="64"/>
      <c r="U458" s="64"/>
      <c r="V458" s="64"/>
      <c r="W458" s="64"/>
    </row>
    <row r="459" spans="3:23">
      <c r="C459" s="64"/>
      <c r="D459" s="64"/>
      <c r="E459" s="64"/>
      <c r="F459" s="64"/>
      <c r="G459" s="64"/>
      <c r="H459" s="64"/>
      <c r="I459" s="64"/>
      <c r="J459" s="64"/>
      <c r="K459" s="64"/>
      <c r="L459" s="64"/>
      <c r="M459" s="64"/>
      <c r="N459" s="64"/>
      <c r="O459" s="64"/>
      <c r="P459" s="64"/>
      <c r="Q459" s="116"/>
      <c r="R459" s="64"/>
      <c r="S459" s="64"/>
      <c r="T459" s="64"/>
      <c r="U459" s="64"/>
      <c r="V459" s="64"/>
      <c r="W459" s="64"/>
    </row>
    <row r="460" spans="3:23">
      <c r="C460" s="64"/>
      <c r="D460" s="64"/>
      <c r="E460" s="64"/>
      <c r="F460" s="64"/>
      <c r="G460" s="64"/>
      <c r="H460" s="64"/>
      <c r="I460" s="64"/>
      <c r="J460" s="64"/>
      <c r="K460" s="64"/>
      <c r="L460" s="64"/>
      <c r="M460" s="64"/>
      <c r="N460" s="64"/>
      <c r="O460" s="64"/>
      <c r="P460" s="64"/>
      <c r="Q460" s="116"/>
      <c r="R460" s="64"/>
      <c r="S460" s="64"/>
      <c r="T460" s="64"/>
      <c r="U460" s="64"/>
      <c r="V460" s="64"/>
      <c r="W460" s="64"/>
    </row>
    <row r="461" spans="3:23">
      <c r="C461" s="64"/>
      <c r="D461" s="64"/>
      <c r="E461" s="64"/>
      <c r="F461" s="64"/>
      <c r="G461" s="64"/>
      <c r="H461" s="64"/>
      <c r="I461" s="64"/>
      <c r="J461" s="64"/>
      <c r="K461" s="64"/>
      <c r="L461" s="64"/>
      <c r="M461" s="64"/>
      <c r="N461" s="64"/>
      <c r="O461" s="64"/>
      <c r="P461" s="64"/>
      <c r="Q461" s="116"/>
      <c r="R461" s="64"/>
      <c r="S461" s="64"/>
      <c r="T461" s="64"/>
      <c r="U461" s="64"/>
      <c r="V461" s="64"/>
      <c r="W461" s="64"/>
    </row>
    <row r="462" spans="3:23">
      <c r="C462" s="64"/>
      <c r="D462" s="64"/>
      <c r="E462" s="64"/>
      <c r="F462" s="64"/>
      <c r="G462" s="64"/>
      <c r="H462" s="64"/>
      <c r="I462" s="64"/>
      <c r="J462" s="64"/>
      <c r="K462" s="64"/>
      <c r="L462" s="64"/>
      <c r="M462" s="64"/>
      <c r="N462" s="64"/>
      <c r="O462" s="64"/>
      <c r="P462" s="64"/>
      <c r="Q462" s="116"/>
      <c r="R462" s="64"/>
      <c r="S462" s="64"/>
      <c r="T462" s="64"/>
      <c r="U462" s="64"/>
      <c r="V462" s="64"/>
      <c r="W462" s="64"/>
    </row>
    <row r="463" spans="3:23">
      <c r="C463" s="64"/>
      <c r="D463" s="64"/>
      <c r="E463" s="64"/>
      <c r="F463" s="64"/>
      <c r="G463" s="64"/>
      <c r="H463" s="64"/>
      <c r="I463" s="64"/>
      <c r="J463" s="64"/>
      <c r="K463" s="64"/>
      <c r="L463" s="64"/>
      <c r="M463" s="64"/>
      <c r="N463" s="64"/>
      <c r="O463" s="64"/>
      <c r="P463" s="64"/>
      <c r="Q463" s="116"/>
      <c r="R463" s="64"/>
      <c r="S463" s="64"/>
      <c r="T463" s="64"/>
      <c r="U463" s="64"/>
      <c r="V463" s="64"/>
      <c r="W463" s="64"/>
    </row>
    <row r="464" spans="3:23">
      <c r="C464" s="64"/>
      <c r="D464" s="64"/>
      <c r="E464" s="64"/>
      <c r="F464" s="64"/>
      <c r="G464" s="64"/>
      <c r="H464" s="64"/>
      <c r="I464" s="64"/>
      <c r="J464" s="64"/>
      <c r="K464" s="64"/>
      <c r="L464" s="64"/>
      <c r="M464" s="64"/>
      <c r="N464" s="64"/>
      <c r="O464" s="64"/>
      <c r="P464" s="64"/>
      <c r="Q464" s="116"/>
      <c r="R464" s="64"/>
      <c r="S464" s="64"/>
      <c r="T464" s="64"/>
      <c r="U464" s="64"/>
      <c r="V464" s="64"/>
      <c r="W464" s="64"/>
    </row>
    <row r="465" spans="3:23">
      <c r="C465" s="64"/>
      <c r="D465" s="64"/>
      <c r="E465" s="64"/>
      <c r="F465" s="64"/>
      <c r="G465" s="64"/>
      <c r="H465" s="64"/>
      <c r="I465" s="64"/>
      <c r="J465" s="64"/>
      <c r="K465" s="64"/>
      <c r="L465" s="64"/>
      <c r="M465" s="64"/>
      <c r="N465" s="64"/>
      <c r="O465" s="64"/>
      <c r="P465" s="64"/>
      <c r="Q465" s="116"/>
      <c r="R465" s="64"/>
      <c r="S465" s="64"/>
      <c r="T465" s="64"/>
      <c r="U465" s="64"/>
      <c r="V465" s="64"/>
      <c r="W465" s="64"/>
    </row>
    <row r="466" spans="3:23">
      <c r="C466" s="64"/>
      <c r="D466" s="64"/>
      <c r="E466" s="64"/>
      <c r="F466" s="64"/>
      <c r="G466" s="64"/>
      <c r="H466" s="64"/>
      <c r="I466" s="64"/>
      <c r="J466" s="64"/>
      <c r="K466" s="64"/>
      <c r="L466" s="64"/>
      <c r="M466" s="64"/>
      <c r="N466" s="64"/>
      <c r="O466" s="64"/>
      <c r="P466" s="64"/>
      <c r="Q466" s="116"/>
      <c r="R466" s="64"/>
      <c r="S466" s="64"/>
      <c r="T466" s="64"/>
      <c r="U466" s="64"/>
      <c r="V466" s="64"/>
      <c r="W466" s="64"/>
    </row>
    <row r="467" spans="3:23">
      <c r="C467" s="64"/>
      <c r="D467" s="64"/>
      <c r="E467" s="64"/>
      <c r="F467" s="64"/>
      <c r="G467" s="64"/>
      <c r="H467" s="64"/>
      <c r="I467" s="64"/>
      <c r="J467" s="64"/>
      <c r="K467" s="64"/>
      <c r="L467" s="64"/>
      <c r="M467" s="64"/>
      <c r="N467" s="64"/>
      <c r="O467" s="64"/>
      <c r="P467" s="64"/>
      <c r="Q467" s="116"/>
      <c r="R467" s="64"/>
      <c r="S467" s="64"/>
      <c r="T467" s="64"/>
      <c r="U467" s="64"/>
      <c r="V467" s="64"/>
      <c r="W467" s="64"/>
    </row>
    <row r="468" spans="3:23">
      <c r="C468" s="64"/>
      <c r="D468" s="64"/>
      <c r="E468" s="64"/>
      <c r="F468" s="64"/>
      <c r="G468" s="64"/>
      <c r="H468" s="64"/>
      <c r="I468" s="64"/>
      <c r="J468" s="64"/>
      <c r="K468" s="64"/>
      <c r="L468" s="64"/>
      <c r="M468" s="64"/>
      <c r="N468" s="64"/>
      <c r="O468" s="64"/>
      <c r="P468" s="64"/>
      <c r="Q468" s="116"/>
      <c r="R468" s="64"/>
      <c r="S468" s="64"/>
      <c r="T468" s="64"/>
      <c r="U468" s="64"/>
      <c r="V468" s="64"/>
      <c r="W468" s="64"/>
    </row>
    <row r="469" spans="3:23">
      <c r="C469" s="64"/>
      <c r="D469" s="64"/>
      <c r="E469" s="64"/>
      <c r="F469" s="64"/>
      <c r="G469" s="64"/>
      <c r="H469" s="64"/>
      <c r="I469" s="64"/>
      <c r="J469" s="64"/>
      <c r="K469" s="64"/>
      <c r="L469" s="64"/>
      <c r="M469" s="64"/>
      <c r="N469" s="64"/>
      <c r="O469" s="64"/>
      <c r="P469" s="64"/>
      <c r="Q469" s="116"/>
      <c r="R469" s="64"/>
      <c r="S469" s="64"/>
      <c r="T469" s="64"/>
      <c r="U469" s="64"/>
      <c r="V469" s="64"/>
      <c r="W469" s="64"/>
    </row>
    <row r="470" spans="3:23">
      <c r="C470" s="64"/>
      <c r="D470" s="64"/>
      <c r="E470" s="64"/>
      <c r="F470" s="64"/>
      <c r="G470" s="64"/>
      <c r="H470" s="64"/>
      <c r="I470" s="64"/>
      <c r="J470" s="64"/>
      <c r="K470" s="64"/>
      <c r="L470" s="64"/>
      <c r="M470" s="64"/>
      <c r="N470" s="64"/>
      <c r="O470" s="64"/>
      <c r="P470" s="64"/>
      <c r="Q470" s="116"/>
      <c r="R470" s="64"/>
      <c r="S470" s="64"/>
      <c r="T470" s="64"/>
      <c r="U470" s="64"/>
      <c r="V470" s="64"/>
      <c r="W470" s="64"/>
    </row>
    <row r="471" spans="3:23">
      <c r="C471" s="64"/>
      <c r="D471" s="64"/>
      <c r="E471" s="64"/>
      <c r="F471" s="64"/>
      <c r="G471" s="64"/>
      <c r="H471" s="64"/>
      <c r="I471" s="64"/>
      <c r="J471" s="64"/>
      <c r="K471" s="64"/>
      <c r="L471" s="64"/>
      <c r="M471" s="64"/>
      <c r="N471" s="64"/>
      <c r="O471" s="64"/>
      <c r="P471" s="64"/>
      <c r="Q471" s="116"/>
      <c r="R471" s="64"/>
      <c r="S471" s="64"/>
      <c r="T471" s="64"/>
      <c r="U471" s="64"/>
      <c r="V471" s="64"/>
      <c r="W471" s="64"/>
    </row>
    <row r="472" spans="3:23">
      <c r="C472" s="64"/>
      <c r="D472" s="64"/>
      <c r="E472" s="64"/>
      <c r="F472" s="64"/>
      <c r="G472" s="64"/>
      <c r="H472" s="64"/>
      <c r="I472" s="64"/>
      <c r="J472" s="64"/>
      <c r="K472" s="64"/>
      <c r="L472" s="64"/>
      <c r="M472" s="64"/>
      <c r="N472" s="64"/>
      <c r="O472" s="64"/>
      <c r="P472" s="64"/>
      <c r="Q472" s="116"/>
      <c r="R472" s="64"/>
      <c r="S472" s="64"/>
      <c r="T472" s="64"/>
      <c r="U472" s="64"/>
      <c r="V472" s="64"/>
      <c r="W472" s="64"/>
    </row>
    <row r="473" spans="3:23">
      <c r="C473" s="64"/>
      <c r="D473" s="64"/>
      <c r="E473" s="64"/>
      <c r="F473" s="64"/>
      <c r="G473" s="64"/>
      <c r="H473" s="64"/>
      <c r="I473" s="64"/>
      <c r="J473" s="64"/>
      <c r="K473" s="64"/>
      <c r="L473" s="64"/>
      <c r="M473" s="64"/>
      <c r="N473" s="64"/>
      <c r="O473" s="64"/>
      <c r="P473" s="64"/>
      <c r="Q473" s="116"/>
      <c r="R473" s="64"/>
      <c r="S473" s="64"/>
      <c r="T473" s="64"/>
      <c r="U473" s="64"/>
      <c r="V473" s="64"/>
      <c r="W473" s="64"/>
    </row>
    <row r="474" spans="3:23">
      <c r="C474" s="64"/>
      <c r="D474" s="64"/>
      <c r="E474" s="64"/>
      <c r="F474" s="64"/>
      <c r="G474" s="64"/>
      <c r="H474" s="64"/>
      <c r="I474" s="64"/>
      <c r="J474" s="64"/>
      <c r="K474" s="64"/>
      <c r="L474" s="64"/>
      <c r="M474" s="64"/>
      <c r="N474" s="64"/>
      <c r="O474" s="64"/>
      <c r="P474" s="64"/>
      <c r="Q474" s="116"/>
      <c r="R474" s="64"/>
      <c r="S474" s="64"/>
      <c r="T474" s="64"/>
      <c r="U474" s="64"/>
      <c r="V474" s="64"/>
      <c r="W474" s="64"/>
    </row>
    <row r="475" spans="3:23">
      <c r="C475" s="64"/>
      <c r="D475" s="64"/>
      <c r="E475" s="64"/>
      <c r="F475" s="64"/>
      <c r="G475" s="64"/>
      <c r="H475" s="64"/>
      <c r="I475" s="64"/>
      <c r="J475" s="64"/>
      <c r="K475" s="64"/>
      <c r="L475" s="64"/>
      <c r="M475" s="64"/>
      <c r="N475" s="64"/>
      <c r="O475" s="64"/>
      <c r="P475" s="64"/>
      <c r="Q475" s="116"/>
      <c r="R475" s="64"/>
      <c r="S475" s="64"/>
      <c r="T475" s="64"/>
      <c r="U475" s="64"/>
      <c r="V475" s="64"/>
      <c r="W475" s="64"/>
    </row>
    <row r="476" spans="3:23">
      <c r="C476" s="64"/>
      <c r="D476" s="64"/>
      <c r="E476" s="64"/>
      <c r="F476" s="64"/>
      <c r="G476" s="64"/>
      <c r="H476" s="64"/>
      <c r="I476" s="64"/>
      <c r="J476" s="64"/>
      <c r="K476" s="64"/>
      <c r="L476" s="64"/>
      <c r="M476" s="64"/>
      <c r="N476" s="64"/>
      <c r="O476" s="64"/>
      <c r="P476" s="64"/>
      <c r="Q476" s="116"/>
      <c r="R476" s="64"/>
      <c r="S476" s="64"/>
      <c r="T476" s="64"/>
      <c r="U476" s="64"/>
      <c r="V476" s="64"/>
      <c r="W476" s="64"/>
    </row>
    <row r="477" spans="3:23">
      <c r="C477" s="64"/>
      <c r="D477" s="64"/>
      <c r="E477" s="64"/>
      <c r="F477" s="64"/>
      <c r="G477" s="64"/>
      <c r="H477" s="64"/>
      <c r="I477" s="64"/>
      <c r="J477" s="64"/>
      <c r="K477" s="64"/>
      <c r="L477" s="64"/>
      <c r="M477" s="64"/>
      <c r="N477" s="64"/>
      <c r="O477" s="64"/>
      <c r="P477" s="64"/>
      <c r="Q477" s="116"/>
      <c r="R477" s="64"/>
      <c r="S477" s="64"/>
      <c r="T477" s="64"/>
      <c r="U477" s="64"/>
      <c r="V477" s="64"/>
      <c r="W477" s="64"/>
    </row>
    <row r="478" spans="3:23">
      <c r="C478" s="64"/>
      <c r="D478" s="64"/>
      <c r="E478" s="64"/>
      <c r="F478" s="64"/>
      <c r="G478" s="64"/>
      <c r="H478" s="64"/>
      <c r="I478" s="64"/>
      <c r="J478" s="64"/>
      <c r="K478" s="64"/>
      <c r="L478" s="64"/>
      <c r="M478" s="64"/>
      <c r="N478" s="64"/>
      <c r="O478" s="64"/>
      <c r="P478" s="64"/>
      <c r="Q478" s="116"/>
      <c r="R478" s="64"/>
      <c r="S478" s="64"/>
      <c r="T478" s="64"/>
      <c r="U478" s="64"/>
      <c r="V478" s="64"/>
      <c r="W478" s="64"/>
    </row>
    <row r="479" spans="3:23">
      <c r="C479" s="64"/>
      <c r="D479" s="64"/>
      <c r="E479" s="64"/>
      <c r="F479" s="64"/>
      <c r="G479" s="64"/>
      <c r="H479" s="64"/>
      <c r="I479" s="64"/>
      <c r="J479" s="64"/>
      <c r="K479" s="64"/>
      <c r="L479" s="64"/>
      <c r="M479" s="64"/>
      <c r="N479" s="64"/>
      <c r="O479" s="64"/>
      <c r="P479" s="64"/>
      <c r="Q479" s="116"/>
      <c r="R479" s="64"/>
      <c r="S479" s="64"/>
      <c r="T479" s="64"/>
      <c r="U479" s="64"/>
      <c r="V479" s="64"/>
      <c r="W479" s="64"/>
    </row>
    <row r="480" spans="3:23">
      <c r="C480" s="64"/>
      <c r="D480" s="64"/>
      <c r="E480" s="64"/>
      <c r="F480" s="64"/>
      <c r="G480" s="64"/>
      <c r="H480" s="64"/>
      <c r="I480" s="64"/>
      <c r="J480" s="64"/>
      <c r="K480" s="64"/>
      <c r="L480" s="64"/>
      <c r="M480" s="64"/>
      <c r="N480" s="64"/>
      <c r="O480" s="64"/>
      <c r="P480" s="64"/>
      <c r="Q480" s="116"/>
      <c r="R480" s="64"/>
      <c r="S480" s="64"/>
      <c r="T480" s="64"/>
      <c r="U480" s="64"/>
      <c r="V480" s="64"/>
      <c r="W480" s="64"/>
    </row>
    <row r="481" spans="3:23">
      <c r="C481" s="64"/>
      <c r="D481" s="64"/>
      <c r="E481" s="64"/>
      <c r="F481" s="64"/>
      <c r="G481" s="64"/>
      <c r="H481" s="64"/>
      <c r="I481" s="64"/>
      <c r="J481" s="64"/>
      <c r="K481" s="64"/>
      <c r="L481" s="64"/>
      <c r="M481" s="64"/>
      <c r="N481" s="64"/>
      <c r="O481" s="64"/>
      <c r="P481" s="64"/>
      <c r="Q481" s="116"/>
      <c r="R481" s="64"/>
      <c r="S481" s="64"/>
      <c r="T481" s="64"/>
      <c r="U481" s="64"/>
      <c r="V481" s="64"/>
      <c r="W481" s="64"/>
    </row>
    <row r="482" spans="3:23">
      <c r="C482" s="64"/>
      <c r="D482" s="64"/>
      <c r="E482" s="64"/>
      <c r="F482" s="64"/>
      <c r="G482" s="64"/>
      <c r="H482" s="64"/>
      <c r="I482" s="64"/>
      <c r="J482" s="64"/>
      <c r="K482" s="64"/>
      <c r="L482" s="64"/>
      <c r="M482" s="64"/>
      <c r="N482" s="64"/>
      <c r="O482" s="64"/>
      <c r="P482" s="64"/>
      <c r="Q482" s="116"/>
      <c r="R482" s="64"/>
      <c r="S482" s="64"/>
      <c r="T482" s="64"/>
      <c r="U482" s="64"/>
      <c r="V482" s="64"/>
      <c r="W482" s="64"/>
    </row>
    <row r="483" spans="3:23">
      <c r="C483" s="64"/>
      <c r="D483" s="64"/>
      <c r="E483" s="64"/>
      <c r="F483" s="64"/>
      <c r="G483" s="64"/>
      <c r="H483" s="64"/>
      <c r="I483" s="64"/>
      <c r="J483" s="64"/>
      <c r="K483" s="64"/>
      <c r="L483" s="64"/>
      <c r="M483" s="64"/>
      <c r="N483" s="64"/>
      <c r="O483" s="64"/>
      <c r="P483" s="64"/>
      <c r="Q483" s="116"/>
      <c r="R483" s="64"/>
      <c r="S483" s="64"/>
      <c r="T483" s="64"/>
      <c r="U483" s="64"/>
      <c r="V483" s="64"/>
      <c r="W483" s="64"/>
    </row>
    <row r="484" spans="3:23">
      <c r="C484" s="64"/>
      <c r="D484" s="64"/>
      <c r="E484" s="64"/>
      <c r="F484" s="64"/>
      <c r="G484" s="64"/>
      <c r="H484" s="64"/>
      <c r="I484" s="64"/>
      <c r="J484" s="64"/>
      <c r="K484" s="64"/>
      <c r="L484" s="64"/>
      <c r="M484" s="64"/>
      <c r="N484" s="64"/>
      <c r="O484" s="64"/>
      <c r="P484" s="64"/>
      <c r="Q484" s="116"/>
      <c r="R484" s="64"/>
      <c r="S484" s="64"/>
      <c r="T484" s="64"/>
      <c r="U484" s="64"/>
      <c r="V484" s="64"/>
      <c r="W484" s="64"/>
    </row>
    <row r="485" spans="3:23">
      <c r="C485" s="64"/>
      <c r="D485" s="64"/>
      <c r="E485" s="64"/>
      <c r="F485" s="64"/>
      <c r="G485" s="64"/>
      <c r="H485" s="64"/>
      <c r="I485" s="64"/>
      <c r="J485" s="64"/>
      <c r="K485" s="64"/>
      <c r="L485" s="64"/>
      <c r="M485" s="64"/>
      <c r="N485" s="64"/>
      <c r="O485" s="64"/>
      <c r="P485" s="64"/>
      <c r="Q485" s="116"/>
      <c r="R485" s="64"/>
      <c r="S485" s="64"/>
      <c r="T485" s="64"/>
      <c r="U485" s="64"/>
      <c r="V485" s="64"/>
      <c r="W485" s="64"/>
    </row>
    <row r="486" spans="3:23">
      <c r="C486" s="64"/>
      <c r="D486" s="64"/>
      <c r="E486" s="64"/>
      <c r="F486" s="64"/>
      <c r="G486" s="64"/>
      <c r="H486" s="64"/>
      <c r="I486" s="64"/>
      <c r="J486" s="64"/>
      <c r="K486" s="64"/>
      <c r="L486" s="64"/>
      <c r="M486" s="64"/>
      <c r="N486" s="64"/>
      <c r="O486" s="64"/>
      <c r="P486" s="64"/>
      <c r="Q486" s="116"/>
      <c r="R486" s="64"/>
      <c r="S486" s="64"/>
      <c r="T486" s="64"/>
      <c r="U486" s="64"/>
      <c r="V486" s="64"/>
      <c r="W486" s="64"/>
    </row>
    <row r="487" spans="3:23">
      <c r="C487" s="64"/>
      <c r="D487" s="64"/>
      <c r="E487" s="64"/>
      <c r="F487" s="64"/>
      <c r="G487" s="64"/>
      <c r="H487" s="64"/>
      <c r="I487" s="64"/>
      <c r="J487" s="64"/>
      <c r="K487" s="64"/>
      <c r="L487" s="64"/>
      <c r="M487" s="64"/>
      <c r="N487" s="64"/>
      <c r="O487" s="64"/>
      <c r="P487" s="64"/>
      <c r="Q487" s="116"/>
      <c r="R487" s="64"/>
      <c r="S487" s="64"/>
      <c r="T487" s="64"/>
      <c r="U487" s="64"/>
      <c r="V487" s="64"/>
      <c r="W487" s="64"/>
    </row>
    <row r="488" spans="3:23">
      <c r="C488" s="64"/>
      <c r="D488" s="64"/>
      <c r="E488" s="64"/>
      <c r="F488" s="64"/>
      <c r="G488" s="64"/>
      <c r="H488" s="64"/>
      <c r="I488" s="64"/>
      <c r="J488" s="64"/>
      <c r="K488" s="64"/>
      <c r="L488" s="64"/>
      <c r="M488" s="64"/>
      <c r="N488" s="64"/>
      <c r="O488" s="64"/>
      <c r="P488" s="64"/>
      <c r="Q488" s="116"/>
      <c r="R488" s="64"/>
      <c r="S488" s="64"/>
      <c r="T488" s="64"/>
      <c r="U488" s="64"/>
      <c r="V488" s="64"/>
      <c r="W488" s="64"/>
    </row>
    <row r="489" spans="3:23">
      <c r="C489" s="64"/>
      <c r="D489" s="64"/>
      <c r="E489" s="64"/>
      <c r="F489" s="64"/>
      <c r="G489" s="64"/>
      <c r="H489" s="64"/>
      <c r="I489" s="64"/>
      <c r="J489" s="64"/>
      <c r="K489" s="64"/>
      <c r="L489" s="64"/>
      <c r="M489" s="64"/>
      <c r="N489" s="64"/>
      <c r="O489" s="64"/>
      <c r="P489" s="64"/>
      <c r="Q489" s="116"/>
      <c r="R489" s="64"/>
      <c r="S489" s="64"/>
      <c r="T489" s="64"/>
      <c r="U489" s="64"/>
      <c r="V489" s="64"/>
      <c r="W489" s="64"/>
    </row>
    <row r="490" spans="3:23">
      <c r="C490" s="64"/>
      <c r="D490" s="64"/>
      <c r="E490" s="64"/>
      <c r="F490" s="64"/>
      <c r="G490" s="64"/>
      <c r="H490" s="64"/>
      <c r="I490" s="64"/>
      <c r="J490" s="64"/>
      <c r="K490" s="64"/>
      <c r="L490" s="64"/>
      <c r="M490" s="64"/>
      <c r="N490" s="64"/>
      <c r="O490" s="64"/>
      <c r="P490" s="64"/>
      <c r="Q490" s="116"/>
      <c r="R490" s="64"/>
      <c r="S490" s="64"/>
      <c r="T490" s="64"/>
      <c r="U490" s="64"/>
      <c r="V490" s="64"/>
      <c r="W490" s="64"/>
    </row>
    <row r="491" spans="3:23">
      <c r="C491" s="64"/>
      <c r="D491" s="64"/>
      <c r="E491" s="64"/>
      <c r="F491" s="64"/>
      <c r="G491" s="64"/>
      <c r="H491" s="64"/>
      <c r="I491" s="64"/>
      <c r="J491" s="64"/>
      <c r="K491" s="64"/>
      <c r="L491" s="64"/>
      <c r="M491" s="64"/>
      <c r="N491" s="64"/>
      <c r="O491" s="64"/>
      <c r="P491" s="64"/>
      <c r="Q491" s="116"/>
      <c r="R491" s="64"/>
      <c r="S491" s="64"/>
      <c r="T491" s="64"/>
      <c r="U491" s="64"/>
      <c r="V491" s="64"/>
      <c r="W491" s="64"/>
    </row>
    <row r="492" spans="3:23">
      <c r="C492" s="64"/>
      <c r="D492" s="64"/>
      <c r="E492" s="64"/>
      <c r="F492" s="64"/>
      <c r="G492" s="64"/>
      <c r="H492" s="64"/>
      <c r="I492" s="64"/>
      <c r="J492" s="64"/>
      <c r="K492" s="64"/>
      <c r="L492" s="64"/>
      <c r="M492" s="64"/>
      <c r="N492" s="64"/>
      <c r="O492" s="64"/>
      <c r="P492" s="64"/>
      <c r="Q492" s="116"/>
      <c r="R492" s="64"/>
      <c r="S492" s="64"/>
      <c r="T492" s="64"/>
      <c r="U492" s="64"/>
      <c r="V492" s="64"/>
      <c r="W492" s="64"/>
    </row>
    <row r="493" spans="3:23">
      <c r="C493" s="64"/>
      <c r="D493" s="64"/>
      <c r="E493" s="64"/>
      <c r="F493" s="64"/>
      <c r="G493" s="64"/>
      <c r="H493" s="64"/>
      <c r="I493" s="64"/>
      <c r="J493" s="64"/>
      <c r="K493" s="64"/>
      <c r="L493" s="64"/>
      <c r="M493" s="64"/>
      <c r="N493" s="64"/>
      <c r="O493" s="64"/>
      <c r="P493" s="64"/>
      <c r="Q493" s="116"/>
      <c r="R493" s="64"/>
      <c r="S493" s="64"/>
      <c r="T493" s="64"/>
      <c r="U493" s="64"/>
      <c r="V493" s="64"/>
      <c r="W493" s="64"/>
    </row>
    <row r="494" spans="3:23">
      <c r="C494" s="64"/>
      <c r="D494" s="64"/>
      <c r="E494" s="64"/>
      <c r="F494" s="64"/>
      <c r="G494" s="64"/>
      <c r="H494" s="64"/>
      <c r="I494" s="64"/>
      <c r="J494" s="64"/>
      <c r="K494" s="64"/>
      <c r="L494" s="64"/>
      <c r="M494" s="64"/>
      <c r="N494" s="64"/>
      <c r="O494" s="64"/>
      <c r="P494" s="64"/>
      <c r="Q494" s="116"/>
      <c r="R494" s="64"/>
      <c r="S494" s="64"/>
      <c r="T494" s="64"/>
      <c r="U494" s="64"/>
      <c r="V494" s="64"/>
      <c r="W494" s="64"/>
    </row>
    <row r="495" spans="3:23">
      <c r="C495" s="64"/>
      <c r="D495" s="64"/>
      <c r="E495" s="64"/>
      <c r="F495" s="64"/>
      <c r="G495" s="64"/>
      <c r="H495" s="64"/>
      <c r="I495" s="64"/>
      <c r="J495" s="64"/>
      <c r="K495" s="64"/>
      <c r="L495" s="64"/>
      <c r="M495" s="64"/>
      <c r="N495" s="64"/>
      <c r="O495" s="64"/>
      <c r="P495" s="64"/>
      <c r="Q495" s="116"/>
      <c r="R495" s="64"/>
      <c r="S495" s="64"/>
      <c r="T495" s="64"/>
      <c r="U495" s="64"/>
      <c r="V495" s="64"/>
      <c r="W495" s="64"/>
    </row>
    <row r="496" spans="3:23">
      <c r="C496" s="64"/>
      <c r="D496" s="64"/>
      <c r="E496" s="64"/>
      <c r="F496" s="64"/>
      <c r="G496" s="64"/>
      <c r="H496" s="64"/>
      <c r="I496" s="64"/>
      <c r="J496" s="64"/>
      <c r="K496" s="64"/>
      <c r="L496" s="64"/>
      <c r="M496" s="64"/>
      <c r="N496" s="64"/>
      <c r="O496" s="64"/>
      <c r="P496" s="64"/>
      <c r="Q496" s="116"/>
      <c r="R496" s="64"/>
      <c r="S496" s="64"/>
      <c r="T496" s="64"/>
      <c r="U496" s="64"/>
      <c r="V496" s="64"/>
      <c r="W496" s="64"/>
    </row>
    <row r="497" spans="3:23">
      <c r="C497" s="64"/>
      <c r="D497" s="64"/>
      <c r="E497" s="64"/>
      <c r="F497" s="64"/>
      <c r="G497" s="64"/>
      <c r="H497" s="64"/>
      <c r="I497" s="64"/>
      <c r="J497" s="64"/>
      <c r="K497" s="64"/>
      <c r="L497" s="64"/>
      <c r="M497" s="64"/>
      <c r="N497" s="64"/>
      <c r="O497" s="64"/>
      <c r="P497" s="64"/>
      <c r="Q497" s="116"/>
      <c r="R497" s="64"/>
      <c r="S497" s="64"/>
      <c r="T497" s="64"/>
      <c r="U497" s="64"/>
      <c r="V497" s="64"/>
      <c r="W497" s="64"/>
    </row>
    <row r="498" spans="3:23">
      <c r="C498" s="64"/>
      <c r="D498" s="64"/>
      <c r="E498" s="64"/>
      <c r="F498" s="64"/>
      <c r="G498" s="64"/>
      <c r="H498" s="64"/>
      <c r="I498" s="64"/>
      <c r="J498" s="64"/>
      <c r="K498" s="64"/>
      <c r="L498" s="64"/>
      <c r="M498" s="64"/>
      <c r="N498" s="64"/>
      <c r="O498" s="64"/>
      <c r="P498" s="64"/>
      <c r="Q498" s="116"/>
      <c r="R498" s="64"/>
      <c r="S498" s="64"/>
      <c r="T498" s="64"/>
      <c r="U498" s="64"/>
      <c r="V498" s="64"/>
      <c r="W498" s="64"/>
    </row>
    <row r="499" spans="3:23">
      <c r="C499" s="64"/>
      <c r="D499" s="64"/>
      <c r="E499" s="64"/>
      <c r="F499" s="64"/>
      <c r="G499" s="64"/>
      <c r="H499" s="64"/>
      <c r="I499" s="64"/>
      <c r="J499" s="64"/>
      <c r="K499" s="64"/>
      <c r="L499" s="64"/>
      <c r="M499" s="64"/>
      <c r="N499" s="64"/>
      <c r="O499" s="64"/>
      <c r="P499" s="64"/>
      <c r="Q499" s="116"/>
      <c r="R499" s="64"/>
      <c r="S499" s="64"/>
      <c r="T499" s="64"/>
      <c r="U499" s="64"/>
      <c r="V499" s="64"/>
      <c r="W499" s="64"/>
    </row>
    <row r="500" spans="3:23">
      <c r="C500" s="64"/>
      <c r="D500" s="64"/>
      <c r="E500" s="64"/>
      <c r="F500" s="64"/>
      <c r="G500" s="64"/>
      <c r="H500" s="64"/>
      <c r="I500" s="64"/>
      <c r="J500" s="64"/>
      <c r="K500" s="64"/>
      <c r="L500" s="64"/>
      <c r="M500" s="64"/>
      <c r="N500" s="64"/>
      <c r="O500" s="64"/>
      <c r="P500" s="64"/>
      <c r="Q500" s="116"/>
      <c r="R500" s="64"/>
      <c r="S500" s="64"/>
      <c r="T500" s="64"/>
      <c r="U500" s="64"/>
      <c r="V500" s="64"/>
      <c r="W500" s="64"/>
    </row>
    <row r="501" spans="3:23">
      <c r="C501" s="64"/>
      <c r="D501" s="64"/>
      <c r="E501" s="64"/>
      <c r="F501" s="64"/>
      <c r="G501" s="64"/>
      <c r="H501" s="64"/>
      <c r="I501" s="64"/>
      <c r="J501" s="64"/>
      <c r="K501" s="64"/>
      <c r="L501" s="64"/>
      <c r="M501" s="64"/>
      <c r="N501" s="64"/>
      <c r="O501" s="64"/>
      <c r="P501" s="64"/>
      <c r="Q501" s="116"/>
      <c r="R501" s="64"/>
      <c r="S501" s="64"/>
      <c r="T501" s="64"/>
      <c r="U501" s="64"/>
      <c r="V501" s="64"/>
      <c r="W501" s="64"/>
    </row>
    <row r="502" spans="3:23">
      <c r="C502" s="64"/>
      <c r="D502" s="64"/>
      <c r="E502" s="64"/>
      <c r="F502" s="64"/>
      <c r="G502" s="64"/>
      <c r="H502" s="64"/>
      <c r="I502" s="64"/>
      <c r="J502" s="64"/>
      <c r="K502" s="64"/>
      <c r="L502" s="64"/>
      <c r="M502" s="64"/>
      <c r="N502" s="64"/>
      <c r="O502" s="64"/>
      <c r="P502" s="64"/>
      <c r="Q502" s="116"/>
      <c r="R502" s="64"/>
      <c r="S502" s="64"/>
      <c r="T502" s="64"/>
      <c r="U502" s="64"/>
      <c r="V502" s="64"/>
      <c r="W502" s="64"/>
    </row>
    <row r="503" spans="3:23">
      <c r="C503" s="64"/>
      <c r="D503" s="64"/>
      <c r="E503" s="64"/>
      <c r="F503" s="64"/>
      <c r="G503" s="64"/>
      <c r="H503" s="64"/>
      <c r="I503" s="64"/>
      <c r="J503" s="64"/>
      <c r="K503" s="64"/>
      <c r="L503" s="64"/>
      <c r="M503" s="64"/>
      <c r="N503" s="64"/>
      <c r="O503" s="64"/>
      <c r="P503" s="64"/>
      <c r="Q503" s="116"/>
      <c r="R503" s="64"/>
      <c r="S503" s="64"/>
      <c r="T503" s="64"/>
      <c r="U503" s="64"/>
      <c r="V503" s="64"/>
      <c r="W503" s="64"/>
    </row>
    <row r="504" spans="3:23">
      <c r="C504" s="64"/>
      <c r="D504" s="64"/>
      <c r="E504" s="64"/>
      <c r="F504" s="64"/>
      <c r="G504" s="64"/>
      <c r="H504" s="64"/>
      <c r="I504" s="64"/>
      <c r="J504" s="64"/>
      <c r="K504" s="64"/>
      <c r="L504" s="64"/>
      <c r="M504" s="64"/>
      <c r="N504" s="64"/>
      <c r="O504" s="64"/>
      <c r="P504" s="64"/>
      <c r="Q504" s="116"/>
      <c r="R504" s="64"/>
      <c r="S504" s="64"/>
      <c r="T504" s="64"/>
      <c r="U504" s="64"/>
      <c r="V504" s="64"/>
      <c r="W504" s="64"/>
    </row>
    <row r="505" spans="3:23">
      <c r="C505" s="64"/>
      <c r="D505" s="64"/>
      <c r="E505" s="64"/>
      <c r="F505" s="64"/>
      <c r="G505" s="64"/>
      <c r="H505" s="64"/>
      <c r="I505" s="64"/>
      <c r="J505" s="64"/>
      <c r="K505" s="64"/>
      <c r="L505" s="64"/>
      <c r="M505" s="64"/>
      <c r="N505" s="64"/>
      <c r="O505" s="64"/>
      <c r="P505" s="64"/>
      <c r="Q505" s="116"/>
      <c r="R505" s="64"/>
      <c r="S505" s="64"/>
      <c r="T505" s="64"/>
      <c r="U505" s="64"/>
      <c r="V505" s="64"/>
      <c r="W505" s="64"/>
    </row>
    <row r="506" spans="3:23">
      <c r="C506" s="64"/>
      <c r="D506" s="64"/>
      <c r="E506" s="64"/>
      <c r="F506" s="64"/>
      <c r="G506" s="64"/>
      <c r="H506" s="64"/>
      <c r="I506" s="64"/>
      <c r="J506" s="64"/>
      <c r="K506" s="64"/>
      <c r="L506" s="64"/>
      <c r="M506" s="64"/>
      <c r="N506" s="64"/>
      <c r="O506" s="64"/>
      <c r="P506" s="64"/>
      <c r="Q506" s="116"/>
      <c r="R506" s="64"/>
      <c r="S506" s="64"/>
      <c r="T506" s="64"/>
      <c r="U506" s="64"/>
      <c r="V506" s="64"/>
      <c r="W506" s="64"/>
    </row>
    <row r="507" spans="3:23">
      <c r="C507" s="64"/>
      <c r="D507" s="64"/>
      <c r="E507" s="64"/>
      <c r="F507" s="64"/>
      <c r="G507" s="64"/>
      <c r="H507" s="64"/>
      <c r="I507" s="64"/>
      <c r="J507" s="64"/>
      <c r="K507" s="64"/>
      <c r="L507" s="64"/>
      <c r="M507" s="64"/>
      <c r="N507" s="64"/>
      <c r="O507" s="64"/>
      <c r="P507" s="64"/>
      <c r="Q507" s="116"/>
      <c r="R507" s="64"/>
      <c r="S507" s="64"/>
      <c r="T507" s="64"/>
      <c r="U507" s="64"/>
      <c r="V507" s="64"/>
      <c r="W507" s="64"/>
    </row>
    <row r="508" spans="3:23">
      <c r="C508" s="64"/>
      <c r="D508" s="64"/>
      <c r="E508" s="64"/>
      <c r="F508" s="64"/>
      <c r="G508" s="64"/>
      <c r="H508" s="64"/>
      <c r="I508" s="64"/>
      <c r="J508" s="64"/>
      <c r="K508" s="64"/>
      <c r="L508" s="64"/>
      <c r="M508" s="64"/>
      <c r="N508" s="64"/>
      <c r="O508" s="64"/>
      <c r="P508" s="64"/>
      <c r="Q508" s="116"/>
      <c r="R508" s="64"/>
      <c r="S508" s="64"/>
      <c r="T508" s="64"/>
      <c r="U508" s="64"/>
      <c r="V508" s="64"/>
      <c r="W508" s="64"/>
    </row>
    <row r="509" spans="3:23">
      <c r="C509" s="64"/>
      <c r="D509" s="64"/>
      <c r="E509" s="64"/>
      <c r="F509" s="64"/>
      <c r="G509" s="64"/>
      <c r="H509" s="64"/>
      <c r="I509" s="64"/>
      <c r="J509" s="64"/>
      <c r="K509" s="64"/>
      <c r="L509" s="64"/>
      <c r="M509" s="64"/>
      <c r="N509" s="64"/>
      <c r="O509" s="64"/>
      <c r="P509" s="64"/>
      <c r="Q509" s="116"/>
      <c r="R509" s="64"/>
      <c r="S509" s="64"/>
      <c r="T509" s="64"/>
      <c r="U509" s="64"/>
      <c r="V509" s="64"/>
      <c r="W509" s="64"/>
    </row>
    <row r="510" spans="3:23">
      <c r="C510" s="64"/>
      <c r="D510" s="64"/>
      <c r="E510" s="64"/>
      <c r="F510" s="64"/>
      <c r="G510" s="64"/>
      <c r="H510" s="64"/>
      <c r="I510" s="64"/>
      <c r="J510" s="64"/>
      <c r="K510" s="64"/>
      <c r="L510" s="64"/>
      <c r="M510" s="64"/>
      <c r="N510" s="64"/>
      <c r="O510" s="64"/>
      <c r="P510" s="64"/>
      <c r="Q510" s="116"/>
      <c r="R510" s="64"/>
      <c r="S510" s="64"/>
      <c r="T510" s="64"/>
      <c r="U510" s="64"/>
      <c r="V510" s="64"/>
      <c r="W510" s="64"/>
    </row>
    <row r="511" spans="3:23">
      <c r="C511" s="64"/>
      <c r="D511" s="64"/>
      <c r="E511" s="64"/>
      <c r="F511" s="64"/>
      <c r="G511" s="64"/>
      <c r="H511" s="64"/>
      <c r="I511" s="64"/>
      <c r="J511" s="64"/>
      <c r="K511" s="64"/>
      <c r="L511" s="64"/>
      <c r="M511" s="64"/>
      <c r="N511" s="64"/>
      <c r="O511" s="64"/>
      <c r="P511" s="64"/>
      <c r="Q511" s="116"/>
      <c r="R511" s="64"/>
      <c r="S511" s="64"/>
      <c r="T511" s="64"/>
      <c r="U511" s="64"/>
      <c r="V511" s="64"/>
      <c r="W511" s="64"/>
    </row>
    <row r="512" spans="3:23">
      <c r="C512" s="64"/>
      <c r="D512" s="64"/>
      <c r="E512" s="64"/>
      <c r="F512" s="64"/>
      <c r="G512" s="64"/>
      <c r="H512" s="64"/>
      <c r="I512" s="64"/>
      <c r="J512" s="64"/>
      <c r="K512" s="64"/>
      <c r="L512" s="64"/>
      <c r="M512" s="64"/>
      <c r="N512" s="64"/>
      <c r="O512" s="64"/>
      <c r="P512" s="64"/>
      <c r="Q512" s="116"/>
      <c r="R512" s="64"/>
      <c r="S512" s="64"/>
      <c r="T512" s="64"/>
      <c r="U512" s="64"/>
      <c r="V512" s="64"/>
      <c r="W512" s="64"/>
    </row>
    <row r="513" spans="3:23">
      <c r="C513" s="64"/>
      <c r="D513" s="64"/>
      <c r="E513" s="64"/>
      <c r="F513" s="64"/>
      <c r="G513" s="64"/>
      <c r="H513" s="64"/>
      <c r="I513" s="64"/>
      <c r="J513" s="64"/>
      <c r="K513" s="64"/>
      <c r="L513" s="64"/>
      <c r="M513" s="64"/>
      <c r="N513" s="64"/>
      <c r="O513" s="64"/>
      <c r="P513" s="64"/>
      <c r="Q513" s="116"/>
      <c r="R513" s="64"/>
      <c r="S513" s="64"/>
      <c r="T513" s="64"/>
      <c r="U513" s="64"/>
      <c r="V513" s="64"/>
      <c r="W513" s="64"/>
    </row>
    <row r="514" spans="3:23">
      <c r="C514" s="64"/>
      <c r="D514" s="64"/>
      <c r="E514" s="64"/>
      <c r="F514" s="64"/>
      <c r="G514" s="64"/>
      <c r="H514" s="64"/>
      <c r="I514" s="64"/>
      <c r="J514" s="64"/>
      <c r="K514" s="64"/>
      <c r="L514" s="64"/>
      <c r="M514" s="64"/>
      <c r="N514" s="64"/>
      <c r="O514" s="64"/>
      <c r="P514" s="64"/>
      <c r="Q514" s="116"/>
      <c r="R514" s="64"/>
      <c r="S514" s="64"/>
      <c r="T514" s="64"/>
      <c r="U514" s="64"/>
      <c r="V514" s="64"/>
      <c r="W514" s="64"/>
    </row>
    <row r="515" spans="3:23">
      <c r="C515" s="64"/>
      <c r="D515" s="64"/>
      <c r="E515" s="64"/>
      <c r="F515" s="64"/>
      <c r="G515" s="64"/>
      <c r="H515" s="64"/>
      <c r="I515" s="64"/>
      <c r="J515" s="64"/>
      <c r="K515" s="64"/>
      <c r="L515" s="64"/>
      <c r="M515" s="64"/>
      <c r="N515" s="64"/>
      <c r="O515" s="64"/>
      <c r="P515" s="64"/>
      <c r="Q515" s="116"/>
      <c r="R515" s="64"/>
      <c r="S515" s="64"/>
      <c r="T515" s="64"/>
      <c r="U515" s="64"/>
      <c r="V515" s="64"/>
      <c r="W515" s="64"/>
    </row>
    <row r="516" spans="3:23">
      <c r="C516" s="64"/>
      <c r="D516" s="64"/>
      <c r="E516" s="64"/>
      <c r="F516" s="64"/>
      <c r="G516" s="64"/>
      <c r="H516" s="64"/>
      <c r="I516" s="64"/>
      <c r="J516" s="64"/>
      <c r="K516" s="64"/>
      <c r="L516" s="64"/>
      <c r="M516" s="64"/>
      <c r="N516" s="64"/>
      <c r="O516" s="64"/>
      <c r="P516" s="64"/>
      <c r="Q516" s="116"/>
      <c r="R516" s="64"/>
      <c r="S516" s="64"/>
      <c r="T516" s="64"/>
      <c r="U516" s="64"/>
      <c r="V516" s="64"/>
      <c r="W516" s="64"/>
    </row>
    <row r="517" spans="3:23">
      <c r="C517" s="64"/>
      <c r="D517" s="64"/>
      <c r="E517" s="64"/>
      <c r="F517" s="64"/>
      <c r="G517" s="64"/>
      <c r="H517" s="64"/>
      <c r="I517" s="64"/>
      <c r="J517" s="64"/>
      <c r="K517" s="64"/>
      <c r="L517" s="64"/>
      <c r="M517" s="64"/>
      <c r="N517" s="64"/>
      <c r="O517" s="64"/>
      <c r="P517" s="64"/>
      <c r="Q517" s="116"/>
      <c r="R517" s="64"/>
      <c r="S517" s="64"/>
      <c r="T517" s="64"/>
      <c r="U517" s="64"/>
      <c r="V517" s="64"/>
      <c r="W517" s="64"/>
    </row>
    <row r="518" spans="3:23">
      <c r="C518" s="64"/>
      <c r="D518" s="64"/>
      <c r="E518" s="64"/>
      <c r="F518" s="64"/>
      <c r="G518" s="64"/>
      <c r="H518" s="64"/>
      <c r="I518" s="64"/>
      <c r="J518" s="64"/>
      <c r="K518" s="64"/>
      <c r="L518" s="64"/>
      <c r="M518" s="64"/>
      <c r="N518" s="64"/>
      <c r="O518" s="64"/>
      <c r="P518" s="64"/>
      <c r="Q518" s="116"/>
      <c r="R518" s="64"/>
      <c r="S518" s="64"/>
      <c r="T518" s="64"/>
      <c r="U518" s="64"/>
      <c r="V518" s="64"/>
      <c r="W518" s="64"/>
    </row>
    <row r="519" spans="3:23">
      <c r="C519" s="64"/>
      <c r="D519" s="64"/>
      <c r="E519" s="64"/>
      <c r="F519" s="64"/>
      <c r="G519" s="64"/>
      <c r="H519" s="64"/>
      <c r="I519" s="64"/>
      <c r="J519" s="64"/>
      <c r="K519" s="64"/>
      <c r="L519" s="64"/>
      <c r="M519" s="64"/>
      <c r="N519" s="64"/>
      <c r="O519" s="64"/>
      <c r="P519" s="64"/>
      <c r="Q519" s="116"/>
      <c r="R519" s="64"/>
      <c r="S519" s="64"/>
      <c r="T519" s="64"/>
      <c r="U519" s="64"/>
      <c r="V519" s="64"/>
      <c r="W519" s="64"/>
    </row>
    <row r="520" spans="3:23">
      <c r="C520" s="64"/>
      <c r="D520" s="64"/>
      <c r="E520" s="64"/>
      <c r="F520" s="64"/>
      <c r="G520" s="64"/>
      <c r="H520" s="64"/>
      <c r="I520" s="64"/>
      <c r="J520" s="64"/>
      <c r="K520" s="64"/>
      <c r="L520" s="64"/>
      <c r="M520" s="64"/>
      <c r="N520" s="64"/>
      <c r="O520" s="64"/>
      <c r="P520" s="64"/>
      <c r="Q520" s="116"/>
      <c r="R520" s="64"/>
      <c r="S520" s="64"/>
      <c r="T520" s="64"/>
      <c r="U520" s="64"/>
      <c r="V520" s="64"/>
      <c r="W520" s="64"/>
    </row>
    <row r="521" spans="3:23">
      <c r="C521" s="64"/>
      <c r="D521" s="64"/>
      <c r="E521" s="64"/>
      <c r="F521" s="64"/>
      <c r="G521" s="64"/>
      <c r="H521" s="64"/>
      <c r="I521" s="64"/>
      <c r="J521" s="64"/>
      <c r="K521" s="64"/>
      <c r="L521" s="64"/>
      <c r="M521" s="64"/>
      <c r="N521" s="64"/>
      <c r="O521" s="64"/>
      <c r="P521" s="64"/>
      <c r="Q521" s="116"/>
      <c r="R521" s="64"/>
      <c r="S521" s="64"/>
      <c r="T521" s="64"/>
      <c r="U521" s="64"/>
      <c r="V521" s="64"/>
      <c r="W521" s="64"/>
    </row>
    <row r="522" spans="3:23">
      <c r="C522" s="64"/>
      <c r="D522" s="64"/>
      <c r="E522" s="64"/>
      <c r="F522" s="64"/>
      <c r="G522" s="64"/>
      <c r="H522" s="64"/>
      <c r="I522" s="64"/>
      <c r="J522" s="64"/>
      <c r="K522" s="64"/>
      <c r="L522" s="64"/>
      <c r="M522" s="64"/>
      <c r="N522" s="64"/>
      <c r="O522" s="64"/>
      <c r="P522" s="64"/>
      <c r="Q522" s="116"/>
      <c r="R522" s="64"/>
      <c r="S522" s="64"/>
      <c r="T522" s="64"/>
      <c r="U522" s="64"/>
      <c r="V522" s="64"/>
      <c r="W522" s="64"/>
    </row>
    <row r="523" spans="3:23">
      <c r="C523" s="64"/>
      <c r="D523" s="64"/>
      <c r="E523" s="64"/>
      <c r="F523" s="64"/>
      <c r="G523" s="64"/>
      <c r="H523" s="64"/>
      <c r="I523" s="64"/>
      <c r="J523" s="64"/>
      <c r="K523" s="64"/>
      <c r="L523" s="64"/>
      <c r="M523" s="64"/>
      <c r="N523" s="64"/>
      <c r="O523" s="64"/>
      <c r="P523" s="64"/>
      <c r="Q523" s="116"/>
      <c r="R523" s="64"/>
      <c r="S523" s="64"/>
      <c r="T523" s="64"/>
      <c r="U523" s="64"/>
      <c r="V523" s="64"/>
      <c r="W523" s="64"/>
    </row>
    <row r="524" spans="3:23">
      <c r="C524" s="64"/>
      <c r="D524" s="64"/>
      <c r="E524" s="64"/>
      <c r="F524" s="64"/>
      <c r="G524" s="64"/>
      <c r="H524" s="64"/>
      <c r="I524" s="64"/>
      <c r="J524" s="64"/>
      <c r="K524" s="64"/>
      <c r="L524" s="64"/>
      <c r="M524" s="64"/>
      <c r="N524" s="64"/>
      <c r="O524" s="64"/>
      <c r="P524" s="64"/>
      <c r="Q524" s="116"/>
      <c r="R524" s="64"/>
      <c r="S524" s="64"/>
      <c r="T524" s="64"/>
      <c r="U524" s="64"/>
      <c r="V524" s="64"/>
      <c r="W524" s="64"/>
    </row>
    <row r="525" spans="3:23">
      <c r="C525" s="64"/>
      <c r="D525" s="64"/>
      <c r="E525" s="64"/>
      <c r="F525" s="64"/>
      <c r="G525" s="64"/>
      <c r="H525" s="64"/>
      <c r="I525" s="64"/>
      <c r="J525" s="64"/>
      <c r="K525" s="64"/>
      <c r="L525" s="64"/>
      <c r="M525" s="64"/>
      <c r="N525" s="64"/>
      <c r="O525" s="64"/>
      <c r="P525" s="64"/>
      <c r="Q525" s="116"/>
      <c r="R525" s="64"/>
      <c r="S525" s="64"/>
      <c r="T525" s="64"/>
      <c r="U525" s="64"/>
      <c r="V525" s="64"/>
      <c r="W525" s="64"/>
    </row>
    <row r="526" spans="3:23">
      <c r="C526" s="64"/>
      <c r="D526" s="64"/>
      <c r="E526" s="64"/>
      <c r="F526" s="64"/>
      <c r="G526" s="64"/>
      <c r="H526" s="64"/>
      <c r="I526" s="64"/>
      <c r="J526" s="64"/>
      <c r="K526" s="64"/>
      <c r="L526" s="64"/>
      <c r="M526" s="64"/>
      <c r="N526" s="64"/>
      <c r="O526" s="64"/>
      <c r="P526" s="64"/>
      <c r="Q526" s="116"/>
      <c r="R526" s="64"/>
      <c r="S526" s="64"/>
      <c r="T526" s="64"/>
      <c r="U526" s="64"/>
      <c r="V526" s="64"/>
      <c r="W526" s="64"/>
    </row>
    <row r="527" spans="3:23">
      <c r="C527" s="64"/>
      <c r="D527" s="64"/>
      <c r="E527" s="64"/>
      <c r="F527" s="64"/>
      <c r="G527" s="64"/>
      <c r="H527" s="64"/>
      <c r="I527" s="64"/>
      <c r="J527" s="64"/>
      <c r="K527" s="64"/>
      <c r="L527" s="64"/>
      <c r="M527" s="64"/>
      <c r="N527" s="64"/>
      <c r="O527" s="64"/>
      <c r="P527" s="64"/>
      <c r="Q527" s="116"/>
      <c r="R527" s="64"/>
      <c r="S527" s="64"/>
      <c r="T527" s="64"/>
      <c r="U527" s="64"/>
      <c r="V527" s="64"/>
      <c r="W527" s="64"/>
    </row>
    <row r="528" spans="3:23">
      <c r="C528" s="64"/>
      <c r="D528" s="64"/>
      <c r="E528" s="64"/>
      <c r="F528" s="64"/>
      <c r="G528" s="64"/>
      <c r="H528" s="64"/>
      <c r="I528" s="64"/>
      <c r="J528" s="64"/>
      <c r="K528" s="64"/>
      <c r="L528" s="64"/>
      <c r="M528" s="64"/>
      <c r="N528" s="64"/>
      <c r="O528" s="64"/>
      <c r="P528" s="64"/>
      <c r="Q528" s="116"/>
      <c r="R528" s="64"/>
      <c r="S528" s="64"/>
      <c r="T528" s="64"/>
      <c r="U528" s="64"/>
      <c r="V528" s="64"/>
      <c r="W528" s="64"/>
    </row>
    <row r="529" spans="3:23">
      <c r="C529" s="64"/>
      <c r="D529" s="64"/>
      <c r="E529" s="64"/>
      <c r="F529" s="64"/>
      <c r="G529" s="64"/>
      <c r="H529" s="64"/>
      <c r="I529" s="64"/>
      <c r="J529" s="64"/>
      <c r="K529" s="64"/>
      <c r="L529" s="64"/>
      <c r="M529" s="64"/>
      <c r="N529" s="64"/>
      <c r="O529" s="64"/>
      <c r="P529" s="64"/>
      <c r="Q529" s="116"/>
      <c r="R529" s="64"/>
      <c r="S529" s="64"/>
      <c r="T529" s="64"/>
      <c r="U529" s="64"/>
      <c r="V529" s="64"/>
      <c r="W529" s="64"/>
    </row>
    <row r="530" spans="3:23">
      <c r="C530" s="64"/>
      <c r="D530" s="64"/>
      <c r="E530" s="64"/>
      <c r="F530" s="64"/>
      <c r="G530" s="64"/>
      <c r="H530" s="64"/>
      <c r="I530" s="64"/>
      <c r="J530" s="64"/>
      <c r="K530" s="64"/>
      <c r="L530" s="64"/>
      <c r="M530" s="64"/>
      <c r="N530" s="64"/>
      <c r="O530" s="64"/>
      <c r="P530" s="64"/>
      <c r="Q530" s="116"/>
      <c r="R530" s="64"/>
      <c r="S530" s="64"/>
      <c r="T530" s="64"/>
      <c r="U530" s="64"/>
      <c r="V530" s="64"/>
      <c r="W530" s="64"/>
    </row>
    <row r="531" spans="3:23">
      <c r="C531" s="64"/>
      <c r="D531" s="64"/>
      <c r="E531" s="64"/>
      <c r="F531" s="64"/>
      <c r="G531" s="64"/>
      <c r="H531" s="64"/>
      <c r="I531" s="64"/>
      <c r="J531" s="64"/>
      <c r="K531" s="64"/>
      <c r="L531" s="64"/>
      <c r="M531" s="64"/>
      <c r="N531" s="64"/>
      <c r="O531" s="64"/>
      <c r="P531" s="64"/>
      <c r="Q531" s="116"/>
      <c r="R531" s="64"/>
      <c r="S531" s="64"/>
      <c r="T531" s="64"/>
      <c r="U531" s="64"/>
      <c r="V531" s="64"/>
      <c r="W531" s="64"/>
    </row>
    <row r="532" spans="3:23">
      <c r="C532" s="64"/>
      <c r="D532" s="64"/>
      <c r="E532" s="64"/>
      <c r="F532" s="64"/>
      <c r="G532" s="64"/>
      <c r="H532" s="64"/>
      <c r="I532" s="64"/>
      <c r="J532" s="64"/>
      <c r="K532" s="64"/>
      <c r="L532" s="64"/>
      <c r="M532" s="64"/>
      <c r="N532" s="64"/>
      <c r="O532" s="64"/>
      <c r="P532" s="64"/>
      <c r="Q532" s="116"/>
      <c r="R532" s="64"/>
      <c r="S532" s="64"/>
      <c r="T532" s="64"/>
      <c r="U532" s="64"/>
      <c r="V532" s="64"/>
      <c r="W532" s="64"/>
    </row>
    <row r="533" spans="3:23">
      <c r="C533" s="64"/>
      <c r="D533" s="64"/>
      <c r="E533" s="64"/>
      <c r="F533" s="64"/>
      <c r="G533" s="64"/>
      <c r="H533" s="64"/>
      <c r="I533" s="64"/>
      <c r="J533" s="64"/>
      <c r="K533" s="64"/>
      <c r="L533" s="64"/>
      <c r="M533" s="64"/>
      <c r="N533" s="64"/>
      <c r="O533" s="64"/>
      <c r="P533" s="64"/>
      <c r="Q533" s="116"/>
      <c r="R533" s="64"/>
      <c r="S533" s="64"/>
      <c r="T533" s="64"/>
      <c r="U533" s="64"/>
      <c r="V533" s="64"/>
      <c r="W533" s="64"/>
    </row>
    <row r="534" spans="3:23">
      <c r="C534" s="64"/>
      <c r="D534" s="64"/>
      <c r="E534" s="64"/>
      <c r="F534" s="64"/>
      <c r="G534" s="64"/>
      <c r="H534" s="64"/>
      <c r="I534" s="64"/>
      <c r="J534" s="64"/>
      <c r="K534" s="64"/>
      <c r="L534" s="64"/>
      <c r="M534" s="64"/>
      <c r="N534" s="64"/>
      <c r="O534" s="64"/>
      <c r="P534" s="64"/>
      <c r="Q534" s="116"/>
      <c r="R534" s="64"/>
      <c r="S534" s="64"/>
      <c r="T534" s="64"/>
      <c r="U534" s="64"/>
      <c r="V534" s="64"/>
      <c r="W534" s="64"/>
    </row>
    <row r="535" spans="3:23">
      <c r="C535" s="64"/>
      <c r="D535" s="64"/>
      <c r="E535" s="64"/>
      <c r="F535" s="64"/>
      <c r="G535" s="64"/>
      <c r="H535" s="64"/>
      <c r="I535" s="64"/>
      <c r="J535" s="64"/>
      <c r="K535" s="64"/>
      <c r="L535" s="64"/>
      <c r="M535" s="64"/>
      <c r="N535" s="64"/>
      <c r="O535" s="64"/>
      <c r="P535" s="64"/>
      <c r="Q535" s="116"/>
      <c r="R535" s="64"/>
      <c r="S535" s="64"/>
      <c r="T535" s="64"/>
      <c r="U535" s="64"/>
      <c r="V535" s="64"/>
      <c r="W535" s="64"/>
    </row>
    <row r="536" spans="3:23">
      <c r="C536" s="64"/>
      <c r="D536" s="64"/>
      <c r="E536" s="64"/>
      <c r="F536" s="64"/>
      <c r="G536" s="64"/>
      <c r="H536" s="64"/>
      <c r="I536" s="64"/>
      <c r="J536" s="64"/>
      <c r="K536" s="64"/>
      <c r="L536" s="64"/>
      <c r="M536" s="64"/>
      <c r="N536" s="64"/>
      <c r="O536" s="64"/>
      <c r="P536" s="64"/>
      <c r="Q536" s="116"/>
      <c r="R536" s="64"/>
      <c r="S536" s="64"/>
      <c r="T536" s="64"/>
      <c r="U536" s="64"/>
      <c r="V536" s="64"/>
      <c r="W536" s="64"/>
    </row>
    <row r="537" spans="3:23">
      <c r="C537" s="64"/>
      <c r="D537" s="64"/>
      <c r="E537" s="64"/>
      <c r="F537" s="64"/>
      <c r="G537" s="64"/>
      <c r="H537" s="64"/>
      <c r="I537" s="64"/>
      <c r="J537" s="64"/>
      <c r="K537" s="64"/>
      <c r="L537" s="64"/>
      <c r="M537" s="64"/>
      <c r="N537" s="64"/>
      <c r="O537" s="64"/>
      <c r="P537" s="64"/>
      <c r="Q537" s="116"/>
      <c r="R537" s="64"/>
      <c r="S537" s="64"/>
      <c r="T537" s="64"/>
      <c r="U537" s="64"/>
      <c r="V537" s="64"/>
      <c r="W537" s="64"/>
    </row>
    <row r="538" spans="3:23">
      <c r="C538" s="64"/>
      <c r="D538" s="64"/>
      <c r="E538" s="64"/>
      <c r="F538" s="64"/>
      <c r="G538" s="64"/>
      <c r="H538" s="64"/>
      <c r="I538" s="64"/>
      <c r="J538" s="64"/>
      <c r="K538" s="64"/>
      <c r="L538" s="64"/>
      <c r="M538" s="64"/>
      <c r="N538" s="64"/>
      <c r="O538" s="64"/>
      <c r="P538" s="64"/>
      <c r="Q538" s="116"/>
      <c r="R538" s="64"/>
      <c r="S538" s="64"/>
      <c r="T538" s="64"/>
      <c r="U538" s="64"/>
      <c r="V538" s="64"/>
      <c r="W538" s="64"/>
    </row>
    <row r="539" spans="3:23">
      <c r="C539" s="64"/>
      <c r="D539" s="64"/>
      <c r="E539" s="64"/>
      <c r="F539" s="64"/>
      <c r="G539" s="64"/>
      <c r="H539" s="64"/>
      <c r="I539" s="64"/>
      <c r="J539" s="64"/>
      <c r="K539" s="64"/>
      <c r="L539" s="64"/>
      <c r="M539" s="64"/>
      <c r="N539" s="64"/>
      <c r="O539" s="64"/>
      <c r="P539" s="64"/>
      <c r="Q539" s="116"/>
      <c r="R539" s="64"/>
      <c r="S539" s="64"/>
      <c r="T539" s="64"/>
      <c r="U539" s="64"/>
      <c r="V539" s="64"/>
      <c r="W539" s="64"/>
    </row>
    <row r="540" spans="3:23">
      <c r="C540" s="64"/>
      <c r="D540" s="64"/>
      <c r="E540" s="64"/>
      <c r="F540" s="64"/>
      <c r="G540" s="64"/>
      <c r="H540" s="64"/>
      <c r="I540" s="64"/>
      <c r="J540" s="64"/>
      <c r="K540" s="64"/>
      <c r="L540" s="64"/>
      <c r="M540" s="64"/>
      <c r="N540" s="64"/>
      <c r="O540" s="64"/>
      <c r="P540" s="64"/>
      <c r="Q540" s="116"/>
      <c r="R540" s="64"/>
      <c r="S540" s="64"/>
      <c r="T540" s="64"/>
      <c r="U540" s="64"/>
      <c r="V540" s="64"/>
      <c r="W540" s="64"/>
    </row>
    <row r="541" spans="3:23">
      <c r="C541" s="64"/>
      <c r="D541" s="64"/>
      <c r="E541" s="64"/>
      <c r="F541" s="64"/>
      <c r="G541" s="64"/>
      <c r="H541" s="64"/>
      <c r="I541" s="64"/>
      <c r="J541" s="64"/>
      <c r="K541" s="64"/>
      <c r="L541" s="64"/>
      <c r="M541" s="64"/>
      <c r="N541" s="64"/>
      <c r="O541" s="64"/>
      <c r="P541" s="64"/>
      <c r="Q541" s="116"/>
      <c r="R541" s="64"/>
      <c r="S541" s="64"/>
      <c r="T541" s="64"/>
      <c r="U541" s="64"/>
      <c r="V541" s="64"/>
      <c r="W541" s="64"/>
    </row>
    <row r="542" spans="3:23">
      <c r="C542" s="64"/>
      <c r="D542" s="64"/>
      <c r="E542" s="64"/>
      <c r="F542" s="64"/>
      <c r="G542" s="64"/>
      <c r="H542" s="64"/>
      <c r="I542" s="64"/>
      <c r="J542" s="64"/>
      <c r="K542" s="64"/>
      <c r="L542" s="64"/>
      <c r="M542" s="64"/>
      <c r="N542" s="64"/>
      <c r="O542" s="64"/>
      <c r="P542" s="64"/>
      <c r="Q542" s="116"/>
      <c r="R542" s="64"/>
      <c r="S542" s="64"/>
      <c r="T542" s="64"/>
      <c r="U542" s="64"/>
      <c r="V542" s="64"/>
      <c r="W542" s="64"/>
    </row>
    <row r="543" spans="3:23">
      <c r="C543" s="64"/>
      <c r="D543" s="64"/>
      <c r="E543" s="64"/>
      <c r="F543" s="64"/>
      <c r="G543" s="64"/>
      <c r="H543" s="64"/>
      <c r="I543" s="64"/>
      <c r="J543" s="64"/>
      <c r="K543" s="64"/>
      <c r="L543" s="64"/>
      <c r="M543" s="64"/>
      <c r="N543" s="64"/>
      <c r="O543" s="64"/>
      <c r="P543" s="64"/>
      <c r="Q543" s="116"/>
      <c r="R543" s="64"/>
      <c r="S543" s="64"/>
      <c r="T543" s="64"/>
      <c r="U543" s="64"/>
      <c r="V543" s="64"/>
      <c r="W543" s="64"/>
    </row>
    <row r="544" spans="3:23">
      <c r="C544" s="64"/>
      <c r="D544" s="64"/>
      <c r="E544" s="64"/>
      <c r="F544" s="64"/>
      <c r="G544" s="64"/>
      <c r="H544" s="64"/>
      <c r="I544" s="64"/>
      <c r="J544" s="64"/>
      <c r="K544" s="64"/>
      <c r="L544" s="64"/>
      <c r="M544" s="64"/>
      <c r="N544" s="64"/>
      <c r="O544" s="64"/>
      <c r="P544" s="64"/>
      <c r="Q544" s="116"/>
      <c r="R544" s="64"/>
      <c r="S544" s="64"/>
      <c r="T544" s="64"/>
      <c r="U544" s="64"/>
      <c r="V544" s="64"/>
      <c r="W544" s="64"/>
    </row>
    <row r="545" spans="3:23">
      <c r="C545" s="64"/>
      <c r="D545" s="64"/>
      <c r="E545" s="64"/>
      <c r="F545" s="64"/>
      <c r="G545" s="64"/>
      <c r="H545" s="64"/>
      <c r="I545" s="64"/>
      <c r="J545" s="64"/>
      <c r="K545" s="64"/>
      <c r="L545" s="64"/>
      <c r="M545" s="64"/>
      <c r="N545" s="64"/>
      <c r="O545" s="64"/>
      <c r="P545" s="64"/>
      <c r="Q545" s="116"/>
      <c r="R545" s="64"/>
      <c r="S545" s="64"/>
      <c r="T545" s="64"/>
      <c r="U545" s="64"/>
      <c r="V545" s="64"/>
      <c r="W545" s="64"/>
    </row>
    <row r="546" spans="3:23">
      <c r="C546" s="64"/>
      <c r="D546" s="64"/>
      <c r="E546" s="64"/>
      <c r="F546" s="64"/>
      <c r="G546" s="64"/>
      <c r="H546" s="64"/>
      <c r="I546" s="64"/>
      <c r="J546" s="64"/>
      <c r="K546" s="64"/>
      <c r="L546" s="64"/>
      <c r="M546" s="64"/>
      <c r="N546" s="64"/>
      <c r="O546" s="64"/>
      <c r="P546" s="64"/>
      <c r="Q546" s="116"/>
      <c r="R546" s="64"/>
      <c r="S546" s="64"/>
      <c r="T546" s="64"/>
      <c r="U546" s="64"/>
      <c r="V546" s="64"/>
      <c r="W546" s="64"/>
    </row>
    <row r="547" spans="3:23">
      <c r="C547" s="64"/>
      <c r="D547" s="64"/>
      <c r="E547" s="64"/>
      <c r="F547" s="64"/>
      <c r="G547" s="64"/>
      <c r="H547" s="64"/>
      <c r="I547" s="64"/>
      <c r="J547" s="64"/>
      <c r="K547" s="64"/>
      <c r="L547" s="64"/>
      <c r="M547" s="64"/>
      <c r="N547" s="64"/>
      <c r="O547" s="64"/>
      <c r="P547" s="64"/>
      <c r="Q547" s="116"/>
      <c r="R547" s="64"/>
      <c r="S547" s="64"/>
      <c r="T547" s="64"/>
      <c r="U547" s="64"/>
      <c r="V547" s="64"/>
      <c r="W547" s="64"/>
    </row>
    <row r="548" spans="3:23">
      <c r="C548" s="64"/>
      <c r="D548" s="64"/>
      <c r="E548" s="64"/>
      <c r="F548" s="64"/>
      <c r="G548" s="64"/>
      <c r="H548" s="64"/>
      <c r="I548" s="64"/>
      <c r="J548" s="64"/>
      <c r="K548" s="64"/>
      <c r="L548" s="64"/>
      <c r="M548" s="64"/>
      <c r="N548" s="64"/>
      <c r="O548" s="64"/>
      <c r="P548" s="64"/>
      <c r="Q548" s="116"/>
      <c r="R548" s="64"/>
      <c r="S548" s="64"/>
      <c r="T548" s="64"/>
      <c r="U548" s="64"/>
      <c r="V548" s="64"/>
      <c r="W548" s="64"/>
    </row>
    <row r="549" spans="3:23">
      <c r="C549" s="64"/>
      <c r="D549" s="64"/>
      <c r="E549" s="64"/>
      <c r="F549" s="64"/>
      <c r="G549" s="64"/>
      <c r="H549" s="64"/>
      <c r="I549" s="64"/>
      <c r="J549" s="64"/>
      <c r="K549" s="64"/>
      <c r="L549" s="64"/>
      <c r="M549" s="64"/>
      <c r="N549" s="64"/>
      <c r="O549" s="64"/>
      <c r="P549" s="64"/>
      <c r="Q549" s="116"/>
      <c r="R549" s="64"/>
      <c r="S549" s="64"/>
      <c r="T549" s="64"/>
      <c r="U549" s="64"/>
      <c r="V549" s="64"/>
      <c r="W549" s="64"/>
    </row>
    <row r="550" spans="3:23">
      <c r="C550" s="64"/>
      <c r="D550" s="64"/>
      <c r="E550" s="64"/>
      <c r="F550" s="64"/>
      <c r="G550" s="64"/>
      <c r="H550" s="64"/>
      <c r="I550" s="64"/>
      <c r="J550" s="64"/>
      <c r="K550" s="64"/>
      <c r="L550" s="64"/>
      <c r="M550" s="64"/>
      <c r="N550" s="64"/>
      <c r="O550" s="64"/>
      <c r="P550" s="64"/>
      <c r="Q550" s="116"/>
      <c r="R550" s="64"/>
      <c r="S550" s="64"/>
      <c r="T550" s="64"/>
      <c r="U550" s="64"/>
      <c r="V550" s="64"/>
      <c r="W550" s="64"/>
    </row>
    <row r="551" spans="3:23">
      <c r="C551" s="64"/>
      <c r="D551" s="64"/>
      <c r="E551" s="64"/>
      <c r="F551" s="64"/>
      <c r="G551" s="64"/>
      <c r="H551" s="64"/>
      <c r="I551" s="64"/>
      <c r="J551" s="64"/>
      <c r="K551" s="64"/>
      <c r="L551" s="64"/>
      <c r="M551" s="64"/>
      <c r="N551" s="64"/>
      <c r="O551" s="64"/>
      <c r="P551" s="64"/>
      <c r="Q551" s="116"/>
      <c r="R551" s="64"/>
      <c r="S551" s="64"/>
      <c r="T551" s="64"/>
      <c r="U551" s="64"/>
      <c r="V551" s="64"/>
      <c r="W551" s="64"/>
    </row>
    <row r="552" spans="3:23">
      <c r="C552" s="64"/>
      <c r="D552" s="64"/>
      <c r="E552" s="64"/>
      <c r="F552" s="64"/>
      <c r="G552" s="64"/>
      <c r="H552" s="64"/>
      <c r="I552" s="64"/>
      <c r="J552" s="64"/>
      <c r="K552" s="64"/>
      <c r="L552" s="64"/>
      <c r="M552" s="64"/>
      <c r="N552" s="64"/>
      <c r="O552" s="64"/>
      <c r="P552" s="64"/>
      <c r="Q552" s="116"/>
      <c r="R552" s="64"/>
      <c r="S552" s="64"/>
      <c r="T552" s="64"/>
      <c r="U552" s="64"/>
      <c r="V552" s="64"/>
      <c r="W552" s="64"/>
    </row>
    <row r="553" spans="3:23">
      <c r="C553" s="64"/>
      <c r="D553" s="64"/>
      <c r="E553" s="64"/>
      <c r="F553" s="64"/>
      <c r="G553" s="64"/>
      <c r="H553" s="64"/>
      <c r="I553" s="64"/>
      <c r="J553" s="64"/>
      <c r="K553" s="64"/>
      <c r="L553" s="64"/>
      <c r="M553" s="64"/>
      <c r="N553" s="64"/>
      <c r="O553" s="64"/>
      <c r="P553" s="64"/>
      <c r="Q553" s="116"/>
      <c r="R553" s="64"/>
      <c r="S553" s="64"/>
      <c r="T553" s="64"/>
      <c r="U553" s="64"/>
      <c r="V553" s="64"/>
      <c r="W553" s="64"/>
    </row>
    <row r="554" spans="3:23">
      <c r="C554" s="64"/>
      <c r="D554" s="64"/>
      <c r="E554" s="64"/>
      <c r="F554" s="64"/>
      <c r="G554" s="64"/>
      <c r="H554" s="64"/>
      <c r="I554" s="64"/>
      <c r="J554" s="64"/>
      <c r="K554" s="64"/>
      <c r="L554" s="64"/>
      <c r="M554" s="64"/>
      <c r="N554" s="64"/>
      <c r="O554" s="64"/>
      <c r="P554" s="64"/>
      <c r="Q554" s="116"/>
      <c r="R554" s="64"/>
      <c r="S554" s="64"/>
      <c r="T554" s="64"/>
      <c r="U554" s="64"/>
      <c r="V554" s="64"/>
      <c r="W554" s="64"/>
    </row>
    <row r="555" spans="3:23">
      <c r="C555" s="64"/>
      <c r="D555" s="64"/>
      <c r="E555" s="64"/>
      <c r="F555" s="64"/>
      <c r="G555" s="64"/>
      <c r="H555" s="64"/>
      <c r="I555" s="64"/>
      <c r="J555" s="64"/>
      <c r="K555" s="64"/>
      <c r="L555" s="64"/>
      <c r="M555" s="64"/>
      <c r="N555" s="64"/>
      <c r="O555" s="64"/>
      <c r="P555" s="64"/>
      <c r="Q555" s="116"/>
      <c r="R555" s="64"/>
      <c r="S555" s="64"/>
      <c r="T555" s="64"/>
      <c r="U555" s="64"/>
      <c r="V555" s="64"/>
      <c r="W555" s="64"/>
    </row>
    <row r="556" spans="3:23">
      <c r="C556" s="64"/>
      <c r="D556" s="64"/>
      <c r="E556" s="64"/>
      <c r="F556" s="64"/>
      <c r="G556" s="64"/>
      <c r="H556" s="64"/>
      <c r="I556" s="64"/>
      <c r="J556" s="64"/>
      <c r="K556" s="64"/>
      <c r="L556" s="64"/>
      <c r="M556" s="64"/>
      <c r="N556" s="64"/>
      <c r="O556" s="64"/>
      <c r="P556" s="64"/>
      <c r="Q556" s="116"/>
      <c r="R556" s="64"/>
      <c r="S556" s="64"/>
      <c r="T556" s="64"/>
      <c r="U556" s="64"/>
      <c r="V556" s="64"/>
      <c r="W556" s="64"/>
    </row>
    <row r="557" spans="3:23">
      <c r="C557" s="64"/>
      <c r="D557" s="64"/>
      <c r="E557" s="64"/>
      <c r="F557" s="64"/>
      <c r="G557" s="64"/>
      <c r="H557" s="64"/>
      <c r="I557" s="64"/>
      <c r="J557" s="64"/>
      <c r="K557" s="64"/>
      <c r="L557" s="64"/>
      <c r="M557" s="64"/>
      <c r="N557" s="64"/>
      <c r="O557" s="64"/>
      <c r="P557" s="64"/>
      <c r="Q557" s="116"/>
      <c r="R557" s="64"/>
      <c r="S557" s="64"/>
      <c r="T557" s="64"/>
      <c r="U557" s="64"/>
      <c r="V557" s="64"/>
      <c r="W557" s="64"/>
    </row>
    <row r="558" spans="3:23">
      <c r="C558" s="64"/>
      <c r="D558" s="64"/>
      <c r="E558" s="64"/>
      <c r="F558" s="64"/>
      <c r="G558" s="64"/>
      <c r="H558" s="64"/>
      <c r="I558" s="64"/>
      <c r="J558" s="64"/>
      <c r="K558" s="64"/>
      <c r="L558" s="64"/>
      <c r="M558" s="64"/>
      <c r="N558" s="64"/>
      <c r="O558" s="64"/>
      <c r="P558" s="64"/>
      <c r="Q558" s="116"/>
      <c r="R558" s="64"/>
      <c r="S558" s="64"/>
      <c r="T558" s="64"/>
      <c r="U558" s="64"/>
      <c r="V558" s="64"/>
      <c r="W558" s="64"/>
    </row>
    <row r="559" spans="3:23">
      <c r="C559" s="64"/>
      <c r="D559" s="64"/>
      <c r="E559" s="64"/>
      <c r="F559" s="64"/>
      <c r="G559" s="64"/>
      <c r="H559" s="64"/>
      <c r="I559" s="64"/>
      <c r="J559" s="64"/>
      <c r="K559" s="64"/>
      <c r="L559" s="64"/>
      <c r="M559" s="64"/>
      <c r="N559" s="64"/>
      <c r="O559" s="64"/>
      <c r="P559" s="64"/>
      <c r="Q559" s="116"/>
      <c r="R559" s="64"/>
      <c r="S559" s="64"/>
      <c r="T559" s="64"/>
      <c r="U559" s="64"/>
      <c r="V559" s="64"/>
      <c r="W559" s="64"/>
    </row>
    <row r="560" spans="3:23">
      <c r="C560" s="64"/>
      <c r="D560" s="64"/>
      <c r="E560" s="64"/>
      <c r="F560" s="64"/>
      <c r="G560" s="64"/>
      <c r="H560" s="64"/>
      <c r="I560" s="64"/>
      <c r="J560" s="64"/>
      <c r="K560" s="64"/>
      <c r="L560" s="64"/>
      <c r="M560" s="64"/>
      <c r="N560" s="64"/>
      <c r="O560" s="64"/>
      <c r="P560" s="64"/>
      <c r="Q560" s="116"/>
      <c r="R560" s="64"/>
      <c r="S560" s="64"/>
      <c r="T560" s="64"/>
      <c r="U560" s="64"/>
      <c r="V560" s="64"/>
      <c r="W560" s="64"/>
    </row>
    <row r="561" spans="3:23">
      <c r="C561" s="64"/>
      <c r="D561" s="64"/>
      <c r="E561" s="64"/>
      <c r="F561" s="64"/>
      <c r="G561" s="64"/>
      <c r="H561" s="64"/>
      <c r="I561" s="64"/>
      <c r="J561" s="64"/>
      <c r="K561" s="64"/>
      <c r="L561" s="64"/>
      <c r="M561" s="64"/>
      <c r="N561" s="64"/>
      <c r="O561" s="64"/>
      <c r="P561" s="64"/>
      <c r="Q561" s="116"/>
      <c r="R561" s="64"/>
      <c r="S561" s="64"/>
      <c r="T561" s="64"/>
      <c r="U561" s="64"/>
      <c r="V561" s="64"/>
      <c r="W561" s="64"/>
    </row>
    <row r="562" spans="3:23">
      <c r="C562" s="64"/>
      <c r="D562" s="64"/>
      <c r="E562" s="64"/>
      <c r="F562" s="64"/>
      <c r="G562" s="64"/>
      <c r="H562" s="64"/>
      <c r="I562" s="64"/>
      <c r="J562" s="64"/>
      <c r="K562" s="64"/>
      <c r="L562" s="64"/>
      <c r="M562" s="64"/>
      <c r="N562" s="64"/>
      <c r="O562" s="64"/>
      <c r="P562" s="64"/>
      <c r="Q562" s="116"/>
      <c r="R562" s="64"/>
      <c r="S562" s="64"/>
      <c r="T562" s="64"/>
      <c r="U562" s="64"/>
      <c r="V562" s="64"/>
      <c r="W562" s="64"/>
    </row>
    <row r="563" spans="3:23">
      <c r="C563" s="64"/>
      <c r="D563" s="64"/>
      <c r="E563" s="64"/>
      <c r="F563" s="64"/>
      <c r="G563" s="64"/>
      <c r="H563" s="64"/>
      <c r="I563" s="64"/>
      <c r="J563" s="64"/>
      <c r="K563" s="64"/>
      <c r="L563" s="64"/>
      <c r="M563" s="64"/>
      <c r="N563" s="64"/>
      <c r="O563" s="64"/>
      <c r="P563" s="64"/>
      <c r="Q563" s="116"/>
      <c r="R563" s="64"/>
      <c r="S563" s="64"/>
      <c r="T563" s="64"/>
      <c r="U563" s="64"/>
      <c r="V563" s="64"/>
      <c r="W563" s="64"/>
    </row>
    <row r="564" spans="3:23">
      <c r="C564" s="64"/>
      <c r="D564" s="64"/>
      <c r="E564" s="64"/>
      <c r="F564" s="64"/>
      <c r="G564" s="64"/>
      <c r="H564" s="64"/>
      <c r="I564" s="64"/>
      <c r="J564" s="64"/>
      <c r="K564" s="64"/>
      <c r="L564" s="64"/>
      <c r="M564" s="64"/>
      <c r="N564" s="64"/>
      <c r="O564" s="64"/>
      <c r="P564" s="64"/>
      <c r="Q564" s="116"/>
      <c r="R564" s="64"/>
      <c r="S564" s="64"/>
      <c r="T564" s="64"/>
      <c r="U564" s="64"/>
      <c r="V564" s="64"/>
      <c r="W564" s="64"/>
    </row>
    <row r="565" spans="3:23">
      <c r="C565" s="64"/>
      <c r="D565" s="64"/>
      <c r="E565" s="64"/>
      <c r="F565" s="64"/>
      <c r="G565" s="64"/>
      <c r="H565" s="64"/>
      <c r="I565" s="64"/>
      <c r="J565" s="64"/>
      <c r="K565" s="64"/>
      <c r="L565" s="64"/>
      <c r="M565" s="64"/>
      <c r="N565" s="64"/>
      <c r="O565" s="64"/>
      <c r="P565" s="64"/>
      <c r="Q565" s="116"/>
      <c r="R565" s="64"/>
      <c r="S565" s="64"/>
      <c r="T565" s="64"/>
      <c r="U565" s="64"/>
      <c r="V565" s="64"/>
      <c r="W565" s="64"/>
    </row>
    <row r="566" spans="3:23">
      <c r="C566" s="64"/>
      <c r="D566" s="64"/>
      <c r="E566" s="64"/>
      <c r="F566" s="64"/>
      <c r="G566" s="64"/>
      <c r="H566" s="64"/>
      <c r="I566" s="64"/>
      <c r="J566" s="64"/>
      <c r="K566" s="64"/>
      <c r="L566" s="64"/>
      <c r="M566" s="64"/>
      <c r="N566" s="64"/>
      <c r="O566" s="64"/>
      <c r="P566" s="64"/>
      <c r="Q566" s="116"/>
      <c r="R566" s="64"/>
      <c r="S566" s="64"/>
      <c r="T566" s="64"/>
      <c r="U566" s="64"/>
      <c r="V566" s="64"/>
      <c r="W566" s="64"/>
    </row>
    <row r="567" spans="3:23">
      <c r="C567" s="64"/>
      <c r="D567" s="64"/>
      <c r="E567" s="64"/>
      <c r="F567" s="64"/>
      <c r="G567" s="64"/>
      <c r="H567" s="64"/>
      <c r="I567" s="64"/>
      <c r="J567" s="64"/>
      <c r="K567" s="64"/>
      <c r="L567" s="64"/>
      <c r="M567" s="64"/>
      <c r="N567" s="64"/>
      <c r="O567" s="64"/>
      <c r="P567" s="64"/>
      <c r="Q567" s="116"/>
      <c r="R567" s="64"/>
      <c r="S567" s="64"/>
      <c r="T567" s="64"/>
      <c r="U567" s="64"/>
      <c r="V567" s="64"/>
      <c r="W567" s="64"/>
    </row>
    <row r="568" spans="3:23">
      <c r="C568" s="64"/>
      <c r="D568" s="64"/>
      <c r="E568" s="64"/>
      <c r="F568" s="64"/>
      <c r="G568" s="64"/>
      <c r="H568" s="64"/>
      <c r="I568" s="64"/>
      <c r="J568" s="64"/>
      <c r="K568" s="64"/>
      <c r="L568" s="64"/>
      <c r="M568" s="64"/>
      <c r="N568" s="64"/>
      <c r="O568" s="64"/>
      <c r="P568" s="64"/>
      <c r="Q568" s="116"/>
      <c r="R568" s="64"/>
      <c r="S568" s="64"/>
      <c r="T568" s="64"/>
      <c r="U568" s="64"/>
      <c r="V568" s="64"/>
      <c r="W568" s="64"/>
    </row>
    <row r="569" spans="3:23">
      <c r="C569" s="64"/>
      <c r="D569" s="64"/>
      <c r="E569" s="64"/>
      <c r="F569" s="64"/>
      <c r="G569" s="64"/>
      <c r="H569" s="64"/>
      <c r="I569" s="64"/>
      <c r="J569" s="64"/>
      <c r="K569" s="64"/>
      <c r="L569" s="64"/>
      <c r="M569" s="64"/>
      <c r="N569" s="64"/>
      <c r="O569" s="64"/>
      <c r="P569" s="64"/>
      <c r="Q569" s="116"/>
      <c r="R569" s="64"/>
      <c r="S569" s="64"/>
      <c r="T569" s="64"/>
      <c r="U569" s="64"/>
      <c r="V569" s="64"/>
      <c r="W569" s="64"/>
    </row>
    <row r="570" spans="3:23">
      <c r="C570" s="64"/>
      <c r="D570" s="64"/>
      <c r="E570" s="64"/>
      <c r="F570" s="64"/>
      <c r="G570" s="64"/>
      <c r="H570" s="64"/>
      <c r="I570" s="64"/>
      <c r="J570" s="64"/>
      <c r="K570" s="64"/>
      <c r="L570" s="64"/>
      <c r="M570" s="64"/>
      <c r="N570" s="64"/>
      <c r="O570" s="64"/>
      <c r="P570" s="64"/>
      <c r="Q570" s="116"/>
      <c r="R570" s="64"/>
      <c r="S570" s="64"/>
      <c r="T570" s="64"/>
      <c r="U570" s="64"/>
      <c r="V570" s="64"/>
      <c r="W570" s="64"/>
    </row>
    <row r="571" spans="3:23">
      <c r="C571" s="64"/>
      <c r="D571" s="64"/>
      <c r="E571" s="64"/>
      <c r="F571" s="64"/>
      <c r="G571" s="64"/>
      <c r="H571" s="64"/>
      <c r="I571" s="64"/>
      <c r="J571" s="64"/>
      <c r="K571" s="64"/>
      <c r="L571" s="64"/>
      <c r="M571" s="64"/>
      <c r="N571" s="64"/>
      <c r="O571" s="64"/>
      <c r="P571" s="64"/>
      <c r="Q571" s="116"/>
      <c r="R571" s="64"/>
      <c r="S571" s="64"/>
      <c r="T571" s="64"/>
      <c r="U571" s="64"/>
      <c r="V571" s="64"/>
      <c r="W571" s="64"/>
    </row>
    <row r="572" spans="3:23">
      <c r="C572" s="64"/>
      <c r="D572" s="64"/>
      <c r="E572" s="64"/>
      <c r="F572" s="64"/>
      <c r="G572" s="64"/>
      <c r="H572" s="64"/>
      <c r="I572" s="64"/>
      <c r="J572" s="64"/>
      <c r="K572" s="64"/>
      <c r="L572" s="64"/>
      <c r="M572" s="64"/>
      <c r="N572" s="64"/>
      <c r="O572" s="64"/>
      <c r="P572" s="64"/>
      <c r="Q572" s="116"/>
      <c r="R572" s="64"/>
      <c r="S572" s="64"/>
      <c r="T572" s="64"/>
      <c r="U572" s="64"/>
      <c r="V572" s="64"/>
      <c r="W572" s="64"/>
    </row>
    <row r="573" spans="3:23">
      <c r="C573" s="64"/>
      <c r="D573" s="64"/>
      <c r="E573" s="64"/>
      <c r="F573" s="64"/>
      <c r="G573" s="64"/>
      <c r="H573" s="64"/>
      <c r="I573" s="64"/>
      <c r="J573" s="64"/>
      <c r="K573" s="64"/>
      <c r="L573" s="64"/>
      <c r="M573" s="64"/>
      <c r="N573" s="64"/>
      <c r="O573" s="64"/>
      <c r="P573" s="64"/>
      <c r="Q573" s="116"/>
      <c r="R573" s="64"/>
      <c r="S573" s="64"/>
      <c r="T573" s="64"/>
      <c r="U573" s="64"/>
      <c r="V573" s="64"/>
      <c r="W573" s="64"/>
    </row>
    <row r="574" spans="3:23">
      <c r="C574" s="64"/>
      <c r="D574" s="64"/>
      <c r="E574" s="64"/>
      <c r="F574" s="64"/>
      <c r="G574" s="64"/>
      <c r="H574" s="64"/>
      <c r="I574" s="64"/>
      <c r="J574" s="64"/>
      <c r="K574" s="64"/>
      <c r="L574" s="64"/>
      <c r="M574" s="64"/>
      <c r="N574" s="64"/>
      <c r="O574" s="64"/>
      <c r="P574" s="64"/>
      <c r="Q574" s="116"/>
      <c r="R574" s="64"/>
      <c r="S574" s="64"/>
      <c r="T574" s="64"/>
      <c r="U574" s="64"/>
      <c r="V574" s="64"/>
      <c r="W574" s="64"/>
    </row>
    <row r="575" spans="3:23">
      <c r="C575" s="64"/>
      <c r="D575" s="64"/>
      <c r="E575" s="64"/>
      <c r="F575" s="64"/>
      <c r="G575" s="64"/>
      <c r="H575" s="64"/>
      <c r="I575" s="64"/>
      <c r="J575" s="64"/>
      <c r="K575" s="64"/>
      <c r="L575" s="64"/>
      <c r="M575" s="64"/>
      <c r="N575" s="64"/>
      <c r="O575" s="64"/>
      <c r="P575" s="64"/>
      <c r="Q575" s="116"/>
      <c r="R575" s="64"/>
      <c r="S575" s="64"/>
      <c r="T575" s="64"/>
      <c r="U575" s="64"/>
      <c r="V575" s="64"/>
      <c r="W575" s="64"/>
    </row>
    <row r="576" spans="3:23">
      <c r="C576" s="64"/>
      <c r="D576" s="64"/>
      <c r="E576" s="64"/>
      <c r="F576" s="64"/>
      <c r="G576" s="64"/>
      <c r="H576" s="64"/>
      <c r="I576" s="64"/>
      <c r="J576" s="64"/>
      <c r="K576" s="64"/>
      <c r="L576" s="64"/>
      <c r="M576" s="64"/>
      <c r="N576" s="64"/>
      <c r="O576" s="64"/>
      <c r="P576" s="64"/>
      <c r="Q576" s="116"/>
      <c r="R576" s="64"/>
      <c r="S576" s="64"/>
      <c r="T576" s="64"/>
      <c r="U576" s="64"/>
      <c r="V576" s="64"/>
      <c r="W576" s="64"/>
    </row>
    <row r="577" spans="3:23">
      <c r="C577" s="64"/>
      <c r="D577" s="64"/>
      <c r="E577" s="64"/>
      <c r="F577" s="64"/>
      <c r="G577" s="64"/>
      <c r="H577" s="64"/>
      <c r="I577" s="64"/>
      <c r="J577" s="64"/>
      <c r="K577" s="64"/>
      <c r="L577" s="64"/>
      <c r="M577" s="64"/>
      <c r="N577" s="64"/>
      <c r="O577" s="64"/>
      <c r="P577" s="64"/>
      <c r="Q577" s="116"/>
      <c r="R577" s="64"/>
      <c r="S577" s="64"/>
      <c r="T577" s="64"/>
      <c r="U577" s="64"/>
      <c r="V577" s="64"/>
      <c r="W577" s="64"/>
    </row>
    <row r="578" spans="3:23">
      <c r="C578" s="64"/>
      <c r="D578" s="64"/>
      <c r="E578" s="64"/>
      <c r="F578" s="64"/>
      <c r="G578" s="64"/>
      <c r="H578" s="64"/>
      <c r="I578" s="64"/>
      <c r="J578" s="64"/>
      <c r="K578" s="64"/>
      <c r="L578" s="64"/>
      <c r="M578" s="64"/>
      <c r="N578" s="64"/>
      <c r="O578" s="64"/>
      <c r="P578" s="64"/>
      <c r="Q578" s="116"/>
      <c r="R578" s="64"/>
      <c r="S578" s="64"/>
      <c r="T578" s="64"/>
      <c r="U578" s="64"/>
      <c r="V578" s="64"/>
      <c r="W578" s="64"/>
    </row>
    <row r="579" spans="3:23">
      <c r="C579" s="64"/>
      <c r="D579" s="64"/>
      <c r="E579" s="64"/>
      <c r="F579" s="64"/>
      <c r="G579" s="64"/>
      <c r="H579" s="64"/>
      <c r="I579" s="64"/>
      <c r="J579" s="64"/>
      <c r="K579" s="64"/>
      <c r="L579" s="64"/>
      <c r="M579" s="64"/>
      <c r="N579" s="64"/>
      <c r="O579" s="64"/>
      <c r="P579" s="64"/>
      <c r="Q579" s="116"/>
      <c r="R579" s="64"/>
      <c r="S579" s="64"/>
      <c r="T579" s="64"/>
      <c r="U579" s="64"/>
      <c r="V579" s="64"/>
      <c r="W579" s="64"/>
    </row>
    <row r="580" spans="3:23">
      <c r="C580" s="64"/>
      <c r="D580" s="64"/>
      <c r="E580" s="64"/>
      <c r="F580" s="64"/>
      <c r="G580" s="64"/>
      <c r="H580" s="64"/>
      <c r="I580" s="64"/>
      <c r="J580" s="64"/>
      <c r="K580" s="64"/>
      <c r="L580" s="64"/>
      <c r="M580" s="64"/>
      <c r="N580" s="64"/>
      <c r="O580" s="64"/>
      <c r="P580" s="64"/>
      <c r="Q580" s="116"/>
      <c r="R580" s="64"/>
      <c r="S580" s="64"/>
      <c r="T580" s="64"/>
      <c r="U580" s="64"/>
      <c r="V580" s="64"/>
      <c r="W580" s="64"/>
    </row>
    <row r="581" spans="3:23">
      <c r="C581" s="64"/>
      <c r="D581" s="64"/>
      <c r="E581" s="64"/>
      <c r="F581" s="64"/>
      <c r="G581" s="64"/>
      <c r="H581" s="64"/>
      <c r="I581" s="64"/>
      <c r="J581" s="64"/>
      <c r="K581" s="64"/>
      <c r="L581" s="64"/>
      <c r="M581" s="64"/>
      <c r="N581" s="64"/>
      <c r="O581" s="64"/>
      <c r="P581" s="64"/>
      <c r="Q581" s="116"/>
      <c r="R581" s="64"/>
      <c r="S581" s="64"/>
      <c r="T581" s="64"/>
      <c r="U581" s="64"/>
      <c r="V581" s="64"/>
      <c r="W581" s="64"/>
    </row>
    <row r="582" spans="3:23">
      <c r="C582" s="64"/>
      <c r="D582" s="64"/>
      <c r="E582" s="64"/>
      <c r="F582" s="64"/>
      <c r="G582" s="64"/>
      <c r="H582" s="64"/>
      <c r="I582" s="64"/>
      <c r="J582" s="64"/>
      <c r="K582" s="64"/>
      <c r="L582" s="64"/>
      <c r="M582" s="64"/>
      <c r="N582" s="64"/>
      <c r="O582" s="64"/>
      <c r="P582" s="64"/>
      <c r="Q582" s="116"/>
      <c r="R582" s="64"/>
      <c r="S582" s="64"/>
      <c r="T582" s="64"/>
      <c r="U582" s="64"/>
      <c r="V582" s="64"/>
      <c r="W582" s="64"/>
    </row>
    <row r="583" spans="3:23">
      <c r="C583" s="64"/>
      <c r="D583" s="64"/>
      <c r="E583" s="64"/>
      <c r="F583" s="64"/>
      <c r="G583" s="64"/>
      <c r="H583" s="64"/>
      <c r="I583" s="64"/>
      <c r="J583" s="64"/>
      <c r="K583" s="64"/>
      <c r="L583" s="64"/>
      <c r="M583" s="64"/>
      <c r="N583" s="64"/>
      <c r="O583" s="64"/>
      <c r="P583" s="64"/>
      <c r="Q583" s="116"/>
      <c r="R583" s="64"/>
      <c r="S583" s="64"/>
      <c r="T583" s="64"/>
      <c r="U583" s="64"/>
      <c r="V583" s="64"/>
      <c r="W583" s="64"/>
    </row>
    <row r="584" spans="3:23">
      <c r="C584" s="64"/>
      <c r="D584" s="64"/>
      <c r="E584" s="64"/>
      <c r="F584" s="64"/>
      <c r="G584" s="64"/>
      <c r="H584" s="64"/>
      <c r="I584" s="64"/>
      <c r="J584" s="64"/>
      <c r="K584" s="64"/>
      <c r="L584" s="64"/>
      <c r="M584" s="64"/>
      <c r="N584" s="64"/>
      <c r="O584" s="64"/>
      <c r="P584" s="64"/>
      <c r="Q584" s="116"/>
      <c r="R584" s="64"/>
      <c r="S584" s="64"/>
      <c r="T584" s="64"/>
      <c r="U584" s="64"/>
      <c r="V584" s="64"/>
      <c r="W584" s="64"/>
    </row>
    <row r="585" spans="3:23">
      <c r="C585" s="64"/>
      <c r="D585" s="64"/>
      <c r="E585" s="64"/>
      <c r="F585" s="64"/>
      <c r="G585" s="64"/>
      <c r="H585" s="64"/>
      <c r="I585" s="64"/>
      <c r="J585" s="64"/>
      <c r="K585" s="64"/>
      <c r="L585" s="64"/>
      <c r="M585" s="64"/>
      <c r="N585" s="64"/>
      <c r="O585" s="64"/>
      <c r="P585" s="64"/>
      <c r="Q585" s="116"/>
      <c r="R585" s="64"/>
      <c r="S585" s="64"/>
      <c r="T585" s="64"/>
      <c r="U585" s="64"/>
      <c r="V585" s="64"/>
      <c r="W585" s="64"/>
    </row>
    <row r="586" spans="3:23">
      <c r="C586" s="64"/>
      <c r="D586" s="64"/>
      <c r="E586" s="64"/>
      <c r="F586" s="64"/>
      <c r="G586" s="64"/>
      <c r="H586" s="64"/>
      <c r="I586" s="64"/>
      <c r="J586" s="64"/>
      <c r="K586" s="64"/>
      <c r="L586" s="64"/>
      <c r="M586" s="64"/>
      <c r="N586" s="64"/>
      <c r="O586" s="64"/>
      <c r="P586" s="64"/>
      <c r="Q586" s="116"/>
      <c r="R586" s="64"/>
      <c r="S586" s="64"/>
      <c r="T586" s="64"/>
      <c r="U586" s="64"/>
      <c r="V586" s="64"/>
      <c r="W586" s="64"/>
    </row>
    <row r="587" spans="3:23">
      <c r="C587" s="64"/>
      <c r="D587" s="64"/>
      <c r="E587" s="64"/>
      <c r="F587" s="64"/>
      <c r="G587" s="64"/>
      <c r="H587" s="64"/>
      <c r="I587" s="64"/>
      <c r="J587" s="64"/>
      <c r="K587" s="64"/>
      <c r="L587" s="64"/>
      <c r="M587" s="64"/>
      <c r="N587" s="64"/>
      <c r="O587" s="64"/>
      <c r="P587" s="64"/>
      <c r="Q587" s="116"/>
      <c r="R587" s="64"/>
      <c r="S587" s="64"/>
      <c r="T587" s="64"/>
      <c r="U587" s="64"/>
      <c r="V587" s="64"/>
      <c r="W587" s="64"/>
    </row>
    <row r="588" spans="3:23">
      <c r="C588" s="64"/>
      <c r="D588" s="64"/>
      <c r="E588" s="64"/>
      <c r="F588" s="64"/>
      <c r="G588" s="64"/>
      <c r="H588" s="64"/>
      <c r="I588" s="64"/>
      <c r="J588" s="64"/>
      <c r="K588" s="64"/>
      <c r="L588" s="64"/>
      <c r="M588" s="64"/>
      <c r="N588" s="64"/>
      <c r="O588" s="64"/>
      <c r="P588" s="64"/>
      <c r="Q588" s="116"/>
      <c r="R588" s="64"/>
      <c r="S588" s="64"/>
      <c r="T588" s="64"/>
      <c r="U588" s="64"/>
      <c r="V588" s="64"/>
      <c r="W588" s="64"/>
    </row>
    <row r="589" spans="3:23">
      <c r="C589" s="64"/>
      <c r="D589" s="64"/>
      <c r="E589" s="64"/>
      <c r="F589" s="64"/>
      <c r="G589" s="64"/>
      <c r="H589" s="64"/>
      <c r="I589" s="64"/>
      <c r="J589" s="64"/>
      <c r="K589" s="64"/>
      <c r="L589" s="64"/>
      <c r="M589" s="64"/>
      <c r="N589" s="64"/>
      <c r="O589" s="64"/>
      <c r="P589" s="64"/>
      <c r="Q589" s="116"/>
      <c r="R589" s="64"/>
      <c r="S589" s="64"/>
      <c r="T589" s="64"/>
      <c r="U589" s="64"/>
      <c r="V589" s="64"/>
      <c r="W589" s="64"/>
    </row>
    <row r="590" spans="3:23">
      <c r="C590" s="64"/>
      <c r="D590" s="64"/>
      <c r="E590" s="64"/>
      <c r="F590" s="64"/>
      <c r="G590" s="64"/>
      <c r="H590" s="64"/>
      <c r="I590" s="64"/>
      <c r="J590" s="64"/>
      <c r="K590" s="64"/>
      <c r="L590" s="64"/>
      <c r="M590" s="64"/>
      <c r="N590" s="64"/>
      <c r="O590" s="64"/>
      <c r="P590" s="64"/>
      <c r="Q590" s="116"/>
      <c r="R590" s="64"/>
      <c r="S590" s="64"/>
      <c r="T590" s="64"/>
      <c r="U590" s="64"/>
      <c r="V590" s="64"/>
      <c r="W590" s="64"/>
    </row>
    <row r="591" spans="3:23">
      <c r="C591" s="64"/>
      <c r="D591" s="64"/>
      <c r="E591" s="64"/>
      <c r="F591" s="64"/>
      <c r="G591" s="64"/>
      <c r="H591" s="64"/>
      <c r="I591" s="64"/>
      <c r="J591" s="64"/>
      <c r="K591" s="64"/>
      <c r="L591" s="64"/>
      <c r="M591" s="64"/>
      <c r="N591" s="64"/>
      <c r="O591" s="64"/>
      <c r="P591" s="64"/>
      <c r="Q591" s="116"/>
      <c r="R591" s="64"/>
      <c r="S591" s="64"/>
      <c r="T591" s="64"/>
      <c r="U591" s="64"/>
      <c r="V591" s="64"/>
      <c r="W591" s="64"/>
    </row>
    <row r="592" spans="3:23">
      <c r="C592" s="64"/>
      <c r="D592" s="64"/>
      <c r="E592" s="64"/>
      <c r="F592" s="64"/>
      <c r="G592" s="64"/>
      <c r="H592" s="64"/>
      <c r="I592" s="64"/>
      <c r="J592" s="64"/>
      <c r="K592" s="64"/>
      <c r="L592" s="64"/>
      <c r="M592" s="64"/>
      <c r="N592" s="64"/>
      <c r="O592" s="64"/>
      <c r="P592" s="64"/>
      <c r="Q592" s="116"/>
      <c r="R592" s="64"/>
      <c r="S592" s="64"/>
      <c r="T592" s="64"/>
      <c r="U592" s="64"/>
      <c r="V592" s="64"/>
      <c r="W592" s="64"/>
    </row>
    <row r="593" spans="3:23">
      <c r="C593" s="64"/>
      <c r="D593" s="64"/>
      <c r="E593" s="64"/>
      <c r="F593" s="64"/>
      <c r="G593" s="64"/>
      <c r="H593" s="64"/>
      <c r="I593" s="64"/>
      <c r="J593" s="64"/>
      <c r="K593" s="64"/>
      <c r="L593" s="64"/>
      <c r="M593" s="64"/>
      <c r="N593" s="64"/>
      <c r="O593" s="64"/>
      <c r="P593" s="64"/>
      <c r="Q593" s="116"/>
      <c r="R593" s="64"/>
      <c r="S593" s="64"/>
      <c r="T593" s="64"/>
      <c r="U593" s="64"/>
      <c r="V593" s="64"/>
      <c r="W593" s="64"/>
    </row>
    <row r="594" spans="3:23">
      <c r="C594" s="64"/>
      <c r="D594" s="64"/>
      <c r="E594" s="64"/>
      <c r="F594" s="64"/>
      <c r="G594" s="64"/>
      <c r="H594" s="64"/>
      <c r="I594" s="64"/>
      <c r="J594" s="64"/>
      <c r="K594" s="64"/>
      <c r="L594" s="64"/>
      <c r="M594" s="64"/>
      <c r="N594" s="64"/>
      <c r="O594" s="64"/>
      <c r="P594" s="64"/>
      <c r="Q594" s="116"/>
      <c r="R594" s="64"/>
      <c r="S594" s="64"/>
      <c r="T594" s="64"/>
      <c r="U594" s="64"/>
      <c r="V594" s="64"/>
      <c r="W594" s="64"/>
    </row>
    <row r="595" spans="3:23">
      <c r="C595" s="64"/>
      <c r="D595" s="64"/>
      <c r="E595" s="64"/>
      <c r="F595" s="64"/>
      <c r="G595" s="64"/>
      <c r="H595" s="64"/>
      <c r="I595" s="64"/>
      <c r="J595" s="64"/>
      <c r="K595" s="64"/>
      <c r="L595" s="64"/>
      <c r="M595" s="64"/>
      <c r="N595" s="64"/>
      <c r="O595" s="64"/>
      <c r="P595" s="64"/>
      <c r="Q595" s="116"/>
      <c r="R595" s="64"/>
      <c r="S595" s="64"/>
      <c r="T595" s="64"/>
      <c r="U595" s="64"/>
      <c r="V595" s="64"/>
      <c r="W595" s="64"/>
    </row>
    <row r="596" spans="3:23">
      <c r="C596" s="64"/>
      <c r="D596" s="64"/>
      <c r="E596" s="64"/>
      <c r="F596" s="64"/>
      <c r="G596" s="64"/>
      <c r="H596" s="64"/>
      <c r="I596" s="64"/>
      <c r="J596" s="64"/>
      <c r="K596" s="64"/>
      <c r="L596" s="64"/>
      <c r="M596" s="64"/>
      <c r="N596" s="64"/>
      <c r="O596" s="64"/>
      <c r="P596" s="64"/>
      <c r="Q596" s="116"/>
      <c r="R596" s="64"/>
      <c r="S596" s="64"/>
      <c r="T596" s="64"/>
      <c r="U596" s="64"/>
      <c r="V596" s="64"/>
      <c r="W596" s="64"/>
    </row>
    <row r="597" spans="3:23">
      <c r="C597" s="64"/>
      <c r="D597" s="64"/>
      <c r="E597" s="64"/>
      <c r="F597" s="64"/>
      <c r="G597" s="64"/>
      <c r="H597" s="64"/>
      <c r="I597" s="64"/>
      <c r="J597" s="64"/>
      <c r="K597" s="64"/>
      <c r="L597" s="64"/>
      <c r="M597" s="64"/>
      <c r="N597" s="64"/>
      <c r="O597" s="64"/>
      <c r="P597" s="64"/>
      <c r="Q597" s="116"/>
      <c r="R597" s="64"/>
      <c r="S597" s="64"/>
      <c r="T597" s="64"/>
      <c r="U597" s="64"/>
      <c r="V597" s="64"/>
      <c r="W597" s="64"/>
    </row>
    <row r="598" spans="3:23">
      <c r="C598" s="64"/>
      <c r="D598" s="64"/>
      <c r="E598" s="64"/>
      <c r="F598" s="64"/>
      <c r="G598" s="64"/>
      <c r="H598" s="64"/>
      <c r="I598" s="64"/>
      <c r="J598" s="64"/>
      <c r="K598" s="64"/>
      <c r="L598" s="64"/>
      <c r="M598" s="64"/>
      <c r="N598" s="64"/>
      <c r="O598" s="64"/>
      <c r="P598" s="64"/>
      <c r="Q598" s="116"/>
      <c r="R598" s="64"/>
      <c r="S598" s="64"/>
      <c r="T598" s="64"/>
      <c r="U598" s="64"/>
      <c r="V598" s="64"/>
      <c r="W598" s="64"/>
    </row>
    <row r="599" spans="3:23">
      <c r="C599" s="64"/>
      <c r="D599" s="64"/>
      <c r="E599" s="64"/>
      <c r="F599" s="64"/>
      <c r="G599" s="64"/>
      <c r="H599" s="64"/>
      <c r="I599" s="64"/>
      <c r="J599" s="64"/>
      <c r="K599" s="64"/>
      <c r="L599" s="64"/>
      <c r="M599" s="64"/>
      <c r="N599" s="64"/>
      <c r="O599" s="64"/>
      <c r="P599" s="64"/>
      <c r="Q599" s="116"/>
      <c r="R599" s="64"/>
      <c r="S599" s="64"/>
      <c r="T599" s="64"/>
      <c r="U599" s="64"/>
      <c r="V599" s="64"/>
      <c r="W599" s="64"/>
    </row>
    <row r="600" spans="3:23">
      <c r="C600" s="64"/>
      <c r="D600" s="64"/>
      <c r="E600" s="64"/>
      <c r="F600" s="64"/>
      <c r="G600" s="64"/>
      <c r="H600" s="64"/>
      <c r="I600" s="64"/>
      <c r="J600" s="64"/>
      <c r="K600" s="64"/>
      <c r="L600" s="64"/>
      <c r="M600" s="64"/>
      <c r="N600" s="64"/>
      <c r="O600" s="64"/>
      <c r="P600" s="64"/>
      <c r="Q600" s="116"/>
      <c r="R600" s="64"/>
      <c r="S600" s="64"/>
      <c r="T600" s="64"/>
      <c r="U600" s="64"/>
      <c r="V600" s="64"/>
      <c r="W600" s="64"/>
    </row>
    <row r="601" spans="3:23">
      <c r="C601" s="64"/>
      <c r="D601" s="64"/>
      <c r="E601" s="64"/>
      <c r="F601" s="64"/>
      <c r="G601" s="64"/>
      <c r="H601" s="64"/>
      <c r="I601" s="64"/>
      <c r="J601" s="64"/>
      <c r="K601" s="64"/>
      <c r="L601" s="64"/>
      <c r="M601" s="64"/>
      <c r="N601" s="64"/>
      <c r="O601" s="64"/>
      <c r="P601" s="64"/>
      <c r="Q601" s="116"/>
      <c r="R601" s="64"/>
      <c r="S601" s="64"/>
      <c r="T601" s="64"/>
      <c r="U601" s="64"/>
      <c r="V601" s="64"/>
      <c r="W601" s="64"/>
    </row>
    <row r="602" spans="3:23">
      <c r="C602" s="64"/>
      <c r="D602" s="64"/>
      <c r="E602" s="64"/>
      <c r="F602" s="64"/>
      <c r="G602" s="64"/>
      <c r="H602" s="64"/>
      <c r="I602" s="64"/>
      <c r="J602" s="64"/>
      <c r="K602" s="64"/>
      <c r="L602" s="64"/>
      <c r="M602" s="64"/>
      <c r="N602" s="64"/>
      <c r="O602" s="64"/>
      <c r="P602" s="64"/>
      <c r="Q602" s="116"/>
      <c r="R602" s="64"/>
      <c r="S602" s="64"/>
      <c r="T602" s="64"/>
      <c r="U602" s="64"/>
      <c r="V602" s="64"/>
      <c r="W602" s="64"/>
    </row>
    <row r="603" spans="3:23">
      <c r="C603" s="64"/>
      <c r="D603" s="64"/>
      <c r="E603" s="64"/>
      <c r="F603" s="64"/>
      <c r="G603" s="64"/>
      <c r="H603" s="64"/>
      <c r="I603" s="64"/>
      <c r="J603" s="64"/>
      <c r="K603" s="64"/>
      <c r="L603" s="64"/>
      <c r="M603" s="64"/>
      <c r="N603" s="64"/>
      <c r="O603" s="64"/>
      <c r="P603" s="64"/>
      <c r="Q603" s="116"/>
      <c r="R603" s="64"/>
      <c r="S603" s="64"/>
      <c r="T603" s="64"/>
      <c r="U603" s="64"/>
      <c r="V603" s="64"/>
      <c r="W603" s="64"/>
    </row>
    <row r="604" spans="3:23">
      <c r="C604" s="64"/>
      <c r="D604" s="64"/>
      <c r="E604" s="64"/>
      <c r="F604" s="64"/>
      <c r="G604" s="64"/>
      <c r="H604" s="64"/>
      <c r="I604" s="64"/>
      <c r="J604" s="64"/>
      <c r="K604" s="64"/>
      <c r="L604" s="64"/>
      <c r="M604" s="64"/>
      <c r="N604" s="64"/>
      <c r="O604" s="64"/>
      <c r="P604" s="64"/>
      <c r="Q604" s="116"/>
      <c r="R604" s="64"/>
      <c r="S604" s="64"/>
      <c r="T604" s="64"/>
      <c r="U604" s="64"/>
      <c r="V604" s="64"/>
      <c r="W604" s="64"/>
    </row>
    <row r="605" spans="3:23">
      <c r="C605" s="64"/>
      <c r="D605" s="64"/>
      <c r="E605" s="64"/>
      <c r="F605" s="64"/>
      <c r="G605" s="64"/>
      <c r="H605" s="64"/>
      <c r="I605" s="64"/>
      <c r="J605" s="64"/>
      <c r="K605" s="64"/>
      <c r="L605" s="64"/>
      <c r="M605" s="64"/>
      <c r="N605" s="64"/>
      <c r="O605" s="64"/>
      <c r="P605" s="64"/>
      <c r="Q605" s="116"/>
      <c r="R605" s="64"/>
      <c r="S605" s="64"/>
      <c r="T605" s="64"/>
      <c r="U605" s="64"/>
      <c r="V605" s="64"/>
      <c r="W605" s="64"/>
    </row>
    <row r="606" spans="3:23">
      <c r="C606" s="64"/>
      <c r="D606" s="64"/>
      <c r="E606" s="64"/>
      <c r="F606" s="64"/>
      <c r="G606" s="64"/>
      <c r="H606" s="64"/>
      <c r="I606" s="64"/>
      <c r="J606" s="64"/>
      <c r="K606" s="64"/>
      <c r="L606" s="64"/>
      <c r="M606" s="64"/>
      <c r="N606" s="64"/>
      <c r="O606" s="64"/>
      <c r="P606" s="64"/>
      <c r="Q606" s="116"/>
      <c r="R606" s="64"/>
      <c r="S606" s="64"/>
      <c r="T606" s="64"/>
      <c r="U606" s="64"/>
      <c r="V606" s="64"/>
      <c r="W606" s="64"/>
    </row>
    <row r="607" spans="3:23">
      <c r="C607" s="64"/>
      <c r="D607" s="64"/>
      <c r="E607" s="64"/>
      <c r="F607" s="64"/>
      <c r="G607" s="64"/>
      <c r="H607" s="64"/>
      <c r="I607" s="64"/>
      <c r="J607" s="64"/>
      <c r="K607" s="64"/>
      <c r="L607" s="64"/>
      <c r="M607" s="64"/>
      <c r="N607" s="64"/>
      <c r="O607" s="64"/>
      <c r="P607" s="64"/>
      <c r="Q607" s="116"/>
      <c r="R607" s="64"/>
      <c r="S607" s="64"/>
      <c r="T607" s="64"/>
      <c r="U607" s="64"/>
      <c r="V607" s="64"/>
      <c r="W607" s="64"/>
    </row>
    <row r="608" spans="3:23">
      <c r="C608" s="64"/>
      <c r="D608" s="64"/>
      <c r="E608" s="64"/>
      <c r="F608" s="64"/>
      <c r="G608" s="64"/>
      <c r="H608" s="64"/>
      <c r="I608" s="64"/>
      <c r="J608" s="64"/>
      <c r="K608" s="64"/>
      <c r="L608" s="64"/>
      <c r="M608" s="64"/>
      <c r="N608" s="64"/>
      <c r="O608" s="64"/>
      <c r="P608" s="64"/>
      <c r="Q608" s="116"/>
      <c r="R608" s="64"/>
      <c r="S608" s="64"/>
      <c r="T608" s="64"/>
      <c r="U608" s="64"/>
      <c r="V608" s="64"/>
      <c r="W608" s="64"/>
    </row>
    <row r="609" spans="3:23">
      <c r="C609" s="64"/>
      <c r="D609" s="64"/>
      <c r="E609" s="64"/>
      <c r="F609" s="64"/>
      <c r="G609" s="64"/>
      <c r="H609" s="64"/>
      <c r="I609" s="64"/>
      <c r="J609" s="64"/>
      <c r="K609" s="64"/>
      <c r="L609" s="64"/>
      <c r="M609" s="64"/>
      <c r="N609" s="64"/>
      <c r="O609" s="64"/>
      <c r="P609" s="64"/>
      <c r="Q609" s="116"/>
      <c r="R609" s="64"/>
      <c r="S609" s="64"/>
      <c r="T609" s="64"/>
      <c r="U609" s="64"/>
      <c r="V609" s="64"/>
      <c r="W609" s="64"/>
    </row>
    <row r="610" spans="3:23">
      <c r="C610" s="64"/>
      <c r="D610" s="64"/>
      <c r="E610" s="64"/>
      <c r="F610" s="64"/>
      <c r="G610" s="64"/>
      <c r="H610" s="64"/>
      <c r="I610" s="64"/>
      <c r="J610" s="64"/>
      <c r="K610" s="64"/>
      <c r="L610" s="64"/>
      <c r="M610" s="64"/>
      <c r="N610" s="64"/>
      <c r="O610" s="64"/>
      <c r="P610" s="64"/>
      <c r="Q610" s="116"/>
      <c r="R610" s="64"/>
      <c r="S610" s="64"/>
      <c r="T610" s="64"/>
      <c r="U610" s="64"/>
      <c r="V610" s="64"/>
      <c r="W610" s="64"/>
    </row>
    <row r="611" spans="3:23">
      <c r="C611" s="64"/>
      <c r="D611" s="64"/>
      <c r="E611" s="64"/>
      <c r="F611" s="64"/>
      <c r="G611" s="64"/>
      <c r="H611" s="64"/>
      <c r="I611" s="64"/>
      <c r="J611" s="64"/>
      <c r="K611" s="64"/>
      <c r="L611" s="64"/>
      <c r="M611" s="64"/>
      <c r="N611" s="64"/>
      <c r="O611" s="64"/>
      <c r="P611" s="64"/>
      <c r="Q611" s="116"/>
      <c r="R611" s="64"/>
      <c r="S611" s="64"/>
      <c r="T611" s="64"/>
      <c r="U611" s="64"/>
      <c r="V611" s="64"/>
      <c r="W611" s="64"/>
    </row>
    <row r="612" spans="3:23">
      <c r="C612" s="64"/>
      <c r="D612" s="64"/>
      <c r="E612" s="64"/>
      <c r="F612" s="64"/>
      <c r="G612" s="64"/>
      <c r="H612" s="64"/>
      <c r="I612" s="64"/>
      <c r="J612" s="64"/>
      <c r="K612" s="64"/>
      <c r="L612" s="64"/>
      <c r="M612" s="64"/>
      <c r="N612" s="64"/>
      <c r="O612" s="64"/>
      <c r="P612" s="64"/>
      <c r="Q612" s="116"/>
      <c r="R612" s="64"/>
      <c r="S612" s="64"/>
      <c r="T612" s="64"/>
      <c r="U612" s="64"/>
      <c r="V612" s="64"/>
      <c r="W612" s="64"/>
    </row>
    <row r="613" spans="3:23">
      <c r="C613" s="64"/>
      <c r="D613" s="64"/>
      <c r="E613" s="64"/>
      <c r="F613" s="64"/>
      <c r="G613" s="64"/>
      <c r="H613" s="64"/>
      <c r="I613" s="64"/>
      <c r="J613" s="64"/>
      <c r="K613" s="64"/>
      <c r="L613" s="64"/>
      <c r="M613" s="64"/>
      <c r="N613" s="64"/>
      <c r="O613" s="64"/>
      <c r="P613" s="64"/>
      <c r="Q613" s="116"/>
      <c r="R613" s="64"/>
      <c r="S613" s="64"/>
      <c r="T613" s="64"/>
      <c r="U613" s="64"/>
      <c r="V613" s="64"/>
      <c r="W613" s="64"/>
    </row>
    <row r="614" spans="3:23">
      <c r="C614" s="64"/>
      <c r="D614" s="64"/>
      <c r="E614" s="64"/>
      <c r="F614" s="64"/>
      <c r="G614" s="64"/>
      <c r="H614" s="64"/>
      <c r="I614" s="64"/>
      <c r="J614" s="64"/>
      <c r="K614" s="64"/>
      <c r="L614" s="64"/>
      <c r="M614" s="64"/>
      <c r="N614" s="64"/>
      <c r="O614" s="64"/>
      <c r="P614" s="64"/>
      <c r="Q614" s="116"/>
      <c r="R614" s="64"/>
      <c r="S614" s="64"/>
      <c r="T614" s="64"/>
      <c r="U614" s="64"/>
      <c r="V614" s="64"/>
      <c r="W614" s="64"/>
    </row>
    <row r="615" spans="3:23">
      <c r="C615" s="64"/>
      <c r="D615" s="64"/>
      <c r="E615" s="64"/>
      <c r="F615" s="64"/>
      <c r="G615" s="64"/>
      <c r="H615" s="64"/>
      <c r="I615" s="64"/>
      <c r="J615" s="64"/>
      <c r="K615" s="64"/>
      <c r="L615" s="64"/>
      <c r="M615" s="64"/>
      <c r="N615" s="64"/>
      <c r="O615" s="64"/>
      <c r="P615" s="64"/>
      <c r="Q615" s="116"/>
      <c r="R615" s="64"/>
      <c r="S615" s="64"/>
      <c r="T615" s="64"/>
      <c r="U615" s="64"/>
      <c r="V615" s="64"/>
      <c r="W615" s="64"/>
    </row>
    <row r="616" spans="3:23">
      <c r="C616" s="64"/>
      <c r="D616" s="64"/>
      <c r="E616" s="64"/>
      <c r="F616" s="64"/>
      <c r="G616" s="64"/>
      <c r="H616" s="64"/>
      <c r="I616" s="64"/>
      <c r="J616" s="64"/>
      <c r="K616" s="64"/>
      <c r="L616" s="64"/>
      <c r="M616" s="64"/>
      <c r="N616" s="64"/>
      <c r="O616" s="64"/>
      <c r="P616" s="64"/>
      <c r="Q616" s="116"/>
      <c r="R616" s="64"/>
      <c r="S616" s="64"/>
      <c r="T616" s="64"/>
      <c r="U616" s="64"/>
      <c r="V616" s="64"/>
      <c r="W616" s="64"/>
    </row>
    <row r="617" spans="3:23">
      <c r="C617" s="64"/>
      <c r="D617" s="64"/>
      <c r="E617" s="64"/>
      <c r="F617" s="64"/>
      <c r="G617" s="64"/>
      <c r="H617" s="64"/>
      <c r="I617" s="64"/>
      <c r="J617" s="64"/>
      <c r="K617" s="64"/>
      <c r="L617" s="64"/>
      <c r="M617" s="64"/>
      <c r="N617" s="64"/>
      <c r="O617" s="64"/>
      <c r="P617" s="64"/>
      <c r="Q617" s="116"/>
      <c r="R617" s="64"/>
      <c r="S617" s="64"/>
      <c r="T617" s="64"/>
      <c r="U617" s="64"/>
      <c r="V617" s="64"/>
      <c r="W617" s="64"/>
    </row>
    <row r="618" spans="3:23">
      <c r="C618" s="64"/>
      <c r="D618" s="64"/>
      <c r="E618" s="64"/>
      <c r="F618" s="64"/>
      <c r="G618" s="64"/>
      <c r="H618" s="64"/>
      <c r="I618" s="64"/>
      <c r="J618" s="64"/>
      <c r="K618" s="64"/>
      <c r="L618" s="64"/>
      <c r="M618" s="64"/>
      <c r="N618" s="64"/>
      <c r="O618" s="64"/>
      <c r="P618" s="64"/>
      <c r="Q618" s="116"/>
      <c r="R618" s="64"/>
      <c r="S618" s="64"/>
      <c r="T618" s="64"/>
      <c r="U618" s="64"/>
      <c r="V618" s="64"/>
      <c r="W618" s="64"/>
    </row>
    <row r="619" spans="3:23">
      <c r="C619" s="64"/>
      <c r="D619" s="64"/>
      <c r="E619" s="64"/>
      <c r="F619" s="64"/>
      <c r="G619" s="64"/>
      <c r="H619" s="64"/>
      <c r="I619" s="64"/>
      <c r="J619" s="64"/>
      <c r="K619" s="64"/>
      <c r="L619" s="64"/>
      <c r="M619" s="64"/>
      <c r="N619" s="64"/>
      <c r="O619" s="64"/>
      <c r="P619" s="64"/>
      <c r="Q619" s="116"/>
      <c r="R619" s="64"/>
      <c r="S619" s="64"/>
      <c r="T619" s="64"/>
      <c r="U619" s="64"/>
      <c r="V619" s="64"/>
      <c r="W619" s="64"/>
    </row>
    <row r="620" spans="3:23">
      <c r="C620" s="64"/>
      <c r="D620" s="64"/>
      <c r="E620" s="64"/>
      <c r="F620" s="64"/>
      <c r="G620" s="64"/>
      <c r="H620" s="64"/>
      <c r="I620" s="64"/>
      <c r="J620" s="64"/>
      <c r="K620" s="64"/>
      <c r="L620" s="64"/>
      <c r="M620" s="64"/>
      <c r="N620" s="64"/>
      <c r="O620" s="64"/>
      <c r="P620" s="64"/>
      <c r="Q620" s="116"/>
      <c r="R620" s="64"/>
      <c r="S620" s="64"/>
      <c r="T620" s="64"/>
      <c r="U620" s="64"/>
      <c r="V620" s="64"/>
      <c r="W620" s="64"/>
    </row>
    <row r="621" spans="3:23">
      <c r="C621" s="64"/>
      <c r="D621" s="64"/>
      <c r="E621" s="64"/>
      <c r="F621" s="64"/>
      <c r="G621" s="64"/>
      <c r="H621" s="64"/>
      <c r="I621" s="64"/>
      <c r="J621" s="64"/>
      <c r="K621" s="64"/>
      <c r="L621" s="64"/>
      <c r="M621" s="64"/>
      <c r="N621" s="64"/>
      <c r="O621" s="64"/>
      <c r="P621" s="64"/>
      <c r="Q621" s="116"/>
      <c r="R621" s="64"/>
      <c r="S621" s="64"/>
      <c r="T621" s="64"/>
      <c r="U621" s="64"/>
      <c r="V621" s="64"/>
      <c r="W621" s="64"/>
    </row>
    <row r="622" spans="3:23">
      <c r="C622" s="64"/>
      <c r="D622" s="64"/>
      <c r="E622" s="64"/>
      <c r="F622" s="64"/>
      <c r="G622" s="64"/>
      <c r="H622" s="64"/>
      <c r="I622" s="64"/>
      <c r="J622" s="64"/>
      <c r="K622" s="64"/>
      <c r="L622" s="64"/>
      <c r="M622" s="64"/>
      <c r="N622" s="64"/>
      <c r="O622" s="64"/>
      <c r="P622" s="64"/>
      <c r="Q622" s="116"/>
      <c r="R622" s="64"/>
      <c r="S622" s="64"/>
      <c r="T622" s="64"/>
      <c r="U622" s="64"/>
      <c r="V622" s="64"/>
      <c r="W622" s="64"/>
    </row>
    <row r="623" spans="3:23">
      <c r="C623" s="64"/>
      <c r="D623" s="64"/>
      <c r="E623" s="64"/>
      <c r="F623" s="64"/>
      <c r="G623" s="64"/>
      <c r="H623" s="64"/>
      <c r="I623" s="64"/>
      <c r="J623" s="64"/>
      <c r="K623" s="64"/>
      <c r="L623" s="64"/>
      <c r="M623" s="64"/>
      <c r="N623" s="64"/>
      <c r="O623" s="64"/>
      <c r="P623" s="64"/>
      <c r="Q623" s="116"/>
      <c r="R623" s="64"/>
      <c r="S623" s="64"/>
      <c r="T623" s="64"/>
      <c r="U623" s="64"/>
      <c r="V623" s="64"/>
      <c r="W623" s="64"/>
    </row>
    <row r="624" spans="3:23">
      <c r="C624" s="64"/>
      <c r="D624" s="64"/>
      <c r="E624" s="64"/>
      <c r="F624" s="64"/>
      <c r="G624" s="64"/>
      <c r="H624" s="64"/>
      <c r="I624" s="64"/>
      <c r="J624" s="64"/>
      <c r="K624" s="64"/>
      <c r="L624" s="64"/>
      <c r="M624" s="64"/>
      <c r="N624" s="64"/>
      <c r="O624" s="64"/>
      <c r="P624" s="64"/>
      <c r="Q624" s="116"/>
      <c r="R624" s="64"/>
      <c r="S624" s="64"/>
      <c r="T624" s="64"/>
      <c r="U624" s="64"/>
      <c r="V624" s="64"/>
      <c r="W624" s="64"/>
    </row>
    <row r="625" spans="3:23">
      <c r="C625" s="64"/>
      <c r="D625" s="64"/>
      <c r="E625" s="64"/>
      <c r="F625" s="64"/>
      <c r="G625" s="64"/>
      <c r="H625" s="64"/>
      <c r="I625" s="64"/>
      <c r="J625" s="64"/>
      <c r="K625" s="64"/>
      <c r="L625" s="64"/>
      <c r="M625" s="64"/>
      <c r="N625" s="64"/>
      <c r="O625" s="64"/>
      <c r="P625" s="64"/>
      <c r="Q625" s="116"/>
      <c r="R625" s="64"/>
      <c r="S625" s="64"/>
      <c r="T625" s="64"/>
      <c r="U625" s="64"/>
      <c r="V625" s="64"/>
      <c r="W625" s="64"/>
    </row>
    <row r="626" spans="3:23">
      <c r="C626" s="64"/>
      <c r="D626" s="64"/>
      <c r="E626" s="64"/>
      <c r="F626" s="64"/>
      <c r="G626" s="64"/>
      <c r="H626" s="64"/>
      <c r="I626" s="64"/>
      <c r="J626" s="64"/>
      <c r="K626" s="64"/>
      <c r="L626" s="64"/>
      <c r="M626" s="64"/>
      <c r="N626" s="64"/>
      <c r="O626" s="64"/>
      <c r="P626" s="64"/>
      <c r="Q626" s="116"/>
      <c r="R626" s="64"/>
      <c r="S626" s="64"/>
      <c r="T626" s="64"/>
      <c r="U626" s="64"/>
      <c r="V626" s="64"/>
      <c r="W626" s="64"/>
    </row>
    <row r="627" spans="3:23">
      <c r="C627" s="64"/>
      <c r="D627" s="64"/>
      <c r="E627" s="64"/>
      <c r="F627" s="64"/>
      <c r="G627" s="64"/>
      <c r="H627" s="64"/>
      <c r="I627" s="64"/>
      <c r="J627" s="64"/>
      <c r="K627" s="64"/>
      <c r="L627" s="64"/>
      <c r="M627" s="64"/>
      <c r="N627" s="64"/>
      <c r="O627" s="64"/>
      <c r="P627" s="64"/>
      <c r="Q627" s="116"/>
      <c r="R627" s="64"/>
      <c r="S627" s="64"/>
      <c r="T627" s="64"/>
      <c r="U627" s="64"/>
      <c r="V627" s="64"/>
      <c r="W627" s="64"/>
    </row>
    <row r="628" spans="3:23">
      <c r="C628" s="64"/>
      <c r="D628" s="64"/>
      <c r="E628" s="64"/>
      <c r="F628" s="64"/>
      <c r="G628" s="64"/>
      <c r="H628" s="64"/>
      <c r="I628" s="64"/>
      <c r="J628" s="64"/>
      <c r="K628" s="64"/>
      <c r="L628" s="64"/>
      <c r="M628" s="64"/>
      <c r="N628" s="64"/>
      <c r="O628" s="64"/>
      <c r="P628" s="64"/>
      <c r="Q628" s="116"/>
      <c r="R628" s="64"/>
      <c r="S628" s="64"/>
      <c r="T628" s="64"/>
      <c r="U628" s="64"/>
      <c r="V628" s="64"/>
      <c r="W628" s="64"/>
    </row>
    <row r="629" spans="3:23">
      <c r="C629" s="64"/>
      <c r="D629" s="64"/>
      <c r="E629" s="64"/>
      <c r="F629" s="64"/>
      <c r="G629" s="64"/>
      <c r="H629" s="64"/>
      <c r="I629" s="64"/>
      <c r="J629" s="64"/>
      <c r="K629" s="64"/>
      <c r="L629" s="64"/>
      <c r="M629" s="64"/>
      <c r="N629" s="64"/>
      <c r="O629" s="64"/>
      <c r="P629" s="64"/>
      <c r="Q629" s="116"/>
      <c r="R629" s="64"/>
      <c r="S629" s="64"/>
      <c r="T629" s="64"/>
      <c r="U629" s="64"/>
      <c r="V629" s="64"/>
      <c r="W629" s="64"/>
    </row>
    <row r="630" spans="3:23">
      <c r="C630" s="64"/>
      <c r="D630" s="64"/>
      <c r="E630" s="64"/>
      <c r="F630" s="64"/>
      <c r="G630" s="64"/>
      <c r="H630" s="64"/>
      <c r="I630" s="64"/>
      <c r="J630" s="64"/>
      <c r="K630" s="64"/>
      <c r="L630" s="64"/>
      <c r="M630" s="64"/>
      <c r="N630" s="64"/>
      <c r="O630" s="64"/>
      <c r="P630" s="64"/>
      <c r="Q630" s="116"/>
      <c r="R630" s="64"/>
      <c r="S630" s="64"/>
      <c r="T630" s="64"/>
      <c r="U630" s="64"/>
      <c r="V630" s="64"/>
      <c r="W630" s="64"/>
    </row>
    <row r="631" spans="3:23">
      <c r="C631" s="64"/>
      <c r="D631" s="64"/>
      <c r="E631" s="64"/>
      <c r="F631" s="64"/>
      <c r="G631" s="64"/>
      <c r="H631" s="64"/>
      <c r="I631" s="64"/>
      <c r="J631" s="64"/>
      <c r="K631" s="64"/>
      <c r="L631" s="64"/>
      <c r="M631" s="64"/>
      <c r="N631" s="64"/>
      <c r="O631" s="64"/>
      <c r="P631" s="64"/>
      <c r="Q631" s="116"/>
      <c r="R631" s="64"/>
      <c r="S631" s="64"/>
      <c r="T631" s="64"/>
      <c r="U631" s="64"/>
      <c r="V631" s="64"/>
      <c r="W631" s="64"/>
    </row>
    <row r="632" spans="3:23">
      <c r="C632" s="64"/>
      <c r="D632" s="64"/>
      <c r="E632" s="64"/>
      <c r="F632" s="64"/>
      <c r="G632" s="64"/>
      <c r="H632" s="64"/>
      <c r="I632" s="64"/>
      <c r="J632" s="64"/>
      <c r="K632" s="64"/>
      <c r="L632" s="64"/>
      <c r="M632" s="64"/>
      <c r="N632" s="64"/>
      <c r="O632" s="64"/>
      <c r="P632" s="64"/>
      <c r="Q632" s="116"/>
      <c r="R632" s="64"/>
      <c r="S632" s="64"/>
      <c r="T632" s="64"/>
      <c r="U632" s="64"/>
      <c r="V632" s="64"/>
      <c r="W632" s="64"/>
    </row>
    <row r="633" spans="3:23">
      <c r="C633" s="64"/>
      <c r="D633" s="64"/>
      <c r="E633" s="64"/>
      <c r="F633" s="64"/>
      <c r="G633" s="64"/>
      <c r="H633" s="64"/>
      <c r="I633" s="64"/>
      <c r="J633" s="64"/>
      <c r="K633" s="64"/>
      <c r="L633" s="64"/>
      <c r="M633" s="64"/>
      <c r="N633" s="64"/>
      <c r="O633" s="64"/>
      <c r="P633" s="64"/>
      <c r="Q633" s="116"/>
      <c r="R633" s="64"/>
      <c r="S633" s="64"/>
      <c r="T633" s="64"/>
      <c r="U633" s="64"/>
      <c r="V633" s="64"/>
      <c r="W633" s="64"/>
    </row>
    <row r="634" spans="3:23">
      <c r="C634" s="64"/>
      <c r="D634" s="64"/>
      <c r="E634" s="64"/>
      <c r="F634" s="64"/>
      <c r="G634" s="64"/>
      <c r="H634" s="64"/>
      <c r="I634" s="64"/>
      <c r="J634" s="64"/>
      <c r="K634" s="64"/>
      <c r="L634" s="64"/>
      <c r="M634" s="64"/>
      <c r="N634" s="64"/>
      <c r="O634" s="64"/>
      <c r="P634" s="64"/>
      <c r="Q634" s="116"/>
      <c r="R634" s="64"/>
      <c r="S634" s="64"/>
      <c r="T634" s="64"/>
      <c r="U634" s="64"/>
      <c r="V634" s="64"/>
      <c r="W634" s="64"/>
    </row>
    <row r="635" spans="3:23">
      <c r="C635" s="64"/>
      <c r="D635" s="64"/>
      <c r="E635" s="64"/>
      <c r="F635" s="64"/>
      <c r="G635" s="64"/>
      <c r="H635" s="64"/>
      <c r="I635" s="64"/>
      <c r="J635" s="64"/>
      <c r="K635" s="64"/>
      <c r="L635" s="64"/>
      <c r="M635" s="64"/>
      <c r="N635" s="64"/>
      <c r="O635" s="64"/>
      <c r="P635" s="64"/>
      <c r="Q635" s="116"/>
      <c r="R635" s="64"/>
      <c r="S635" s="64"/>
      <c r="T635" s="64"/>
      <c r="U635" s="64"/>
      <c r="V635" s="64"/>
      <c r="W635" s="64"/>
    </row>
    <row r="636" spans="3:23">
      <c r="C636" s="64"/>
      <c r="D636" s="64"/>
      <c r="E636" s="64"/>
      <c r="F636" s="64"/>
      <c r="G636" s="64"/>
      <c r="H636" s="64"/>
      <c r="I636" s="64"/>
      <c r="J636" s="64"/>
      <c r="K636" s="64"/>
      <c r="L636" s="64"/>
      <c r="M636" s="64"/>
      <c r="N636" s="64"/>
      <c r="O636" s="64"/>
      <c r="P636" s="64"/>
      <c r="Q636" s="116"/>
      <c r="R636" s="64"/>
      <c r="S636" s="64"/>
      <c r="T636" s="64"/>
      <c r="U636" s="64"/>
      <c r="V636" s="64"/>
      <c r="W636" s="64"/>
    </row>
    <row r="637" spans="3:23">
      <c r="C637" s="64"/>
      <c r="D637" s="64"/>
      <c r="E637" s="64"/>
      <c r="F637" s="64"/>
      <c r="G637" s="64"/>
      <c r="H637" s="64"/>
      <c r="I637" s="64"/>
      <c r="J637" s="64"/>
      <c r="K637" s="64"/>
      <c r="L637" s="64"/>
      <c r="M637" s="64"/>
      <c r="N637" s="64"/>
      <c r="O637" s="64"/>
      <c r="P637" s="64"/>
      <c r="Q637" s="116"/>
      <c r="R637" s="64"/>
      <c r="S637" s="64"/>
      <c r="T637" s="64"/>
      <c r="U637" s="64"/>
      <c r="V637" s="64"/>
      <c r="W637" s="64"/>
    </row>
    <row r="638" spans="3:23">
      <c r="C638" s="64"/>
      <c r="D638" s="64"/>
      <c r="E638" s="64"/>
      <c r="F638" s="64"/>
      <c r="G638" s="64"/>
      <c r="H638" s="64"/>
      <c r="I638" s="64"/>
      <c r="J638" s="64"/>
      <c r="K638" s="64"/>
      <c r="L638" s="64"/>
      <c r="M638" s="64"/>
      <c r="N638" s="64"/>
      <c r="O638" s="64"/>
      <c r="P638" s="64"/>
      <c r="Q638" s="116"/>
      <c r="R638" s="64"/>
      <c r="S638" s="64"/>
      <c r="T638" s="64"/>
      <c r="U638" s="64"/>
      <c r="V638" s="64"/>
      <c r="W638" s="64"/>
    </row>
    <row r="639" spans="3:23">
      <c r="C639" s="64"/>
      <c r="D639" s="64"/>
      <c r="E639" s="64"/>
      <c r="F639" s="64"/>
      <c r="G639" s="64"/>
      <c r="H639" s="64"/>
      <c r="I639" s="64"/>
      <c r="J639" s="64"/>
      <c r="K639" s="64"/>
      <c r="L639" s="64"/>
      <c r="M639" s="64"/>
      <c r="N639" s="64"/>
      <c r="O639" s="64"/>
      <c r="P639" s="64"/>
      <c r="Q639" s="116"/>
      <c r="R639" s="64"/>
      <c r="S639" s="64"/>
      <c r="T639" s="64"/>
      <c r="U639" s="64"/>
      <c r="V639" s="64"/>
      <c r="W639" s="64"/>
    </row>
    <row r="640" spans="3:23">
      <c r="C640" s="64"/>
      <c r="D640" s="64"/>
      <c r="E640" s="64"/>
      <c r="F640" s="64"/>
      <c r="G640" s="64"/>
      <c r="H640" s="64"/>
      <c r="I640" s="64"/>
      <c r="J640" s="64"/>
      <c r="K640" s="64"/>
      <c r="L640" s="64"/>
      <c r="M640" s="64"/>
      <c r="N640" s="64"/>
      <c r="O640" s="64"/>
      <c r="P640" s="64"/>
      <c r="Q640" s="116"/>
      <c r="R640" s="64"/>
      <c r="S640" s="64"/>
      <c r="T640" s="64"/>
      <c r="U640" s="64"/>
      <c r="V640" s="64"/>
      <c r="W640" s="64"/>
    </row>
    <row r="641" spans="3:23">
      <c r="C641" s="64"/>
      <c r="D641" s="64"/>
      <c r="E641" s="64"/>
      <c r="F641" s="64"/>
      <c r="G641" s="64"/>
      <c r="H641" s="64"/>
      <c r="I641" s="64"/>
      <c r="J641" s="64"/>
      <c r="K641" s="64"/>
      <c r="L641" s="64"/>
      <c r="M641" s="64"/>
      <c r="N641" s="64"/>
      <c r="O641" s="64"/>
      <c r="P641" s="64"/>
      <c r="Q641" s="116"/>
      <c r="R641" s="64"/>
      <c r="S641" s="64"/>
      <c r="T641" s="64"/>
      <c r="U641" s="64"/>
      <c r="V641" s="64"/>
      <c r="W641" s="64"/>
    </row>
    <row r="642" spans="3:23">
      <c r="C642" s="64"/>
      <c r="D642" s="64"/>
      <c r="E642" s="64"/>
      <c r="F642" s="64"/>
      <c r="G642" s="64"/>
      <c r="H642" s="64"/>
      <c r="I642" s="64"/>
      <c r="J642" s="64"/>
      <c r="K642" s="64"/>
      <c r="L642" s="64"/>
      <c r="M642" s="64"/>
      <c r="N642" s="64"/>
      <c r="O642" s="64"/>
      <c r="P642" s="64"/>
      <c r="Q642" s="116"/>
      <c r="R642" s="64"/>
      <c r="S642" s="64"/>
      <c r="T642" s="64"/>
      <c r="U642" s="64"/>
      <c r="V642" s="64"/>
      <c r="W642" s="64"/>
    </row>
    <row r="643" spans="3:23">
      <c r="C643" s="64"/>
      <c r="D643" s="64"/>
      <c r="E643" s="64"/>
      <c r="F643" s="64"/>
      <c r="G643" s="64"/>
      <c r="H643" s="64"/>
      <c r="I643" s="64"/>
      <c r="J643" s="64"/>
      <c r="K643" s="64"/>
      <c r="L643" s="64"/>
      <c r="M643" s="64"/>
      <c r="N643" s="64"/>
      <c r="O643" s="64"/>
      <c r="P643" s="64"/>
      <c r="Q643" s="116"/>
      <c r="R643" s="64"/>
      <c r="S643" s="64"/>
      <c r="T643" s="64"/>
      <c r="U643" s="64"/>
      <c r="V643" s="64"/>
      <c r="W643" s="64"/>
    </row>
    <row r="644" spans="3:23">
      <c r="C644" s="64"/>
      <c r="D644" s="64"/>
      <c r="E644" s="64"/>
      <c r="F644" s="64"/>
      <c r="G644" s="64"/>
      <c r="H644" s="64"/>
      <c r="I644" s="64"/>
      <c r="J644" s="64"/>
      <c r="K644" s="64"/>
      <c r="L644" s="64"/>
      <c r="M644" s="64"/>
      <c r="N644" s="64"/>
      <c r="O644" s="64"/>
      <c r="P644" s="64"/>
      <c r="Q644" s="116"/>
      <c r="R644" s="64"/>
      <c r="S644" s="64"/>
      <c r="T644" s="64"/>
      <c r="U644" s="64"/>
      <c r="V644" s="64"/>
      <c r="W644" s="64"/>
    </row>
    <row r="645" spans="3:23">
      <c r="C645" s="64"/>
      <c r="D645" s="64"/>
      <c r="E645" s="64"/>
      <c r="F645" s="64"/>
      <c r="G645" s="64"/>
      <c r="H645" s="64"/>
      <c r="I645" s="64"/>
      <c r="J645" s="64"/>
      <c r="K645" s="64"/>
      <c r="L645" s="64"/>
      <c r="M645" s="64"/>
      <c r="N645" s="64"/>
      <c r="O645" s="64"/>
      <c r="P645" s="64"/>
      <c r="Q645" s="116"/>
      <c r="R645" s="64"/>
      <c r="S645" s="64"/>
      <c r="T645" s="64"/>
      <c r="U645" s="64"/>
      <c r="V645" s="64"/>
      <c r="W645" s="64"/>
    </row>
    <row r="646" spans="3:23">
      <c r="C646" s="64"/>
      <c r="D646" s="64"/>
      <c r="E646" s="64"/>
      <c r="F646" s="64"/>
      <c r="G646" s="64"/>
      <c r="H646" s="64"/>
      <c r="I646" s="64"/>
      <c r="J646" s="64"/>
      <c r="K646" s="64"/>
      <c r="L646" s="64"/>
      <c r="M646" s="64"/>
      <c r="N646" s="64"/>
      <c r="O646" s="64"/>
      <c r="P646" s="64"/>
      <c r="Q646" s="116"/>
      <c r="R646" s="64"/>
      <c r="S646" s="64"/>
      <c r="T646" s="64"/>
      <c r="U646" s="64"/>
      <c r="V646" s="64"/>
      <c r="W646" s="64"/>
    </row>
    <row r="647" spans="3:23">
      <c r="C647" s="64"/>
      <c r="D647" s="64"/>
      <c r="E647" s="64"/>
      <c r="F647" s="64"/>
      <c r="G647" s="64"/>
      <c r="H647" s="64"/>
      <c r="I647" s="64"/>
      <c r="J647" s="64"/>
      <c r="K647" s="64"/>
      <c r="L647" s="64"/>
      <c r="M647" s="64"/>
      <c r="N647" s="64"/>
      <c r="O647" s="64"/>
      <c r="P647" s="64"/>
      <c r="Q647" s="116"/>
      <c r="R647" s="64"/>
      <c r="S647" s="64"/>
      <c r="T647" s="64"/>
      <c r="U647" s="64"/>
      <c r="V647" s="64"/>
      <c r="W647" s="64"/>
    </row>
    <row r="648" spans="3:23">
      <c r="C648" s="64"/>
      <c r="D648" s="64"/>
      <c r="E648" s="64"/>
      <c r="F648" s="64"/>
      <c r="G648" s="64"/>
      <c r="H648" s="64"/>
      <c r="I648" s="64"/>
      <c r="J648" s="64"/>
      <c r="K648" s="64"/>
      <c r="L648" s="64"/>
      <c r="M648" s="64"/>
      <c r="N648" s="64"/>
      <c r="O648" s="64"/>
      <c r="P648" s="64"/>
      <c r="Q648" s="116"/>
      <c r="R648" s="64"/>
      <c r="S648" s="64"/>
      <c r="T648" s="64"/>
      <c r="U648" s="64"/>
      <c r="V648" s="64"/>
      <c r="W648" s="64"/>
    </row>
    <row r="649" spans="3:23">
      <c r="C649" s="64"/>
      <c r="D649" s="64"/>
      <c r="E649" s="64"/>
      <c r="F649" s="64"/>
      <c r="G649" s="64"/>
      <c r="H649" s="64"/>
      <c r="I649" s="64"/>
      <c r="J649" s="64"/>
      <c r="K649" s="64"/>
      <c r="L649" s="64"/>
      <c r="M649" s="64"/>
      <c r="N649" s="64"/>
      <c r="O649" s="64"/>
      <c r="P649" s="64"/>
      <c r="Q649" s="116"/>
      <c r="R649" s="64"/>
      <c r="S649" s="64"/>
      <c r="T649" s="64"/>
      <c r="U649" s="64"/>
      <c r="V649" s="64"/>
      <c r="W649" s="64"/>
    </row>
    <row r="650" spans="3:23">
      <c r="C650" s="64"/>
      <c r="D650" s="64"/>
      <c r="E650" s="64"/>
      <c r="F650" s="64"/>
      <c r="G650" s="64"/>
      <c r="H650" s="64"/>
      <c r="I650" s="64"/>
      <c r="J650" s="64"/>
      <c r="K650" s="64"/>
      <c r="L650" s="64"/>
      <c r="M650" s="64"/>
      <c r="N650" s="64"/>
      <c r="O650" s="64"/>
      <c r="P650" s="64"/>
      <c r="Q650" s="116"/>
      <c r="R650" s="64"/>
      <c r="S650" s="64"/>
      <c r="T650" s="64"/>
      <c r="U650" s="64"/>
      <c r="V650" s="64"/>
      <c r="W650" s="64"/>
    </row>
    <row r="651" spans="3:23">
      <c r="C651" s="64"/>
      <c r="D651" s="64"/>
      <c r="E651" s="64"/>
      <c r="F651" s="64"/>
      <c r="G651" s="64"/>
      <c r="H651" s="64"/>
      <c r="I651" s="64"/>
      <c r="J651" s="64"/>
      <c r="K651" s="64"/>
      <c r="L651" s="64"/>
      <c r="M651" s="64"/>
      <c r="N651" s="64"/>
      <c r="O651" s="64"/>
      <c r="P651" s="64"/>
      <c r="Q651" s="116"/>
      <c r="R651" s="64"/>
      <c r="S651" s="64"/>
      <c r="T651" s="64"/>
      <c r="U651" s="64"/>
      <c r="V651" s="64"/>
      <c r="W651" s="64"/>
    </row>
    <row r="652" spans="3:23">
      <c r="C652" s="64"/>
      <c r="D652" s="64"/>
      <c r="E652" s="64"/>
      <c r="F652" s="64"/>
      <c r="G652" s="64"/>
      <c r="H652" s="64"/>
      <c r="I652" s="64"/>
      <c r="J652" s="64"/>
      <c r="K652" s="64"/>
      <c r="L652" s="64"/>
      <c r="M652" s="64"/>
      <c r="N652" s="64"/>
      <c r="O652" s="64"/>
      <c r="P652" s="64"/>
      <c r="Q652" s="116"/>
      <c r="R652" s="64"/>
      <c r="S652" s="64"/>
      <c r="T652" s="64"/>
      <c r="U652" s="64"/>
      <c r="V652" s="64"/>
      <c r="W652" s="64"/>
    </row>
    <row r="653" spans="3:23">
      <c r="C653" s="64"/>
      <c r="D653" s="64"/>
      <c r="E653" s="64"/>
      <c r="F653" s="64"/>
      <c r="G653" s="64"/>
      <c r="H653" s="64"/>
      <c r="I653" s="64"/>
      <c r="J653" s="64"/>
      <c r="K653" s="64"/>
      <c r="L653" s="64"/>
      <c r="M653" s="64"/>
      <c r="N653" s="64"/>
      <c r="O653" s="64"/>
      <c r="P653" s="64"/>
      <c r="Q653" s="116"/>
      <c r="R653" s="64"/>
      <c r="S653" s="64"/>
      <c r="T653" s="64"/>
      <c r="U653" s="64"/>
      <c r="V653" s="64"/>
      <c r="W653" s="64"/>
    </row>
    <row r="654" spans="3:23">
      <c r="C654" s="64"/>
      <c r="D654" s="64"/>
      <c r="E654" s="64"/>
      <c r="F654" s="64"/>
      <c r="G654" s="64"/>
      <c r="H654" s="64"/>
      <c r="I654" s="64"/>
      <c r="J654" s="64"/>
      <c r="K654" s="64"/>
      <c r="L654" s="64"/>
      <c r="M654" s="64"/>
      <c r="N654" s="64"/>
      <c r="O654" s="64"/>
      <c r="P654" s="64"/>
      <c r="Q654" s="116"/>
      <c r="R654" s="64"/>
      <c r="S654" s="64"/>
      <c r="T654" s="64"/>
      <c r="U654" s="64"/>
      <c r="V654" s="64"/>
      <c r="W654" s="64"/>
    </row>
    <row r="655" spans="3:23">
      <c r="C655" s="64"/>
      <c r="D655" s="64"/>
      <c r="E655" s="64"/>
      <c r="F655" s="64"/>
      <c r="G655" s="64"/>
      <c r="H655" s="64"/>
      <c r="I655" s="64"/>
      <c r="J655" s="64"/>
      <c r="K655" s="64"/>
      <c r="L655" s="64"/>
      <c r="M655" s="64"/>
      <c r="N655" s="64"/>
      <c r="O655" s="64"/>
      <c r="P655" s="64"/>
      <c r="Q655" s="116"/>
      <c r="R655" s="64"/>
      <c r="S655" s="64"/>
      <c r="T655" s="64"/>
      <c r="U655" s="64"/>
      <c r="V655" s="64"/>
      <c r="W655" s="64"/>
    </row>
    <row r="656" spans="3:23">
      <c r="C656" s="64"/>
      <c r="D656" s="64"/>
      <c r="E656" s="64"/>
      <c r="F656" s="64"/>
      <c r="G656" s="64"/>
      <c r="H656" s="64"/>
      <c r="I656" s="64"/>
      <c r="J656" s="64"/>
      <c r="K656" s="64"/>
      <c r="L656" s="64"/>
      <c r="M656" s="64"/>
      <c r="N656" s="64"/>
      <c r="O656" s="64"/>
      <c r="P656" s="64"/>
      <c r="Q656" s="116"/>
      <c r="R656" s="64"/>
      <c r="S656" s="64"/>
      <c r="T656" s="64"/>
      <c r="U656" s="64"/>
      <c r="V656" s="64"/>
      <c r="W656" s="64"/>
    </row>
    <row r="657" spans="3:23">
      <c r="C657" s="64"/>
      <c r="D657" s="64"/>
      <c r="E657" s="64"/>
      <c r="F657" s="64"/>
      <c r="G657" s="64"/>
      <c r="H657" s="64"/>
      <c r="I657" s="64"/>
      <c r="J657" s="64"/>
      <c r="K657" s="64"/>
      <c r="L657" s="64"/>
      <c r="M657" s="64"/>
      <c r="N657" s="64"/>
      <c r="O657" s="64"/>
      <c r="P657" s="64"/>
      <c r="Q657" s="116"/>
      <c r="R657" s="64"/>
      <c r="S657" s="64"/>
      <c r="T657" s="64"/>
      <c r="U657" s="64"/>
      <c r="V657" s="64"/>
      <c r="W657" s="64"/>
    </row>
    <row r="658" spans="3:23">
      <c r="C658" s="64"/>
      <c r="D658" s="64"/>
      <c r="E658" s="64"/>
      <c r="F658" s="64"/>
      <c r="G658" s="64"/>
      <c r="H658" s="64"/>
      <c r="I658" s="64"/>
      <c r="J658" s="64"/>
      <c r="K658" s="64"/>
      <c r="L658" s="64"/>
      <c r="M658" s="64"/>
      <c r="N658" s="64"/>
      <c r="O658" s="64"/>
      <c r="P658" s="64"/>
      <c r="Q658" s="116"/>
      <c r="R658" s="64"/>
      <c r="S658" s="64"/>
      <c r="T658" s="64"/>
      <c r="U658" s="64"/>
      <c r="V658" s="64"/>
      <c r="W658" s="64"/>
    </row>
    <row r="659" spans="3:23">
      <c r="C659" s="64"/>
      <c r="D659" s="64"/>
      <c r="E659" s="64"/>
      <c r="F659" s="64"/>
      <c r="G659" s="64"/>
      <c r="H659" s="64"/>
      <c r="I659" s="64"/>
      <c r="J659" s="64"/>
      <c r="K659" s="64"/>
      <c r="L659" s="64"/>
      <c r="M659" s="64"/>
      <c r="N659" s="64"/>
      <c r="O659" s="64"/>
      <c r="P659" s="64"/>
      <c r="Q659" s="116"/>
      <c r="R659" s="64"/>
      <c r="S659" s="64"/>
      <c r="T659" s="64"/>
      <c r="U659" s="64"/>
      <c r="V659" s="64"/>
      <c r="W659" s="64"/>
    </row>
    <row r="660" spans="3:23">
      <c r="C660" s="64"/>
      <c r="D660" s="64"/>
      <c r="E660" s="64"/>
      <c r="F660" s="64"/>
      <c r="G660" s="64"/>
      <c r="H660" s="64"/>
      <c r="I660" s="64"/>
      <c r="J660" s="64"/>
      <c r="K660" s="64"/>
      <c r="L660" s="64"/>
      <c r="M660" s="64"/>
      <c r="N660" s="64"/>
      <c r="O660" s="64"/>
      <c r="P660" s="64"/>
      <c r="Q660" s="116"/>
      <c r="R660" s="64"/>
      <c r="S660" s="64"/>
      <c r="T660" s="64"/>
      <c r="U660" s="64"/>
      <c r="V660" s="64"/>
      <c r="W660" s="64"/>
    </row>
    <row r="661" spans="3:23">
      <c r="C661" s="64"/>
      <c r="D661" s="64"/>
      <c r="E661" s="64"/>
      <c r="F661" s="64"/>
      <c r="G661" s="64"/>
      <c r="H661" s="64"/>
      <c r="I661" s="64"/>
      <c r="J661" s="64"/>
      <c r="K661" s="64"/>
      <c r="L661" s="64"/>
      <c r="M661" s="64"/>
      <c r="N661" s="64"/>
      <c r="O661" s="64"/>
      <c r="P661" s="64"/>
      <c r="Q661" s="116"/>
      <c r="R661" s="64"/>
      <c r="S661" s="64"/>
      <c r="T661" s="64"/>
      <c r="U661" s="64"/>
      <c r="V661" s="64"/>
      <c r="W661" s="64"/>
    </row>
    <row r="662" spans="3:23">
      <c r="C662" s="64"/>
      <c r="D662" s="64"/>
      <c r="E662" s="64"/>
      <c r="F662" s="64"/>
      <c r="G662" s="64"/>
      <c r="H662" s="64"/>
      <c r="I662" s="64"/>
      <c r="J662" s="64"/>
      <c r="K662" s="64"/>
      <c r="L662" s="64"/>
      <c r="M662" s="64"/>
      <c r="N662" s="64"/>
      <c r="O662" s="64"/>
      <c r="P662" s="64"/>
      <c r="Q662" s="116"/>
      <c r="R662" s="64"/>
      <c r="S662" s="64"/>
      <c r="T662" s="64"/>
      <c r="U662" s="64"/>
      <c r="V662" s="64"/>
      <c r="W662" s="64"/>
    </row>
    <row r="663" spans="3:23">
      <c r="C663" s="64"/>
      <c r="D663" s="64"/>
      <c r="E663" s="64"/>
      <c r="F663" s="64"/>
      <c r="G663" s="64"/>
      <c r="H663" s="64"/>
      <c r="I663" s="64"/>
      <c r="J663" s="64"/>
      <c r="K663" s="64"/>
      <c r="L663" s="64"/>
      <c r="M663" s="64"/>
      <c r="N663" s="64"/>
      <c r="O663" s="64"/>
      <c r="P663" s="64"/>
      <c r="Q663" s="116"/>
      <c r="R663" s="64"/>
      <c r="S663" s="64"/>
      <c r="T663" s="64"/>
      <c r="U663" s="64"/>
      <c r="V663" s="64"/>
      <c r="W663" s="64"/>
    </row>
    <row r="664" spans="3:23">
      <c r="C664" s="64"/>
      <c r="D664" s="64"/>
      <c r="E664" s="64"/>
      <c r="F664" s="64"/>
      <c r="G664" s="64"/>
      <c r="H664" s="64"/>
      <c r="I664" s="64"/>
      <c r="J664" s="64"/>
      <c r="K664" s="64"/>
      <c r="L664" s="64"/>
      <c r="M664" s="64"/>
      <c r="N664" s="64"/>
      <c r="O664" s="64"/>
      <c r="P664" s="64"/>
      <c r="Q664" s="116"/>
      <c r="R664" s="64"/>
      <c r="S664" s="64"/>
      <c r="T664" s="64"/>
      <c r="U664" s="64"/>
      <c r="V664" s="64"/>
      <c r="W664" s="64"/>
    </row>
    <row r="665" spans="3:23">
      <c r="C665" s="64"/>
      <c r="D665" s="64"/>
      <c r="E665" s="64"/>
      <c r="F665" s="64"/>
      <c r="G665" s="64"/>
      <c r="H665" s="64"/>
      <c r="I665" s="64"/>
      <c r="J665" s="64"/>
      <c r="K665" s="64"/>
      <c r="L665" s="64"/>
      <c r="M665" s="64"/>
      <c r="N665" s="64"/>
      <c r="O665" s="64"/>
      <c r="P665" s="64"/>
      <c r="Q665" s="116"/>
      <c r="R665" s="64"/>
      <c r="S665" s="64"/>
      <c r="T665" s="64"/>
      <c r="U665" s="64"/>
      <c r="V665" s="64"/>
      <c r="W665" s="64"/>
    </row>
    <row r="666" spans="3:23">
      <c r="C666" s="64"/>
      <c r="D666" s="64"/>
      <c r="E666" s="64"/>
      <c r="F666" s="64"/>
      <c r="G666" s="64"/>
      <c r="H666" s="64"/>
      <c r="I666" s="64"/>
      <c r="J666" s="64"/>
      <c r="K666" s="64"/>
      <c r="L666" s="64"/>
      <c r="M666" s="64"/>
      <c r="N666" s="64"/>
      <c r="O666" s="64"/>
      <c r="P666" s="64"/>
      <c r="Q666" s="116"/>
      <c r="R666" s="64"/>
      <c r="S666" s="64"/>
      <c r="T666" s="64"/>
      <c r="U666" s="64"/>
      <c r="V666" s="64"/>
      <c r="W666" s="64"/>
    </row>
    <row r="667" spans="3:23">
      <c r="C667" s="64"/>
      <c r="D667" s="64"/>
      <c r="E667" s="64"/>
      <c r="F667" s="64"/>
      <c r="G667" s="64"/>
      <c r="H667" s="64"/>
      <c r="I667" s="64"/>
      <c r="J667" s="64"/>
      <c r="K667" s="64"/>
      <c r="L667" s="64"/>
      <c r="M667" s="64"/>
      <c r="N667" s="64"/>
      <c r="O667" s="64"/>
      <c r="P667" s="64"/>
      <c r="Q667" s="116"/>
      <c r="R667" s="64"/>
      <c r="S667" s="64"/>
      <c r="T667" s="64"/>
      <c r="U667" s="64"/>
      <c r="V667" s="64"/>
      <c r="W667" s="64"/>
    </row>
    <row r="668" spans="3:23">
      <c r="C668" s="64"/>
      <c r="D668" s="64"/>
      <c r="E668" s="64"/>
      <c r="F668" s="64"/>
      <c r="G668" s="64"/>
      <c r="H668" s="64"/>
      <c r="I668" s="64"/>
      <c r="J668" s="64"/>
      <c r="K668" s="64"/>
      <c r="L668" s="64"/>
      <c r="M668" s="64"/>
      <c r="N668" s="64"/>
      <c r="O668" s="64"/>
      <c r="P668" s="64"/>
      <c r="Q668" s="116"/>
      <c r="R668" s="64"/>
      <c r="S668" s="64"/>
      <c r="T668" s="64"/>
      <c r="U668" s="64"/>
      <c r="V668" s="64"/>
      <c r="W668" s="64"/>
    </row>
    <row r="669" spans="3:23">
      <c r="C669" s="64"/>
      <c r="D669" s="64"/>
      <c r="E669" s="64"/>
      <c r="F669" s="64"/>
      <c r="G669" s="64"/>
      <c r="H669" s="64"/>
      <c r="I669" s="64"/>
      <c r="J669" s="64"/>
      <c r="K669" s="64"/>
      <c r="L669" s="64"/>
      <c r="M669" s="64"/>
      <c r="N669" s="64"/>
      <c r="O669" s="64"/>
      <c r="P669" s="64"/>
      <c r="Q669" s="116"/>
      <c r="R669" s="64"/>
      <c r="S669" s="64"/>
      <c r="T669" s="64"/>
      <c r="U669" s="64"/>
      <c r="V669" s="64"/>
      <c r="W669" s="64"/>
    </row>
    <row r="670" spans="3:23">
      <c r="C670" s="64"/>
      <c r="D670" s="64"/>
      <c r="E670" s="64"/>
      <c r="F670" s="64"/>
      <c r="G670" s="64"/>
      <c r="H670" s="64"/>
      <c r="I670" s="64"/>
      <c r="J670" s="64"/>
      <c r="K670" s="64"/>
      <c r="L670" s="64"/>
      <c r="M670" s="64"/>
      <c r="N670" s="64"/>
      <c r="O670" s="64"/>
      <c r="P670" s="64"/>
      <c r="Q670" s="116"/>
      <c r="R670" s="64"/>
      <c r="S670" s="64"/>
      <c r="T670" s="64"/>
      <c r="U670" s="64"/>
      <c r="V670" s="64"/>
      <c r="W670" s="64"/>
    </row>
    <row r="671" spans="3:23">
      <c r="C671" s="64"/>
      <c r="D671" s="64"/>
      <c r="E671" s="64"/>
      <c r="F671" s="64"/>
      <c r="G671" s="64"/>
      <c r="H671" s="64"/>
      <c r="I671" s="64"/>
      <c r="J671" s="64"/>
      <c r="K671" s="64"/>
      <c r="L671" s="64"/>
      <c r="M671" s="64"/>
      <c r="N671" s="64"/>
      <c r="O671" s="64"/>
      <c r="P671" s="64"/>
      <c r="Q671" s="116"/>
      <c r="R671" s="64"/>
      <c r="S671" s="64"/>
      <c r="T671" s="64"/>
      <c r="U671" s="64"/>
      <c r="V671" s="64"/>
      <c r="W671" s="64"/>
    </row>
    <row r="672" spans="3:23">
      <c r="C672" s="64"/>
      <c r="D672" s="64"/>
      <c r="E672" s="64"/>
      <c r="F672" s="64"/>
      <c r="G672" s="64"/>
      <c r="H672" s="64"/>
      <c r="I672" s="64"/>
      <c r="J672" s="64"/>
      <c r="K672" s="64"/>
      <c r="L672" s="64"/>
      <c r="M672" s="64"/>
      <c r="N672" s="64"/>
      <c r="O672" s="64"/>
      <c r="P672" s="64"/>
      <c r="Q672" s="116"/>
      <c r="R672" s="64"/>
      <c r="S672" s="64"/>
      <c r="T672" s="64"/>
      <c r="U672" s="64"/>
      <c r="V672" s="64"/>
      <c r="W672" s="64"/>
    </row>
    <row r="673" spans="3:23">
      <c r="C673" s="64"/>
      <c r="D673" s="64"/>
      <c r="E673" s="64"/>
      <c r="F673" s="64"/>
      <c r="G673" s="64"/>
      <c r="H673" s="64"/>
      <c r="I673" s="64"/>
      <c r="J673" s="64"/>
      <c r="K673" s="64"/>
      <c r="L673" s="64"/>
      <c r="M673" s="64"/>
      <c r="N673" s="64"/>
      <c r="O673" s="64"/>
      <c r="P673" s="64"/>
      <c r="Q673" s="116"/>
      <c r="R673" s="64"/>
      <c r="S673" s="64"/>
      <c r="T673" s="64"/>
      <c r="U673" s="64"/>
      <c r="V673" s="64"/>
      <c r="W673" s="64"/>
    </row>
    <row r="674" spans="3:23">
      <c r="C674" s="64"/>
      <c r="D674" s="64"/>
      <c r="E674" s="64"/>
      <c r="F674" s="64"/>
      <c r="G674" s="64"/>
      <c r="H674" s="64"/>
      <c r="I674" s="64"/>
      <c r="J674" s="64"/>
      <c r="K674" s="64"/>
      <c r="L674" s="64"/>
      <c r="M674" s="64"/>
      <c r="N674" s="64"/>
      <c r="O674" s="64"/>
      <c r="P674" s="64"/>
      <c r="Q674" s="116"/>
      <c r="R674" s="64"/>
      <c r="S674" s="64"/>
      <c r="T674" s="64"/>
      <c r="U674" s="64"/>
      <c r="V674" s="64"/>
      <c r="W674" s="64"/>
    </row>
    <row r="675" spans="3:23">
      <c r="C675" s="64"/>
      <c r="D675" s="64"/>
      <c r="E675" s="64"/>
      <c r="F675" s="64"/>
      <c r="G675" s="64"/>
      <c r="H675" s="64"/>
      <c r="I675" s="64"/>
      <c r="J675" s="64"/>
      <c r="K675" s="64"/>
      <c r="L675" s="64"/>
      <c r="M675" s="64"/>
      <c r="N675" s="64"/>
      <c r="O675" s="64"/>
      <c r="P675" s="64"/>
      <c r="Q675" s="116"/>
      <c r="R675" s="64"/>
      <c r="S675" s="64"/>
      <c r="T675" s="64"/>
      <c r="U675" s="64"/>
      <c r="V675" s="64"/>
      <c r="W675" s="64"/>
    </row>
    <row r="676" spans="3:23">
      <c r="C676" s="64"/>
      <c r="D676" s="64"/>
      <c r="E676" s="64"/>
      <c r="F676" s="64"/>
      <c r="G676" s="64"/>
      <c r="H676" s="64"/>
      <c r="I676" s="64"/>
      <c r="J676" s="64"/>
      <c r="K676" s="64"/>
      <c r="L676" s="64"/>
      <c r="M676" s="64"/>
      <c r="N676" s="64"/>
      <c r="O676" s="64"/>
      <c r="P676" s="64"/>
      <c r="Q676" s="116"/>
      <c r="R676" s="64"/>
      <c r="S676" s="64"/>
      <c r="T676" s="64"/>
      <c r="U676" s="64"/>
      <c r="V676" s="64"/>
      <c r="W676" s="64"/>
    </row>
    <row r="677" spans="3:23">
      <c r="C677" s="64"/>
      <c r="D677" s="64"/>
      <c r="E677" s="64"/>
      <c r="F677" s="64"/>
      <c r="G677" s="64"/>
      <c r="H677" s="64"/>
      <c r="I677" s="64"/>
      <c r="J677" s="64"/>
      <c r="K677" s="64"/>
      <c r="L677" s="64"/>
      <c r="M677" s="64"/>
      <c r="N677" s="64"/>
      <c r="O677" s="64"/>
      <c r="P677" s="64"/>
      <c r="Q677" s="116"/>
      <c r="R677" s="64"/>
      <c r="S677" s="64"/>
      <c r="T677" s="64"/>
      <c r="U677" s="64"/>
      <c r="V677" s="64"/>
      <c r="W677" s="64"/>
    </row>
    <row r="678" spans="3:23">
      <c r="C678" s="64"/>
      <c r="D678" s="64"/>
      <c r="E678" s="64"/>
      <c r="F678" s="64"/>
      <c r="G678" s="64"/>
      <c r="H678" s="64"/>
      <c r="I678" s="64"/>
      <c r="J678" s="64"/>
      <c r="K678" s="64"/>
      <c r="L678" s="64"/>
      <c r="M678" s="64"/>
      <c r="N678" s="64"/>
      <c r="O678" s="64"/>
      <c r="P678" s="64"/>
      <c r="Q678" s="116"/>
      <c r="R678" s="64"/>
      <c r="S678" s="64"/>
      <c r="T678" s="64"/>
      <c r="U678" s="64"/>
      <c r="V678" s="64"/>
      <c r="W678" s="64"/>
    </row>
    <row r="679" spans="3:23">
      <c r="C679" s="64"/>
      <c r="D679" s="64"/>
      <c r="E679" s="64"/>
      <c r="F679" s="64"/>
      <c r="G679" s="64"/>
      <c r="H679" s="64"/>
      <c r="I679" s="64"/>
      <c r="J679" s="64"/>
      <c r="K679" s="64"/>
      <c r="L679" s="64"/>
      <c r="M679" s="64"/>
      <c r="N679" s="64"/>
      <c r="O679" s="64"/>
      <c r="P679" s="64"/>
      <c r="Q679" s="116"/>
      <c r="R679" s="64"/>
      <c r="S679" s="64"/>
      <c r="T679" s="64"/>
      <c r="U679" s="64"/>
      <c r="V679" s="64"/>
      <c r="W679" s="64"/>
    </row>
    <row r="680" spans="3:23">
      <c r="C680" s="64"/>
      <c r="D680" s="64"/>
      <c r="E680" s="64"/>
      <c r="F680" s="64"/>
      <c r="G680" s="64"/>
      <c r="H680" s="64"/>
      <c r="I680" s="64"/>
      <c r="J680" s="64"/>
      <c r="K680" s="64"/>
      <c r="L680" s="64"/>
      <c r="M680" s="64"/>
      <c r="N680" s="64"/>
      <c r="O680" s="64"/>
      <c r="P680" s="64"/>
      <c r="Q680" s="116"/>
      <c r="R680" s="64"/>
      <c r="S680" s="64"/>
      <c r="T680" s="64"/>
      <c r="U680" s="64"/>
      <c r="V680" s="64"/>
      <c r="W680" s="64"/>
    </row>
    <row r="681" spans="3:23">
      <c r="C681" s="64"/>
      <c r="D681" s="64"/>
      <c r="E681" s="64"/>
      <c r="F681" s="64"/>
      <c r="G681" s="64"/>
      <c r="H681" s="64"/>
      <c r="I681" s="64"/>
      <c r="J681" s="64"/>
      <c r="K681" s="64"/>
      <c r="L681" s="64"/>
      <c r="M681" s="64"/>
      <c r="N681" s="64"/>
      <c r="O681" s="64"/>
      <c r="P681" s="64"/>
      <c r="Q681" s="116"/>
      <c r="R681" s="64"/>
      <c r="S681" s="64"/>
      <c r="T681" s="64"/>
      <c r="U681" s="64"/>
      <c r="V681" s="64"/>
      <c r="W681" s="64"/>
    </row>
    <row r="682" spans="3:23">
      <c r="C682" s="64"/>
      <c r="D682" s="64"/>
      <c r="E682" s="64"/>
      <c r="F682" s="64"/>
      <c r="G682" s="64"/>
      <c r="H682" s="64"/>
      <c r="I682" s="64"/>
      <c r="J682" s="64"/>
      <c r="K682" s="64"/>
      <c r="L682" s="64"/>
      <c r="M682" s="64"/>
      <c r="N682" s="64"/>
      <c r="O682" s="64"/>
      <c r="P682" s="64"/>
      <c r="Q682" s="116"/>
      <c r="R682" s="64"/>
      <c r="S682" s="64"/>
      <c r="T682" s="64"/>
      <c r="U682" s="64"/>
      <c r="V682" s="64"/>
      <c r="W682" s="64"/>
    </row>
    <row r="683" spans="3:23">
      <c r="C683" s="64"/>
      <c r="D683" s="64"/>
      <c r="E683" s="64"/>
      <c r="F683" s="64"/>
      <c r="G683" s="64"/>
      <c r="H683" s="64"/>
      <c r="I683" s="64"/>
      <c r="J683" s="64"/>
      <c r="K683" s="64"/>
      <c r="L683" s="64"/>
      <c r="M683" s="64"/>
      <c r="N683" s="64"/>
      <c r="O683" s="64"/>
      <c r="P683" s="64"/>
      <c r="Q683" s="116"/>
      <c r="R683" s="64"/>
      <c r="S683" s="64"/>
      <c r="T683" s="64"/>
      <c r="U683" s="64"/>
      <c r="V683" s="64"/>
      <c r="W683" s="64"/>
    </row>
    <row r="684" spans="3:23">
      <c r="C684" s="64"/>
      <c r="D684" s="64"/>
      <c r="E684" s="64"/>
      <c r="F684" s="64"/>
      <c r="G684" s="64"/>
      <c r="H684" s="64"/>
      <c r="I684" s="64"/>
      <c r="J684" s="64"/>
      <c r="K684" s="64"/>
      <c r="L684" s="64"/>
      <c r="M684" s="64"/>
      <c r="N684" s="64"/>
      <c r="O684" s="64"/>
      <c r="P684" s="64"/>
      <c r="Q684" s="116"/>
      <c r="R684" s="64"/>
      <c r="S684" s="64"/>
      <c r="T684" s="64"/>
      <c r="U684" s="64"/>
      <c r="V684" s="64"/>
      <c r="W684" s="64"/>
    </row>
    <row r="685" spans="3:23">
      <c r="C685" s="64"/>
      <c r="D685" s="64"/>
      <c r="E685" s="64"/>
      <c r="F685" s="64"/>
      <c r="G685" s="64"/>
      <c r="H685" s="64"/>
      <c r="I685" s="64"/>
      <c r="J685" s="64"/>
      <c r="K685" s="64"/>
      <c r="L685" s="64"/>
      <c r="M685" s="64"/>
      <c r="N685" s="64"/>
      <c r="O685" s="64"/>
      <c r="P685" s="64"/>
      <c r="Q685" s="116"/>
      <c r="R685" s="64"/>
      <c r="S685" s="64"/>
      <c r="T685" s="64"/>
      <c r="U685" s="64"/>
      <c r="V685" s="64"/>
      <c r="W685" s="64"/>
    </row>
    <row r="686" spans="3:23">
      <c r="C686" s="64"/>
      <c r="D686" s="64"/>
      <c r="E686" s="64"/>
      <c r="F686" s="64"/>
      <c r="G686" s="64"/>
      <c r="H686" s="64"/>
      <c r="I686" s="64"/>
      <c r="J686" s="64"/>
      <c r="K686" s="64"/>
      <c r="L686" s="64"/>
      <c r="M686" s="64"/>
      <c r="N686" s="64"/>
      <c r="O686" s="64"/>
      <c r="P686" s="64"/>
      <c r="Q686" s="116"/>
      <c r="R686" s="64"/>
      <c r="S686" s="64"/>
      <c r="T686" s="64"/>
      <c r="U686" s="64"/>
      <c r="V686" s="64"/>
      <c r="W686" s="64"/>
    </row>
    <row r="687" spans="3:23">
      <c r="C687" s="64"/>
      <c r="D687" s="64"/>
      <c r="E687" s="64"/>
      <c r="F687" s="64"/>
      <c r="G687" s="64"/>
      <c r="H687" s="64"/>
      <c r="I687" s="64"/>
      <c r="J687" s="64"/>
      <c r="K687" s="64"/>
      <c r="L687" s="64"/>
      <c r="M687" s="64"/>
      <c r="N687" s="64"/>
      <c r="O687" s="64"/>
      <c r="P687" s="64"/>
      <c r="Q687" s="116"/>
      <c r="R687" s="64"/>
      <c r="S687" s="64"/>
      <c r="T687" s="64"/>
      <c r="U687" s="64"/>
      <c r="V687" s="64"/>
      <c r="W687" s="64"/>
    </row>
    <row r="688" spans="3:23">
      <c r="C688" s="64"/>
      <c r="D688" s="64"/>
      <c r="E688" s="64"/>
      <c r="F688" s="64"/>
      <c r="G688" s="64"/>
      <c r="H688" s="64"/>
      <c r="I688" s="64"/>
      <c r="J688" s="64"/>
      <c r="K688" s="64"/>
      <c r="L688" s="64"/>
      <c r="M688" s="64"/>
      <c r="N688" s="64"/>
      <c r="O688" s="64"/>
      <c r="P688" s="64"/>
      <c r="Q688" s="116"/>
      <c r="R688" s="64"/>
      <c r="S688" s="64"/>
      <c r="T688" s="64"/>
      <c r="U688" s="64"/>
      <c r="V688" s="64"/>
      <c r="W688" s="64"/>
    </row>
    <row r="689" spans="3:23">
      <c r="C689" s="64"/>
      <c r="D689" s="64"/>
      <c r="E689" s="64"/>
      <c r="F689" s="64"/>
      <c r="G689" s="64"/>
      <c r="H689" s="64"/>
      <c r="I689" s="64"/>
      <c r="J689" s="64"/>
      <c r="K689" s="64"/>
      <c r="L689" s="64"/>
      <c r="M689" s="64"/>
      <c r="N689" s="64"/>
      <c r="O689" s="64"/>
      <c r="P689" s="64"/>
      <c r="Q689" s="116"/>
      <c r="R689" s="64"/>
      <c r="S689" s="64"/>
      <c r="T689" s="64"/>
      <c r="U689" s="64"/>
      <c r="V689" s="64"/>
      <c r="W689" s="64"/>
    </row>
    <row r="690" spans="3:23">
      <c r="C690" s="64"/>
      <c r="D690" s="64"/>
      <c r="E690" s="64"/>
      <c r="F690" s="64"/>
      <c r="G690" s="64"/>
      <c r="H690" s="64"/>
      <c r="I690" s="64"/>
      <c r="J690" s="64"/>
      <c r="K690" s="64"/>
      <c r="L690" s="64"/>
      <c r="M690" s="64"/>
      <c r="N690" s="64"/>
      <c r="O690" s="64"/>
      <c r="P690" s="64"/>
      <c r="Q690" s="116"/>
      <c r="R690" s="64"/>
      <c r="S690" s="64"/>
      <c r="T690" s="64"/>
      <c r="U690" s="64"/>
      <c r="V690" s="64"/>
      <c r="W690" s="64"/>
    </row>
    <row r="691" spans="3:23">
      <c r="C691" s="64"/>
      <c r="D691" s="64"/>
      <c r="E691" s="64"/>
      <c r="F691" s="64"/>
      <c r="G691" s="64"/>
      <c r="H691" s="64"/>
      <c r="I691" s="64"/>
      <c r="J691" s="64"/>
      <c r="K691" s="64"/>
      <c r="L691" s="64"/>
      <c r="M691" s="64"/>
      <c r="N691" s="64"/>
      <c r="O691" s="64"/>
      <c r="P691" s="64"/>
      <c r="Q691" s="116"/>
      <c r="R691" s="64"/>
      <c r="S691" s="64"/>
      <c r="T691" s="64"/>
      <c r="U691" s="64"/>
      <c r="V691" s="64"/>
      <c r="W691" s="64"/>
    </row>
    <row r="692" spans="3:23">
      <c r="C692" s="64"/>
      <c r="D692" s="64"/>
      <c r="E692" s="64"/>
      <c r="F692" s="64"/>
      <c r="G692" s="64"/>
      <c r="H692" s="64"/>
      <c r="I692" s="64"/>
      <c r="J692" s="64"/>
      <c r="K692" s="64"/>
      <c r="L692" s="64"/>
      <c r="M692" s="64"/>
      <c r="N692" s="64"/>
      <c r="O692" s="64"/>
      <c r="P692" s="64"/>
      <c r="Q692" s="116"/>
      <c r="R692" s="64"/>
      <c r="S692" s="64"/>
      <c r="T692" s="64"/>
      <c r="U692" s="64"/>
      <c r="V692" s="64"/>
      <c r="W692" s="64"/>
    </row>
    <row r="693" spans="3:23">
      <c r="C693" s="64"/>
      <c r="D693" s="64"/>
      <c r="E693" s="64"/>
      <c r="F693" s="64"/>
      <c r="G693" s="64"/>
      <c r="H693" s="64"/>
      <c r="I693" s="64"/>
      <c r="J693" s="64"/>
      <c r="K693" s="64"/>
      <c r="L693" s="64"/>
      <c r="M693" s="64"/>
      <c r="N693" s="64"/>
      <c r="O693" s="64"/>
      <c r="P693" s="64"/>
      <c r="Q693" s="116"/>
      <c r="R693" s="64"/>
      <c r="S693" s="64"/>
      <c r="T693" s="64"/>
      <c r="U693" s="64"/>
      <c r="V693" s="64"/>
      <c r="W693" s="64"/>
    </row>
    <row r="694" spans="3:23">
      <c r="C694" s="64"/>
      <c r="D694" s="64"/>
      <c r="E694" s="64"/>
      <c r="F694" s="64"/>
      <c r="G694" s="64"/>
      <c r="H694" s="64"/>
      <c r="I694" s="64"/>
      <c r="J694" s="64"/>
      <c r="K694" s="64"/>
      <c r="L694" s="64"/>
      <c r="M694" s="64"/>
      <c r="N694" s="64"/>
      <c r="O694" s="64"/>
      <c r="P694" s="64"/>
      <c r="Q694" s="116"/>
      <c r="R694" s="64"/>
      <c r="S694" s="64"/>
      <c r="T694" s="64"/>
      <c r="U694" s="64"/>
      <c r="V694" s="64"/>
      <c r="W694" s="64"/>
    </row>
    <row r="695" spans="3:23">
      <c r="C695" s="64"/>
      <c r="D695" s="64"/>
      <c r="E695" s="64"/>
      <c r="F695" s="64"/>
      <c r="G695" s="64"/>
      <c r="H695" s="64"/>
      <c r="I695" s="64"/>
      <c r="J695" s="64"/>
      <c r="K695" s="64"/>
      <c r="L695" s="64"/>
      <c r="M695" s="64"/>
      <c r="N695" s="64"/>
      <c r="O695" s="64"/>
      <c r="P695" s="64"/>
      <c r="Q695" s="116"/>
      <c r="R695" s="64"/>
      <c r="S695" s="64"/>
      <c r="T695" s="64"/>
      <c r="U695" s="64"/>
      <c r="V695" s="64"/>
      <c r="W695" s="64"/>
    </row>
    <row r="696" spans="3:23">
      <c r="C696" s="64"/>
      <c r="D696" s="64"/>
      <c r="E696" s="64"/>
      <c r="F696" s="64"/>
      <c r="G696" s="64"/>
      <c r="H696" s="64"/>
      <c r="I696" s="64"/>
      <c r="J696" s="64"/>
      <c r="K696" s="64"/>
      <c r="L696" s="64"/>
      <c r="M696" s="64"/>
      <c r="N696" s="64"/>
      <c r="O696" s="64"/>
      <c r="P696" s="64"/>
      <c r="Q696" s="116"/>
      <c r="R696" s="64"/>
      <c r="S696" s="64"/>
      <c r="T696" s="64"/>
      <c r="U696" s="64"/>
      <c r="V696" s="64"/>
      <c r="W696" s="64"/>
    </row>
    <row r="697" spans="3:23">
      <c r="C697" s="64"/>
      <c r="D697" s="64"/>
      <c r="E697" s="64"/>
      <c r="F697" s="64"/>
      <c r="G697" s="64"/>
      <c r="H697" s="64"/>
      <c r="I697" s="64"/>
      <c r="J697" s="64"/>
      <c r="K697" s="64"/>
      <c r="L697" s="64"/>
      <c r="M697" s="64"/>
      <c r="N697" s="64"/>
      <c r="O697" s="64"/>
      <c r="P697" s="64"/>
      <c r="Q697" s="116"/>
      <c r="R697" s="64"/>
      <c r="S697" s="64"/>
      <c r="T697" s="64"/>
      <c r="U697" s="64"/>
      <c r="V697" s="64"/>
      <c r="W697" s="64"/>
    </row>
    <row r="698" spans="3:23">
      <c r="C698" s="64"/>
      <c r="D698" s="64"/>
      <c r="E698" s="64"/>
      <c r="F698" s="64"/>
      <c r="G698" s="64"/>
      <c r="H698" s="64"/>
      <c r="I698" s="64"/>
      <c r="J698" s="64"/>
      <c r="K698" s="64"/>
      <c r="L698" s="64"/>
      <c r="M698" s="64"/>
      <c r="N698" s="64"/>
      <c r="O698" s="64"/>
      <c r="P698" s="64"/>
      <c r="Q698" s="116"/>
      <c r="R698" s="64"/>
      <c r="S698" s="64"/>
      <c r="T698" s="64"/>
      <c r="U698" s="64"/>
      <c r="V698" s="64"/>
      <c r="W698" s="64"/>
    </row>
    <row r="699" spans="3:23">
      <c r="C699" s="64"/>
      <c r="D699" s="64"/>
      <c r="E699" s="64"/>
      <c r="F699" s="64"/>
      <c r="G699" s="64"/>
      <c r="H699" s="64"/>
      <c r="I699" s="64"/>
      <c r="J699" s="64"/>
      <c r="K699" s="64"/>
      <c r="L699" s="64"/>
      <c r="M699" s="64"/>
      <c r="N699" s="64"/>
      <c r="O699" s="64"/>
      <c r="P699" s="64"/>
      <c r="Q699" s="116"/>
      <c r="R699" s="64"/>
      <c r="S699" s="64"/>
      <c r="T699" s="64"/>
      <c r="U699" s="64"/>
      <c r="V699" s="64"/>
      <c r="W699" s="64"/>
    </row>
    <row r="700" spans="3:23">
      <c r="C700" s="64"/>
      <c r="D700" s="64"/>
      <c r="E700" s="64"/>
      <c r="F700" s="64"/>
      <c r="G700" s="64"/>
      <c r="H700" s="64"/>
      <c r="I700" s="64"/>
      <c r="J700" s="64"/>
      <c r="K700" s="64"/>
      <c r="L700" s="64"/>
      <c r="M700" s="64"/>
      <c r="N700" s="64"/>
      <c r="O700" s="64"/>
      <c r="P700" s="64"/>
      <c r="Q700" s="116"/>
      <c r="R700" s="64"/>
      <c r="S700" s="64"/>
      <c r="T700" s="64"/>
      <c r="U700" s="64"/>
      <c r="V700" s="64"/>
      <c r="W700" s="64"/>
    </row>
    <row r="701" spans="3:23">
      <c r="C701" s="64"/>
      <c r="D701" s="64"/>
      <c r="E701" s="64"/>
      <c r="F701" s="64"/>
      <c r="G701" s="64"/>
      <c r="H701" s="64"/>
      <c r="I701" s="64"/>
      <c r="J701" s="64"/>
      <c r="K701" s="64"/>
      <c r="L701" s="64"/>
      <c r="M701" s="64"/>
      <c r="N701" s="64"/>
      <c r="O701" s="64"/>
      <c r="P701" s="64"/>
      <c r="Q701" s="116"/>
      <c r="R701" s="64"/>
      <c r="S701" s="64"/>
      <c r="T701" s="64"/>
      <c r="U701" s="64"/>
      <c r="V701" s="64"/>
      <c r="W701" s="64"/>
    </row>
    <row r="702" spans="3:23">
      <c r="C702" s="64"/>
      <c r="D702" s="64"/>
      <c r="E702" s="64"/>
      <c r="F702" s="64"/>
      <c r="G702" s="64"/>
      <c r="H702" s="64"/>
      <c r="I702" s="64"/>
      <c r="J702" s="64"/>
      <c r="K702" s="64"/>
      <c r="L702" s="64"/>
      <c r="M702" s="64"/>
      <c r="N702" s="64"/>
      <c r="O702" s="64"/>
      <c r="P702" s="64"/>
      <c r="Q702" s="116"/>
      <c r="R702" s="64"/>
      <c r="S702" s="64"/>
      <c r="T702" s="64"/>
      <c r="U702" s="64"/>
      <c r="V702" s="64"/>
      <c r="W702" s="64"/>
    </row>
    <row r="703" spans="3:23">
      <c r="C703" s="64"/>
      <c r="D703" s="64"/>
      <c r="E703" s="64"/>
      <c r="F703" s="64"/>
      <c r="G703" s="64"/>
      <c r="H703" s="64"/>
      <c r="I703" s="64"/>
      <c r="J703" s="64"/>
      <c r="K703" s="64"/>
      <c r="L703" s="64"/>
      <c r="M703" s="64"/>
      <c r="N703" s="64"/>
      <c r="O703" s="64"/>
      <c r="P703" s="64"/>
      <c r="Q703" s="116"/>
      <c r="R703" s="64"/>
      <c r="S703" s="64"/>
      <c r="T703" s="64"/>
      <c r="U703" s="64"/>
      <c r="V703" s="64"/>
      <c r="W703" s="64"/>
    </row>
    <row r="704" spans="3:23">
      <c r="C704" s="64"/>
      <c r="D704" s="64"/>
      <c r="E704" s="64"/>
      <c r="F704" s="64"/>
      <c r="G704" s="64"/>
      <c r="H704" s="64"/>
      <c r="I704" s="64"/>
      <c r="J704" s="64"/>
      <c r="K704" s="64"/>
      <c r="L704" s="64"/>
      <c r="M704" s="64"/>
      <c r="N704" s="64"/>
      <c r="O704" s="64"/>
      <c r="P704" s="64"/>
      <c r="Q704" s="116"/>
      <c r="R704" s="64"/>
      <c r="S704" s="64"/>
      <c r="T704" s="64"/>
      <c r="U704" s="64"/>
      <c r="V704" s="64"/>
      <c r="W704" s="64"/>
    </row>
    <row r="705" spans="3:23">
      <c r="C705" s="64"/>
      <c r="D705" s="64"/>
      <c r="E705" s="64"/>
      <c r="F705" s="64"/>
      <c r="G705" s="64"/>
      <c r="H705" s="64"/>
      <c r="I705" s="64"/>
      <c r="J705" s="64"/>
      <c r="K705" s="64"/>
      <c r="L705" s="64"/>
      <c r="M705" s="64"/>
      <c r="N705" s="64"/>
      <c r="O705" s="64"/>
      <c r="P705" s="64"/>
      <c r="Q705" s="116"/>
      <c r="R705" s="64"/>
      <c r="S705" s="64"/>
      <c r="T705" s="64"/>
      <c r="U705" s="64"/>
      <c r="V705" s="64"/>
      <c r="W705" s="64"/>
    </row>
    <row r="706" spans="3:23">
      <c r="C706" s="64"/>
      <c r="D706" s="64"/>
      <c r="E706" s="64"/>
      <c r="F706" s="64"/>
      <c r="G706" s="64"/>
      <c r="H706" s="64"/>
      <c r="I706" s="64"/>
      <c r="J706" s="64"/>
      <c r="K706" s="64"/>
      <c r="L706" s="64"/>
      <c r="M706" s="64"/>
      <c r="N706" s="64"/>
      <c r="O706" s="64"/>
      <c r="P706" s="64"/>
      <c r="Q706" s="116"/>
      <c r="R706" s="64"/>
      <c r="S706" s="64"/>
      <c r="T706" s="64"/>
      <c r="U706" s="64"/>
      <c r="V706" s="64"/>
      <c r="W706" s="64"/>
    </row>
    <row r="707" spans="3:23">
      <c r="C707" s="64"/>
      <c r="D707" s="64"/>
      <c r="E707" s="64"/>
      <c r="F707" s="64"/>
      <c r="G707" s="64"/>
      <c r="H707" s="64"/>
      <c r="I707" s="64"/>
      <c r="J707" s="64"/>
      <c r="K707" s="64"/>
      <c r="L707" s="64"/>
      <c r="M707" s="64"/>
      <c r="N707" s="64"/>
      <c r="O707" s="64"/>
      <c r="P707" s="64"/>
      <c r="Q707" s="116"/>
      <c r="R707" s="64"/>
      <c r="S707" s="64"/>
      <c r="T707" s="64"/>
      <c r="U707" s="64"/>
      <c r="V707" s="64"/>
      <c r="W707" s="64"/>
    </row>
    <row r="708" spans="3:23">
      <c r="C708" s="64"/>
      <c r="D708" s="64"/>
      <c r="E708" s="64"/>
      <c r="F708" s="64"/>
      <c r="G708" s="64"/>
      <c r="H708" s="64"/>
      <c r="I708" s="64"/>
      <c r="J708" s="64"/>
      <c r="K708" s="64"/>
      <c r="L708" s="64"/>
      <c r="M708" s="64"/>
      <c r="N708" s="64"/>
      <c r="O708" s="64"/>
      <c r="P708" s="64"/>
      <c r="Q708" s="116"/>
      <c r="R708" s="64"/>
      <c r="S708" s="64"/>
      <c r="T708" s="64"/>
      <c r="U708" s="64"/>
      <c r="V708" s="64"/>
      <c r="W708" s="64"/>
    </row>
    <row r="709" spans="3:23">
      <c r="C709" s="64"/>
      <c r="D709" s="64"/>
      <c r="E709" s="64"/>
      <c r="F709" s="64"/>
      <c r="G709" s="64"/>
      <c r="H709" s="64"/>
      <c r="I709" s="64"/>
      <c r="J709" s="64"/>
      <c r="K709" s="64"/>
      <c r="L709" s="64"/>
      <c r="M709" s="64"/>
      <c r="N709" s="64"/>
      <c r="O709" s="64"/>
      <c r="P709" s="64"/>
      <c r="Q709" s="116"/>
      <c r="R709" s="64"/>
      <c r="S709" s="64"/>
      <c r="T709" s="64"/>
      <c r="U709" s="64"/>
      <c r="V709" s="64"/>
      <c r="W709" s="64"/>
    </row>
  </sheetData>
  <mergeCells count="1">
    <mergeCell ref="I3:J3"/>
  </mergeCells>
  <phoneticPr fontId="75" type="noConversion"/>
  <pageMargins left="0.45" right="0.25" top="0.25" bottom="0.5" header="0.25" footer="0.3"/>
  <pageSetup scale="69" fitToHeight="0" orientation="landscape" r:id="rId1"/>
  <headerFooter>
    <oddFooter>&amp;L&amp;"Arial Narrow,Regular"&amp;8&amp;Z&amp;F</oddFooter>
  </headerFooter>
  <rowBreaks count="1" manualBreakCount="1">
    <brk id="150"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68"/>
  <sheetViews>
    <sheetView zoomScaleNormal="100" workbookViewId="0">
      <pane ySplit="6" topLeftCell="A102" activePane="bottomLeft" state="frozen"/>
      <selection pane="bottomLeft" activeCell="N135" sqref="N135"/>
    </sheetView>
  </sheetViews>
  <sheetFormatPr defaultRowHeight="12.75"/>
  <cols>
    <col min="1" max="1" width="10" customWidth="1"/>
    <col min="2" max="2" width="47.140625" customWidth="1"/>
    <col min="3" max="3" width="14" bestFit="1" customWidth="1"/>
    <col min="4" max="4" width="13.42578125" customWidth="1"/>
    <col min="5" max="5" width="14.140625" customWidth="1"/>
    <col min="6" max="6" width="14.5703125" bestFit="1" customWidth="1"/>
    <col min="7" max="7" width="13.5703125" customWidth="1"/>
    <col min="8" max="8" width="14" bestFit="1" customWidth="1"/>
    <col min="9" max="9" width="13.85546875" customWidth="1"/>
    <col min="10" max="10" width="12.28515625" customWidth="1"/>
    <col min="11" max="11" width="12.85546875" bestFit="1" customWidth="1"/>
    <col min="12" max="12" width="14.85546875" customWidth="1"/>
    <col min="13" max="13" width="3.28515625" customWidth="1"/>
    <col min="14" max="14" width="13.28515625" customWidth="1"/>
    <col min="15" max="15" width="10.28515625" customWidth="1"/>
    <col min="19" max="19" width="10.85546875" bestFit="1" customWidth="1"/>
    <col min="20" max="20" width="10.28515625" bestFit="1" customWidth="1"/>
    <col min="21" max="21" width="12.85546875" bestFit="1" customWidth="1"/>
  </cols>
  <sheetData>
    <row r="1" spans="1:21" ht="20.25">
      <c r="A1" s="1" t="s">
        <v>42</v>
      </c>
      <c r="B1" s="2"/>
      <c r="C1" s="2"/>
      <c r="D1" s="3"/>
      <c r="E1" s="3"/>
      <c r="F1" s="4"/>
      <c r="G1" s="4"/>
      <c r="H1" s="4"/>
      <c r="I1" s="4"/>
      <c r="J1" s="5"/>
      <c r="K1" s="4"/>
      <c r="L1" s="4"/>
    </row>
    <row r="2" spans="1:21" ht="15.75">
      <c r="A2" s="6" t="s">
        <v>115</v>
      </c>
      <c r="B2" s="2"/>
      <c r="C2" s="2"/>
      <c r="D2" s="3"/>
      <c r="E2" s="3"/>
      <c r="F2" s="4"/>
      <c r="G2" s="4"/>
      <c r="H2" s="4"/>
      <c r="I2" s="4"/>
      <c r="J2" s="5"/>
      <c r="K2" s="4"/>
      <c r="L2" s="4"/>
    </row>
    <row r="3" spans="1:21" ht="15.75">
      <c r="A3" s="6" t="str">
        <f>+GAAP!A4</f>
        <v>For the Month Period Ended 12/31/2025</v>
      </c>
      <c r="B3" s="2"/>
      <c r="C3" s="5"/>
      <c r="D3" s="3"/>
      <c r="E3" s="3"/>
      <c r="F3" s="7"/>
      <c r="G3" s="7"/>
      <c r="H3" s="7"/>
      <c r="I3" s="7"/>
      <c r="J3" s="8"/>
      <c r="K3" s="7"/>
      <c r="L3" s="7"/>
    </row>
    <row r="4" spans="1:21">
      <c r="A4" s="9"/>
      <c r="B4" s="9"/>
      <c r="C4" s="9" t="s">
        <v>0</v>
      </c>
      <c r="D4" s="10" t="s">
        <v>46</v>
      </c>
      <c r="E4" s="11" t="s">
        <v>1</v>
      </c>
      <c r="F4" s="11" t="s">
        <v>2</v>
      </c>
      <c r="G4" s="12" t="s">
        <v>3</v>
      </c>
      <c r="H4" s="12" t="s">
        <v>1</v>
      </c>
      <c r="I4" s="12" t="s">
        <v>1</v>
      </c>
      <c r="J4" s="12" t="s">
        <v>4</v>
      </c>
      <c r="K4" s="13"/>
      <c r="L4" s="12" t="s">
        <v>5</v>
      </c>
    </row>
    <row r="5" spans="1:21">
      <c r="A5" s="9"/>
      <c r="B5" s="9"/>
      <c r="C5" s="17" t="s">
        <v>6</v>
      </c>
      <c r="D5" s="10" t="s">
        <v>7</v>
      </c>
      <c r="E5" s="18" t="s">
        <v>3</v>
      </c>
      <c r="F5" s="11" t="s">
        <v>8</v>
      </c>
      <c r="G5" s="19" t="s">
        <v>9</v>
      </c>
      <c r="H5" s="12" t="s">
        <v>3</v>
      </c>
      <c r="I5" s="19" t="s">
        <v>3</v>
      </c>
      <c r="J5" s="19" t="s">
        <v>10</v>
      </c>
      <c r="K5" s="173" t="s">
        <v>134</v>
      </c>
      <c r="L5" s="12" t="s">
        <v>11</v>
      </c>
    </row>
    <row r="6" spans="1:21">
      <c r="A6" s="21" t="s">
        <v>14</v>
      </c>
      <c r="B6" s="21"/>
      <c r="C6" s="21" t="s">
        <v>15</v>
      </c>
      <c r="D6" s="22" t="s">
        <v>6</v>
      </c>
      <c r="E6" s="23" t="s">
        <v>16</v>
      </c>
      <c r="F6" s="24" t="s">
        <v>15</v>
      </c>
      <c r="G6" s="25" t="s">
        <v>12</v>
      </c>
      <c r="H6" s="25" t="s">
        <v>2</v>
      </c>
      <c r="I6" s="25" t="s">
        <v>17</v>
      </c>
      <c r="J6" s="26" t="s">
        <v>18</v>
      </c>
      <c r="K6" s="174" t="s">
        <v>135</v>
      </c>
      <c r="L6" s="26" t="s">
        <v>19</v>
      </c>
    </row>
    <row r="7" spans="1:21">
      <c r="A7" s="262">
        <f>+GAAP!A9</f>
        <v>51.110799999999998</v>
      </c>
      <c r="B7" s="97" t="str">
        <f>IF(GAAP!$G9&lt;2,+GAAP!B9," " )</f>
        <v>City of Stockton - RWCF Phase 2A/2B</v>
      </c>
      <c r="C7" s="30">
        <f>IF(GAAP!$G9&lt;2,+GAAP!J9," " )</f>
        <v>94045647.859999999</v>
      </c>
      <c r="D7" s="30">
        <f>IF(GAAP!$G9&lt;2,+GAAP!M9," " )</f>
        <v>0</v>
      </c>
      <c r="E7" s="30">
        <f>IF(GAAP!$G9&lt;2,+GAAP!C9," " )</f>
        <v>94045647.859999999</v>
      </c>
      <c r="F7" s="30">
        <f>IF(GAAP!$G9&lt;2,+GAAP!F9," " )</f>
        <v>89805617.799999997</v>
      </c>
      <c r="G7" s="30">
        <f>IF(GAAP!$G9&lt;2,+GAAP!L9," " )</f>
        <v>0</v>
      </c>
      <c r="H7" s="30">
        <f>IF(GAAP!$G9&lt;2,+GAAP!D9," " )</f>
        <v>89805617.799999997</v>
      </c>
      <c r="I7" s="30">
        <f>IF(GAAP!$G9&lt;2,+GAAP!E9," " )</f>
        <v>4240030.0600000024</v>
      </c>
      <c r="J7" s="31">
        <f>IF(GAAP!$G9&lt;2,+GAAP!G9," " )</f>
        <v>1</v>
      </c>
      <c r="K7" s="30">
        <f>IF(GAAP!$G9&lt;2,+GAAP!H9," " )</f>
        <v>4240030.0600000024</v>
      </c>
      <c r="L7" s="30">
        <f>+GAAP!K9</f>
        <v>0</v>
      </c>
      <c r="S7" s="33">
        <f>K7-'Bonus WIP'!K8</f>
        <v>-80728.849999997765</v>
      </c>
      <c r="T7" s="33">
        <f>L7-'Bonus WIP'!L8</f>
        <v>80728.84999999404</v>
      </c>
    </row>
    <row r="8" spans="1:21">
      <c r="A8" s="262">
        <f>+GAAP!A10</f>
        <v>51.112900000000003</v>
      </c>
      <c r="B8" s="97" t="str">
        <f>IF(GAAP!$G10&lt;2,+GAAP!B10," " )</f>
        <v>Union Sanit. Dist - Enhanced Trtmnt &amp; Site Upgrd Ph. 1A Aeration Basin</v>
      </c>
      <c r="C8" s="30">
        <f>IF(GAAP!$G10&lt;2,+GAAP!J10," " )</f>
        <v>96918206.900000006</v>
      </c>
      <c r="D8" s="30">
        <f>IF(GAAP!$G10&lt;2,+GAAP!M10," " )</f>
        <v>29565373.939999998</v>
      </c>
      <c r="E8" s="30">
        <f>IF(GAAP!$G10&lt;2,+GAAP!C10," " )</f>
        <v>126483580.84</v>
      </c>
      <c r="F8" s="30">
        <f>IF(GAAP!$G10&lt;2,+GAAP!F10," " )</f>
        <v>87315159.219999999</v>
      </c>
      <c r="G8" s="30">
        <f>IF(GAAP!$G10&lt;2,+GAAP!L10," " )</f>
        <v>27918421.620000005</v>
      </c>
      <c r="H8" s="30">
        <f>IF(GAAP!$G10&lt;2,+GAAP!D10," " )</f>
        <v>115233580.84</v>
      </c>
      <c r="I8" s="30">
        <f>IF(GAAP!$G10&lt;2,+GAAP!E10," " )</f>
        <v>11250000</v>
      </c>
      <c r="J8" s="31">
        <f>IF(GAAP!$G10&lt;2,+GAAP!G10," " )</f>
        <v>0.75772321387144703</v>
      </c>
      <c r="K8" s="30">
        <f>IF(GAAP!$G10&lt;2,+GAAP!H10," " )</f>
        <v>8524386.1560537796</v>
      </c>
      <c r="L8" s="30">
        <f>+GAAP!K10</f>
        <v>1078661.5239462256</v>
      </c>
      <c r="S8" s="33">
        <f>K8-'Bonus WIP'!K9</f>
        <v>-534407.00000000186</v>
      </c>
      <c r="T8" s="33">
        <f>L8-'Bonus WIP'!L9</f>
        <v>534407</v>
      </c>
    </row>
    <row r="9" spans="1:21">
      <c r="A9" s="262">
        <f>+GAAP!A11</f>
        <v>51.113700000000001</v>
      </c>
      <c r="B9" s="97" t="str">
        <f>IF(GAAP!$G11&lt;2,+GAAP!B11," " )</f>
        <v>CA Water Service Co. - Bear Gulch Pump Station 18</v>
      </c>
      <c r="C9" s="30">
        <f>IF(GAAP!$G11&lt;2,+GAAP!J11," " )</f>
        <v>1121900.01</v>
      </c>
      <c r="D9" s="30">
        <f>IF(GAAP!$G11&lt;2,+GAAP!M11," " )</f>
        <v>190251.44999999995</v>
      </c>
      <c r="E9" s="30">
        <f>IF(GAAP!$G11&lt;2,+GAAP!C11," " )</f>
        <v>1312151.46</v>
      </c>
      <c r="F9" s="30">
        <f>IF(GAAP!$G11&lt;2,+GAAP!F11," " )</f>
        <v>1042229.29</v>
      </c>
      <c r="G9" s="30">
        <f>IF(GAAP!$G11&lt;2,+GAAP!L11," " )</f>
        <v>156282.16999999993</v>
      </c>
      <c r="H9" s="30">
        <f>IF(GAAP!$G11&lt;2,+GAAP!D11," " )</f>
        <v>1198511.46</v>
      </c>
      <c r="I9" s="30">
        <f>IF(GAAP!$G11&lt;2,+GAAP!E11," " )</f>
        <v>113640</v>
      </c>
      <c r="J9" s="31">
        <f>IF(GAAP!$G11&lt;2,+GAAP!G11," " )</f>
        <v>0.86960310750804171</v>
      </c>
      <c r="K9" s="30">
        <f>IF(GAAP!$G11&lt;2,+GAAP!H11," " )</f>
        <v>98821.697137213865</v>
      </c>
      <c r="L9" s="30">
        <f>+GAAP!K11</f>
        <v>-19150.977137213806</v>
      </c>
      <c r="S9" s="33">
        <f>K9-'Bonus WIP'!K10</f>
        <v>0</v>
      </c>
      <c r="T9" s="33">
        <f>L9-'Bonus WIP'!L10</f>
        <v>0</v>
      </c>
    </row>
    <row r="10" spans="1:21">
      <c r="A10" s="262">
        <f>+GAAP!A12</f>
        <v>51.114400000000003</v>
      </c>
      <c r="B10" s="97" t="str">
        <f>IF(GAAP!$G12&lt;2,+GAAP!B12," " )</f>
        <v>Silicon Valley Clean Water - FEP Improvements Project</v>
      </c>
      <c r="C10" s="30">
        <f>IF(GAAP!$G12&lt;2,+GAAP!J12," " )</f>
        <v>9667725.7699999996</v>
      </c>
      <c r="D10" s="30">
        <f>IF(GAAP!$G12&lt;2,+GAAP!M12," " )</f>
        <v>5301840.2300000004</v>
      </c>
      <c r="E10" s="30">
        <f>IF(GAAP!$G12&lt;2,+GAAP!C12," " )</f>
        <v>14969566</v>
      </c>
      <c r="F10" s="30">
        <f>IF(GAAP!$G12&lt;2,+GAAP!F12," " )</f>
        <v>8406760.8000000007</v>
      </c>
      <c r="G10" s="30">
        <f>IF(GAAP!$G12&lt;2,+GAAP!L12," " )</f>
        <v>5432856.1999999993</v>
      </c>
      <c r="H10" s="30">
        <f>IF(GAAP!$G12&lt;2,+GAAP!D12," " )</f>
        <v>13839617</v>
      </c>
      <c r="I10" s="30">
        <f>IF(GAAP!$G12&lt;2,+GAAP!E12," " )</f>
        <v>1129949</v>
      </c>
      <c r="J10" s="31">
        <f>IF(GAAP!$G12&lt;2,+GAAP!G12," " )</f>
        <v>0.60744172327890289</v>
      </c>
      <c r="K10" s="30">
        <f>IF(GAAP!$G12&lt;2,+GAAP!H12," " )</f>
        <v>686378.16777727299</v>
      </c>
      <c r="L10" s="30">
        <f>+GAAP!K12</f>
        <v>574586.802222725</v>
      </c>
      <c r="S10" s="33">
        <f>K10-'Bonus WIP'!K11</f>
        <v>0</v>
      </c>
      <c r="T10" s="33">
        <f>L10-'Bonus WIP'!L11</f>
        <v>0</v>
      </c>
    </row>
    <row r="11" spans="1:21">
      <c r="A11" s="262">
        <f>+GAAP!A13</f>
        <v>51.114600000000003</v>
      </c>
      <c r="B11" s="97" t="str">
        <f>IF(GAAP!$G13&lt;2,+GAAP!B13," " )</f>
        <v>National Carbon Technologies, LLC - Aymium Williams Production Facility</v>
      </c>
      <c r="C11" s="30">
        <f>IF(GAAP!$G13&lt;2,+GAAP!J13," " )</f>
        <v>60980234</v>
      </c>
      <c r="D11" s="30">
        <f>IF(GAAP!$G13&lt;2,+GAAP!M13," " )</f>
        <v>0</v>
      </c>
      <c r="E11" s="30">
        <f>IF(GAAP!$G13&lt;2,+GAAP!C13," " )</f>
        <v>60980234</v>
      </c>
      <c r="F11" s="30">
        <f>IF(GAAP!$G13&lt;2,+GAAP!F13," " )</f>
        <v>40950686.5</v>
      </c>
      <c r="G11" s="30">
        <f>IF(GAAP!$G13&lt;2,+GAAP!L13," " )</f>
        <v>3246167.5300000012</v>
      </c>
      <c r="H11" s="30">
        <f>IF(GAAP!$G13&lt;2,+GAAP!D13," " )</f>
        <v>44196854.030000001</v>
      </c>
      <c r="I11" s="30">
        <f>IF(GAAP!$G13&lt;2,+GAAP!E13," " )</f>
        <v>16783379.969999999</v>
      </c>
      <c r="J11" s="31">
        <f>IF(GAAP!$G13&lt;2,+GAAP!G13," " )</f>
        <v>0.92655206798663625</v>
      </c>
      <c r="K11" s="30">
        <f>IF(GAAP!$G13&lt;2,+GAAP!H13," " )</f>
        <v>15550675.419008989</v>
      </c>
      <c r="L11" s="30">
        <f>+GAAP!K13</f>
        <v>4478872.0809910148</v>
      </c>
      <c r="S11" s="33">
        <f>K11-'Bonus WIP'!K12</f>
        <v>-173716.61826322228</v>
      </c>
      <c r="T11" s="33">
        <f>L11-'Bonus WIP'!L12</f>
        <v>173716.61826322973</v>
      </c>
      <c r="U11" s="33"/>
    </row>
    <row r="12" spans="1:21">
      <c r="A12" s="262">
        <f>+GAAP!A14</f>
        <v>51.115099999999998</v>
      </c>
      <c r="B12" s="97" t="str">
        <f>IF(GAAP!$G14&lt;2,+GAAP!B14," " )</f>
        <v>Sonoma Valley County Sanitation Dist. - Sonoma Valley Influent Effluent Upgrade</v>
      </c>
      <c r="C12" s="30">
        <f>IF(GAAP!$G14&lt;2,+GAAP!J14," " )</f>
        <v>5009265.21</v>
      </c>
      <c r="D12" s="30">
        <f>IF(GAAP!$G14&lt;2,+GAAP!M14," " )</f>
        <v>5648934.79</v>
      </c>
      <c r="E12" s="30">
        <f>IF(GAAP!$G14&lt;2,+GAAP!C14," " )</f>
        <v>10658200</v>
      </c>
      <c r="F12" s="30">
        <f>IF(GAAP!$G14&lt;2,+GAAP!F14," " )</f>
        <v>4923435.18</v>
      </c>
      <c r="G12" s="30">
        <f>IF(GAAP!$G14&lt;2,+GAAP!L14," " )</f>
        <v>5155916.82</v>
      </c>
      <c r="H12" s="30">
        <f>IF(GAAP!$G14&lt;2,+GAAP!D14," " )</f>
        <v>10079352</v>
      </c>
      <c r="I12" s="30">
        <f>IF(GAAP!$G14&lt;2,+GAAP!E14," " )</f>
        <v>578848</v>
      </c>
      <c r="J12" s="31">
        <f>IF(GAAP!$G14&lt;2,+GAAP!G14," " )</f>
        <v>0.48846743123962727</v>
      </c>
      <c r="K12" s="30">
        <f>IF(GAAP!$G14&lt;2,+GAAP!H14," " )</f>
        <v>282748.39563819574</v>
      </c>
      <c r="L12" s="30">
        <f>+GAAP!K14</f>
        <v>-196918.36563819554</v>
      </c>
      <c r="S12" s="33">
        <f>K12-'Bonus WIP'!K13</f>
        <v>0</v>
      </c>
      <c r="T12" s="33">
        <f>L12-'Bonus WIP'!L13</f>
        <v>0</v>
      </c>
    </row>
    <row r="13" spans="1:21">
      <c r="A13" s="262">
        <f>+GAAP!A15</f>
        <v>51.115200000000002</v>
      </c>
      <c r="B13" s="97" t="str">
        <f>IF(GAAP!$G15&lt;2,+GAAP!B15," " )</f>
        <v>Mozingo Construction Inc - ElD Sly Park Intertie Project</v>
      </c>
      <c r="C13" s="30">
        <f>IF(GAAP!$G15&lt;2,+GAAP!J15," " )</f>
        <v>15610649.01</v>
      </c>
      <c r="D13" s="30">
        <f>IF(GAAP!$G15&lt;2,+GAAP!M15," " )</f>
        <v>4363840.33</v>
      </c>
      <c r="E13" s="30">
        <f>IF(GAAP!$G15&lt;2,+GAAP!C15," " )</f>
        <v>19974489.34</v>
      </c>
      <c r="F13" s="30">
        <f>IF(GAAP!$G15&lt;2,+GAAP!F15," " )</f>
        <v>13474808.539999999</v>
      </c>
      <c r="G13" s="30">
        <f>IF(GAAP!$G15&lt;2,+GAAP!L15," " )</f>
        <v>5154139.8000000007</v>
      </c>
      <c r="H13" s="30">
        <f>IF(GAAP!$G15&lt;2,+GAAP!D15," " )</f>
        <v>18628948.34</v>
      </c>
      <c r="I13" s="30">
        <f>IF(GAAP!$G15&lt;2,+GAAP!E15," " )</f>
        <v>1345541</v>
      </c>
      <c r="J13" s="31">
        <f>IF(GAAP!$G15&lt;2,+GAAP!G15," " )</f>
        <v>0.72332631418956417</v>
      </c>
      <c r="K13" s="30">
        <f>IF(GAAP!$G15&lt;2,+GAAP!H15," " )</f>
        <v>973265.21212094033</v>
      </c>
      <c r="L13" s="30">
        <f>+GAAP!K15</f>
        <v>1162575.2578790598</v>
      </c>
      <c r="S13" s="33">
        <f>K13-'Bonus WIP'!K14</f>
        <v>0</v>
      </c>
      <c r="T13" s="33">
        <f>L13-'Bonus WIP'!L14</f>
        <v>0</v>
      </c>
    </row>
    <row r="14" spans="1:21">
      <c r="A14" s="262">
        <f>+GAAP!A16</f>
        <v>51.115299999999998</v>
      </c>
      <c r="B14" s="97" t="str">
        <f>IF(GAAP!$G16&lt;2,+GAAP!B16," " )</f>
        <v>Linda County Water Dist. - Aeration Blower Replacement</v>
      </c>
      <c r="C14" s="30">
        <f>IF(GAAP!$G16&lt;2,+GAAP!J16," " )</f>
        <v>549548.82999999996</v>
      </c>
      <c r="D14" s="30">
        <f>IF(GAAP!$G16&lt;2,+GAAP!M16," " )</f>
        <v>13275.850000000093</v>
      </c>
      <c r="E14" s="30">
        <f>IF(GAAP!$G16&lt;2,+GAAP!C16," " )</f>
        <v>562824.68000000005</v>
      </c>
      <c r="F14" s="30">
        <f>IF(GAAP!$G16&lt;2,+GAAP!F16," " )</f>
        <v>334550.81</v>
      </c>
      <c r="G14" s="30">
        <f>IF(GAAP!$G16&lt;2,+GAAP!L16," " )</f>
        <v>119969.87000000005</v>
      </c>
      <c r="H14" s="30">
        <f>IF(GAAP!$G16&lt;2,+GAAP!D16," " )</f>
        <v>454520.68000000005</v>
      </c>
      <c r="I14" s="30">
        <f>IF(GAAP!$G16&lt;2,+GAAP!E16," " )</f>
        <v>108304</v>
      </c>
      <c r="J14" s="31">
        <f>IF(GAAP!$G16&lt;2,+GAAP!G16," " )</f>
        <v>0.7360518997727451</v>
      </c>
      <c r="K14" s="30">
        <f>IF(GAAP!$G16&lt;2,+GAAP!H16," " )</f>
        <v>79717.36495298738</v>
      </c>
      <c r="L14" s="30">
        <f>+GAAP!K16</f>
        <v>135280.65504701261</v>
      </c>
      <c r="S14" s="33">
        <f>K14-'Bonus WIP'!K15</f>
        <v>0</v>
      </c>
      <c r="T14" s="33">
        <f>L14-'Bonus WIP'!L15</f>
        <v>0</v>
      </c>
    </row>
    <row r="15" spans="1:21">
      <c r="A15" s="262">
        <f>+GAAP!A17</f>
        <v>51.115400000000001</v>
      </c>
      <c r="B15" s="97" t="str">
        <f>IF(GAAP!$G17&lt;2,+GAAP!B17," " )</f>
        <v>Keyes Community Services Dist. - TCP Treatment Impvmts Wells 7,8,9,10</v>
      </c>
      <c r="C15" s="30">
        <f>IF(GAAP!$G17&lt;2,+GAAP!J17," " )</f>
        <v>13340008</v>
      </c>
      <c r="D15" s="30">
        <f>IF(GAAP!$G17&lt;2,+GAAP!M17," " )</f>
        <v>23827</v>
      </c>
      <c r="E15" s="30">
        <f>IF(GAAP!$G17&lt;2,+GAAP!C17," " )</f>
        <v>13363835</v>
      </c>
      <c r="F15" s="30">
        <f>IF(GAAP!$G17&lt;2,+GAAP!F17," " )</f>
        <v>11872342.6</v>
      </c>
      <c r="G15" s="30">
        <f>IF(GAAP!$G17&lt;2,+GAAP!L17," " )</f>
        <v>616492.40000000037</v>
      </c>
      <c r="H15" s="30">
        <f>IF(GAAP!$G17&lt;2,+GAAP!D17," " )</f>
        <v>12488835</v>
      </c>
      <c r="I15" s="30">
        <f>IF(GAAP!$G17&lt;2,+GAAP!E17," " )</f>
        <v>875000</v>
      </c>
      <c r="J15" s="31">
        <f>IF(GAAP!$G17&lt;2,+GAAP!G17," " )</f>
        <v>0.95063651653657044</v>
      </c>
      <c r="K15" s="30">
        <f>IF(GAAP!$G17&lt;2,+GAAP!H17," " )</f>
        <v>831806.95196949912</v>
      </c>
      <c r="L15" s="30">
        <f>+GAAP!K17</f>
        <v>635858.4480305016</v>
      </c>
      <c r="S15" s="33">
        <f>K15-'Bonus WIP'!K16</f>
        <v>0</v>
      </c>
      <c r="T15" s="33">
        <f>L15-'Bonus WIP'!L16</f>
        <v>0</v>
      </c>
    </row>
    <row r="16" spans="1:21">
      <c r="A16" s="262">
        <f>+GAAP!A18</f>
        <v>51.1158</v>
      </c>
      <c r="B16" s="97" t="str">
        <f>IF(GAAP!$G18&lt;2,+GAAP!B18," " )</f>
        <v>Schneider Electric - City of Ceres WWTP Phase 1- Schneider Electric</v>
      </c>
      <c r="C16" s="30">
        <f>IF(GAAP!$G18&lt;2,+GAAP!J18," " )</f>
        <v>32282</v>
      </c>
      <c r="D16" s="30">
        <f>IF(GAAP!$G18&lt;2,+GAAP!M18," " )</f>
        <v>72164</v>
      </c>
      <c r="E16" s="30">
        <f>IF(GAAP!$G18&lt;2,+GAAP!C18," " )</f>
        <v>104446</v>
      </c>
      <c r="F16" s="30">
        <f>IF(GAAP!$G18&lt;2,+GAAP!F18," " )</f>
        <v>56960.69</v>
      </c>
      <c r="G16" s="30">
        <f>IF(GAAP!$G18&lt;2,+GAAP!L18," " )</f>
        <v>47485.31</v>
      </c>
      <c r="H16" s="30">
        <f>IF(GAAP!$G18&lt;2,+GAAP!D18," " )</f>
        <v>104446</v>
      </c>
      <c r="I16" s="30">
        <f>IF(GAAP!$G18&lt;2,+GAAP!E18," " )</f>
        <v>0</v>
      </c>
      <c r="J16" s="31">
        <f>IF(GAAP!$G18&lt;2,+GAAP!G18," " )</f>
        <v>0.54536018612488757</v>
      </c>
      <c r="K16" s="30">
        <f>IF(GAAP!$G18&lt;2,+GAAP!H18," " )</f>
        <v>0</v>
      </c>
      <c r="L16" s="30">
        <f>+GAAP!K18</f>
        <v>-24678.690000000002</v>
      </c>
      <c r="S16" s="33">
        <f>K16-'Bonus WIP'!K17</f>
        <v>0</v>
      </c>
      <c r="T16" s="33">
        <f>L16-'Bonus WIP'!L17</f>
        <v>0</v>
      </c>
    </row>
    <row r="17" spans="1:22">
      <c r="A17" s="262">
        <f>+GAAP!A19</f>
        <v>51.115900000000003</v>
      </c>
      <c r="B17" s="97" t="str">
        <f>IF(GAAP!$G19&lt;2,+GAAP!B19," " )</f>
        <v>El Dorado Irrigation Dist. - EID Reservoir A WTP Backwash-to-waste Valve Repalcement</v>
      </c>
      <c r="C17" s="30">
        <f>IF(GAAP!$G19&lt;2,+GAAP!J19," " )</f>
        <v>732995</v>
      </c>
      <c r="D17" s="30">
        <f>IF(GAAP!$G19&lt;2,+GAAP!M19," " )</f>
        <v>466005</v>
      </c>
      <c r="E17" s="30">
        <f>IF(GAAP!$G19&lt;2,+GAAP!C19," " )</f>
        <v>1199000</v>
      </c>
      <c r="F17" s="30">
        <f>IF(GAAP!$G19&lt;2,+GAAP!F19," " )</f>
        <v>790051.12</v>
      </c>
      <c r="G17" s="30">
        <f>IF(GAAP!$G19&lt;2,+GAAP!L19," " )</f>
        <v>289188.88</v>
      </c>
      <c r="H17" s="30">
        <f>IF(GAAP!$G19&lt;2,+GAAP!D19," " )</f>
        <v>1079240</v>
      </c>
      <c r="I17" s="30">
        <f>IF(GAAP!$G19&lt;2,+GAAP!E19," " )</f>
        <v>119760</v>
      </c>
      <c r="J17" s="31">
        <f>IF(GAAP!$G19&lt;2,+GAAP!G19," " )</f>
        <v>0.73204395685853008</v>
      </c>
      <c r="K17" s="30">
        <f>IF(GAAP!$G19&lt;2,+GAAP!H19," " )</f>
        <v>87669.584273377564</v>
      </c>
      <c r="L17" s="30">
        <f>+GAAP!K19</f>
        <v>-144725.70427337755</v>
      </c>
      <c r="S17" s="33">
        <f>K17-'Bonus WIP'!K18</f>
        <v>0</v>
      </c>
      <c r="T17" s="33">
        <f>L17-'Bonus WIP'!L18</f>
        <v>0</v>
      </c>
    </row>
    <row r="18" spans="1:22">
      <c r="A18" s="262">
        <f>+GAAP!A20</f>
        <v>51.116</v>
      </c>
      <c r="B18" s="97" t="str">
        <f>IF(GAAP!$G20&lt;2,+GAAP!B20," " )</f>
        <v>City of Galt Public Works - Industrial WWTP Expansion</v>
      </c>
      <c r="C18" s="30">
        <f>IF(GAAP!$G20&lt;2,+GAAP!J20," " )</f>
        <v>223725</v>
      </c>
      <c r="D18" s="30">
        <f>IF(GAAP!$G20&lt;2,+GAAP!M20," " )</f>
        <v>1533275</v>
      </c>
      <c r="E18" s="30">
        <f>IF(GAAP!$G20&lt;2,+GAAP!C20," " )</f>
        <v>1757000</v>
      </c>
      <c r="F18" s="30">
        <f>IF(GAAP!$G20&lt;2,+GAAP!F20," " )</f>
        <v>250518.05</v>
      </c>
      <c r="G18" s="30">
        <f>IF(GAAP!$G20&lt;2,+GAAP!L20," " )</f>
        <v>1439481.95</v>
      </c>
      <c r="H18" s="30">
        <f>IF(GAAP!$G20&lt;2,+GAAP!D20," " )</f>
        <v>1690000</v>
      </c>
      <c r="I18" s="30">
        <f>IF(GAAP!$G20&lt;2,+GAAP!E20," " )</f>
        <v>67000</v>
      </c>
      <c r="J18" s="31">
        <f>IF(GAAP!$G20&lt;2,+GAAP!G20," " )</f>
        <v>0.14823553254437868</v>
      </c>
      <c r="K18" s="30">
        <f>IF(GAAP!$G20&lt;2,+GAAP!H20," " )</f>
        <v>9931.7806804733718</v>
      </c>
      <c r="L18" s="30">
        <f>+GAAP!K20</f>
        <v>-36724.830680473358</v>
      </c>
      <c r="S18" s="33">
        <f>K18-'Bonus WIP'!K19</f>
        <v>9931.7806804733718</v>
      </c>
      <c r="T18" s="33">
        <f>L18-'Bonus WIP'!L19</f>
        <v>-9931.78068047337</v>
      </c>
    </row>
    <row r="19" spans="1:22">
      <c r="A19" s="262">
        <f>+GAAP!A21</f>
        <v>51.116100000000003</v>
      </c>
      <c r="B19" s="97" t="str">
        <f>IF(GAAP!$G21&lt;2,+GAAP!B21," " )</f>
        <v>Sacramento Area Sewer Dist. - SASD Influent Pump Nos. 2 and 5 Installation Project</v>
      </c>
      <c r="C19" s="30">
        <f>IF(GAAP!$G21&lt;2,+GAAP!J21," " )</f>
        <v>745707.2</v>
      </c>
      <c r="D19" s="30">
        <f>IF(GAAP!$G21&lt;2,+GAAP!M21," " )</f>
        <v>10102892.25</v>
      </c>
      <c r="E19" s="30">
        <f>IF(GAAP!$G21&lt;2,+GAAP!C21," " )</f>
        <v>10848599.449999999</v>
      </c>
      <c r="F19" s="30">
        <f>IF(GAAP!$G21&lt;2,+GAAP!F21," " )</f>
        <v>601852.17000000004</v>
      </c>
      <c r="G19" s="30">
        <f>IF(GAAP!$G21&lt;2,+GAAP!L21," " )</f>
        <v>9659400.2799999993</v>
      </c>
      <c r="H19" s="30">
        <f>IF(GAAP!$G21&lt;2,+GAAP!D21," " )</f>
        <v>10261252.449999999</v>
      </c>
      <c r="I19" s="30">
        <f>IF(GAAP!$G21&lt;2,+GAAP!E21," " )</f>
        <v>587347</v>
      </c>
      <c r="J19" s="31">
        <f>IF(GAAP!$G21&lt;2,+GAAP!G21," " )</f>
        <v>5.8652895729117367E-2</v>
      </c>
      <c r="K19" s="30">
        <f>IF(GAAP!$G21&lt;2,+GAAP!H21," " )</f>
        <v>0</v>
      </c>
      <c r="L19" s="30">
        <f>+GAAP!K21</f>
        <v>143855.02999999991</v>
      </c>
      <c r="S19" s="33">
        <f>K19-'Bonus WIP'!K20</f>
        <v>0</v>
      </c>
      <c r="T19" s="33">
        <f>L19-'Bonus WIP'!L20</f>
        <v>0</v>
      </c>
    </row>
    <row r="20" spans="1:22">
      <c r="A20" s="262">
        <f>+GAAP!A22</f>
        <v>51.116199999999999</v>
      </c>
      <c r="B20" s="97" t="str">
        <f>IF(GAAP!$G22&lt;2,+GAAP!B22," " )</f>
        <v>City of Chico - Chico Primary Clarifiers No. 1-3 Rehabilitation Project</v>
      </c>
      <c r="C20" s="30">
        <f>IF(GAAP!$G22&lt;2,+GAAP!J22," " )</f>
        <v>0</v>
      </c>
      <c r="D20" s="30">
        <f>IF(GAAP!$G22&lt;2,+GAAP!M22," " )</f>
        <v>6029750</v>
      </c>
      <c r="E20" s="30">
        <f>IF(GAAP!$G22&lt;2,+GAAP!C22," " )</f>
        <v>6029750</v>
      </c>
      <c r="F20" s="30">
        <f>IF(GAAP!$G22&lt;2,+GAAP!F22," " )</f>
        <v>85941.38</v>
      </c>
      <c r="G20" s="30">
        <f>IF(GAAP!$G22&lt;2,+GAAP!L22," " )</f>
        <v>5759321.6200000001</v>
      </c>
      <c r="H20" s="30">
        <f>IF(GAAP!$G22&lt;2,+GAAP!D22," " )</f>
        <v>5845263</v>
      </c>
      <c r="I20" s="30">
        <f>IF(GAAP!$G22&lt;2,+GAAP!E22," " )</f>
        <v>184487</v>
      </c>
      <c r="J20" s="31">
        <f>IF(GAAP!$G22&lt;2,+GAAP!G22," " )</f>
        <v>1.4702739637207087E-2</v>
      </c>
      <c r="K20" s="30">
        <f>IF(GAAP!$G22&lt;2,+GAAP!H22," " )</f>
        <v>0</v>
      </c>
      <c r="L20" s="30">
        <f>+GAAP!K22</f>
        <v>-85941.38</v>
      </c>
      <c r="S20" s="33">
        <f>K20-'Bonus WIP'!K21</f>
        <v>0</v>
      </c>
      <c r="T20" s="33">
        <f>L20-'Bonus WIP'!L21</f>
        <v>0</v>
      </c>
    </row>
    <row r="21" spans="1:22">
      <c r="A21" s="262">
        <f>+GAAP!A23</f>
        <v>51.116399999999999</v>
      </c>
      <c r="B21" s="97" t="str">
        <f>IF(GAAP!$G23&lt;2,+GAAP!B23," " )</f>
        <v>CA Water Service Co. - Stockton Roofing</v>
      </c>
      <c r="C21" s="30">
        <f>IF(GAAP!$G23&lt;2,+GAAP!J23," " )</f>
        <v>0</v>
      </c>
      <c r="D21" s="30">
        <f>IF(GAAP!$G23&lt;2,+GAAP!M23," " )</f>
        <v>387260</v>
      </c>
      <c r="E21" s="30">
        <f>IF(GAAP!$G23&lt;2,+GAAP!C23," " )</f>
        <v>387260</v>
      </c>
      <c r="F21" s="30">
        <f>IF(GAAP!$G23&lt;2,+GAAP!F23," " )</f>
        <v>4363.25</v>
      </c>
      <c r="G21" s="30">
        <f>IF(GAAP!$G23&lt;2,+GAAP!L23," " )</f>
        <v>379023.75</v>
      </c>
      <c r="H21" s="30">
        <f>IF(GAAP!$G23&lt;2,+GAAP!D23," " )</f>
        <v>383387</v>
      </c>
      <c r="I21" s="30">
        <f>IF(GAAP!$G23&lt;2,+GAAP!E23," " )</f>
        <v>3873</v>
      </c>
      <c r="J21" s="31">
        <f>IF(GAAP!$G23&lt;2,+GAAP!G23," " )</f>
        <v>1.1380797992628857E-2</v>
      </c>
      <c r="K21" s="30">
        <f>IF(GAAP!$G23&lt;2,+GAAP!H23," " )</f>
        <v>0</v>
      </c>
      <c r="L21" s="30">
        <f>+GAAP!K23</f>
        <v>-4363.25</v>
      </c>
      <c r="S21" s="33">
        <f>K21-'Bonus WIP'!K22</f>
        <v>0</v>
      </c>
      <c r="T21" s="33">
        <f>L21-'Bonus WIP'!L22</f>
        <v>0</v>
      </c>
      <c r="U21" s="200"/>
      <c r="V21" s="200"/>
    </row>
    <row r="22" spans="1:22">
      <c r="A22" s="262">
        <f>+GAAP!A24</f>
        <v>51.116500000000002</v>
      </c>
      <c r="B22" s="97" t="str">
        <f>IF(GAAP!$G24&lt;2,+GAAP!B24," " )</f>
        <v>City of Yuba City - WTP Aquifer Storage and Recovery Well No. 3</v>
      </c>
      <c r="C22" s="30">
        <f>IF(GAAP!$G24&lt;2,+GAAP!J24," " )</f>
        <v>0</v>
      </c>
      <c r="D22" s="30">
        <f>IF(GAAP!$G24&lt;2,+GAAP!M24," " )</f>
        <v>5304500</v>
      </c>
      <c r="E22" s="30">
        <f>IF(GAAP!$G24&lt;2,+GAAP!C24," " )</f>
        <v>5304500</v>
      </c>
      <c r="F22" s="30">
        <f>IF(GAAP!$G24&lt;2,+GAAP!F24," " )</f>
        <v>23330.33</v>
      </c>
      <c r="G22" s="30">
        <f>IF(GAAP!$G24&lt;2,+GAAP!L24," " )</f>
        <v>4863112.67</v>
      </c>
      <c r="H22" s="30">
        <f>IF(GAAP!$G24&lt;2,+GAAP!D24," " )</f>
        <v>4886443</v>
      </c>
      <c r="I22" s="30">
        <f>IF(GAAP!$G24&lt;2,+GAAP!E24," " )</f>
        <v>418057</v>
      </c>
      <c r="J22" s="31">
        <f>IF(GAAP!$G24&lt;2,+GAAP!G24," " )</f>
        <v>4.7745016160016607E-3</v>
      </c>
      <c r="K22" s="30">
        <f>IF(GAAP!$G24&lt;2,+GAAP!H24," " )</f>
        <v>0</v>
      </c>
      <c r="L22" s="30">
        <f>+GAAP!K24</f>
        <v>-23330.33</v>
      </c>
      <c r="S22" s="33" t="e">
        <f>K22-'Bonus WIP'!#REF!</f>
        <v>#REF!</v>
      </c>
      <c r="T22" s="33" t="e">
        <f>L22-'Bonus WIP'!#REF!</f>
        <v>#REF!</v>
      </c>
      <c r="U22" s="200"/>
      <c r="V22" s="200"/>
    </row>
    <row r="23" spans="1:22" ht="11.25" customHeight="1">
      <c r="A23" s="9"/>
      <c r="B23" s="9"/>
      <c r="C23" s="9"/>
      <c r="D23" s="422"/>
      <c r="E23" s="423"/>
      <c r="F23" s="11"/>
      <c r="G23" s="424"/>
      <c r="H23" s="424"/>
      <c r="I23" s="424"/>
      <c r="J23" s="425"/>
      <c r="K23" s="426"/>
      <c r="L23" s="425"/>
      <c r="S23" s="33">
        <f>K23-'Bonus WIP'!K24</f>
        <v>0</v>
      </c>
      <c r="T23" s="33">
        <f>L23-'Bonus WIP'!L24</f>
        <v>0</v>
      </c>
      <c r="U23" s="200"/>
      <c r="V23" s="200"/>
    </row>
    <row r="24" spans="1:22" ht="12" customHeight="1">
      <c r="A24" s="262">
        <f>+GAAP!A44</f>
        <v>52.856299999999997</v>
      </c>
      <c r="B24" s="97" t="str">
        <f>IF(GAAP!$G44&lt;2,+GAAP!B44," " )</f>
        <v>City of Santa Cruz - Graham Hill WTP Facility Improvements - Phase 1</v>
      </c>
      <c r="C24" s="30">
        <f>IF(GAAP!$G44&lt;2,+GAAP!J44," " )</f>
        <v>1134038.1299999999</v>
      </c>
      <c r="D24" s="30">
        <f>IF(GAAP!$G44&lt;2,+GAAP!M44," " )</f>
        <v>0</v>
      </c>
      <c r="E24" s="30">
        <f>IF(GAAP!$G44&lt;2,+GAAP!C44," " )</f>
        <v>1134038.1299999999</v>
      </c>
      <c r="F24" s="30">
        <f>IF(GAAP!$G44&lt;2,+GAAP!F44," " )</f>
        <v>859077.05</v>
      </c>
      <c r="G24" s="30">
        <f>IF(GAAP!$G44&lt;2,+GAAP!L44," " )</f>
        <v>0</v>
      </c>
      <c r="H24" s="30">
        <f>IF(GAAP!$G44&lt;2,+GAAP!D44," " )</f>
        <v>859077.05</v>
      </c>
      <c r="I24" s="30">
        <f>IF(GAAP!$G44&lt;2,+GAAP!E44," " )</f>
        <v>274961.07999999984</v>
      </c>
      <c r="J24" s="31">
        <f>IF(GAAP!$G44&lt;2,+GAAP!G44," " )</f>
        <v>1</v>
      </c>
      <c r="K24" s="30">
        <f>IF(GAAP!$G44&lt;2,+GAAP!H44," " )</f>
        <v>274961.07999999984</v>
      </c>
      <c r="L24" s="30">
        <f>+GAAP!K44</f>
        <v>0</v>
      </c>
      <c r="N24" s="33"/>
      <c r="S24" s="33">
        <f>K24-'Bonus WIP'!K25</f>
        <v>-18424.160000000149</v>
      </c>
      <c r="T24" s="33">
        <f>L24-'Bonus WIP'!L25</f>
        <v>18424.160000000149</v>
      </c>
      <c r="U24" s="200"/>
      <c r="V24" s="200"/>
    </row>
    <row r="25" spans="1:22" ht="12" customHeight="1">
      <c r="A25" s="262">
        <f>+GAAP!A45</f>
        <v>52.8566</v>
      </c>
      <c r="B25" s="97" t="str">
        <f>IF(GAAP!$G45&lt;2,+GAAP!B45," " )</f>
        <v>City of Visalia - Water Reclamation Facility RPGS SCR System</v>
      </c>
      <c r="C25" s="30">
        <f>IF(GAAP!$G45&lt;2,+GAAP!J45," " )</f>
        <v>1242053</v>
      </c>
      <c r="D25" s="30">
        <f>IF(GAAP!$G45&lt;2,+GAAP!M45," " )</f>
        <v>17345</v>
      </c>
      <c r="E25" s="30">
        <f>IF(GAAP!$G45&lt;2,+GAAP!C45," " )</f>
        <v>1259398</v>
      </c>
      <c r="F25" s="30">
        <f>IF(GAAP!$G45&lt;2,+GAAP!F45," " )</f>
        <v>1023821.05</v>
      </c>
      <c r="G25" s="30">
        <f>IF(GAAP!$G45&lt;2,+GAAP!L45," " )</f>
        <v>5576.9499999999534</v>
      </c>
      <c r="H25" s="30">
        <f>IF(GAAP!$G45&lt;2,+GAAP!D45," " )</f>
        <v>1029398</v>
      </c>
      <c r="I25" s="30">
        <f>IF(GAAP!$G45&lt;2,+GAAP!E45," " )</f>
        <v>230000</v>
      </c>
      <c r="J25" s="31">
        <f>IF(GAAP!$G45&lt;2,+GAAP!G45," " )</f>
        <v>0.99458231898643679</v>
      </c>
      <c r="K25" s="30">
        <f>IF(GAAP!$G45&lt;2,+GAAP!H45," " )</f>
        <v>228753.93336688046</v>
      </c>
      <c r="L25" s="30">
        <f>+GAAP!K45</f>
        <v>-10521.983366880566</v>
      </c>
      <c r="N25" s="33"/>
      <c r="S25" s="33">
        <f>K25-'Bonus WIP'!K26</f>
        <v>0</v>
      </c>
      <c r="T25" s="33">
        <f>L25-'Bonus WIP'!L26</f>
        <v>0</v>
      </c>
      <c r="U25" s="200"/>
      <c r="V25" s="200"/>
    </row>
    <row r="26" spans="1:22" ht="12" customHeight="1">
      <c r="A26" s="262">
        <f>+GAAP!A46</f>
        <v>52.858600000000003</v>
      </c>
      <c r="B26" s="97" t="str">
        <f>IF(GAAP!$G46&lt;2,+GAAP!B46," " )</f>
        <v>Tesoro Viejo MMWC- WTP/WWTP/RWSP Phase B Expansion - Phase 1</v>
      </c>
      <c r="C26" s="30">
        <f>IF(GAAP!$G46&lt;2,+GAAP!J46," " )</f>
        <v>12611349</v>
      </c>
      <c r="D26" s="30">
        <f>IF(GAAP!$G46&lt;2,+GAAP!M46," " )</f>
        <v>0</v>
      </c>
      <c r="E26" s="30">
        <f>IF(GAAP!$G46&lt;2,+GAAP!C46," " )</f>
        <v>12611349</v>
      </c>
      <c r="F26" s="30">
        <f>IF(GAAP!$G46&lt;2,+GAAP!F46," " )</f>
        <v>10565460.74</v>
      </c>
      <c r="G26" s="30">
        <f>IF(GAAP!$G46&lt;2,+GAAP!L46," " )</f>
        <v>95888.259999999776</v>
      </c>
      <c r="H26" s="30">
        <f>IF(GAAP!$G46&lt;2,+GAAP!D46," " )</f>
        <v>10661349</v>
      </c>
      <c r="I26" s="30">
        <f>IF(GAAP!$G46&lt;2,+GAAP!E46," " )</f>
        <v>1950000</v>
      </c>
      <c r="J26" s="31">
        <f>IF(GAAP!$G46&lt;2,+GAAP!G46," " )</f>
        <v>0.99100599183086491</v>
      </c>
      <c r="K26" s="30">
        <f>IF(GAAP!$G46&lt;2,+GAAP!H46," " )</f>
        <v>1932461.6840701865</v>
      </c>
      <c r="L26" s="30">
        <f>+GAAP!K46</f>
        <v>113426.57592981309</v>
      </c>
      <c r="N26" s="33"/>
      <c r="O26" s="33"/>
      <c r="P26" s="490"/>
      <c r="S26" s="33">
        <f>K26-'Bonus WIP'!K27</f>
        <v>0</v>
      </c>
      <c r="T26" s="33">
        <f>L26-'Bonus WIP'!L27</f>
        <v>0</v>
      </c>
      <c r="U26" s="200"/>
      <c r="V26" s="200"/>
    </row>
    <row r="27" spans="1:22" ht="12" customHeight="1">
      <c r="A27" s="262">
        <f>+GAAP!A47</f>
        <v>52.863399999999999</v>
      </c>
      <c r="B27" s="97" t="str">
        <f>IF(GAAP!$G47&lt;2,+GAAP!B47," " )</f>
        <v>City of Huron - Water Treatment Plant Imp. Phase 2</v>
      </c>
      <c r="C27" s="30">
        <f>IF(GAAP!$G47&lt;2,+GAAP!J47," " )</f>
        <v>12576768.039999999</v>
      </c>
      <c r="D27" s="30">
        <f>IF(GAAP!$G47&lt;2,+GAAP!M47," " )</f>
        <v>1315954.7000000011</v>
      </c>
      <c r="E27" s="30">
        <f>IF(GAAP!$G47&lt;2,+GAAP!C47," " )</f>
        <v>13892722.74</v>
      </c>
      <c r="F27" s="30">
        <f>IF(GAAP!$G47&lt;2,+GAAP!F47," " )</f>
        <v>11707058.24</v>
      </c>
      <c r="G27" s="30">
        <f>IF(GAAP!$G47&lt;2,+GAAP!L47," " )</f>
        <v>1483664.5</v>
      </c>
      <c r="H27" s="30">
        <f>IF(GAAP!$G47&lt;2,+GAAP!D47," " )</f>
        <v>13190722.74</v>
      </c>
      <c r="I27" s="30">
        <f>IF(GAAP!$G47&lt;2,+GAAP!E47," " )</f>
        <v>702000</v>
      </c>
      <c r="J27" s="31">
        <f>IF(GAAP!$G47&lt;2,+GAAP!G47," " )</f>
        <v>0.8875221222336146</v>
      </c>
      <c r="K27" s="30">
        <f>IF(GAAP!$G47&lt;2,+GAAP!H47," " )</f>
        <v>623040.5298079974</v>
      </c>
      <c r="L27" s="30">
        <f>+GAAP!K47</f>
        <v>246669.27019200101</v>
      </c>
      <c r="N27" s="33"/>
      <c r="S27" s="33">
        <f>K27-'Bonus WIP'!K28</f>
        <v>0</v>
      </c>
      <c r="T27" s="33">
        <f>L27-'Bonus WIP'!L28</f>
        <v>0</v>
      </c>
      <c r="U27" s="200"/>
      <c r="V27" s="200"/>
    </row>
    <row r="28" spans="1:22" ht="12" customHeight="1">
      <c r="A28" s="262">
        <f>+GAAP!A48</f>
        <v>52.863599999999998</v>
      </c>
      <c r="B28" s="97" t="str">
        <f>IF(GAAP!$G48&lt;2,+GAAP!B48," " )</f>
        <v>Anaergia Technologies, LLC - Anaergia M1W Digester Mixing Project</v>
      </c>
      <c r="C28" s="30">
        <f>IF(GAAP!$G48&lt;2,+GAAP!J48," " )</f>
        <v>3065635.6</v>
      </c>
      <c r="D28" s="30">
        <f>IF(GAAP!$G48&lt;2,+GAAP!M48," " )</f>
        <v>590476.39999999991</v>
      </c>
      <c r="E28" s="30">
        <f>IF(GAAP!$G48&lt;2,+GAAP!C48," " )</f>
        <v>3656112</v>
      </c>
      <c r="F28" s="30">
        <f>IF(GAAP!$G48&lt;2,+GAAP!F48," " )</f>
        <v>3367047.36</v>
      </c>
      <c r="G28" s="30">
        <f>IF(GAAP!$G48&lt;2,+GAAP!L48," " )</f>
        <v>14064.64000000013</v>
      </c>
      <c r="H28" s="30">
        <f>IF(GAAP!$G48&lt;2,+GAAP!D48," " )</f>
        <v>3381112</v>
      </c>
      <c r="I28" s="30">
        <f>IF(GAAP!$G48&lt;2,+GAAP!E48," " )</f>
        <v>275000</v>
      </c>
      <c r="J28" s="31">
        <f>IF(GAAP!$G48&lt;2,+GAAP!G48," " )</f>
        <v>0.99584023244423725</v>
      </c>
      <c r="K28" s="30">
        <f>IF(GAAP!$G48&lt;2,+GAAP!H48," " )</f>
        <v>273856.06392216525</v>
      </c>
      <c r="L28" s="30">
        <f>+GAAP!K48</f>
        <v>-575267.8239221652</v>
      </c>
      <c r="N28" s="33"/>
      <c r="S28" s="33">
        <f>K28-'Bonus WIP'!K29</f>
        <v>-1131.7149336605216</v>
      </c>
      <c r="T28" s="33">
        <f>L28-'Bonus WIP'!L29</f>
        <v>1131.714933660347</v>
      </c>
      <c r="U28" s="200"/>
      <c r="V28" s="200"/>
    </row>
    <row r="29" spans="1:22" ht="12" customHeight="1">
      <c r="A29" s="262">
        <f>+GAAP!A49</f>
        <v>52.863700000000001</v>
      </c>
      <c r="B29" s="97" t="str">
        <f>IF(GAAP!$G49&lt;2,+GAAP!B49," " )</f>
        <v>Root Creek Water Dist. - Groundwater Blending &amp; Arsenic</v>
      </c>
      <c r="C29" s="30">
        <f>IF(GAAP!$G49&lt;2,+GAAP!J49," " )</f>
        <v>26148625</v>
      </c>
      <c r="D29" s="30">
        <f>IF(GAAP!$G49&lt;2,+GAAP!M49," " )</f>
        <v>115952.64999999851</v>
      </c>
      <c r="E29" s="30">
        <f>IF(GAAP!$G49&lt;2,+GAAP!C49," " )</f>
        <v>26264577.649999999</v>
      </c>
      <c r="F29" s="30">
        <f>IF(GAAP!$G49&lt;2,+GAAP!F49," " )</f>
        <v>24374299.030000001</v>
      </c>
      <c r="G29" s="30">
        <f>IF(GAAP!$G49&lt;2,+GAAP!L49," " )</f>
        <v>240278.61999999732</v>
      </c>
      <c r="H29" s="30">
        <f>IF(GAAP!$G49&lt;2,+GAAP!D49," " )</f>
        <v>24614577.649999999</v>
      </c>
      <c r="I29" s="30">
        <f>IF(GAAP!$G49&lt;2,+GAAP!E49," " )</f>
        <v>1650000</v>
      </c>
      <c r="J29" s="31">
        <f>IF(GAAP!$G49&lt;2,+GAAP!G49," " )</f>
        <v>0.99023836104699536</v>
      </c>
      <c r="K29" s="30">
        <f>IF(GAAP!$G49&lt;2,+GAAP!H49," " )</f>
        <v>1633893.2957275424</v>
      </c>
      <c r="L29" s="30">
        <f>+GAAP!K49</f>
        <v>140432.67427245528</v>
      </c>
      <c r="N29" s="33"/>
      <c r="S29" s="33">
        <f>K29-'Bonus WIP'!K30</f>
        <v>0</v>
      </c>
      <c r="T29" s="33">
        <f>L29-'Bonus WIP'!L30</f>
        <v>0</v>
      </c>
      <c r="U29" s="200"/>
      <c r="V29" s="200"/>
    </row>
    <row r="30" spans="1:22" ht="12" customHeight="1">
      <c r="A30" s="262">
        <f>+GAAP!A50</f>
        <v>52.863999999999997</v>
      </c>
      <c r="B30" s="97" t="str">
        <f>IF(GAAP!$G50&lt;2,+GAAP!B50," " )</f>
        <v>City of Dos Palos - WTP Replacement Project</v>
      </c>
      <c r="C30" s="30">
        <f>IF(GAAP!$G50&lt;2,+GAAP!J50," " )</f>
        <v>34176041.859999999</v>
      </c>
      <c r="D30" s="30">
        <f>IF(GAAP!$G50&lt;2,+GAAP!M50," " )</f>
        <v>4470321.299999997</v>
      </c>
      <c r="E30" s="30">
        <f>IF(GAAP!$G50&lt;2,+GAAP!C50," " )</f>
        <v>38646363.159999996</v>
      </c>
      <c r="F30" s="30">
        <f>IF(GAAP!$G50&lt;2,+GAAP!F50," " )</f>
        <v>32158781.48</v>
      </c>
      <c r="G30" s="30">
        <f>IF(GAAP!$G50&lt;2,+GAAP!L50," " )</f>
        <v>4614258.679999996</v>
      </c>
      <c r="H30" s="30">
        <f>IF(GAAP!$G50&lt;2,+GAAP!D50," " )</f>
        <v>36773040.159999996</v>
      </c>
      <c r="I30" s="30">
        <f>IF(GAAP!$G50&lt;2,+GAAP!E50," " )</f>
        <v>1873323</v>
      </c>
      <c r="J30" s="31">
        <f>IF(GAAP!$G50&lt;2,+GAAP!G50," " )</f>
        <v>0.87452060912224572</v>
      </c>
      <c r="K30" s="30">
        <f>IF(GAAP!$G50&lt;2,+GAAP!H50," " )</f>
        <v>1638259.5710427128</v>
      </c>
      <c r="L30" s="30">
        <f>+GAAP!K50</f>
        <v>379000.80895728618</v>
      </c>
      <c r="N30" s="33"/>
      <c r="S30" s="33">
        <f>K30-'Bonus WIP'!K31</f>
        <v>0</v>
      </c>
      <c r="T30" s="33">
        <f>L30-'Bonus WIP'!L31</f>
        <v>0</v>
      </c>
      <c r="U30" s="200"/>
      <c r="V30" s="200"/>
    </row>
    <row r="31" spans="1:22" ht="12" customHeight="1">
      <c r="A31" s="262">
        <f>+GAAP!A51</f>
        <v>52.866799999999998</v>
      </c>
      <c r="B31" s="97" t="str">
        <f>IF(GAAP!$G51&lt;2,+GAAP!B51," " )</f>
        <v>California Water Service Co. - Cal Water - Salinas Station 57</v>
      </c>
      <c r="C31" s="30">
        <f>IF(GAAP!$G51&lt;2,+GAAP!J51," " )</f>
        <v>349622.76</v>
      </c>
      <c r="D31" s="30">
        <f>IF(GAAP!$G51&lt;2,+GAAP!M51," " )</f>
        <v>62228.239999999991</v>
      </c>
      <c r="E31" s="30">
        <f>IF(GAAP!$G51&lt;2,+GAAP!C51," " )</f>
        <v>411851</v>
      </c>
      <c r="F31" s="30">
        <f>IF(GAAP!$G51&lt;2,+GAAP!F51," " )</f>
        <v>357710.67</v>
      </c>
      <c r="G31" s="30">
        <f>IF(GAAP!$G51&lt;2,+GAAP!L51," " )</f>
        <v>19285.330000000016</v>
      </c>
      <c r="H31" s="30">
        <f>IF(GAAP!$G51&lt;2,+GAAP!D51," " )</f>
        <v>376996</v>
      </c>
      <c r="I31" s="30">
        <f>IF(GAAP!$G51&lt;2,+GAAP!E51," " )</f>
        <v>34855</v>
      </c>
      <c r="J31" s="31">
        <f>IF(GAAP!$G51&lt;2,+GAAP!G51," " )</f>
        <v>0.94884473575316441</v>
      </c>
      <c r="K31" s="30">
        <f>IF(GAAP!$G51&lt;2,+GAAP!H51," " )</f>
        <v>33071.983264676543</v>
      </c>
      <c r="L31" s="30">
        <f>+GAAP!K51</f>
        <v>-41159.893264676502</v>
      </c>
      <c r="N31" s="33"/>
      <c r="S31" s="33">
        <f>K31-'Bonus WIP'!K32</f>
        <v>0</v>
      </c>
      <c r="T31" s="33">
        <f>L31-'Bonus WIP'!L32</f>
        <v>0</v>
      </c>
      <c r="U31" s="200"/>
      <c r="V31" s="200"/>
    </row>
    <row r="32" spans="1:22" ht="12" customHeight="1">
      <c r="A32" s="262">
        <f>+GAAP!A52</f>
        <v>52.867800000000003</v>
      </c>
      <c r="B32" s="97" t="str">
        <f>IF(GAAP!$G52&lt;2,+GAAP!B52," " )</f>
        <v>City of Chowcilla - Well 15 &amp; Generator Improvement Projects</v>
      </c>
      <c r="C32" s="30">
        <f>IF(GAAP!$G52&lt;2,+GAAP!J52," " )</f>
        <v>1142122</v>
      </c>
      <c r="D32" s="30">
        <f>IF(GAAP!$G52&lt;2,+GAAP!M52," " )</f>
        <v>98199</v>
      </c>
      <c r="E32" s="30">
        <f>IF(GAAP!$G52&lt;2,+GAAP!C52," " )</f>
        <v>1240321</v>
      </c>
      <c r="F32" s="30">
        <f>IF(GAAP!$G52&lt;2,+GAAP!F52," " )</f>
        <v>926007.31</v>
      </c>
      <c r="G32" s="30">
        <f>IF(GAAP!$G52&lt;2,+GAAP!L52," " )</f>
        <v>236313.68999999994</v>
      </c>
      <c r="H32" s="30">
        <f>IF(GAAP!$G52&lt;2,+GAAP!D52," " )</f>
        <v>1162321</v>
      </c>
      <c r="I32" s="30">
        <f>IF(GAAP!$G52&lt;2,+GAAP!E52," " )</f>
        <v>78000</v>
      </c>
      <c r="J32" s="31">
        <f>IF(GAAP!$G52&lt;2,+GAAP!G52," " )</f>
        <v>0.79668810079143371</v>
      </c>
      <c r="K32" s="30">
        <f>IF(GAAP!$G52&lt;2,+GAAP!H52," " )</f>
        <v>62141.671861731826</v>
      </c>
      <c r="L32" s="30">
        <f>+GAAP!K52</f>
        <v>153973.01813826815</v>
      </c>
      <c r="N32" s="33"/>
      <c r="S32" s="33">
        <f>K32-'Bonus WIP'!K33</f>
        <v>0</v>
      </c>
      <c r="T32" s="33">
        <f>L32-'Bonus WIP'!L33</f>
        <v>0</v>
      </c>
      <c r="U32" s="200"/>
      <c r="V32" s="200"/>
    </row>
    <row r="33" spans="1:22" ht="12" customHeight="1">
      <c r="A33" s="262">
        <f>+GAAP!A53</f>
        <v>52.868699999999997</v>
      </c>
      <c r="B33" s="97" t="str">
        <f>IF(GAAP!$G53&lt;2,+GAAP!B53," " )</f>
        <v>California Water Service Co. - Salinas Station 205</v>
      </c>
      <c r="C33" s="30">
        <f>IF(GAAP!$G53&lt;2,+GAAP!J53," " )</f>
        <v>827811.95</v>
      </c>
      <c r="D33" s="30">
        <f>IF(GAAP!$G53&lt;2,+GAAP!M53," " )</f>
        <v>50142.050000000047</v>
      </c>
      <c r="E33" s="30">
        <f>IF(GAAP!$G53&lt;2,+GAAP!C53," " )</f>
        <v>877954</v>
      </c>
      <c r="F33" s="30">
        <f>IF(GAAP!$G53&lt;2,+GAAP!F53," " )</f>
        <v>740629.43</v>
      </c>
      <c r="G33" s="30">
        <f>IF(GAAP!$G53&lt;2,+GAAP!L53," " )</f>
        <v>50142.050000000047</v>
      </c>
      <c r="H33" s="30">
        <f>IF(GAAP!$G53&lt;2,+GAAP!D53," " )</f>
        <v>790771.4800000001</v>
      </c>
      <c r="I33" s="30">
        <f>IF(GAAP!$G53&lt;2,+GAAP!E53," " )</f>
        <v>87182.519999999902</v>
      </c>
      <c r="J33" s="31">
        <f>IF(GAAP!$G53&lt;2,+GAAP!G53," " )</f>
        <v>0.93659097315952766</v>
      </c>
      <c r="K33" s="30">
        <f>IF(GAAP!$G53&lt;2,+GAAP!H53," " )</f>
        <v>81654.361249299895</v>
      </c>
      <c r="L33" s="30">
        <f>+GAAP!K53</f>
        <v>5528.1587507000659</v>
      </c>
      <c r="N33" s="33"/>
      <c r="S33" s="33">
        <f>K33-'Bonus WIP'!K34</f>
        <v>0</v>
      </c>
      <c r="T33" s="33">
        <f>L33-'Bonus WIP'!L34</f>
        <v>0</v>
      </c>
      <c r="U33" s="200"/>
      <c r="V33" s="200"/>
    </row>
    <row r="34" spans="1:22" ht="12" customHeight="1">
      <c r="A34" s="262">
        <f>+GAAP!A54</f>
        <v>52.869199999999999</v>
      </c>
      <c r="B34" s="97" t="str">
        <f>IF(GAAP!$G54&lt;2,+GAAP!B54," " )</f>
        <v>New England Sheet Metal and Mechanical Co. - Clovis South T&amp;M</v>
      </c>
      <c r="C34" s="30">
        <f>IF(GAAP!$G54&lt;2,+GAAP!J54," " )</f>
        <v>55135.37</v>
      </c>
      <c r="D34" s="30">
        <f>IF(GAAP!$G54&lt;2,+GAAP!M54," " )</f>
        <v>0</v>
      </c>
      <c r="E34" s="30">
        <f>IF(GAAP!$G54&lt;2,+GAAP!C54," " )</f>
        <v>55135.37</v>
      </c>
      <c r="F34" s="30">
        <f>IF(GAAP!$G54&lt;2,+GAAP!F54," " )</f>
        <v>49682.49</v>
      </c>
      <c r="G34" s="30">
        <f>IF(GAAP!$G54&lt;2,+GAAP!L54," " )</f>
        <v>0</v>
      </c>
      <c r="H34" s="30">
        <f>IF(GAAP!$G54&lt;2,+GAAP!D54," " )</f>
        <v>49682.49</v>
      </c>
      <c r="I34" s="30">
        <f>IF(GAAP!$G54&lt;2,+GAAP!E54," " )</f>
        <v>5452.8800000000047</v>
      </c>
      <c r="J34" s="31">
        <f>IF(GAAP!$G54&lt;2,+GAAP!G54," " )</f>
        <v>1</v>
      </c>
      <c r="K34" s="30">
        <f>IF(GAAP!$G54&lt;2,+GAAP!H54," " )</f>
        <v>5452.8800000000047</v>
      </c>
      <c r="L34" s="30">
        <f>+GAAP!K54</f>
        <v>0</v>
      </c>
      <c r="N34" s="33"/>
      <c r="S34" s="33">
        <f>K34-'Bonus WIP'!K35</f>
        <v>0</v>
      </c>
      <c r="T34" s="33">
        <f>L34-'Bonus WIP'!L35</f>
        <v>0</v>
      </c>
      <c r="U34" s="200"/>
      <c r="V34" s="200"/>
    </row>
    <row r="35" spans="1:22" ht="12" customHeight="1">
      <c r="A35" s="262">
        <f>+GAAP!A55</f>
        <v>52.869700000000002</v>
      </c>
      <c r="B35" s="97" t="str">
        <f>IF(GAAP!$G55&lt;2,+GAAP!B55," " )</f>
        <v>City of Tulare - Industrial WWTP Dewatering Improvements Pro</v>
      </c>
      <c r="C35" s="30">
        <f>IF(GAAP!$G55&lt;2,+GAAP!J55," " )</f>
        <v>1069317</v>
      </c>
      <c r="D35" s="30">
        <f>IF(GAAP!$G55&lt;2,+GAAP!M55," " )</f>
        <v>318683</v>
      </c>
      <c r="E35" s="30">
        <f>IF(GAAP!$G55&lt;2,+GAAP!C55," " )</f>
        <v>1388000</v>
      </c>
      <c r="F35" s="30">
        <f>IF(GAAP!$G55&lt;2,+GAAP!F55," " )</f>
        <v>772187.73</v>
      </c>
      <c r="G35" s="30">
        <f>IF(GAAP!$G55&lt;2,+GAAP!L55," " )</f>
        <v>553294.27</v>
      </c>
      <c r="H35" s="30">
        <f>IF(GAAP!$G55&lt;2,+GAAP!D55," " )</f>
        <v>1325482</v>
      </c>
      <c r="I35" s="30">
        <f>IF(GAAP!$G55&lt;2,+GAAP!E55," " )</f>
        <v>62518</v>
      </c>
      <c r="J35" s="31">
        <f>IF(GAAP!$G55&lt;2,+GAAP!G55," " )</f>
        <v>0.58257126841405615</v>
      </c>
      <c r="K35" s="30">
        <f>IF(GAAP!$G55&lt;2,+GAAP!H55," " )</f>
        <v>36421.190558709961</v>
      </c>
      <c r="L35" s="30">
        <f>+GAAP!K55</f>
        <v>260708.07944129012</v>
      </c>
      <c r="N35" s="33"/>
      <c r="P35" s="492" t="s">
        <v>729</v>
      </c>
      <c r="S35" s="33">
        <f>K35-'Bonus WIP'!K36</f>
        <v>0</v>
      </c>
      <c r="T35" s="33">
        <f>L35-'Bonus WIP'!L36</f>
        <v>0</v>
      </c>
      <c r="U35" s="200"/>
      <c r="V35" s="200"/>
    </row>
    <row r="36" spans="1:22" ht="12" customHeight="1">
      <c r="A36" s="262">
        <f>+GAAP!A56</f>
        <v>52.869799999999998</v>
      </c>
      <c r="B36" s="97" t="str">
        <f>IF(GAAP!$G56&lt;2,+GAAP!B56," " )</f>
        <v>California Water Service Co. - Tesoro Viejo RWSP Liner Repair</v>
      </c>
      <c r="C36" s="30">
        <f>IF(GAAP!$G56&lt;2,+GAAP!J56," " )</f>
        <v>0</v>
      </c>
      <c r="D36" s="30">
        <f>IF(GAAP!$G56&lt;2,+GAAP!M56," " )</f>
        <v>22713</v>
      </c>
      <c r="E36" s="30">
        <f>IF(GAAP!$G56&lt;2,+GAAP!C56," " )</f>
        <v>22713</v>
      </c>
      <c r="F36" s="30">
        <f>IF(GAAP!$G56&lt;2,+GAAP!F56," " )</f>
        <v>15264</v>
      </c>
      <c r="G36" s="30">
        <f>IF(GAAP!$G56&lt;2,+GAAP!L56," " )</f>
        <v>864</v>
      </c>
      <c r="H36" s="30">
        <f>IF(GAAP!$G56&lt;2,+GAAP!D56," " )</f>
        <v>16128</v>
      </c>
      <c r="I36" s="30">
        <f>IF(GAAP!$G56&lt;2,+GAAP!E56," " )</f>
        <v>6585</v>
      </c>
      <c r="J36" s="31">
        <f>IF(GAAP!$G56&lt;2,+GAAP!G56," " )</f>
        <v>0.9464285714285714</v>
      </c>
      <c r="K36" s="30">
        <f>IF(GAAP!$G56&lt;2,+GAAP!H56," " )</f>
        <v>6232.2321428571422</v>
      </c>
      <c r="L36" s="30">
        <f>+GAAP!K56</f>
        <v>-21496.232142857141</v>
      </c>
      <c r="N36" s="491" t="s">
        <v>492</v>
      </c>
      <c r="O36" s="490" t="s">
        <v>491</v>
      </c>
      <c r="P36" s="33">
        <f>O106+O62+O111+O115</f>
        <v>5553.698387252507</v>
      </c>
      <c r="S36" s="33">
        <f>K36-'Bonus WIP'!K37</f>
        <v>0</v>
      </c>
      <c r="T36" s="33">
        <f>L36-'Bonus WIP'!L37</f>
        <v>0</v>
      </c>
      <c r="U36" s="200"/>
      <c r="V36" s="200"/>
    </row>
    <row r="37" spans="1:22" ht="12" customHeight="1">
      <c r="A37" s="262">
        <f>+GAAP!A57</f>
        <v>52.870399999999997</v>
      </c>
      <c r="B37" s="97" t="str">
        <f>IF(GAAP!$G57&lt;2,+GAAP!B57," " )</f>
        <v>City of Visalia - Solids Handling Improvements Project</v>
      </c>
      <c r="C37" s="30">
        <f>IF(GAAP!$G57&lt;2,+GAAP!J57," " )</f>
        <v>1037950</v>
      </c>
      <c r="D37" s="30">
        <f>IF(GAAP!$G57&lt;2,+GAAP!M57," " )</f>
        <v>12706050</v>
      </c>
      <c r="E37" s="30">
        <f>IF(GAAP!$G57&lt;2,+GAAP!C57," " )</f>
        <v>13744000</v>
      </c>
      <c r="F37" s="30">
        <f>IF(GAAP!$G57&lt;2,+GAAP!F57," " )</f>
        <v>820988.3</v>
      </c>
      <c r="G37" s="30">
        <f>IF(GAAP!$G57&lt;2,+GAAP!L57," " )</f>
        <v>12670138.699999999</v>
      </c>
      <c r="H37" s="30">
        <f>IF(GAAP!$G57&lt;2,+GAAP!D57," " )</f>
        <v>13491127</v>
      </c>
      <c r="I37" s="30">
        <f>IF(GAAP!$G57&lt;2,+GAAP!E57," " )</f>
        <v>252873</v>
      </c>
      <c r="J37" s="31">
        <f>IF(GAAP!$G57&lt;2,+GAAP!G57," " )</f>
        <v>6.0853944966940125E-2</v>
      </c>
      <c r="K37" s="30">
        <f>IF(GAAP!$G57&lt;2,+GAAP!H57," " )</f>
        <v>0</v>
      </c>
      <c r="L37" s="30">
        <f>+GAAP!K57</f>
        <v>216961.69999999995</v>
      </c>
      <c r="N37" s="33"/>
      <c r="S37" s="33" t="e">
        <f>K37-'Bonus WIP'!#REF!</f>
        <v>#REF!</v>
      </c>
      <c r="T37" s="33" t="e">
        <f>L37-'Bonus WIP'!#REF!</f>
        <v>#REF!</v>
      </c>
      <c r="U37" s="200"/>
      <c r="V37" s="200"/>
    </row>
    <row r="38" spans="1:22" ht="12" customHeight="1">
      <c r="A38" s="262">
        <f>+GAAP!A58</f>
        <v>52.8705</v>
      </c>
      <c r="B38" s="97" t="str">
        <f>IF(GAAP!$G58&lt;2,+GAAP!B58," " )</f>
        <v>California Water Service Co. - Visalia Station 200 - New Storage Tank &amp; Booster</v>
      </c>
      <c r="C38" s="30">
        <f>IF(GAAP!$G58&lt;2,+GAAP!J58," " )</f>
        <v>261232</v>
      </c>
      <c r="D38" s="30">
        <f>IF(GAAP!$G58&lt;2,+GAAP!M58," " )</f>
        <v>513768</v>
      </c>
      <c r="E38" s="30">
        <f>IF(GAAP!$G58&lt;2,+GAAP!C58," " )</f>
        <v>775000</v>
      </c>
      <c r="F38" s="30">
        <f>IF(GAAP!$G58&lt;2,+GAAP!F58," " )</f>
        <v>285425.71999999997</v>
      </c>
      <c r="G38" s="30">
        <f>IF(GAAP!$G58&lt;2,+GAAP!L58," " )</f>
        <v>433834.28</v>
      </c>
      <c r="H38" s="30">
        <f>IF(GAAP!$G58&lt;2,+GAAP!D58," " )</f>
        <v>719260</v>
      </c>
      <c r="I38" s="30">
        <f>IF(GAAP!$G58&lt;2,+GAAP!E58," " )</f>
        <v>55740</v>
      </c>
      <c r="J38" s="31">
        <f>IF(GAAP!$G58&lt;2,+GAAP!G58," " )</f>
        <v>0.39683246670188799</v>
      </c>
      <c r="K38" s="30">
        <f>IF(GAAP!$G58&lt;2,+GAAP!H58," " )</f>
        <v>22119.441693963236</v>
      </c>
      <c r="L38" s="30">
        <f>+GAAP!K58</f>
        <v>-46313.161693963222</v>
      </c>
      <c r="N38" s="33"/>
      <c r="S38" s="33">
        <f>K38-'Bonus WIP'!K38</f>
        <v>22119.441693963236</v>
      </c>
      <c r="T38" s="33">
        <f>L38-'Bonus WIP'!L38</f>
        <v>-263274.86169396318</v>
      </c>
      <c r="U38" s="200"/>
      <c r="V38" s="200"/>
    </row>
    <row r="39" spans="1:22" ht="12" customHeight="1">
      <c r="A39" s="262">
        <f>+GAAP!A59</f>
        <v>52.870699999999999</v>
      </c>
      <c r="B39" s="97" t="str">
        <f>IF(GAAP!$G59&lt;2,+GAAP!B59," " )</f>
        <v>County of Fresno - Westside Water Tank and Pump Station</v>
      </c>
      <c r="C39" s="30">
        <f>IF(GAAP!$G59&lt;2,+GAAP!J59," " )</f>
        <v>913135</v>
      </c>
      <c r="D39" s="30">
        <f>IF(GAAP!$G59&lt;2,+GAAP!M59," " )</f>
        <v>2780065</v>
      </c>
      <c r="E39" s="30">
        <f>IF(GAAP!$G59&lt;2,+GAAP!C59," " )</f>
        <v>3693200</v>
      </c>
      <c r="F39" s="30">
        <f>IF(GAAP!$G59&lt;2,+GAAP!F59," " )</f>
        <v>1012057.14</v>
      </c>
      <c r="G39" s="30">
        <f>IF(GAAP!$G59&lt;2,+GAAP!L59," " )</f>
        <v>2449519.86</v>
      </c>
      <c r="H39" s="30">
        <f>IF(GAAP!$G59&lt;2,+GAAP!D59," " )</f>
        <v>3461577</v>
      </c>
      <c r="I39" s="30">
        <f>IF(GAAP!$G59&lt;2,+GAAP!E59," " )</f>
        <v>231623</v>
      </c>
      <c r="J39" s="31">
        <f>IF(GAAP!$G59&lt;2,+GAAP!G59," " )</f>
        <v>0.29236880762727507</v>
      </c>
      <c r="K39" s="30">
        <f>IF(GAAP!$G59&lt;2,+GAAP!H59," " )</f>
        <v>67719.340329052327</v>
      </c>
      <c r="L39" s="30">
        <f>+GAAP!K59</f>
        <v>-166641.48032905231</v>
      </c>
      <c r="N39" s="33"/>
      <c r="S39" s="33">
        <f>K39-'Bonus WIP'!K39</f>
        <v>45599.898635089092</v>
      </c>
      <c r="T39" s="33">
        <f>L39-'Bonus WIP'!L39</f>
        <v>-120328.31863508909</v>
      </c>
      <c r="U39" s="200"/>
      <c r="V39" s="200"/>
    </row>
    <row r="40" spans="1:22" ht="12" customHeight="1">
      <c r="A40" s="262">
        <f>+GAAP!A60</f>
        <v>52.870800000000003</v>
      </c>
      <c r="B40" s="97" t="str">
        <f>IF(GAAP!$G60&lt;2,+GAAP!B60," " )</f>
        <v>County of Fresno - CSA 44A Wastewater Improvements</v>
      </c>
      <c r="C40" s="30">
        <f>IF(GAAP!$G60&lt;2,+GAAP!J60," " )</f>
        <v>0</v>
      </c>
      <c r="D40" s="30">
        <f>IF(GAAP!$G60&lt;2,+GAAP!M60," " )</f>
        <v>363833</v>
      </c>
      <c r="E40" s="30">
        <f>IF(GAAP!$G60&lt;2,+GAAP!C60," " )</f>
        <v>363833</v>
      </c>
      <c r="F40" s="30">
        <f>IF(GAAP!$G60&lt;2,+GAAP!F60," " )</f>
        <v>7682.19</v>
      </c>
      <c r="G40" s="30">
        <f>IF(GAAP!$G60&lt;2,+GAAP!L60," " )</f>
        <v>326074.81</v>
      </c>
      <c r="H40" s="30">
        <f>IF(GAAP!$G60&lt;2,+GAAP!D60," " )</f>
        <v>333757</v>
      </c>
      <c r="I40" s="30">
        <f>IF(GAAP!$G60&lt;2,+GAAP!E60," " )</f>
        <v>30076</v>
      </c>
      <c r="J40" s="31">
        <f>IF(GAAP!$G60&lt;2,+GAAP!G60," " )</f>
        <v>2.3017314992644349E-2</v>
      </c>
      <c r="K40" s="30">
        <f>IF(GAAP!$G60&lt;2,+GAAP!H60," " )</f>
        <v>0</v>
      </c>
      <c r="L40" s="30">
        <f>+GAAP!K60</f>
        <v>-7682.19</v>
      </c>
      <c r="N40" s="33"/>
      <c r="S40" s="33">
        <f>K40-'Bonus WIP'!K40</f>
        <v>-67719.340329052327</v>
      </c>
      <c r="T40" s="33">
        <f>L40-'Bonus WIP'!L40</f>
        <v>158959.29032905231</v>
      </c>
      <c r="U40" s="200"/>
      <c r="V40" s="200"/>
    </row>
    <row r="41" spans="1:22" ht="12" customHeight="1">
      <c r="A41" s="262">
        <f>+GAAP!A61</f>
        <v>52.871099999999998</v>
      </c>
      <c r="B41" s="97" t="str">
        <f>IF(GAAP!$G61&lt;2,+GAAP!B61," " )</f>
        <v>California Water Service Co. - Tesoro Viejo ARV Replacement</v>
      </c>
      <c r="C41" s="30">
        <f>IF(GAAP!$G61&lt;2,+GAAP!J61," " )</f>
        <v>0</v>
      </c>
      <c r="D41" s="30">
        <f>IF(GAAP!$G61&lt;2,+GAAP!M61," " )</f>
        <v>6860</v>
      </c>
      <c r="E41" s="30">
        <f>IF(GAAP!$G61&lt;2,+GAAP!C61," " )</f>
        <v>6860</v>
      </c>
      <c r="F41" s="30">
        <f>IF(GAAP!$G61&lt;2,+GAAP!F61," " )</f>
        <v>4568.8100000000004</v>
      </c>
      <c r="G41" s="30">
        <f>IF(GAAP!$G61&lt;2,+GAAP!L61," " )</f>
        <v>1746.1899999999996</v>
      </c>
      <c r="H41" s="30">
        <f>IF(GAAP!$G61&lt;2,+GAAP!D61," " )</f>
        <v>6315</v>
      </c>
      <c r="I41" s="30">
        <f>IF(GAAP!$G61&lt;2,+GAAP!E61," " )</f>
        <v>545</v>
      </c>
      <c r="J41" s="31">
        <f>IF(GAAP!$G61&lt;2,+GAAP!G61," " )</f>
        <v>0.72348535233570865</v>
      </c>
      <c r="K41" s="30">
        <f>IF(GAAP!$G61&lt;2,+GAAP!H61," " )</f>
        <v>394.2995170229612</v>
      </c>
      <c r="L41" s="30">
        <f>+GAAP!K61</f>
        <v>-4963.1095170229619</v>
      </c>
      <c r="N41" s="33"/>
      <c r="S41" s="33">
        <f>K41-'Bonus WIP'!K41</f>
        <v>394.2995170229612</v>
      </c>
      <c r="T41" s="33">
        <f>L41-'Bonus WIP'!L41</f>
        <v>2719.0804829770377</v>
      </c>
      <c r="U41" s="200"/>
      <c r="V41" s="200"/>
    </row>
    <row r="42" spans="1:22" ht="12" customHeight="1">
      <c r="A42" s="262">
        <f>+GAAP!A62</f>
        <v>52.871299999999998</v>
      </c>
      <c r="B42" s="97" t="str">
        <f>IF(GAAP!$G62&lt;2,+GAAP!B62," " )</f>
        <v>City of Visalia - Remove &amp; Replace Chain and Flight Mechanic</v>
      </c>
      <c r="C42" s="30">
        <f>IF(GAAP!$G62&lt;2,+GAAP!J62," " )</f>
        <v>0</v>
      </c>
      <c r="D42" s="30">
        <f>IF(GAAP!$G62&lt;2,+GAAP!M62," " )</f>
        <v>218842</v>
      </c>
      <c r="E42" s="30">
        <f>IF(GAAP!$G62&lt;2,+GAAP!C62," " )</f>
        <v>218842</v>
      </c>
      <c r="F42" s="30">
        <f>IF(GAAP!$G62&lt;2,+GAAP!F62," " )</f>
        <v>927.5</v>
      </c>
      <c r="G42" s="30">
        <f>IF(GAAP!$G62&lt;2,+GAAP!L62," " )</f>
        <v>189511.5</v>
      </c>
      <c r="H42" s="30">
        <f>IF(GAAP!$G62&lt;2,+GAAP!D62," " )</f>
        <v>190439</v>
      </c>
      <c r="I42" s="30">
        <f>IF(GAAP!$G62&lt;2,+GAAP!E62," " )</f>
        <v>28403</v>
      </c>
      <c r="J42" s="31">
        <f>IF(GAAP!$G62&lt;2,+GAAP!G62," " )</f>
        <v>4.8703259311380547E-3</v>
      </c>
      <c r="K42" s="30">
        <f>IF(GAAP!$G62&lt;2,+GAAP!H62," " )</f>
        <v>0</v>
      </c>
      <c r="L42" s="30">
        <f>+GAAP!K62</f>
        <v>-927.5</v>
      </c>
      <c r="N42" s="493" t="s">
        <v>493</v>
      </c>
      <c r="S42" s="33">
        <f>K42-'Bonus WIP'!K42</f>
        <v>-394.2995170229612</v>
      </c>
      <c r="T42" s="33">
        <f>L42-'Bonus WIP'!L42</f>
        <v>4035.6095170229619</v>
      </c>
      <c r="U42" s="200"/>
      <c r="V42" s="200"/>
    </row>
    <row r="43" spans="1:22" ht="12" customHeight="1">
      <c r="A43" s="262">
        <f>+GAAP!A63</f>
        <v>52.871400000000001</v>
      </c>
      <c r="B43" s="97" t="str">
        <f>IF(GAAP!$G63&lt;2,+GAAP!B63," " )</f>
        <v>New England Sheet Metal and Mechanical Co. - VCH Digging Water Line T&amp;M</v>
      </c>
      <c r="C43" s="30">
        <f>IF(GAAP!$G63&lt;2,+GAAP!J63," " )</f>
        <v>5084.9399999999996</v>
      </c>
      <c r="D43" s="30">
        <f>IF(GAAP!$G63&lt;2,+GAAP!M63," " )</f>
        <v>0</v>
      </c>
      <c r="E43" s="30">
        <f>IF(GAAP!$G63&lt;2,+GAAP!C63," " )</f>
        <v>5084.9399999999996</v>
      </c>
      <c r="F43" s="30">
        <f>IF(GAAP!$G63&lt;2,+GAAP!F63," " )</f>
        <v>4465.6099999999997</v>
      </c>
      <c r="G43" s="30">
        <f>IF(GAAP!$G63&lt;2,+GAAP!L63," " )</f>
        <v>0</v>
      </c>
      <c r="H43" s="30">
        <f>IF(GAAP!$G63&lt;2,+GAAP!D63," " )</f>
        <v>4465.6099999999997</v>
      </c>
      <c r="I43" s="30">
        <f>IF(GAAP!$G63&lt;2,+GAAP!E63," " )</f>
        <v>619.32999999999993</v>
      </c>
      <c r="J43" s="31">
        <f>IF(GAAP!$G63&lt;2,+GAAP!G63," " )</f>
        <v>1</v>
      </c>
      <c r="K43" s="30">
        <f>IF(GAAP!$G63&lt;2,+GAAP!H63," " )</f>
        <v>619.32999999999993</v>
      </c>
      <c r="L43" s="30">
        <f>+GAAP!K63</f>
        <v>0</v>
      </c>
      <c r="N43" s="54" t="s">
        <v>494</v>
      </c>
      <c r="O43" s="33"/>
      <c r="P43" s="57"/>
      <c r="S43" s="33">
        <f>K43-'Bonus WIP'!K43</f>
        <v>619.32999999999993</v>
      </c>
      <c r="T43" s="33">
        <f>L43-'Bonus WIP'!L43</f>
        <v>927.5</v>
      </c>
      <c r="U43" s="200"/>
      <c r="V43" s="200"/>
    </row>
    <row r="44" spans="1:22" ht="10.5" customHeight="1">
      <c r="A44" s="262"/>
      <c r="B44" s="97"/>
      <c r="C44" s="30"/>
      <c r="D44" s="30"/>
      <c r="E44" s="30"/>
      <c r="F44" s="30"/>
      <c r="G44" s="30"/>
      <c r="H44" s="30"/>
      <c r="I44" s="30"/>
      <c r="J44" s="31"/>
      <c r="K44" s="30"/>
      <c r="L44" s="30"/>
      <c r="N44" s="54" t="s">
        <v>495</v>
      </c>
      <c r="O44" s="33"/>
      <c r="P44" s="57"/>
      <c r="S44" s="33">
        <f>K44-'Bonus WIP'!K45</f>
        <v>0</v>
      </c>
      <c r="T44" s="33">
        <f>L44-'Bonus WIP'!L45</f>
        <v>0</v>
      </c>
      <c r="U44" s="200"/>
      <c r="V44" s="200"/>
    </row>
    <row r="45" spans="1:22" ht="12" customHeight="1">
      <c r="A45" s="262">
        <f>+GAAP!A107</f>
        <v>53.200699999999998</v>
      </c>
      <c r="B45" s="97" t="str">
        <f>IF(GAAP!$G107&lt;2,+GAAP!B107," " )</f>
        <v>Union Sanitary Dist. - Phase 1B Secondary Clarifiers</v>
      </c>
      <c r="C45" s="30">
        <f>IF(GAAP!$G107&lt;2,+GAAP!J107," " )</f>
        <v>0</v>
      </c>
      <c r="D45" s="30">
        <f>IF(GAAP!$G107&lt;2,+GAAP!M107," " )</f>
        <v>324530134</v>
      </c>
      <c r="E45" s="30">
        <f>IF(GAAP!$G107&lt;2,+GAAP!C107," " )</f>
        <v>324530134</v>
      </c>
      <c r="F45" s="30">
        <f>IF(GAAP!$G107&lt;2,+GAAP!F107," " )</f>
        <v>404852.16</v>
      </c>
      <c r="G45" s="30">
        <f>IF(GAAP!$G107&lt;2,+GAAP!L107," " )</f>
        <v>291125281.83999997</v>
      </c>
      <c r="H45" s="30">
        <f>IF(GAAP!$G107&lt;2,+GAAP!D107," " )</f>
        <v>291530134</v>
      </c>
      <c r="I45" s="30">
        <f>IF(GAAP!$G107&lt;2,+GAAP!E107," " )</f>
        <v>33000000</v>
      </c>
      <c r="J45" s="31">
        <f>IF(GAAP!$G107&lt;2,+GAAP!G107," " )</f>
        <v>1.38871462255082E-3</v>
      </c>
      <c r="K45" s="30">
        <f>IF(GAAP!$G107&lt;2,+GAAP!H107," " )</f>
        <v>0</v>
      </c>
      <c r="L45" s="30">
        <f>+GAAP!K107</f>
        <v>-404852.16</v>
      </c>
      <c r="N45" s="54"/>
      <c r="O45" s="33"/>
      <c r="P45" s="57"/>
      <c r="S45" s="33" t="e">
        <f>#REF!-'Bonus WIP'!#REF!</f>
        <v>#REF!</v>
      </c>
      <c r="T45" s="33" t="e">
        <f>#REF!-'Bonus WIP'!#REF!</f>
        <v>#REF!</v>
      </c>
      <c r="U45" s="200"/>
      <c r="V45" s="200"/>
    </row>
    <row r="46" spans="1:22" ht="12" customHeight="1">
      <c r="N46" s="54"/>
      <c r="O46" s="33"/>
      <c r="P46" s="57"/>
      <c r="S46" s="33"/>
      <c r="T46" s="33"/>
      <c r="U46" s="200"/>
      <c r="V46" s="200"/>
    </row>
    <row r="47" spans="1:22" ht="12" customHeight="1">
      <c r="A47" s="262">
        <f>+GAAP!A120</f>
        <v>54.903300000000002</v>
      </c>
      <c r="B47" s="97" t="str">
        <f>IF(GAAP!$G120&lt;2,+GAAP!B120," " )</f>
        <v>Semitropic WSD - Stored Water Recovery Unit Phase 2A, Amendment 8</v>
      </c>
      <c r="C47" s="30">
        <f>IF(GAAP!$G120&lt;2,+GAAP!J120," " )</f>
        <v>118278.58</v>
      </c>
      <c r="D47" s="30">
        <f>IF(GAAP!$G120&lt;2,+GAAP!M120," " )</f>
        <v>0</v>
      </c>
      <c r="E47" s="30">
        <f>IF(GAAP!$G120&lt;2,+GAAP!C120," " )</f>
        <v>118278.58</v>
      </c>
      <c r="F47" s="30">
        <f>IF(GAAP!$G120&lt;2,+GAAP!F120," " )</f>
        <v>104550.27</v>
      </c>
      <c r="G47" s="30">
        <f>IF(GAAP!$G120&lt;2,+GAAP!L120," " )</f>
        <v>0</v>
      </c>
      <c r="H47" s="30">
        <f>IF(GAAP!$G120&lt;2,+GAAP!D120," " )</f>
        <v>104550.27</v>
      </c>
      <c r="I47" s="30">
        <f>IF(GAAP!$G120&lt;2,+GAAP!E120," " )</f>
        <v>13728.309999999998</v>
      </c>
      <c r="J47" s="31">
        <f>IF(GAAP!$G120&lt;2,+GAAP!G120," " )</f>
        <v>1</v>
      </c>
      <c r="K47" s="30">
        <f>IF(GAAP!$G120&lt;2,+GAAP!H120," " )</f>
        <v>13728.309999999998</v>
      </c>
      <c r="L47" s="30">
        <f>+GAAP!K120</f>
        <v>0</v>
      </c>
      <c r="M47" s="277"/>
      <c r="N47" s="33"/>
      <c r="S47" s="33">
        <f>K47-'Bonus WIP'!K48</f>
        <v>0</v>
      </c>
      <c r="T47" s="33">
        <f>L47-'Bonus WIP'!L48</f>
        <v>0</v>
      </c>
      <c r="U47" s="200"/>
      <c r="V47" s="200"/>
    </row>
    <row r="48" spans="1:22" ht="12" customHeight="1">
      <c r="A48" s="262">
        <f>+GAAP!A121</f>
        <v>54.913499999999999</v>
      </c>
      <c r="B48" s="97" t="str">
        <f>IF(GAAP!$G121&lt;2,+GAAP!B121," " )</f>
        <v>Calif. Rail Bldrs LLC - North Kern WSD Canal 9-22 Relocation Project</v>
      </c>
      <c r="C48" s="30">
        <f>IF(GAAP!$G121&lt;2,+GAAP!J121," " )</f>
        <v>9470658.6199999992</v>
      </c>
      <c r="D48" s="30">
        <f>IF(GAAP!$G121&lt;2,+GAAP!M121," " )</f>
        <v>0</v>
      </c>
      <c r="E48" s="30">
        <f>IF(GAAP!$G121&lt;2,+GAAP!C121," " )</f>
        <v>9470658.6199999992</v>
      </c>
      <c r="F48" s="30">
        <f>IF(GAAP!$G121&lt;2,+GAAP!F121," " )</f>
        <v>9050951.8599999994</v>
      </c>
      <c r="G48" s="30">
        <f>IF(GAAP!$G121&lt;2,+GAAP!L121," " )</f>
        <v>0</v>
      </c>
      <c r="H48" s="30">
        <f>IF(GAAP!$G121&lt;2,+GAAP!D121," " )</f>
        <v>9050951.8599999994</v>
      </c>
      <c r="I48" s="30">
        <f>IF(GAAP!$G121&lt;2,+GAAP!E121," " )</f>
        <v>419706.75999999978</v>
      </c>
      <c r="J48" s="31">
        <f>IF(GAAP!$G121&lt;2,+GAAP!G121," " )</f>
        <v>1</v>
      </c>
      <c r="K48" s="30">
        <f>IF(GAAP!$G121&lt;2,+GAAP!H121," " )</f>
        <v>419706.75999999978</v>
      </c>
      <c r="L48" s="30">
        <f>+GAAP!K121</f>
        <v>0</v>
      </c>
      <c r="M48" s="277"/>
      <c r="N48" s="33"/>
      <c r="S48" s="33">
        <f>K48-'Bonus WIP'!K49</f>
        <v>0</v>
      </c>
      <c r="T48" s="33">
        <f>L48-'Bonus WIP'!L49</f>
        <v>0</v>
      </c>
      <c r="U48" s="200"/>
      <c r="V48" s="200"/>
    </row>
    <row r="49" spans="1:22" ht="12" customHeight="1">
      <c r="A49" s="262">
        <f>+GAAP!A122</f>
        <v>54.925699999999999</v>
      </c>
      <c r="B49" s="97" t="str">
        <f>IF(GAAP!$G122&lt;2,+GAAP!B122," " )</f>
        <v>City of Guadalupe - Highway 1 Lift Station</v>
      </c>
      <c r="C49" s="30">
        <f>IF(GAAP!$G122&lt;2,+GAAP!J122," " )</f>
        <v>890983</v>
      </c>
      <c r="D49" s="30">
        <f>IF(GAAP!$G122&lt;2,+GAAP!M122," " )</f>
        <v>580345</v>
      </c>
      <c r="E49" s="30">
        <f>IF(GAAP!$G122&lt;2,+GAAP!C122," " )</f>
        <v>1471328</v>
      </c>
      <c r="F49" s="30">
        <f>IF(GAAP!$G122&lt;2,+GAAP!F122," " )</f>
        <v>762211.05</v>
      </c>
      <c r="G49" s="30">
        <f>IF(GAAP!$G122&lt;2,+GAAP!L122," " )</f>
        <v>664116.94999999995</v>
      </c>
      <c r="H49" s="30">
        <f>IF(GAAP!$G122&lt;2,+GAAP!D122," " )</f>
        <v>1426328</v>
      </c>
      <c r="I49" s="30">
        <f>IF(GAAP!$G122&lt;2,+GAAP!E122," " )</f>
        <v>45000</v>
      </c>
      <c r="J49" s="31">
        <f>IF(GAAP!$G122&lt;2,+GAAP!G122," " )</f>
        <v>0.5343869362446787</v>
      </c>
      <c r="K49" s="30">
        <f>IF(GAAP!$G122&lt;2,+GAAP!H122," " )</f>
        <v>24047.41213101054</v>
      </c>
      <c r="L49" s="30">
        <f>+GAAP!K122</f>
        <v>104724.5378689894</v>
      </c>
      <c r="N49" s="33"/>
      <c r="S49" s="33">
        <f>K49-'Bonus WIP'!K50</f>
        <v>0</v>
      </c>
      <c r="T49" s="33">
        <f>L49-'Bonus WIP'!L50</f>
        <v>0</v>
      </c>
      <c r="U49" s="200"/>
      <c r="V49" s="200"/>
    </row>
    <row r="50" spans="1:22" ht="12" customHeight="1">
      <c r="A50" s="262">
        <f>+GAAP!A123</f>
        <v>54.9268</v>
      </c>
      <c r="B50" s="97" t="str">
        <f>IF(GAAP!$G123&lt;2,+GAAP!B123," " )</f>
        <v>Semitropic Water Storage Dist. - Amendment No. 23 Raw Water Processing Plant Pipeline Replacement</v>
      </c>
      <c r="C50" s="30">
        <f>IF(GAAP!$G123&lt;2,+GAAP!J123," " )</f>
        <v>907298</v>
      </c>
      <c r="D50" s="30">
        <f>IF(GAAP!$G123&lt;2,+GAAP!M123," " )</f>
        <v>42269.989999999991</v>
      </c>
      <c r="E50" s="30">
        <f>IF(GAAP!$G123&lt;2,+GAAP!C123," " )</f>
        <v>949567.99</v>
      </c>
      <c r="F50" s="30">
        <f>IF(GAAP!$G123&lt;2,+GAAP!F123," " )</f>
        <v>844648.28</v>
      </c>
      <c r="G50" s="30">
        <f>IF(GAAP!$G123&lt;2,+GAAP!L123," " )</f>
        <v>39919.709999999963</v>
      </c>
      <c r="H50" s="30">
        <f>IF(GAAP!$G123&lt;2,+GAAP!D123," " )</f>
        <v>884567.99</v>
      </c>
      <c r="I50" s="30">
        <f>IF(GAAP!$G123&lt;2,+GAAP!E123," " )</f>
        <v>65000</v>
      </c>
      <c r="J50" s="31">
        <f>IF(GAAP!$G123&lt;2,+GAAP!G123," " )</f>
        <v>0.95487095344700412</v>
      </c>
      <c r="K50" s="30">
        <f>IF(GAAP!$G123&lt;2,+GAAP!H123," " )</f>
        <v>62066.611974055268</v>
      </c>
      <c r="L50" s="30">
        <f>+GAAP!K123</f>
        <v>583.10802594467532</v>
      </c>
      <c r="N50" s="33"/>
      <c r="S50" s="33">
        <f>K50-'Bonus WIP'!K51</f>
        <v>-2933.3880259447324</v>
      </c>
      <c r="T50" s="33">
        <f>L50-'Bonus WIP'!L51</f>
        <v>2933.3880259447033</v>
      </c>
      <c r="U50" s="200"/>
      <c r="V50" s="200"/>
    </row>
    <row r="51" spans="1:22" ht="12" customHeight="1">
      <c r="A51" s="262">
        <f>+GAAP!A124</f>
        <v>54.926900000000003</v>
      </c>
      <c r="B51" s="97" t="str">
        <f>IF(GAAP!$G124&lt;2,+GAAP!B124," " )</f>
        <v>Semitropic Water Storage Dist. - Design &amp; Construction of the Central TCP Facility-Phase 1</v>
      </c>
      <c r="C51" s="30">
        <f>IF(GAAP!$G124&lt;2,+GAAP!J124," " )</f>
        <v>625819.17000000004</v>
      </c>
      <c r="D51" s="30">
        <f>IF(GAAP!$G124&lt;2,+GAAP!M124," " )</f>
        <v>0</v>
      </c>
      <c r="E51" s="30">
        <f>IF(GAAP!$G124&lt;2,+GAAP!C124," " )</f>
        <v>625819.17000000004</v>
      </c>
      <c r="F51" s="30">
        <f>IF(GAAP!$G124&lt;2,+GAAP!F124," " )</f>
        <v>549817.74</v>
      </c>
      <c r="G51" s="30">
        <f>IF(GAAP!$G124&lt;2,+GAAP!L124," " )</f>
        <v>0</v>
      </c>
      <c r="H51" s="30">
        <f>IF(GAAP!$G124&lt;2,+GAAP!D124," " )</f>
        <v>549817.74</v>
      </c>
      <c r="I51" s="30">
        <f>IF(GAAP!$G124&lt;2,+GAAP!E124," " )</f>
        <v>76001.430000000051</v>
      </c>
      <c r="J51" s="31">
        <f>IF(GAAP!$G124&lt;2,+GAAP!G124," " )</f>
        <v>1</v>
      </c>
      <c r="K51" s="30">
        <f>IF(GAAP!$G124&lt;2,+GAAP!H124," " )</f>
        <v>76001.430000000051</v>
      </c>
      <c r="L51" s="30">
        <f>+GAAP!K124</f>
        <v>0</v>
      </c>
      <c r="N51" s="33"/>
      <c r="S51" s="33">
        <f>K51-'Bonus WIP'!K52</f>
        <v>41752.380000000005</v>
      </c>
      <c r="T51" s="33">
        <f>L51-'Bonus WIP'!L52</f>
        <v>-41752.380000000005</v>
      </c>
      <c r="U51" s="200"/>
      <c r="V51" s="200"/>
    </row>
    <row r="52" spans="1:22" ht="12" customHeight="1">
      <c r="A52" s="262">
        <f>+GAAP!A125</f>
        <v>54.9285</v>
      </c>
      <c r="B52" s="97" t="str">
        <f>IF(GAAP!$G125&lt;2,+GAAP!B125," " )</f>
        <v>Semitropic Water Storage Dist. - Emergency Radial Arm Gate Removal and Replacement</v>
      </c>
      <c r="C52" s="30">
        <f>IF(GAAP!$G125&lt;2,+GAAP!J125," " )</f>
        <v>427226</v>
      </c>
      <c r="D52" s="30">
        <f>IF(GAAP!$G125&lt;2,+GAAP!M125," " )</f>
        <v>34796</v>
      </c>
      <c r="E52" s="30">
        <f>IF(GAAP!$G125&lt;2,+GAAP!C125," " )</f>
        <v>462022</v>
      </c>
      <c r="F52" s="30">
        <f>IF(GAAP!$G125&lt;2,+GAAP!F125," " )</f>
        <v>312939.77</v>
      </c>
      <c r="G52" s="30">
        <f>IF(GAAP!$G125&lt;2,+GAAP!L125," " )</f>
        <v>74082.229999999981</v>
      </c>
      <c r="H52" s="30">
        <f>IF(GAAP!$G125&lt;2,+GAAP!D125," " )</f>
        <v>387022</v>
      </c>
      <c r="I52" s="30">
        <f>IF(GAAP!$G125&lt;2,+GAAP!E125," " )</f>
        <v>75000</v>
      </c>
      <c r="J52" s="31">
        <f>IF(GAAP!$G125&lt;2,+GAAP!G125," " )</f>
        <v>0.80858393062926659</v>
      </c>
      <c r="K52" s="30">
        <f>IF(GAAP!$G125&lt;2,+GAAP!H125," " )</f>
        <v>60643.794797194991</v>
      </c>
      <c r="L52" s="30">
        <f>+GAAP!K125</f>
        <v>53642.435202804976</v>
      </c>
      <c r="N52" s="33"/>
      <c r="S52" s="33">
        <f>K52-'Bonus WIP'!K53</f>
        <v>0</v>
      </c>
      <c r="T52" s="33">
        <f>L52-'Bonus WIP'!L53</f>
        <v>0</v>
      </c>
      <c r="U52" s="200"/>
      <c r="V52" s="200"/>
    </row>
    <row r="53" spans="1:22" ht="12" customHeight="1">
      <c r="A53" s="262">
        <f>+GAAP!A126</f>
        <v>54.9313</v>
      </c>
      <c r="B53" s="97" t="str">
        <f>IF(GAAP!$G126&lt;2,+GAAP!B126," " )</f>
        <v>Granite Construction Co. - Granite Chumash Camp 4 Infrastructure Project</v>
      </c>
      <c r="C53" s="30">
        <f>IF(GAAP!$G126&lt;2,+GAAP!J126," " )</f>
        <v>7886885</v>
      </c>
      <c r="D53" s="30">
        <f>IF(GAAP!$G126&lt;2,+GAAP!M126," " )</f>
        <v>4.0000000037252903E-2</v>
      </c>
      <c r="E53" s="30">
        <f>IF(GAAP!$G126&lt;2,+GAAP!C126," " )</f>
        <v>7886885.04</v>
      </c>
      <c r="F53" s="30">
        <f>IF(GAAP!$G126&lt;2,+GAAP!F126," " )</f>
        <v>6449205.2199999997</v>
      </c>
      <c r="G53" s="30">
        <f>IF(GAAP!$G126&lt;2,+GAAP!L126," " )</f>
        <v>427679.8200000003</v>
      </c>
      <c r="H53" s="30">
        <f>IF(GAAP!$G126&lt;2,+GAAP!D126," " )</f>
        <v>6876885.04</v>
      </c>
      <c r="I53" s="30">
        <f>IF(GAAP!$G126&lt;2,+GAAP!E126," " )</f>
        <v>1010000</v>
      </c>
      <c r="J53" s="31">
        <f>IF(GAAP!$G126&lt;2,+GAAP!G126," " )</f>
        <v>0.93780907816367975</v>
      </c>
      <c r="K53" s="30">
        <f>IF(GAAP!$G126&lt;2,+GAAP!H126," " )</f>
        <v>947187.16894531657</v>
      </c>
      <c r="L53" s="30">
        <f>+GAAP!K126</f>
        <v>490492.61105468404</v>
      </c>
      <c r="N53" s="33"/>
      <c r="S53" s="33">
        <f>K53-'Bonus WIP'!K54</f>
        <v>0</v>
      </c>
      <c r="T53" s="33">
        <f>L53-'Bonus WIP'!L54</f>
        <v>0</v>
      </c>
      <c r="U53" s="200"/>
      <c r="V53" s="200"/>
    </row>
    <row r="54" spans="1:22" ht="12" customHeight="1">
      <c r="A54" s="262">
        <f>+GAAP!A127</f>
        <v>54.933</v>
      </c>
      <c r="B54" s="97" t="str">
        <f>IF(GAAP!$G127&lt;2,+GAAP!B127," " )</f>
        <v>City of Bakersfield Public Works - Wastewater Treatment Plant No. 3 Septage Processing Unit Rep</v>
      </c>
      <c r="C54" s="30">
        <f>IF(GAAP!$G127&lt;2,+GAAP!J127," " )</f>
        <v>324900</v>
      </c>
      <c r="D54" s="30">
        <f>IF(GAAP!$G127&lt;2,+GAAP!M127," " )</f>
        <v>0</v>
      </c>
      <c r="E54" s="30">
        <f>IF(GAAP!$G127&lt;2,+GAAP!C127," " )</f>
        <v>324900</v>
      </c>
      <c r="F54" s="30">
        <f>IF(GAAP!$G127&lt;2,+GAAP!F127," " )</f>
        <v>306221.40999999997</v>
      </c>
      <c r="G54" s="30">
        <f>IF(GAAP!$G127&lt;2,+GAAP!L127," " )</f>
        <v>1419.5900000000256</v>
      </c>
      <c r="H54" s="30">
        <f>IF(GAAP!$G127&lt;2,+GAAP!D127," " )</f>
        <v>307641</v>
      </c>
      <c r="I54" s="30">
        <f>IF(GAAP!$G127&lt;2,+GAAP!E127," " )</f>
        <v>17259</v>
      </c>
      <c r="J54" s="31">
        <f>IF(GAAP!$G127&lt;2,+GAAP!G127," " )</f>
        <v>0.99538556304263726</v>
      </c>
      <c r="K54" s="30">
        <f>IF(GAAP!$G127&lt;2,+GAAP!H127," " )</f>
        <v>17179.359432552876</v>
      </c>
      <c r="L54" s="30">
        <f>+GAAP!K127</f>
        <v>1499.2305674471427</v>
      </c>
      <c r="N54" s="33"/>
      <c r="S54" s="33">
        <f>K54-'Bonus WIP'!K55</f>
        <v>0</v>
      </c>
      <c r="T54" s="33">
        <f>L54-'Bonus WIP'!L55</f>
        <v>0</v>
      </c>
      <c r="U54" s="200"/>
      <c r="V54" s="200"/>
    </row>
    <row r="55" spans="1:22" ht="12" customHeight="1">
      <c r="A55" s="262">
        <f>+GAAP!A128</f>
        <v>54.933599999999998</v>
      </c>
      <c r="B55" s="97" t="str">
        <f>IF(GAAP!$G128&lt;2,+GAAP!B128," " )</f>
        <v>Palmdale Water Dist. - Pure Water AV - Demonstration Facility</v>
      </c>
      <c r="C55" s="30">
        <f>IF(GAAP!$G128&lt;2,+GAAP!J128," " )</f>
        <v>14176592.91</v>
      </c>
      <c r="D55" s="30">
        <f>IF(GAAP!$G128&lt;2,+GAAP!M128," " )</f>
        <v>11014583.73</v>
      </c>
      <c r="E55" s="30">
        <f>IF(GAAP!$G128&lt;2,+GAAP!C128," " )</f>
        <v>25191176.640000001</v>
      </c>
      <c r="F55" s="30">
        <f>IF(GAAP!$G128&lt;2,+GAAP!F128," " )</f>
        <v>12340864.27</v>
      </c>
      <c r="G55" s="30">
        <f>IF(GAAP!$G128&lt;2,+GAAP!L128," " )</f>
        <v>10930312.370000001</v>
      </c>
      <c r="H55" s="30">
        <f>IF(GAAP!$G128&lt;2,+GAAP!D128," " )</f>
        <v>23271176.640000001</v>
      </c>
      <c r="I55" s="30">
        <f>IF(GAAP!$G128&lt;2,+GAAP!E128," " )</f>
        <v>1920000</v>
      </c>
      <c r="J55" s="31">
        <f>IF(GAAP!$G128&lt;2,+GAAP!G128," " )</f>
        <v>0.53030684528378014</v>
      </c>
      <c r="K55" s="30">
        <f>IF(GAAP!$G128&lt;2,+GAAP!H128," " )</f>
        <v>1018189.1429448578</v>
      </c>
      <c r="L55" s="30">
        <f>+GAAP!K128</f>
        <v>817539.49705514312</v>
      </c>
      <c r="N55" s="33"/>
      <c r="S55" s="33">
        <f>K55-'Bonus WIP'!K56</f>
        <v>0</v>
      </c>
      <c r="T55" s="33">
        <f>L55-'Bonus WIP'!L56</f>
        <v>0</v>
      </c>
      <c r="U55" s="200"/>
      <c r="V55" s="200"/>
    </row>
    <row r="56" spans="1:22" ht="12" customHeight="1">
      <c r="A56" s="262">
        <f>+GAAP!A129</f>
        <v>54.933700000000002</v>
      </c>
      <c r="B56" s="97" t="str">
        <f>IF(GAAP!$G129&lt;2,+GAAP!B129," " )</f>
        <v>City of Bakersfield Public Works - WWTP 3 Digester Gas Booster Blower Replacement Project</v>
      </c>
      <c r="C56" s="30">
        <f>IF(GAAP!$G129&lt;2,+GAAP!J129," " )</f>
        <v>520441.66</v>
      </c>
      <c r="D56" s="30">
        <f>IF(GAAP!$G129&lt;2,+GAAP!M129," " )</f>
        <v>3584406.34</v>
      </c>
      <c r="E56" s="30">
        <f>IF(GAAP!$G129&lt;2,+GAAP!C129," " )</f>
        <v>4104848</v>
      </c>
      <c r="F56" s="30">
        <f>IF(GAAP!$G129&lt;2,+GAAP!F129," " )</f>
        <v>1509066.73</v>
      </c>
      <c r="G56" s="30">
        <f>IF(GAAP!$G129&lt;2,+GAAP!L129," " )</f>
        <v>2435781.27</v>
      </c>
      <c r="H56" s="30">
        <f>IF(GAAP!$G129&lt;2,+GAAP!D129," " )</f>
        <v>3944848</v>
      </c>
      <c r="I56" s="30">
        <f>IF(GAAP!$G129&lt;2,+GAAP!E129," " )</f>
        <v>160000</v>
      </c>
      <c r="J56" s="31">
        <f>IF(GAAP!$G129&lt;2,+GAAP!G129," " )</f>
        <v>0.38254116001427685</v>
      </c>
      <c r="K56" s="30">
        <f>IF(GAAP!$G129&lt;2,+GAAP!H129," " )</f>
        <v>61206.585602284293</v>
      </c>
      <c r="L56" s="30">
        <f>+GAAP!K129</f>
        <v>-1049831.6556022845</v>
      </c>
      <c r="N56" s="33"/>
      <c r="S56" s="33">
        <f>K56-'Bonus WIP'!K57</f>
        <v>0</v>
      </c>
      <c r="T56" s="33">
        <f>L56-'Bonus WIP'!L57</f>
        <v>0</v>
      </c>
      <c r="U56" s="200"/>
      <c r="V56" s="200"/>
    </row>
    <row r="57" spans="1:22" ht="12" customHeight="1">
      <c r="A57" s="262">
        <f>+GAAP!A130</f>
        <v>54.9343</v>
      </c>
      <c r="B57" s="97" t="str">
        <f>IF(GAAP!$G130&lt;2,+GAAP!B130," " )</f>
        <v>Tehachapi-Cummings County  Water District - DB – Replace Diesel Engines PP2 and PP3</v>
      </c>
      <c r="C57" s="30">
        <f>IF(GAAP!$G130&lt;2,+GAAP!J130," " )</f>
        <v>3954560</v>
      </c>
      <c r="D57" s="30">
        <f>IF(GAAP!$G130&lt;2,+GAAP!M130," " )</f>
        <v>2926740</v>
      </c>
      <c r="E57" s="30">
        <f>IF(GAAP!$G130&lt;2,+GAAP!C130," " )</f>
        <v>6881300</v>
      </c>
      <c r="F57" s="30">
        <f>IF(GAAP!$G130&lt;2,+GAAP!F130," " )</f>
        <v>3415344.08</v>
      </c>
      <c r="G57" s="30">
        <f>IF(GAAP!$G130&lt;2,+GAAP!L130," " )</f>
        <v>2565955.92</v>
      </c>
      <c r="H57" s="30">
        <f>IF(GAAP!$G130&lt;2,+GAAP!D130," " )</f>
        <v>5981300</v>
      </c>
      <c r="I57" s="30">
        <f>IF(GAAP!$G130&lt;2,+GAAP!E130," " )</f>
        <v>900000</v>
      </c>
      <c r="J57" s="31">
        <f>IF(GAAP!$G130&lt;2,+GAAP!G130," " )</f>
        <v>0.57100364134887061</v>
      </c>
      <c r="K57" s="30">
        <f>IF(GAAP!$G130&lt;2,+GAAP!H130," " )</f>
        <v>513903.27721398353</v>
      </c>
      <c r="L57" s="30">
        <f>+GAAP!K130</f>
        <v>25312.642786016222</v>
      </c>
      <c r="N57" s="33"/>
      <c r="O57" s="33"/>
      <c r="P57" s="490"/>
      <c r="S57" s="33">
        <f>K57-'Bonus WIP'!K58</f>
        <v>0</v>
      </c>
      <c r="T57" s="33">
        <f>L57-'Bonus WIP'!L58</f>
        <v>0</v>
      </c>
      <c r="U57" s="200"/>
      <c r="V57" s="200"/>
    </row>
    <row r="58" spans="1:22" ht="12" customHeight="1">
      <c r="A58" s="262">
        <f>+GAAP!A131</f>
        <v>54.935600000000001</v>
      </c>
      <c r="B58" s="97" t="str">
        <f>IF(GAAP!$G131&lt;2,+GAAP!B131," " )</f>
        <v>North of River Sanitary Dist. No. 1 - WWTP Digester Gas Scrubber Vessel and Effluent Storage Pond</v>
      </c>
      <c r="C58" s="30">
        <f>IF(GAAP!$G131&lt;2,+GAAP!J131," " )</f>
        <v>685017</v>
      </c>
      <c r="D58" s="30">
        <f>IF(GAAP!$G131&lt;2,+GAAP!M131," " )</f>
        <v>613313</v>
      </c>
      <c r="E58" s="30">
        <f>IF(GAAP!$G131&lt;2,+GAAP!C131," " )</f>
        <v>1298330</v>
      </c>
      <c r="F58" s="30">
        <f>IF(GAAP!$G131&lt;2,+GAAP!F131," " )</f>
        <v>775780.75</v>
      </c>
      <c r="G58" s="30">
        <f>IF(GAAP!$G131&lt;2,+GAAP!L131," " )</f>
        <v>137549.25</v>
      </c>
      <c r="H58" s="30">
        <f>IF(GAAP!$G131&lt;2,+GAAP!D131," " )</f>
        <v>913330</v>
      </c>
      <c r="I58" s="30">
        <f>IF(GAAP!$G131&lt;2,+GAAP!E131," " )</f>
        <v>385000</v>
      </c>
      <c r="J58" s="31">
        <f>IF(GAAP!$G131&lt;2,+GAAP!G131," " )</f>
        <v>0.8493980817448239</v>
      </c>
      <c r="K58" s="30">
        <f>IF(GAAP!$G131&lt;2,+GAAP!H131," " )</f>
        <v>327018.2614717572</v>
      </c>
      <c r="L58" s="30">
        <f>+GAAP!K131</f>
        <v>-417782.0114717572</v>
      </c>
      <c r="N58" s="33"/>
      <c r="S58" s="33">
        <f>K58-'Bonus WIP'!K59</f>
        <v>0</v>
      </c>
      <c r="T58" s="33">
        <f>L58-'Bonus WIP'!L59</f>
        <v>0</v>
      </c>
    </row>
    <row r="59" spans="1:22" ht="12" customHeight="1">
      <c r="A59" s="262">
        <f>+GAAP!A132</f>
        <v>54.936599999999999</v>
      </c>
      <c r="B59" s="97" t="str">
        <f>IF(GAAP!$G132&lt;2,+GAAP!B132," " )</f>
        <v>City of Pismo Beach Community Development Dept. - WWTP Clarifier Equipment Replacement</v>
      </c>
      <c r="C59" s="30">
        <f>IF(GAAP!$G132&lt;2,+GAAP!J132," " )</f>
        <v>1160831</v>
      </c>
      <c r="D59" s="30">
        <f>IF(GAAP!$G132&lt;2,+GAAP!M132," " )</f>
        <v>69300</v>
      </c>
      <c r="E59" s="30">
        <f>IF(GAAP!$G132&lt;2,+GAAP!C132," " )</f>
        <v>1230131</v>
      </c>
      <c r="F59" s="30">
        <f>IF(GAAP!$G132&lt;2,+GAAP!F132," " )</f>
        <v>923220.5</v>
      </c>
      <c r="G59" s="30">
        <f>IF(GAAP!$G132&lt;2,+GAAP!L132," " )</f>
        <v>156910.5</v>
      </c>
      <c r="H59" s="30">
        <f>IF(GAAP!$G132&lt;2,+GAAP!D132," " )</f>
        <v>1080131</v>
      </c>
      <c r="I59" s="30">
        <f>IF(GAAP!$G132&lt;2,+GAAP!E132," " )</f>
        <v>150000</v>
      </c>
      <c r="J59" s="31">
        <f>IF(GAAP!$G132&lt;2,+GAAP!G132," " )</f>
        <v>0.85473012069832266</v>
      </c>
      <c r="K59" s="30">
        <f>IF(GAAP!$G132&lt;2,+GAAP!H132," " )</f>
        <v>128209.51810474839</v>
      </c>
      <c r="L59" s="30">
        <f>+GAAP!K132</f>
        <v>109400.98189525167</v>
      </c>
      <c r="N59" s="33"/>
      <c r="S59" s="33">
        <f>K59-'Bonus WIP'!K60</f>
        <v>0</v>
      </c>
      <c r="T59" s="33">
        <f>L59-'Bonus WIP'!L60</f>
        <v>0</v>
      </c>
    </row>
    <row r="60" spans="1:22" ht="12" customHeight="1">
      <c r="A60" s="262">
        <f>+GAAP!A133</f>
        <v>54.936900000000001</v>
      </c>
      <c r="B60" s="97" t="str">
        <f>IF(GAAP!$G133&lt;2,+GAAP!B133," " )</f>
        <v>California Water Service Co. - PFAS Treatment Program Project</v>
      </c>
      <c r="C60" s="30">
        <f>IF(GAAP!$G133&lt;2,+GAAP!J133," " )</f>
        <v>2927422.95</v>
      </c>
      <c r="D60" s="30">
        <f>IF(GAAP!$G133&lt;2,+GAAP!M133," " )</f>
        <v>25623201.75</v>
      </c>
      <c r="E60" s="30">
        <f>IF(GAAP!$G133&lt;2,+GAAP!C133," " )</f>
        <v>28550624.699999999</v>
      </c>
      <c r="F60" s="30">
        <f>IF(GAAP!$G133&lt;2,+GAAP!F133," " )</f>
        <v>2787466.66</v>
      </c>
      <c r="G60" s="30">
        <f>IF(GAAP!$G133&lt;2,+GAAP!L133," " )</f>
        <v>23392315.039999999</v>
      </c>
      <c r="H60" s="30">
        <f>IF(GAAP!$G133&lt;2,+GAAP!D133," " )</f>
        <v>26179781.699999999</v>
      </c>
      <c r="I60" s="30">
        <f>IF(GAAP!$G133&lt;2,+GAAP!E133," " )</f>
        <v>2370843</v>
      </c>
      <c r="J60" s="31">
        <f>IF(GAAP!$G133&lt;2,+GAAP!G133," " )</f>
        <v>0.106474022279567</v>
      </c>
      <c r="K60" s="30">
        <f>IF(GAAP!$G133&lt;2,+GAAP!H133," " )</f>
        <v>252433.19040335546</v>
      </c>
      <c r="L60" s="30">
        <f>+GAAP!K133</f>
        <v>-112476.90040335525</v>
      </c>
      <c r="N60" s="33"/>
      <c r="S60" s="33">
        <f>K60-'Bonus WIP'!K61</f>
        <v>252433.19040335546</v>
      </c>
      <c r="T60" s="33">
        <f>L60-'Bonus WIP'!L61</f>
        <v>-252433.19040335529</v>
      </c>
    </row>
    <row r="61" spans="1:22" ht="12" customHeight="1">
      <c r="A61" s="262">
        <f>+GAAP!A134</f>
        <v>54.9373</v>
      </c>
      <c r="B61" s="97" t="str">
        <f>IF(GAAP!$G134&lt;2,+GAAP!B134," " )</f>
        <v>City of Guadalupe - Guadalupe Pioneer Lift Station Replacement</v>
      </c>
      <c r="C61" s="30">
        <f>IF(GAAP!$G134&lt;2,+GAAP!J134," " )</f>
        <v>0</v>
      </c>
      <c r="D61" s="30">
        <f>IF(GAAP!$G134&lt;2,+GAAP!M134," " )</f>
        <v>1524766</v>
      </c>
      <c r="E61" s="30">
        <f>IF(GAAP!$G134&lt;2,+GAAP!C134," " )</f>
        <v>1524766</v>
      </c>
      <c r="F61" s="30">
        <f>IF(GAAP!$G134&lt;2,+GAAP!F134," " )</f>
        <v>50303.97</v>
      </c>
      <c r="G61" s="30">
        <f>IF(GAAP!$G134&lt;2,+GAAP!L134," " )</f>
        <v>1343022.03</v>
      </c>
      <c r="H61" s="30">
        <f>IF(GAAP!$G134&lt;2,+GAAP!D134," " )</f>
        <v>1393326</v>
      </c>
      <c r="I61" s="30">
        <f>IF(GAAP!$G134&lt;2,+GAAP!E134," " )</f>
        <v>131440</v>
      </c>
      <c r="J61" s="31">
        <f>IF(GAAP!$G134&lt;2,+GAAP!G134," " )</f>
        <v>3.6103517769710748E-2</v>
      </c>
      <c r="K61" s="30">
        <f>IF(GAAP!$G134&lt;2,+GAAP!H134," " )</f>
        <v>0</v>
      </c>
      <c r="L61" s="30">
        <f>+GAAP!K134</f>
        <v>-50303.97</v>
      </c>
      <c r="N61" s="33"/>
      <c r="S61" s="33">
        <f>K61-'Bonus WIP'!K62</f>
        <v>0</v>
      </c>
      <c r="T61" s="33">
        <f>L61-'Bonus WIP'!L62</f>
        <v>0</v>
      </c>
    </row>
    <row r="62" spans="1:22" ht="12" customHeight="1">
      <c r="A62" s="262">
        <f>+GAAP!A135</f>
        <v>54.938899999999997</v>
      </c>
      <c r="B62" s="97" t="str">
        <f>IF(GAAP!$G135&lt;2,+GAAP!B135," " )</f>
        <v>City of Atascadero - Atascadero Lift Stations 4 &amp; 11 Rehab Project</v>
      </c>
      <c r="C62" s="30">
        <f>IF(GAAP!$G135&lt;2,+GAAP!J135," " )</f>
        <v>291620</v>
      </c>
      <c r="D62" s="30">
        <f>IF(GAAP!$G135&lt;2,+GAAP!M135," " )</f>
        <v>8160</v>
      </c>
      <c r="E62" s="30">
        <f>IF(GAAP!$G135&lt;2,+GAAP!C135," " )</f>
        <v>299780</v>
      </c>
      <c r="F62" s="30">
        <f>IF(GAAP!$G135&lt;2,+GAAP!F135," " )</f>
        <v>311891.84999999998</v>
      </c>
      <c r="G62" s="30">
        <f>IF(GAAP!$G135&lt;2,+GAAP!L135," " )</f>
        <v>2888.1500000000233</v>
      </c>
      <c r="H62" s="30">
        <f>IF(GAAP!$G135&lt;2,+GAAP!D135," " )</f>
        <v>314780</v>
      </c>
      <c r="I62" s="30">
        <f>IF(GAAP!$G135&lt;2,+GAAP!E135," " )</f>
        <v>-15000</v>
      </c>
      <c r="J62" s="31">
        <f>IF(GAAP!$G135&lt;2,+GAAP!G135," " )</f>
        <v>0.99082486180824692</v>
      </c>
      <c r="K62" s="30">
        <f>IF(GAAP!$G135&lt;2,+GAAP!H135," " )</f>
        <v>-15000</v>
      </c>
      <c r="L62" s="30">
        <f>+GAAP!K135</f>
        <v>-5271.8499999999767</v>
      </c>
      <c r="N62" s="33">
        <f>I62*J62</f>
        <v>-14862.372927123704</v>
      </c>
      <c r="O62" s="33">
        <f>N62-K62</f>
        <v>137.62707287629564</v>
      </c>
      <c r="P62" s="490" t="s">
        <v>491</v>
      </c>
      <c r="S62" s="33">
        <f>K62-'Bonus WIP'!K63</f>
        <v>0</v>
      </c>
      <c r="T62" s="33">
        <f>L62-'Bonus WIP'!L63</f>
        <v>0</v>
      </c>
    </row>
    <row r="63" spans="1:22" ht="12" customHeight="1">
      <c r="A63" s="262">
        <f>+GAAP!A136</f>
        <v>54.939100000000003</v>
      </c>
      <c r="B63" s="97" t="str">
        <f>IF(GAAP!$G136&lt;2,+GAAP!B136," " )</f>
        <v>Arvin Edison Water Storage Dist. - HQ Concrete R&amp;R</v>
      </c>
      <c r="C63" s="30">
        <f>IF(GAAP!$G136&lt;2,+GAAP!J136," " )</f>
        <v>532604.56999999995</v>
      </c>
      <c r="D63" s="30">
        <f>IF(GAAP!$G136&lt;2,+GAAP!M136," " )</f>
        <v>0</v>
      </c>
      <c r="E63" s="30">
        <f>IF(GAAP!$G136&lt;2,+GAAP!C136," " )</f>
        <v>532604.56999999995</v>
      </c>
      <c r="F63" s="30">
        <f>IF(GAAP!$G136&lt;2,+GAAP!F136," " )</f>
        <v>512057.34</v>
      </c>
      <c r="G63" s="30">
        <f>IF(GAAP!$G136&lt;2,+GAAP!L136," " )</f>
        <v>0</v>
      </c>
      <c r="H63" s="30">
        <f>IF(GAAP!$G136&lt;2,+GAAP!D136," " )</f>
        <v>512057.34</v>
      </c>
      <c r="I63" s="30">
        <f>IF(GAAP!$G136&lt;2,+GAAP!E136," " )</f>
        <v>20547.229999999923</v>
      </c>
      <c r="J63" s="31">
        <f>IF(GAAP!$G136&lt;2,+GAAP!G136," " )</f>
        <v>1</v>
      </c>
      <c r="K63" s="30">
        <f>IF(GAAP!$G136&lt;2,+GAAP!H136," " )</f>
        <v>20547.229999999923</v>
      </c>
      <c r="L63" s="30">
        <f>+GAAP!K136</f>
        <v>0</v>
      </c>
      <c r="N63" s="33"/>
      <c r="S63" s="33">
        <f>K63-'Bonus WIP'!K64</f>
        <v>0</v>
      </c>
      <c r="T63" s="33">
        <f>L63-'Bonus WIP'!L64</f>
        <v>0</v>
      </c>
    </row>
    <row r="64" spans="1:22" ht="12" customHeight="1">
      <c r="A64" s="262">
        <f>+GAAP!A137</f>
        <v>54.939500000000002</v>
      </c>
      <c r="B64" s="97" t="str">
        <f>IF(GAAP!$G137&lt;2,+GAAP!B137," " )</f>
        <v>Semitropic Water Storage Dist. - Pond Poso Pumping Plant Siphon Pipe Replacement Project</v>
      </c>
      <c r="C64" s="30">
        <f>IF(GAAP!$G137&lt;2,+GAAP!J137," " )</f>
        <v>1374448.17</v>
      </c>
      <c r="D64" s="30">
        <f>IF(GAAP!$G137&lt;2,+GAAP!M137," " )</f>
        <v>421204.49</v>
      </c>
      <c r="E64" s="30">
        <f>IF(GAAP!$G137&lt;2,+GAAP!C137," " )</f>
        <v>1795652.66</v>
      </c>
      <c r="F64" s="30">
        <f>IF(GAAP!$G137&lt;2,+GAAP!F137," " )</f>
        <v>1349601.92</v>
      </c>
      <c r="G64" s="30">
        <f>IF(GAAP!$G137&lt;2,+GAAP!L137," " )</f>
        <v>344050.74</v>
      </c>
      <c r="H64" s="30">
        <f>IF(GAAP!$G137&lt;2,+GAAP!D137," " )</f>
        <v>1693652.66</v>
      </c>
      <c r="I64" s="30">
        <f>IF(GAAP!$G137&lt;2,+GAAP!E137," " )</f>
        <v>102000</v>
      </c>
      <c r="J64" s="31">
        <f>IF(GAAP!$G137&lt;2,+GAAP!G137," " )</f>
        <v>0.79685873725726031</v>
      </c>
      <c r="K64" s="30">
        <f>IF(GAAP!$G137&lt;2,+GAAP!H137," " )</f>
        <v>81279.591200240553</v>
      </c>
      <c r="L64" s="30">
        <f>+GAAP!K137</f>
        <v>-56433.341200240655</v>
      </c>
      <c r="N64" s="33"/>
      <c r="S64" s="33">
        <f>K64-'Bonus WIP'!K65</f>
        <v>0</v>
      </c>
      <c r="T64" s="33">
        <f>L64-'Bonus WIP'!L65</f>
        <v>0</v>
      </c>
    </row>
    <row r="65" spans="1:20" ht="12" customHeight="1">
      <c r="A65" s="262">
        <f>+GAAP!A138</f>
        <v>54.939599999999999</v>
      </c>
      <c r="B65" s="97" t="str">
        <f>IF(GAAP!$G138&lt;2,+GAAP!B138," " )</f>
        <v>Mojave Groundwater Storage LLC - Mojave Water Bank Northern Pipeline Facilities Construction</v>
      </c>
      <c r="C65" s="30">
        <f>IF(GAAP!$G138&lt;2,+GAAP!J138," " )</f>
        <v>0</v>
      </c>
      <c r="D65" s="30">
        <f>IF(GAAP!$G138&lt;2,+GAAP!M138," " )</f>
        <v>157746.09</v>
      </c>
      <c r="E65" s="30">
        <f>IF(GAAP!$G138&lt;2,+GAAP!C138," " )</f>
        <v>157746.09</v>
      </c>
      <c r="F65" s="30">
        <f>IF(GAAP!$G138&lt;2,+GAAP!F138," " )</f>
        <v>157746.09</v>
      </c>
      <c r="G65" s="30">
        <f>IF(GAAP!$G138&lt;2,+GAAP!L138," " )</f>
        <v>0</v>
      </c>
      <c r="H65" s="30">
        <f>IF(GAAP!$G138&lt;2,+GAAP!D138," " )</f>
        <v>157746.09</v>
      </c>
      <c r="I65" s="30">
        <f>IF(GAAP!$G138&lt;2,+GAAP!E138," " )</f>
        <v>0</v>
      </c>
      <c r="J65" s="31">
        <f>IF(GAAP!$G138&lt;2,+GAAP!G138," " )</f>
        <v>1</v>
      </c>
      <c r="K65" s="30">
        <f>IF(GAAP!$G138&lt;2,+GAAP!H138," " )</f>
        <v>0</v>
      </c>
      <c r="L65" s="30">
        <f>+GAAP!K138</f>
        <v>-157746.09</v>
      </c>
      <c r="N65" s="33"/>
      <c r="S65" s="33">
        <f>K65-'Bonus WIP'!K66</f>
        <v>0</v>
      </c>
      <c r="T65" s="33">
        <f>L65-'Bonus WIP'!L66</f>
        <v>0</v>
      </c>
    </row>
    <row r="66" spans="1:20" ht="12" customHeight="1">
      <c r="A66" s="262">
        <f>+GAAP!A139</f>
        <v>54.939700000000002</v>
      </c>
      <c r="B66" s="97" t="str">
        <f>IF(GAAP!$G139&lt;2,+GAAP!B139," " )</f>
        <v>Cawelo Water Dist. - Friant-Kern Canal Pump Station</v>
      </c>
      <c r="C66" s="30">
        <f>IF(GAAP!$G139&lt;2,+GAAP!J139," " )</f>
        <v>1033150.21</v>
      </c>
      <c r="D66" s="30">
        <f>IF(GAAP!$G139&lt;2,+GAAP!M139," " )</f>
        <v>2657494.79</v>
      </c>
      <c r="E66" s="30">
        <f>IF(GAAP!$G139&lt;2,+GAAP!C139," " )</f>
        <v>3690645</v>
      </c>
      <c r="F66" s="30">
        <f>IF(GAAP!$G139&lt;2,+GAAP!F139," " )</f>
        <v>1035065.41</v>
      </c>
      <c r="G66" s="30">
        <f>IF(GAAP!$G139&lt;2,+GAAP!L139," " )</f>
        <v>2355579.59</v>
      </c>
      <c r="H66" s="30">
        <f>IF(GAAP!$G139&lt;2,+GAAP!D139," " )</f>
        <v>3390645</v>
      </c>
      <c r="I66" s="30">
        <f>IF(GAAP!$G139&lt;2,+GAAP!E139," " )</f>
        <v>300000</v>
      </c>
      <c r="J66" s="31">
        <f>IF(GAAP!$G139&lt;2,+GAAP!G139," " )</f>
        <v>0.305270946973216</v>
      </c>
      <c r="K66" s="30">
        <f>IF(GAAP!$G139&lt;2,+GAAP!H139," " )</f>
        <v>91581.284091964801</v>
      </c>
      <c r="L66" s="30">
        <f>+GAAP!K139</f>
        <v>-93496.484091964783</v>
      </c>
      <c r="N66" s="33"/>
      <c r="S66" s="33">
        <f>K66-'Bonus WIP'!K67</f>
        <v>0</v>
      </c>
      <c r="T66" s="33">
        <f>L66-'Bonus WIP'!L67</f>
        <v>0</v>
      </c>
    </row>
    <row r="67" spans="1:20" ht="12" customHeight="1">
      <c r="A67" s="262">
        <f>+GAAP!A140</f>
        <v>54.940300000000001</v>
      </c>
      <c r="B67" s="97" t="str">
        <f>IF(GAAP!$G140&lt;2,+GAAP!B140," " )</f>
        <v>Lost Hills Utility Dist. - WTP Improvements</v>
      </c>
      <c r="C67" s="30">
        <f>IF(GAAP!$G140&lt;2,+GAAP!J140," " )</f>
        <v>140100</v>
      </c>
      <c r="D67" s="30">
        <f>IF(GAAP!$G140&lt;2,+GAAP!M140," " )</f>
        <v>241500</v>
      </c>
      <c r="E67" s="30">
        <f>IF(GAAP!$G140&lt;2,+GAAP!C140," " )</f>
        <v>381600</v>
      </c>
      <c r="F67" s="30">
        <f>IF(GAAP!$G140&lt;2,+GAAP!F140," " )</f>
        <v>129004.89</v>
      </c>
      <c r="G67" s="30">
        <f>IF(GAAP!$G140&lt;2,+GAAP!L140," " )</f>
        <v>209096.11</v>
      </c>
      <c r="H67" s="30">
        <f>IF(GAAP!$G140&lt;2,+GAAP!D140," " )</f>
        <v>338101</v>
      </c>
      <c r="I67" s="30">
        <f>IF(GAAP!$G140&lt;2,+GAAP!E140," " )</f>
        <v>43499</v>
      </c>
      <c r="J67" s="31">
        <f>IF(GAAP!$G140&lt;2,+GAAP!G140," " )</f>
        <v>0.38155725655943046</v>
      </c>
      <c r="K67" s="30">
        <f>IF(GAAP!$G140&lt;2,+GAAP!H140," " )</f>
        <v>16597.359103078667</v>
      </c>
      <c r="L67" s="30">
        <f>+GAAP!K140</f>
        <v>-5502.2491030786769</v>
      </c>
      <c r="N67" s="33"/>
      <c r="S67" s="33">
        <f>K67-'Bonus WIP'!K68</f>
        <v>0</v>
      </c>
      <c r="T67" s="33">
        <f>L67-'Bonus WIP'!L68</f>
        <v>0</v>
      </c>
    </row>
    <row r="68" spans="1:20" ht="12" customHeight="1">
      <c r="A68" s="262">
        <f>+GAAP!A141</f>
        <v>54.940399999999997</v>
      </c>
      <c r="B68" s="97" t="str">
        <f>IF(GAAP!$G141&lt;2,+GAAP!B141," " )</f>
        <v>Cawelo Water Dist. - Reuse of Produced Water</v>
      </c>
      <c r="C68" s="30">
        <f>IF(GAAP!$G141&lt;2,+GAAP!J141," " )</f>
        <v>1746890</v>
      </c>
      <c r="D68" s="30">
        <f>IF(GAAP!$G141&lt;2,+GAAP!M141," " )</f>
        <v>1973110</v>
      </c>
      <c r="E68" s="30">
        <f>IF(GAAP!$G141&lt;2,+GAAP!C141," " )</f>
        <v>3720000</v>
      </c>
      <c r="F68" s="30">
        <f>IF(GAAP!$G141&lt;2,+GAAP!F141," " )</f>
        <v>1939024.63</v>
      </c>
      <c r="G68" s="30">
        <f>IF(GAAP!$G141&lt;2,+GAAP!L141," " )</f>
        <v>1646367.37</v>
      </c>
      <c r="H68" s="30">
        <f>IF(GAAP!$G141&lt;2,+GAAP!D141," " )</f>
        <v>3585392</v>
      </c>
      <c r="I68" s="30">
        <f>IF(GAAP!$G141&lt;2,+GAAP!E141," " )</f>
        <v>134608</v>
      </c>
      <c r="J68" s="31">
        <f>IF(GAAP!$G141&lt;2,+GAAP!G141," " )</f>
        <v>0.54081244951737495</v>
      </c>
      <c r="K68" s="30">
        <f>IF(GAAP!$G141&lt;2,+GAAP!H141," " )</f>
        <v>72797.68220463481</v>
      </c>
      <c r="L68" s="30">
        <f>+GAAP!K141</f>
        <v>-264932.31220463477</v>
      </c>
      <c r="N68" s="33"/>
      <c r="S68" s="33">
        <f>K68-'Bonus WIP'!K69</f>
        <v>0</v>
      </c>
      <c r="T68" s="33">
        <f>L68-'Bonus WIP'!L69</f>
        <v>0</v>
      </c>
    </row>
    <row r="69" spans="1:20" ht="12" customHeight="1">
      <c r="A69" s="262">
        <f>+GAAP!A142</f>
        <v>54.9405</v>
      </c>
      <c r="B69" s="97" t="str">
        <f>IF(GAAP!$G142&lt;2,+GAAP!B142," " )</f>
        <v>Semitropic Water Storage Dist. - Pump Platform Replacement Project</v>
      </c>
      <c r="C69" s="30">
        <f>IF(GAAP!$G142&lt;2,+GAAP!J142," " )</f>
        <v>746125</v>
      </c>
      <c r="D69" s="30">
        <f>IF(GAAP!$G142&lt;2,+GAAP!M142," " )</f>
        <v>195875</v>
      </c>
      <c r="E69" s="30">
        <f>IF(GAAP!$G142&lt;2,+GAAP!C142," " )</f>
        <v>942000</v>
      </c>
      <c r="F69" s="30">
        <f>IF(GAAP!$G142&lt;2,+GAAP!F142," " )</f>
        <v>577796.16</v>
      </c>
      <c r="G69" s="30">
        <f>IF(GAAP!$G142&lt;2,+GAAP!L142," " )</f>
        <v>234203.83999999997</v>
      </c>
      <c r="H69" s="30">
        <f>IF(GAAP!$G142&lt;2,+GAAP!D142," " )</f>
        <v>812000</v>
      </c>
      <c r="I69" s="30">
        <f>IF(GAAP!$G142&lt;2,+GAAP!E142," " )</f>
        <v>130000</v>
      </c>
      <c r="J69" s="31">
        <f>IF(GAAP!$G142&lt;2,+GAAP!G142," " )</f>
        <v>0.71157162561576359</v>
      </c>
      <c r="K69" s="30">
        <f>IF(GAAP!$G142&lt;2,+GAAP!H142," " )</f>
        <v>92504.31133004927</v>
      </c>
      <c r="L69" s="30">
        <f>+GAAP!K142</f>
        <v>75824.528669950669</v>
      </c>
      <c r="N69" s="33"/>
      <c r="S69" s="33">
        <f>K69-'Bonus WIP'!K70</f>
        <v>0</v>
      </c>
      <c r="T69" s="33">
        <f>L69-'Bonus WIP'!L70</f>
        <v>0</v>
      </c>
    </row>
    <row r="70" spans="1:20" ht="12" customHeight="1">
      <c r="A70" s="262">
        <f>+GAAP!A143</f>
        <v>54.940600000000003</v>
      </c>
      <c r="B70" s="97" t="str">
        <f>IF(GAAP!$G143&lt;2,+GAAP!B143," " )</f>
        <v>California Water Service Co. - Emergency PACL leak repair</v>
      </c>
      <c r="C70" s="30">
        <f>IF(GAAP!$G143&lt;2,+GAAP!J143," " )</f>
        <v>0</v>
      </c>
      <c r="D70" s="30">
        <f>IF(GAAP!$G143&lt;2,+GAAP!M143," " )</f>
        <v>1120.6500000000001</v>
      </c>
      <c r="E70" s="30">
        <f>IF(GAAP!$G143&lt;2,+GAAP!C143," " )</f>
        <v>1120.6500000000001</v>
      </c>
      <c r="F70" s="30">
        <f>IF(GAAP!$G143&lt;2,+GAAP!F143," " )</f>
        <v>1120.6500000000001</v>
      </c>
      <c r="G70" s="30">
        <f>IF(GAAP!$G143&lt;2,+GAAP!L143," " )</f>
        <v>0</v>
      </c>
      <c r="H70" s="30">
        <f>IF(GAAP!$G143&lt;2,+GAAP!D143," " )</f>
        <v>1120.6500000000001</v>
      </c>
      <c r="I70" s="30">
        <f>IF(GAAP!$G143&lt;2,+GAAP!E143," " )</f>
        <v>0</v>
      </c>
      <c r="J70" s="31">
        <f>IF(GAAP!$G143&lt;2,+GAAP!G143," " )</f>
        <v>1</v>
      </c>
      <c r="K70" s="30">
        <f>IF(GAAP!$G143&lt;2,+GAAP!H143," " )</f>
        <v>0</v>
      </c>
      <c r="L70" s="30">
        <f>+GAAP!K143</f>
        <v>-1120.6500000000001</v>
      </c>
      <c r="N70" s="33"/>
      <c r="S70" s="33">
        <f>K70-'Bonus WIP'!K71</f>
        <v>0</v>
      </c>
      <c r="T70" s="33">
        <f>L70-'Bonus WIP'!L71</f>
        <v>0</v>
      </c>
    </row>
    <row r="71" spans="1:20" ht="12" customHeight="1">
      <c r="A71" s="262">
        <f>+GAAP!A144</f>
        <v>54.940800000000003</v>
      </c>
      <c r="B71" s="97" t="str">
        <f>IF(GAAP!$G144&lt;2,+GAAP!B144," " )</f>
        <v>Nipomo Community Service Dist. - Frontage Road Sewer Trunk Line</v>
      </c>
      <c r="C71" s="30">
        <f>IF(GAAP!$G144&lt;2,+GAAP!J144," " )</f>
        <v>0</v>
      </c>
      <c r="D71" s="30">
        <f>IF(GAAP!$G144&lt;2,+GAAP!M144," " )</f>
        <v>3777777</v>
      </c>
      <c r="E71" s="30">
        <f>IF(GAAP!$G144&lt;2,+GAAP!C144," " )</f>
        <v>3777777</v>
      </c>
      <c r="F71" s="30">
        <f>IF(GAAP!$G144&lt;2,+GAAP!F144," " )</f>
        <v>41652.43</v>
      </c>
      <c r="G71" s="30">
        <f>IF(GAAP!$G144&lt;2,+GAAP!L144," " )</f>
        <v>3495532.57</v>
      </c>
      <c r="H71" s="30">
        <f>IF(GAAP!$G144&lt;2,+GAAP!D144," " )</f>
        <v>3537185</v>
      </c>
      <c r="I71" s="30">
        <f>IF(GAAP!$G144&lt;2,+GAAP!E144," " )</f>
        <v>240592</v>
      </c>
      <c r="J71" s="31">
        <f>IF(GAAP!$G144&lt;2,+GAAP!G144," " )</f>
        <v>1.1775587084079572E-2</v>
      </c>
      <c r="K71" s="30">
        <f>IF(GAAP!$G144&lt;2,+GAAP!H144," " )</f>
        <v>0</v>
      </c>
      <c r="L71" s="30">
        <f>+GAAP!K144</f>
        <v>-41652.43</v>
      </c>
      <c r="N71" s="33"/>
      <c r="S71" s="33">
        <f>K71-'Bonus WIP'!K72</f>
        <v>0</v>
      </c>
      <c r="T71" s="33">
        <f>L71-'Bonus WIP'!L72</f>
        <v>0</v>
      </c>
    </row>
    <row r="72" spans="1:20" ht="12" customHeight="1">
      <c r="A72" s="262">
        <f>+GAAP!A145</f>
        <v>54.941099999999999</v>
      </c>
      <c r="B72" s="97" t="str">
        <f>IF(GAAP!$G145&lt;2,+GAAP!B145," " )</f>
        <v>Moorefield Construction Inc. - Hard Rock Tejon AEWSD Line Relocation</v>
      </c>
      <c r="C72" s="30">
        <f>IF(GAAP!$G145&lt;2,+GAAP!J145," " )</f>
        <v>103000</v>
      </c>
      <c r="D72" s="30">
        <f>IF(GAAP!$G145&lt;2,+GAAP!M145," " )</f>
        <v>300</v>
      </c>
      <c r="E72" s="30">
        <f>IF(GAAP!$G145&lt;2,+GAAP!C145," " )</f>
        <v>103300</v>
      </c>
      <c r="F72" s="30">
        <f>IF(GAAP!$G145&lt;2,+GAAP!F145," " )</f>
        <v>71370.850000000006</v>
      </c>
      <c r="G72" s="30">
        <f>IF(GAAP!$G145&lt;2,+GAAP!L145," " )</f>
        <v>6929.1499999999942</v>
      </c>
      <c r="H72" s="30">
        <f>IF(GAAP!$G145&lt;2,+GAAP!D145," " )</f>
        <v>78300</v>
      </c>
      <c r="I72" s="30">
        <f>IF(GAAP!$G145&lt;2,+GAAP!E145," " )</f>
        <v>25000</v>
      </c>
      <c r="J72" s="31">
        <f>IF(GAAP!$G145&lt;2,+GAAP!G145," " )</f>
        <v>0.91150510855683275</v>
      </c>
      <c r="K72" s="30">
        <f>IF(GAAP!$G145&lt;2,+GAAP!H145," " )</f>
        <v>22787.627713920818</v>
      </c>
      <c r="L72" s="30">
        <f>+GAAP!K145</f>
        <v>8841.5222860791837</v>
      </c>
      <c r="N72" s="33"/>
      <c r="S72" s="33">
        <f>K72-'Bonus WIP'!K73</f>
        <v>0</v>
      </c>
      <c r="T72" s="33">
        <f>L72-'Bonus WIP'!L73</f>
        <v>0</v>
      </c>
    </row>
    <row r="73" spans="1:20" ht="12" customHeight="1">
      <c r="A73" s="262">
        <f>+GAAP!A146</f>
        <v>54.941200000000002</v>
      </c>
      <c r="B73" s="97" t="str">
        <f>IF(GAAP!$G146&lt;2,+GAAP!B146," " )</f>
        <v>Arvin Edison Water Storage Dist. - Sycamore Well 39 Earthwork</v>
      </c>
      <c r="C73" s="30">
        <f>IF(GAAP!$G146&lt;2,+GAAP!J146," " )</f>
        <v>116752.04</v>
      </c>
      <c r="D73" s="30">
        <f>IF(GAAP!$G146&lt;2,+GAAP!M146," " )</f>
        <v>0</v>
      </c>
      <c r="E73" s="30">
        <f>IF(GAAP!$G146&lt;2,+GAAP!C146," " )</f>
        <v>116752.04</v>
      </c>
      <c r="F73" s="30">
        <f>IF(GAAP!$G146&lt;2,+GAAP!F146," " )</f>
        <v>115708.88</v>
      </c>
      <c r="G73" s="30">
        <f>IF(GAAP!$G146&lt;2,+GAAP!L146," " )</f>
        <v>0</v>
      </c>
      <c r="H73" s="30">
        <f>IF(GAAP!$G146&lt;2,+GAAP!D146," " )</f>
        <v>115708.88</v>
      </c>
      <c r="I73" s="30">
        <f>IF(GAAP!$G146&lt;2,+GAAP!E146," " )</f>
        <v>1043.1599999999889</v>
      </c>
      <c r="J73" s="31">
        <f>IF(GAAP!$G146&lt;2,+GAAP!G146," " )</f>
        <v>1</v>
      </c>
      <c r="K73" s="30">
        <f>IF(GAAP!$G146&lt;2,+GAAP!H146," " )</f>
        <v>1043.1599999999889</v>
      </c>
      <c r="L73" s="30">
        <f>+GAAP!K146</f>
        <v>0</v>
      </c>
      <c r="N73" s="33"/>
      <c r="S73" s="33">
        <f>K73-'Bonus WIP'!K74</f>
        <v>0</v>
      </c>
      <c r="T73" s="33">
        <f>L73-'Bonus WIP'!L74</f>
        <v>0</v>
      </c>
    </row>
    <row r="74" spans="1:20" ht="12" customHeight="1">
      <c r="A74" s="262">
        <f>+GAAP!A147</f>
        <v>54.941299999999998</v>
      </c>
      <c r="B74" s="97" t="str">
        <f>IF(GAAP!$G147&lt;2,+GAAP!B147," " )</f>
        <v>Arvin Edison Water Storage Dist. - Tejon Well 102 Earthwork</v>
      </c>
      <c r="C74" s="30">
        <f>IF(GAAP!$G147&lt;2,+GAAP!J147," " )</f>
        <v>149366.82999999999</v>
      </c>
      <c r="D74" s="30">
        <f>IF(GAAP!$G147&lt;2,+GAAP!M147," " )</f>
        <v>0</v>
      </c>
      <c r="E74" s="30">
        <f>IF(GAAP!$G147&lt;2,+GAAP!C147," " )</f>
        <v>149366.82999999999</v>
      </c>
      <c r="F74" s="30">
        <f>IF(GAAP!$G147&lt;2,+GAAP!F147," " )</f>
        <v>132138.74</v>
      </c>
      <c r="G74" s="30">
        <f>IF(GAAP!$G147&lt;2,+GAAP!L147," " )</f>
        <v>0</v>
      </c>
      <c r="H74" s="30">
        <f>IF(GAAP!$G147&lt;2,+GAAP!D147," " )</f>
        <v>132138.74</v>
      </c>
      <c r="I74" s="30">
        <f>IF(GAAP!$G147&lt;2,+GAAP!E147," " )</f>
        <v>17228.089999999997</v>
      </c>
      <c r="J74" s="31">
        <f>IF(GAAP!$G147&lt;2,+GAAP!G147," " )</f>
        <v>1</v>
      </c>
      <c r="K74" s="30">
        <f>IF(GAAP!$G147&lt;2,+GAAP!H147," " )</f>
        <v>17228.089999999997</v>
      </c>
      <c r="L74" s="30">
        <f>+GAAP!K147</f>
        <v>0</v>
      </c>
      <c r="N74" s="33"/>
      <c r="S74" s="33">
        <f>K74-'Bonus WIP'!K75</f>
        <v>0</v>
      </c>
      <c r="T74" s="33">
        <f>L74-'Bonus WIP'!L75</f>
        <v>0</v>
      </c>
    </row>
    <row r="75" spans="1:20" ht="12" customHeight="1">
      <c r="A75" s="262">
        <f>+GAAP!A148</f>
        <v>54.941400000000002</v>
      </c>
      <c r="B75" s="97" t="str">
        <f>IF(GAAP!$G148&lt;2,+GAAP!B148," " )</f>
        <v>Cawelo Water Dist. - Cawelo Diversion Structure Rehab</v>
      </c>
      <c r="C75" s="30">
        <f>IF(GAAP!$G148&lt;2,+GAAP!J148," " )</f>
        <v>0</v>
      </c>
      <c r="D75" s="30">
        <f>IF(GAAP!$G148&lt;2,+GAAP!M148," " )</f>
        <v>337485.68</v>
      </c>
      <c r="E75" s="30">
        <f>IF(GAAP!$G148&lt;2,+GAAP!C148," " )</f>
        <v>337485.68</v>
      </c>
      <c r="F75" s="30">
        <f>IF(GAAP!$G148&lt;2,+GAAP!F148," " )</f>
        <v>337485.68</v>
      </c>
      <c r="G75" s="30">
        <f>IF(GAAP!$G148&lt;2,+GAAP!L148," " )</f>
        <v>0</v>
      </c>
      <c r="H75" s="30">
        <f>IF(GAAP!$G148&lt;2,+GAAP!D148," " )</f>
        <v>337485.68</v>
      </c>
      <c r="I75" s="30">
        <f>IF(GAAP!$G148&lt;2,+GAAP!E148," " )</f>
        <v>0</v>
      </c>
      <c r="J75" s="31">
        <f>IF(GAAP!$G148&lt;2,+GAAP!G148," " )</f>
        <v>1</v>
      </c>
      <c r="K75" s="30">
        <f>IF(GAAP!$G148&lt;2,+GAAP!H148," " )</f>
        <v>0</v>
      </c>
      <c r="L75" s="30">
        <f>+GAAP!K148</f>
        <v>-337485.68</v>
      </c>
      <c r="N75" s="33"/>
      <c r="S75" s="33">
        <f>K75-'Bonus WIP'!K76</f>
        <v>-19929.776298994522</v>
      </c>
      <c r="T75" s="33">
        <f>L75-'Bonus WIP'!L76</f>
        <v>19929.776298994548</v>
      </c>
    </row>
    <row r="76" spans="1:20" ht="12" customHeight="1">
      <c r="A76" s="262">
        <f>+GAAP!A149</f>
        <v>54.941600000000001</v>
      </c>
      <c r="B76" s="97" t="str">
        <f>IF(GAAP!$G149&lt;2,+GAAP!B149," " )</f>
        <v>California Water Service Co. - BK 147 Station Improvements</v>
      </c>
      <c r="C76" s="30">
        <f>IF(GAAP!$G149&lt;2,+GAAP!J149," " )</f>
        <v>0</v>
      </c>
      <c r="D76" s="30">
        <f>IF(GAAP!$G149&lt;2,+GAAP!M149," " )</f>
        <v>1260000</v>
      </c>
      <c r="E76" s="30">
        <f>IF(GAAP!$G149&lt;2,+GAAP!C149," " )</f>
        <v>1260000</v>
      </c>
      <c r="F76" s="30">
        <f>IF(GAAP!$G149&lt;2,+GAAP!F149," " )</f>
        <v>7257.82</v>
      </c>
      <c r="G76" s="30">
        <f>IF(GAAP!$G149&lt;2,+GAAP!L149," " )</f>
        <v>1125140.18</v>
      </c>
      <c r="H76" s="30">
        <f>IF(GAAP!$G149&lt;2,+GAAP!D149," " )</f>
        <v>1132398</v>
      </c>
      <c r="I76" s="30">
        <f>IF(GAAP!$G149&lt;2,+GAAP!E149," " )</f>
        <v>127602</v>
      </c>
      <c r="J76" s="31">
        <f>IF(GAAP!$G149&lt;2,+GAAP!G149," " )</f>
        <v>6.4092483384816995E-3</v>
      </c>
      <c r="K76" s="30">
        <f>IF(GAAP!$G149&lt;2,+GAAP!H149," " )</f>
        <v>0</v>
      </c>
      <c r="L76" s="30">
        <f>+GAAP!K149</f>
        <v>-7257.82</v>
      </c>
      <c r="N76" s="33"/>
      <c r="S76" s="33">
        <f>K76-'Bonus WIP'!K77</f>
        <v>0</v>
      </c>
      <c r="T76" s="33">
        <f>L76-'Bonus WIP'!L77</f>
        <v>0</v>
      </c>
    </row>
    <row r="77" spans="1:20" ht="12" customHeight="1">
      <c r="A77" s="262">
        <f>+GAAP!A150</f>
        <v>54.941699999999997</v>
      </c>
      <c r="B77" s="97" t="str">
        <f>IF(GAAP!$G150&lt;2,+GAAP!B150," " )</f>
        <v>County of Santa Barbara-Public Works - Laguna WWTP WAS Pipe Modifications</v>
      </c>
      <c r="C77" s="30">
        <f>IF(GAAP!$G150&lt;2,+GAAP!J150," " )</f>
        <v>0</v>
      </c>
      <c r="D77" s="30">
        <f>IF(GAAP!$G150&lt;2,+GAAP!M150," " )</f>
        <v>48439</v>
      </c>
      <c r="E77" s="30">
        <f>IF(GAAP!$G150&lt;2,+GAAP!C150," " )</f>
        <v>48439</v>
      </c>
      <c r="F77" s="30">
        <f>IF(GAAP!$G150&lt;2,+GAAP!F150," " )</f>
        <v>2299.41</v>
      </c>
      <c r="G77" s="30">
        <f>IF(GAAP!$G150&lt;2,+GAAP!L150," " )</f>
        <v>40593.589999999997</v>
      </c>
      <c r="H77" s="30">
        <f>IF(GAAP!$G150&lt;2,+GAAP!D150," " )</f>
        <v>42893</v>
      </c>
      <c r="I77" s="30">
        <f>IF(GAAP!$G150&lt;2,+GAAP!E150," " )</f>
        <v>5546</v>
      </c>
      <c r="J77" s="31">
        <f>IF(GAAP!$G150&lt;2,+GAAP!G150," " )</f>
        <v>5.3608047933229194E-2</v>
      </c>
      <c r="K77" s="30">
        <f>IF(GAAP!$G150&lt;2,+GAAP!H150," " )</f>
        <v>0</v>
      </c>
      <c r="L77" s="30">
        <f>+GAAP!K150</f>
        <v>-2299.41</v>
      </c>
      <c r="N77" s="33"/>
      <c r="S77" s="33">
        <f>K77-'Bonus WIP'!K78</f>
        <v>0</v>
      </c>
      <c r="T77" s="33">
        <f>L77-'Bonus WIP'!L78</f>
        <v>0</v>
      </c>
    </row>
    <row r="78" spans="1:20" ht="12" customHeight="1">
      <c r="A78" s="262">
        <f>+GAAP!A151</f>
        <v>54.941800000000001</v>
      </c>
      <c r="B78" s="97" t="str">
        <f>IF(GAAP!$G151&lt;2,+GAAP!B151," " )</f>
        <v>GenerateUpcycle - Organics Waste Processing Facility</v>
      </c>
      <c r="C78" s="30">
        <f>IF(GAAP!$G151&lt;2,+GAAP!J151," " )</f>
        <v>0</v>
      </c>
      <c r="D78" s="30">
        <f>IF(GAAP!$G151&lt;2,+GAAP!M151," " )</f>
        <v>15739</v>
      </c>
      <c r="E78" s="30">
        <f>IF(GAAP!$G151&lt;2,+GAAP!C151," " )</f>
        <v>15739</v>
      </c>
      <c r="F78" s="30">
        <f>IF(GAAP!$G151&lt;2,+GAAP!F151," " )</f>
        <v>15739</v>
      </c>
      <c r="G78" s="30">
        <f>IF(GAAP!$G151&lt;2,+GAAP!L151," " )</f>
        <v>0</v>
      </c>
      <c r="H78" s="30">
        <f>IF(GAAP!$G151&lt;2,+GAAP!D151," " )</f>
        <v>15739</v>
      </c>
      <c r="I78" s="30">
        <f>IF(GAAP!$G151&lt;2,+GAAP!E151," " )</f>
        <v>0</v>
      </c>
      <c r="J78" s="31">
        <f>IF(GAAP!$G151&lt;2,+GAAP!G151," " )</f>
        <v>1</v>
      </c>
      <c r="K78" s="30">
        <f>IF(GAAP!$G151&lt;2,+GAAP!H151," " )</f>
        <v>0</v>
      </c>
      <c r="L78" s="30">
        <f>+GAAP!K151</f>
        <v>-15739</v>
      </c>
      <c r="N78" s="33"/>
      <c r="S78" s="33">
        <f>K78-'Bonus WIP'!K79</f>
        <v>0</v>
      </c>
      <c r="T78" s="33">
        <f>L78-'Bonus WIP'!L79</f>
        <v>0</v>
      </c>
    </row>
    <row r="79" spans="1:20" ht="12" customHeight="1">
      <c r="A79" s="262">
        <f>+GAAP!A152</f>
        <v>54.942100000000003</v>
      </c>
      <c r="B79" s="97" t="str">
        <f>IF(GAAP!$G152&lt;2,+GAAP!B152," " )</f>
        <v>Nipomo Community Service Dist. - Tefft Emergency Pipe Repair</v>
      </c>
      <c r="C79" s="30">
        <f>IF(GAAP!$G152&lt;2,+GAAP!J152," " )</f>
        <v>0</v>
      </c>
      <c r="D79" s="30">
        <f>IF(GAAP!$G152&lt;2,+GAAP!M152," " )</f>
        <v>3703.18</v>
      </c>
      <c r="E79" s="30">
        <f>IF(GAAP!$G152&lt;2,+GAAP!C152," " )</f>
        <v>3703.18</v>
      </c>
      <c r="F79" s="30">
        <f>IF(GAAP!$G152&lt;2,+GAAP!F152," " )</f>
        <v>3703.18</v>
      </c>
      <c r="G79" s="30">
        <f>IF(GAAP!$G152&lt;2,+GAAP!L152," " )</f>
        <v>0</v>
      </c>
      <c r="H79" s="30">
        <f>IF(GAAP!$G152&lt;2,+GAAP!D152," " )</f>
        <v>3703.18</v>
      </c>
      <c r="I79" s="30">
        <f>IF(GAAP!$G152&lt;2,+GAAP!E152," " )</f>
        <v>0</v>
      </c>
      <c r="J79" s="31">
        <f>IF(GAAP!$G152&lt;2,+GAAP!G152," " )</f>
        <v>1</v>
      </c>
      <c r="K79" s="30">
        <f>IF(GAAP!$G152&lt;2,+GAAP!H152," " )</f>
        <v>0</v>
      </c>
      <c r="L79" s="30">
        <f>+GAAP!K152</f>
        <v>-3703.18</v>
      </c>
      <c r="N79" s="33"/>
      <c r="S79" s="33">
        <f>K79-'Bonus WIP'!K80</f>
        <v>0</v>
      </c>
      <c r="T79" s="33">
        <f>L79-'Bonus WIP'!L80</f>
        <v>0</v>
      </c>
    </row>
    <row r="80" spans="1:20" ht="10.5" customHeight="1">
      <c r="A80" s="262"/>
      <c r="B80" s="97"/>
      <c r="C80" s="30"/>
      <c r="D80" s="30"/>
      <c r="E80" s="30"/>
      <c r="F80" s="30"/>
      <c r="G80" s="30"/>
      <c r="H80" s="30"/>
      <c r="I80" s="30"/>
      <c r="J80" s="31"/>
      <c r="K80" s="30"/>
      <c r="L80" s="30"/>
      <c r="N80" s="33"/>
      <c r="S80" s="33">
        <f>K80-'Bonus WIP'!K81</f>
        <v>0</v>
      </c>
      <c r="T80" s="33">
        <f>L80-'Bonus WIP'!L81</f>
        <v>0</v>
      </c>
    </row>
    <row r="81" spans="1:20" ht="12" customHeight="1">
      <c r="A81" s="262">
        <f>+GAAP!A223</f>
        <v>55.109000000000002</v>
      </c>
      <c r="B81" s="97" t="str">
        <f>IF(GAAP!$G223&lt;2,+GAAP!B223," " )</f>
        <v>LA Dept of Water and Power - Silverlake</v>
      </c>
      <c r="C81" s="30">
        <f>IF(GAAP!$G223&lt;2,+GAAP!J223," " )</f>
        <v>5235272.3600000003</v>
      </c>
      <c r="D81" s="30">
        <f>IF(GAAP!$G223&lt;2,+GAAP!M223," " )</f>
        <v>0</v>
      </c>
      <c r="E81" s="30">
        <f>IF(GAAP!$G223&lt;2,+GAAP!C223," " )</f>
        <v>5235272.3600000003</v>
      </c>
      <c r="F81" s="30">
        <f>IF(GAAP!$G223&lt;2,+GAAP!F223," " )</f>
        <v>3834064.05</v>
      </c>
      <c r="G81" s="30">
        <f>IF(GAAP!$G223&lt;2,+GAAP!L223," " )</f>
        <v>0</v>
      </c>
      <c r="H81" s="30">
        <f>IF(GAAP!$G223&lt;2,+GAAP!D223," " )</f>
        <v>3834064.05</v>
      </c>
      <c r="I81" s="30">
        <f>IF(GAAP!$G223&lt;2,+GAAP!E223," " )</f>
        <v>1401208.3100000005</v>
      </c>
      <c r="J81" s="31">
        <f>IF(GAAP!$G223&lt;2,+GAAP!G223," " )</f>
        <v>1</v>
      </c>
      <c r="K81" s="30">
        <f>IF(GAAP!$G223&lt;2,+GAAP!H223," " )</f>
        <v>1401208.3100000005</v>
      </c>
      <c r="L81" s="30">
        <f>+GAAP!K223</f>
        <v>0</v>
      </c>
      <c r="N81" s="33"/>
      <c r="S81" s="33">
        <f>K81-'Bonus WIP'!K82</f>
        <v>-73431.709230768727</v>
      </c>
      <c r="T81" s="33">
        <f>L81-'Bonus WIP'!L82</f>
        <v>73431.709230768494</v>
      </c>
    </row>
    <row r="82" spans="1:20" ht="12" customHeight="1">
      <c r="A82" s="262">
        <f>+GAAP!A224</f>
        <v>55.119100000000003</v>
      </c>
      <c r="B82" s="97" t="str">
        <f>IF(GAAP!$G224&lt;2,+GAAP!B224," " )</f>
        <v>Inland Empire Utilities - IEUA RP-5 Liquids Exp. &amp; Solids Treat. Facility</v>
      </c>
      <c r="C82" s="30">
        <f>IF(GAAP!$G224&lt;2,+GAAP!J224," " )</f>
        <v>296634984.50999999</v>
      </c>
      <c r="D82" s="30">
        <f>IF(GAAP!$G224&lt;2,+GAAP!M224," " )</f>
        <v>44808149.199999988</v>
      </c>
      <c r="E82" s="30">
        <f>IF(GAAP!$G224&lt;2,+GAAP!C224," " )</f>
        <v>341443133.70999998</v>
      </c>
      <c r="F82" s="30">
        <f>IF(GAAP!$G224&lt;2,+GAAP!F224," " )</f>
        <v>299179624.83999997</v>
      </c>
      <c r="G82" s="30">
        <f>IF(GAAP!$G224&lt;2,+GAAP!L224," " )</f>
        <v>38553010.870000005</v>
      </c>
      <c r="H82" s="30">
        <f>IF(GAAP!$G224&lt;2,+GAAP!D224," " )</f>
        <v>337732635.70999998</v>
      </c>
      <c r="I82" s="30">
        <f>IF(GAAP!$G224&lt;2,+GAAP!E224," " )</f>
        <v>3710498</v>
      </c>
      <c r="J82" s="31">
        <f>IF(GAAP!$G224&lt;2,+GAAP!G224," " )</f>
        <v>0.88584754094329154</v>
      </c>
      <c r="K82" s="30">
        <f>IF(GAAP!$G224&lt;2,+GAAP!H224," " )</f>
        <v>3286935.5289750015</v>
      </c>
      <c r="L82" s="30">
        <f>+GAAP!K224</f>
        <v>-5831575.8589749932</v>
      </c>
      <c r="N82" s="33"/>
      <c r="S82" s="33">
        <f>K82-'Bonus WIP'!K83</f>
        <v>-423562.47102499846</v>
      </c>
      <c r="T82" s="33">
        <f>L82-'Bonus WIP'!L83</f>
        <v>423562.47102499008</v>
      </c>
    </row>
    <row r="83" spans="1:20" ht="12" customHeight="1">
      <c r="A83" s="262">
        <f>+GAAP!A225</f>
        <v>55.119199999999999</v>
      </c>
      <c r="B83" s="97" t="str">
        <f>IF(GAAP!$G225&lt;2,+GAAP!B225," " )</f>
        <v>Inland Empire Utilities - IEUA RP-1 Flare Improvements</v>
      </c>
      <c r="C83" s="30">
        <f>IF(GAAP!$G225&lt;2,+GAAP!J225," " )</f>
        <v>6645760.5099999998</v>
      </c>
      <c r="D83" s="30">
        <f>IF(GAAP!$G225&lt;2,+GAAP!M225," " )</f>
        <v>6043.0200000004843</v>
      </c>
      <c r="E83" s="30">
        <f>IF(GAAP!$G225&lt;2,+GAAP!C225," " )</f>
        <v>6651803.5300000003</v>
      </c>
      <c r="F83" s="30">
        <f>IF(GAAP!$G225&lt;2,+GAAP!F225," " )</f>
        <v>6393992.6900000004</v>
      </c>
      <c r="G83" s="30">
        <f>IF(GAAP!$G225&lt;2,+GAAP!L225," " )</f>
        <v>7810.839999999851</v>
      </c>
      <c r="H83" s="30">
        <f>IF(GAAP!$G225&lt;2,+GAAP!D225," " )</f>
        <v>6401803.5300000003</v>
      </c>
      <c r="I83" s="30">
        <f>IF(GAAP!$G225&lt;2,+GAAP!E225," " )</f>
        <v>250000</v>
      </c>
      <c r="J83" s="31">
        <f>IF(GAAP!$G225&lt;2,+GAAP!G225," " )</f>
        <v>0.99877990007606499</v>
      </c>
      <c r="K83" s="30">
        <f>IF(GAAP!$G225&lt;2,+GAAP!H225," " )</f>
        <v>249694.97501901624</v>
      </c>
      <c r="L83" s="30">
        <f>+GAAP!K225</f>
        <v>2072.8449809830636</v>
      </c>
      <c r="N83" s="33"/>
      <c r="S83" s="33">
        <f>K83-'Bonus WIP'!K84</f>
        <v>-305.02498098375509</v>
      </c>
      <c r="T83" s="33">
        <f>L83-'Bonus WIP'!L84</f>
        <v>305.02498098369688</v>
      </c>
    </row>
    <row r="84" spans="1:20" ht="12" customHeight="1">
      <c r="A84" s="262">
        <f>+GAAP!A226</f>
        <v>55.12</v>
      </c>
      <c r="B84" s="97" t="str">
        <f>IF(GAAP!$G226&lt;2,+GAAP!B226," " )</f>
        <v>East County Advanced Water Purification Project - Package 1</v>
      </c>
      <c r="C84" s="30">
        <f>IF(GAAP!$G226&lt;2,+GAAP!J226," " )</f>
        <v>197175877</v>
      </c>
      <c r="D84" s="30">
        <f>IF(GAAP!$G226&lt;2,+GAAP!M226," " )</f>
        <v>0</v>
      </c>
      <c r="E84" s="30">
        <f>IF(GAAP!$G226&lt;2,+GAAP!C226," " )</f>
        <v>197175877</v>
      </c>
      <c r="F84" s="30">
        <f>IF(GAAP!$G226&lt;2,+GAAP!F226," " )</f>
        <v>189971137.49000001</v>
      </c>
      <c r="G84" s="30">
        <f>IF(GAAP!$G226&lt;2,+GAAP!L226," " )</f>
        <v>0</v>
      </c>
      <c r="H84" s="30">
        <f>IF(GAAP!$G226&lt;2,+GAAP!D226," " )</f>
        <v>189971137.49000001</v>
      </c>
      <c r="I84" s="30">
        <f>IF(GAAP!$G226&lt;2,+GAAP!E226," " )</f>
        <v>7204739.5099999905</v>
      </c>
      <c r="J84" s="31">
        <f>IF(GAAP!$G226&lt;2,+GAAP!G226," " )</f>
        <v>1</v>
      </c>
      <c r="K84" s="30">
        <f>IF(GAAP!$G226&lt;2,+GAAP!H226," " )</f>
        <v>7204739.5099999905</v>
      </c>
      <c r="L84" s="30">
        <f>+GAAP!K226</f>
        <v>0</v>
      </c>
      <c r="N84" s="33"/>
      <c r="S84" s="33">
        <f>K84-'Bonus WIP'!K85</f>
        <v>-575254.7700000098</v>
      </c>
      <c r="T84" s="33">
        <f>L84-'Bonus WIP'!L85</f>
        <v>575254.77000001073</v>
      </c>
    </row>
    <row r="85" spans="1:20" ht="12" customHeight="1">
      <c r="A85" s="262">
        <f>+GAAP!A227</f>
        <v>55.120199999999997</v>
      </c>
      <c r="B85" s="97" t="str">
        <f>IF(GAAP!$G227&lt;2,+GAAP!B227," " )</f>
        <v>LA County Sanitation District - Oxygen Generation Project</v>
      </c>
      <c r="C85" s="30">
        <f>IF(GAAP!$G227&lt;2,+GAAP!J227," " )</f>
        <v>10912272.58</v>
      </c>
      <c r="D85" s="30">
        <f>IF(GAAP!$G227&lt;2,+GAAP!M227," " )</f>
        <v>5483779</v>
      </c>
      <c r="E85" s="30">
        <f>IF(GAAP!$G227&lt;2,+GAAP!C227," " )</f>
        <v>16396051.58</v>
      </c>
      <c r="F85" s="30">
        <f>IF(GAAP!$G227&lt;2,+GAAP!F227," " )</f>
        <v>9590124.3499999996</v>
      </c>
      <c r="G85" s="30">
        <f>IF(GAAP!$G227&lt;2,+GAAP!L227," " )</f>
        <v>5630518.2300000004</v>
      </c>
      <c r="H85" s="30">
        <f>IF(GAAP!$G227&lt;2,+GAAP!D227," " )</f>
        <v>15220642.58</v>
      </c>
      <c r="I85" s="30">
        <f>IF(GAAP!$G227&lt;2,+GAAP!E227," " )</f>
        <v>1175409</v>
      </c>
      <c r="J85" s="31">
        <f>IF(GAAP!$G227&lt;2,+GAAP!G227," " )</f>
        <v>0.63007355304443391</v>
      </c>
      <c r="K85" s="30">
        <f>IF(GAAP!$G227&lt;2,+GAAP!H227," " )</f>
        <v>740594.12491040502</v>
      </c>
      <c r="L85" s="30">
        <f>+GAAP!K227</f>
        <v>581554.10508959554</v>
      </c>
      <c r="N85" s="33"/>
      <c r="S85" s="33">
        <f>K85-'Bonus WIP'!K86</f>
        <v>0</v>
      </c>
      <c r="T85" s="33">
        <f>L85-'Bonus WIP'!L86</f>
        <v>0</v>
      </c>
    </row>
    <row r="86" spans="1:20" ht="12" customHeight="1">
      <c r="A86" s="262">
        <f>+GAAP!A228</f>
        <v>55.120399999999997</v>
      </c>
      <c r="B86" s="97" t="str">
        <f>IF(GAAP!$G228&lt;2,+GAAP!B228," " )</f>
        <v xml:space="preserve">East County Advanced Water Purification Project - Package 3 </v>
      </c>
      <c r="C86" s="30">
        <f>IF(GAAP!$G228&lt;2,+GAAP!J228," " )</f>
        <v>57142227</v>
      </c>
      <c r="D86" s="30">
        <f>IF(GAAP!$G228&lt;2,+GAAP!M228," " )</f>
        <v>0</v>
      </c>
      <c r="E86" s="30">
        <f>IF(GAAP!$G228&lt;2,+GAAP!C228," " )</f>
        <v>57142227</v>
      </c>
      <c r="F86" s="30">
        <f>IF(GAAP!$G228&lt;2,+GAAP!F228," " )</f>
        <v>55213329.210000001</v>
      </c>
      <c r="G86" s="30">
        <f>IF(GAAP!$G228&lt;2,+GAAP!L228," " )</f>
        <v>0</v>
      </c>
      <c r="H86" s="30">
        <f>IF(GAAP!$G228&lt;2,+GAAP!D228," " )</f>
        <v>55213329.210000001</v>
      </c>
      <c r="I86" s="30">
        <f>IF(GAAP!$G228&lt;2,+GAAP!E228," " )</f>
        <v>1928897.7899999991</v>
      </c>
      <c r="J86" s="31">
        <f>IF(GAAP!$G228&lt;2,+GAAP!G228," " )</f>
        <v>1</v>
      </c>
      <c r="K86" s="30">
        <f>IF(GAAP!$G228&lt;2,+GAAP!H228," " )</f>
        <v>1928897.7899999991</v>
      </c>
      <c r="L86" s="30">
        <f>+GAAP!K228</f>
        <v>0</v>
      </c>
      <c r="N86" s="33"/>
      <c r="S86" s="33">
        <f>K86-'Bonus WIP'!K87</f>
        <v>-433141.22000000067</v>
      </c>
      <c r="T86" s="33">
        <f>L86-'Bonus WIP'!L87</f>
        <v>433141.21999999881</v>
      </c>
    </row>
    <row r="87" spans="1:20" ht="12" customHeight="1">
      <c r="A87" s="262">
        <f>+GAAP!A229</f>
        <v>55.122700000000002</v>
      </c>
      <c r="B87" s="97" t="str">
        <f>IF(GAAP!$G229&lt;2,+GAAP!B229," " )</f>
        <v>Eastern Municipal Water District - MVRWRF Plant 2B Equipping and Flow Diversion Project</v>
      </c>
      <c r="C87" s="30">
        <f>IF(GAAP!$G229&lt;2,+GAAP!J229," " )</f>
        <v>41483406.390000001</v>
      </c>
      <c r="D87" s="30">
        <f>IF(GAAP!$G229&lt;2,+GAAP!M229," " )</f>
        <v>20800</v>
      </c>
      <c r="E87" s="30">
        <f>IF(GAAP!$G229&lt;2,+GAAP!C229," " )</f>
        <v>41504206.390000001</v>
      </c>
      <c r="F87" s="30">
        <f>IF(GAAP!$G229&lt;2,+GAAP!F229," " )</f>
        <v>36953022.960000001</v>
      </c>
      <c r="G87" s="30">
        <f>IF(GAAP!$G229&lt;2,+GAAP!L229," " )</f>
        <v>201183.4299999997</v>
      </c>
      <c r="H87" s="30">
        <f>IF(GAAP!$G229&lt;2,+GAAP!D229," " )</f>
        <v>37154206.390000001</v>
      </c>
      <c r="I87" s="30">
        <f>IF(GAAP!$G229&lt;2,+GAAP!E229," " )</f>
        <v>4350000</v>
      </c>
      <c r="J87" s="31">
        <f>IF(GAAP!$G229&lt;2,+GAAP!G229," " )</f>
        <v>0.99458517757348341</v>
      </c>
      <c r="K87" s="30">
        <f>IF(GAAP!$G229&lt;2,+GAAP!H229," " )</f>
        <v>4326445.5224446524</v>
      </c>
      <c r="L87" s="30">
        <f>+GAAP!K229</f>
        <v>203937.90755534917</v>
      </c>
      <c r="N87" s="33"/>
      <c r="S87" s="33">
        <f>K87-'Bonus WIP'!K88</f>
        <v>0</v>
      </c>
      <c r="T87" s="33">
        <f>L87-'Bonus WIP'!L88</f>
        <v>0</v>
      </c>
    </row>
    <row r="88" spans="1:20" ht="12" customHeight="1">
      <c r="A88" s="262">
        <f>+GAAP!A230</f>
        <v>55.1233</v>
      </c>
      <c r="B88" s="97" t="str">
        <f>IF(GAAP!$G230&lt;2,+GAAP!B230," " )</f>
        <v>Veolia Water West Operating Services, Inc. - Rialto Solids Handling Design-Build Project (Design Phase)</v>
      </c>
      <c r="C88" s="30">
        <f>IF(GAAP!$G230&lt;2,+GAAP!J230," " )</f>
        <v>123617</v>
      </c>
      <c r="D88" s="30">
        <f>IF(GAAP!$G230&lt;2,+GAAP!M230," " )</f>
        <v>2460.1600000000035</v>
      </c>
      <c r="E88" s="30">
        <f>IF(GAAP!$G230&lt;2,+GAAP!C230," " )</f>
        <v>126077.16</v>
      </c>
      <c r="F88" s="30">
        <f>IF(GAAP!$G230&lt;2,+GAAP!F230," " )</f>
        <v>126077.16</v>
      </c>
      <c r="G88" s="30">
        <f>IF(GAAP!$G230&lt;2,+GAAP!L230," " )</f>
        <v>0</v>
      </c>
      <c r="H88" s="30">
        <f>IF(GAAP!$G230&lt;2,+GAAP!D230," " )</f>
        <v>126077.16</v>
      </c>
      <c r="I88" s="30">
        <f>IF(GAAP!$G230&lt;2,+GAAP!E230," " )</f>
        <v>0</v>
      </c>
      <c r="J88" s="31">
        <f>IF(GAAP!$G230&lt;2,+GAAP!G230," " )</f>
        <v>1</v>
      </c>
      <c r="K88" s="30">
        <f>IF(GAAP!$G230&lt;2,+GAAP!H230," " )</f>
        <v>0</v>
      </c>
      <c r="L88" s="30">
        <f>+GAAP!K230</f>
        <v>-2460.1600000000035</v>
      </c>
      <c r="N88" s="33"/>
      <c r="S88" s="33">
        <f>K88-'Bonus WIP'!K89</f>
        <v>-8429</v>
      </c>
      <c r="T88" s="33">
        <f>L88-'Bonus WIP'!L89</f>
        <v>8429</v>
      </c>
    </row>
    <row r="89" spans="1:20" ht="12" customHeight="1">
      <c r="A89" s="262">
        <f>+GAAP!A231</f>
        <v>55.1248</v>
      </c>
      <c r="B89" s="97" t="str">
        <f>IF(GAAP!$G231&lt;2,+GAAP!B231," " )</f>
        <v>Anaergia Technologies LLC - City of Riverside - Digester 5 Rehabilitation</v>
      </c>
      <c r="C89" s="30">
        <f>IF(GAAP!$G231&lt;2,+GAAP!J231," " )</f>
        <v>4861991.8099999996</v>
      </c>
      <c r="D89" s="30">
        <f>IF(GAAP!$G231&lt;2,+GAAP!M231," " )</f>
        <v>897310</v>
      </c>
      <c r="E89" s="30">
        <f>IF(GAAP!$G231&lt;2,+GAAP!C231," " )</f>
        <v>5759301.8099999996</v>
      </c>
      <c r="F89" s="30">
        <f>IF(GAAP!$G231&lt;2,+GAAP!F231," " )</f>
        <v>3621770.22</v>
      </c>
      <c r="G89" s="30">
        <f>IF(GAAP!$G231&lt;2,+GAAP!L231," " )</f>
        <v>1312531.5899999994</v>
      </c>
      <c r="H89" s="30">
        <f>IF(GAAP!$G231&lt;2,+GAAP!D231," " )</f>
        <v>4934301.8099999996</v>
      </c>
      <c r="I89" s="30">
        <f>IF(GAAP!$G231&lt;2,+GAAP!E231," " )</f>
        <v>825000</v>
      </c>
      <c r="J89" s="31">
        <f>IF(GAAP!$G231&lt;2,+GAAP!G231," " )</f>
        <v>0.73399851882996203</v>
      </c>
      <c r="K89" s="30">
        <f>IF(GAAP!$G231&lt;2,+GAAP!H231," " )</f>
        <v>605548.77803471871</v>
      </c>
      <c r="L89" s="30">
        <f>+GAAP!K231</f>
        <v>634672.81196528021</v>
      </c>
      <c r="N89" s="33"/>
      <c r="O89" s="100"/>
      <c r="S89" s="33">
        <f>K89-'Bonus WIP'!K90</f>
        <v>0</v>
      </c>
      <c r="T89" s="33">
        <f>L89-'Bonus WIP'!L90</f>
        <v>0</v>
      </c>
    </row>
    <row r="90" spans="1:20" ht="12" customHeight="1">
      <c r="A90" s="262">
        <f>+GAAP!A232</f>
        <v>55.124899999999997</v>
      </c>
      <c r="B90" s="97" t="str">
        <f>IF(GAAP!$G232&lt;2,+GAAP!B232," " )</f>
        <v>Inland Empire Utilities - IEUA - RP-1 Solids Thickening Project - EN22044</v>
      </c>
      <c r="C90" s="30">
        <f>IF(GAAP!$G232&lt;2,+GAAP!J232," " )</f>
        <v>15047042.84</v>
      </c>
      <c r="D90" s="30">
        <f>IF(GAAP!$G232&lt;2,+GAAP!M232," " )</f>
        <v>132478070.16</v>
      </c>
      <c r="E90" s="30">
        <f>IF(GAAP!$G232&lt;2,+GAAP!C232," " )</f>
        <v>147525113</v>
      </c>
      <c r="F90" s="30">
        <f>IF(GAAP!$G232&lt;2,+GAAP!F232," " )</f>
        <v>15046313.77</v>
      </c>
      <c r="G90" s="30">
        <f>IF(GAAP!$G232&lt;2,+GAAP!L232," " )</f>
        <v>124657591.23</v>
      </c>
      <c r="H90" s="30">
        <f>IF(GAAP!$G232&lt;2,+GAAP!D232," " )</f>
        <v>139703905</v>
      </c>
      <c r="I90" s="30">
        <f>IF(GAAP!$G232&lt;2,+GAAP!E232," " )</f>
        <v>7821208</v>
      </c>
      <c r="J90" s="31">
        <f>IF(GAAP!$G232&lt;2,+GAAP!G232," " )</f>
        <v>0.10770145451553412</v>
      </c>
      <c r="K90" s="30">
        <f>IF(GAAP!$G232&lt;2,+GAAP!H232," " )</f>
        <v>842355.47766853159</v>
      </c>
      <c r="L90" s="30">
        <f>+GAAP!K232</f>
        <v>-841626.40766853094</v>
      </c>
      <c r="N90" s="33"/>
      <c r="S90" s="33">
        <f>K90-'Bonus WIP'!K91</f>
        <v>842355.47766853159</v>
      </c>
      <c r="T90" s="33">
        <f>L90-'Bonus WIP'!L91</f>
        <v>-842355.47766853124</v>
      </c>
    </row>
    <row r="91" spans="1:20" ht="12" customHeight="1">
      <c r="A91" s="262">
        <f>+GAAP!A233</f>
        <v>55.125399999999999</v>
      </c>
      <c r="B91" s="97" t="str">
        <f>IF(GAAP!$G233&lt;2,+GAAP!B233," " )</f>
        <v>JV w/City of Banning - Wastewater Treatment Plant Recycled Water</v>
      </c>
      <c r="C91" s="30">
        <f>IF(GAAP!$G233&lt;2,+GAAP!J233," " )</f>
        <v>158952.89000000001</v>
      </c>
      <c r="D91" s="30">
        <f>IF(GAAP!$G233&lt;2,+GAAP!M233," " )</f>
        <v>0</v>
      </c>
      <c r="E91" s="30">
        <f>IF(GAAP!$G233&lt;2,+GAAP!C233," " )</f>
        <v>158952.89000000001</v>
      </c>
      <c r="F91" s="30">
        <f>IF(GAAP!$G233&lt;2,+GAAP!F233," " )</f>
        <v>156561.66</v>
      </c>
      <c r="G91" s="30">
        <f>IF(GAAP!$G233&lt;2,+GAAP!L233," " )</f>
        <v>0</v>
      </c>
      <c r="H91" s="30">
        <f>IF(GAAP!$G233&lt;2,+GAAP!D233," " )</f>
        <v>156561.66</v>
      </c>
      <c r="I91" s="30">
        <f>IF(GAAP!$G233&lt;2,+GAAP!E233," " )</f>
        <v>2391.2300000000105</v>
      </c>
      <c r="J91" s="31">
        <f>IF(GAAP!$G233&lt;2,+GAAP!G233," " )</f>
        <v>1</v>
      </c>
      <c r="K91" s="30">
        <f>IF(GAAP!$G233&lt;2,+GAAP!H233," " )</f>
        <v>2391.2300000000105</v>
      </c>
      <c r="L91" s="30">
        <f>+GAAP!K233</f>
        <v>0</v>
      </c>
      <c r="N91" s="33"/>
      <c r="S91" s="33"/>
      <c r="T91" s="33"/>
    </row>
    <row r="92" spans="1:20" ht="12" customHeight="1">
      <c r="A92" s="262">
        <f>+GAAP!A234</f>
        <v>55.125500000000002</v>
      </c>
      <c r="B92" s="97" t="str">
        <f>IF(GAAP!$G234&lt;2,+GAAP!B234," " )</f>
        <v>City of Riverside - RWQCP Emergency Repair</v>
      </c>
      <c r="C92" s="30">
        <f>IF(GAAP!$G234&lt;2,+GAAP!J234," " )</f>
        <v>0</v>
      </c>
      <c r="D92" s="30">
        <f>IF(GAAP!$G234&lt;2,+GAAP!M234," " )</f>
        <v>14160.81</v>
      </c>
      <c r="E92" s="30">
        <f>IF(GAAP!$G234&lt;2,+GAAP!C234," " )</f>
        <v>14160.81</v>
      </c>
      <c r="F92" s="30">
        <f>IF(GAAP!$G234&lt;2,+GAAP!F234," " )</f>
        <v>14160.81</v>
      </c>
      <c r="G92" s="30">
        <f>IF(GAAP!$G234&lt;2,+GAAP!L234," " )</f>
        <v>0</v>
      </c>
      <c r="H92" s="30">
        <f>IF(GAAP!$G234&lt;2,+GAAP!D234," " )</f>
        <v>14160.81</v>
      </c>
      <c r="I92" s="30">
        <f>IF(GAAP!$G234&lt;2,+GAAP!E234," " )</f>
        <v>0</v>
      </c>
      <c r="J92" s="31">
        <f>IF(GAAP!$G234&lt;2,+GAAP!G234," " )</f>
        <v>1</v>
      </c>
      <c r="K92" s="30">
        <f>IF(GAAP!$G234&lt;2,+GAAP!H234," " )</f>
        <v>0</v>
      </c>
      <c r="L92" s="30">
        <f>+GAAP!K234</f>
        <v>-14160.81</v>
      </c>
      <c r="N92" s="33"/>
      <c r="S92" s="33"/>
      <c r="T92" s="33"/>
    </row>
    <row r="93" spans="1:20" ht="12" customHeight="1">
      <c r="A93" s="262">
        <f>+GAAP!A235</f>
        <v>55.125599999999999</v>
      </c>
      <c r="B93" s="97" t="str">
        <f>IF(GAAP!$G235&lt;2,+GAAP!B235," " )</f>
        <v>Anaergia Technologies LLC - City of Riverside - OPS</v>
      </c>
      <c r="C93" s="30">
        <f>IF(GAAP!$G235&lt;2,+GAAP!J235," " )</f>
        <v>101150</v>
      </c>
      <c r="D93" s="30">
        <f>IF(GAAP!$G235&lt;2,+GAAP!M235," " )</f>
        <v>2786950</v>
      </c>
      <c r="E93" s="30">
        <f>IF(GAAP!$G235&lt;2,+GAAP!C235," " )</f>
        <v>2888100</v>
      </c>
      <c r="F93" s="30">
        <f>IF(GAAP!$G235&lt;2,+GAAP!F235," " )</f>
        <v>94989.88</v>
      </c>
      <c r="G93" s="30">
        <f>IF(GAAP!$G235&lt;2,+GAAP!L235," " )</f>
        <v>2618110.12</v>
      </c>
      <c r="H93" s="30">
        <f>IF(GAAP!$G235&lt;2,+GAAP!D235," " )</f>
        <v>2713100</v>
      </c>
      <c r="I93" s="30">
        <f>IF(GAAP!$G235&lt;2,+GAAP!E235," " )</f>
        <v>175000</v>
      </c>
      <c r="J93" s="31">
        <f>IF(GAAP!$G235&lt;2,+GAAP!G235," " )</f>
        <v>3.501156610519332E-2</v>
      </c>
      <c r="K93" s="30">
        <f>IF(GAAP!$G235&lt;2,+GAAP!H235," " )</f>
        <v>0</v>
      </c>
      <c r="L93" s="30">
        <f>+GAAP!K235</f>
        <v>6160.1199999999953</v>
      </c>
      <c r="N93" s="33"/>
      <c r="S93" s="33" t="e">
        <f>K93-'Bonus WIP'!#REF!</f>
        <v>#REF!</v>
      </c>
      <c r="T93" s="33" t="e">
        <f>L93-'Bonus WIP'!#REF!</f>
        <v>#REF!</v>
      </c>
    </row>
    <row r="94" spans="1:20" ht="10.5" customHeight="1">
      <c r="A94" s="262"/>
      <c r="B94" s="97"/>
      <c r="C94" s="30"/>
      <c r="D94" s="30"/>
      <c r="E94" s="30"/>
      <c r="F94" s="30"/>
      <c r="G94" s="30"/>
      <c r="H94" s="30"/>
      <c r="I94" s="30"/>
      <c r="J94" s="31"/>
      <c r="K94" s="30"/>
      <c r="L94" s="30"/>
      <c r="N94" s="33"/>
      <c r="S94" s="33">
        <f>K94-'Bonus WIP'!K95</f>
        <v>0</v>
      </c>
      <c r="T94" s="33">
        <f>L94-'Bonus WIP'!L95</f>
        <v>0</v>
      </c>
    </row>
    <row r="95" spans="1:20" ht="12" customHeight="1">
      <c r="A95" s="262">
        <f>+GAAP!A252</f>
        <v>57.000300000000003</v>
      </c>
      <c r="B95" s="97" t="str">
        <f>IF(GAAP!$G252&lt;2,+GAAP!B252," " )</f>
        <v>Moulton Niguel Water Dist. - Advanced Water Treatment Facility Salinity Management System - Ph 1</v>
      </c>
      <c r="C95" s="30">
        <f>IF(GAAP!$G252&lt;2,+GAAP!J252," " )</f>
        <v>6863233.25</v>
      </c>
      <c r="D95" s="30">
        <f>IF(GAAP!$G252&lt;2,+GAAP!M252," " )</f>
        <v>31302186.25</v>
      </c>
      <c r="E95" s="30">
        <f>IF(GAAP!$G252&lt;2,+GAAP!C252," " )</f>
        <v>38165419.5</v>
      </c>
      <c r="F95" s="30">
        <f>IF(GAAP!$G252&lt;2,+GAAP!F252," " )</f>
        <v>6316909.1299999999</v>
      </c>
      <c r="G95" s="30">
        <f>IF(GAAP!$G252&lt;2,+GAAP!L252," " )</f>
        <v>29441424.370000001</v>
      </c>
      <c r="H95" s="30">
        <f>IF(GAAP!$G252&lt;2,+GAAP!D252," " )</f>
        <v>35758333.5</v>
      </c>
      <c r="I95" s="30">
        <f>IF(GAAP!$G252&lt;2,+GAAP!E252," " )</f>
        <v>2407086</v>
      </c>
      <c r="J95" s="31">
        <f>IF(GAAP!$G252&lt;2,+GAAP!G252," " )</f>
        <v>0.17665557960076636</v>
      </c>
      <c r="K95" s="30">
        <f>IF(GAAP!$G252&lt;2,+GAAP!H252," " )</f>
        <v>425225.17247889028</v>
      </c>
      <c r="L95" s="30">
        <f>+GAAP!K252</f>
        <v>121098.94752111007</v>
      </c>
      <c r="N95" s="33"/>
      <c r="S95" s="33">
        <f>K95-'Bonus WIP'!K96</f>
        <v>301303.00000000023</v>
      </c>
      <c r="T95" s="33">
        <f>L95-'Bonus WIP'!L96</f>
        <v>-301303</v>
      </c>
    </row>
    <row r="96" spans="1:20" ht="12" customHeight="1">
      <c r="A96" s="262">
        <f>+GAAP!A253</f>
        <v>57.000399999999999</v>
      </c>
      <c r="B96" s="97" t="str">
        <f>IF(GAAP!$G253&lt;2,+GAAP!B253," " )</f>
        <v>Santa Margarita Water Dist. - Oso Creek Water Reclamation Plant Optimization Project</v>
      </c>
      <c r="C96" s="30">
        <f>IF(GAAP!$G253&lt;2,+GAAP!J253," " )</f>
        <v>900072.76</v>
      </c>
      <c r="D96" s="30">
        <f>IF(GAAP!$G253&lt;2,+GAAP!M253," " )</f>
        <v>39206151.870000005</v>
      </c>
      <c r="E96" s="30">
        <f>IF(GAAP!$G253&lt;2,+GAAP!C253," " )</f>
        <v>40106224.630000003</v>
      </c>
      <c r="F96" s="30">
        <f>IF(GAAP!$G253&lt;2,+GAAP!F253," " )</f>
        <v>750298.86</v>
      </c>
      <c r="G96" s="30">
        <f>IF(GAAP!$G253&lt;2,+GAAP!L253," " )</f>
        <v>37146068.770000003</v>
      </c>
      <c r="H96" s="30">
        <f>IF(GAAP!$G253&lt;2,+GAAP!D253," " )</f>
        <v>37896367.630000003</v>
      </c>
      <c r="I96" s="30">
        <f>IF(GAAP!$G253&lt;2,+GAAP!E253," " )</f>
        <v>2209857</v>
      </c>
      <c r="J96" s="31">
        <f>IF(GAAP!$G253&lt;2,+GAAP!G253," " )</f>
        <v>1.9798701219217615E-2</v>
      </c>
      <c r="K96" s="30">
        <f>IF(GAAP!$G253&lt;2,+GAAP!H253," " )</f>
        <v>0</v>
      </c>
      <c r="L96" s="30">
        <f>+GAAP!K253</f>
        <v>149773.90000000002</v>
      </c>
      <c r="N96" s="33"/>
      <c r="S96" s="33">
        <f>K96-'Bonus WIP'!K97</f>
        <v>0</v>
      </c>
      <c r="T96" s="33">
        <f>L96-'Bonus WIP'!L97</f>
        <v>0</v>
      </c>
    </row>
    <row r="97" spans="1:20" ht="12" customHeight="1">
      <c r="A97" s="262">
        <f>+GAAP!A254</f>
        <v>57.000700000000002</v>
      </c>
      <c r="B97" s="97" t="str">
        <f>IF(GAAP!$G254&lt;2,+GAAP!B254," " )</f>
        <v>Anaergia Technologies, LLC - East County Package 5 - Phase 1B</v>
      </c>
      <c r="C97" s="30">
        <f>IF(GAAP!$G254&lt;2,+GAAP!J254," " )</f>
        <v>153858.35999999999</v>
      </c>
      <c r="D97" s="30">
        <f>IF(GAAP!$G254&lt;2,+GAAP!M254," " )</f>
        <v>42390.040000000008</v>
      </c>
      <c r="E97" s="30">
        <f>IF(GAAP!$G254&lt;2,+GAAP!C254," " )</f>
        <v>196248.4</v>
      </c>
      <c r="F97" s="30">
        <f>IF(GAAP!$G254&lt;2,+GAAP!F254," " )</f>
        <v>196248.4</v>
      </c>
      <c r="G97" s="30">
        <f>IF(GAAP!$G254&lt;2,+GAAP!L254," " )</f>
        <v>0</v>
      </c>
      <c r="H97" s="30">
        <f>IF(GAAP!$G254&lt;2,+GAAP!D254," " )</f>
        <v>196248.4</v>
      </c>
      <c r="I97" s="30">
        <f>IF(GAAP!$G254&lt;2,+GAAP!E254," " )</f>
        <v>0</v>
      </c>
      <c r="J97" s="31">
        <f>IF(GAAP!$G254&lt;2,+GAAP!G254," " )</f>
        <v>1</v>
      </c>
      <c r="K97" s="30">
        <f>IF(GAAP!$G254&lt;2,+GAAP!H254," " )</f>
        <v>0</v>
      </c>
      <c r="L97" s="30">
        <f>+GAAP!K254</f>
        <v>-42390.040000000008</v>
      </c>
      <c r="N97" s="33"/>
      <c r="S97" s="33"/>
      <c r="T97" s="33"/>
    </row>
    <row r="98" spans="1:20" ht="12" customHeight="1">
      <c r="A98" s="262">
        <f>+GAAP!A255</f>
        <v>57.000799999999998</v>
      </c>
      <c r="B98" s="97" t="str">
        <f>IF(GAAP!$G255&lt;2,+GAAP!B255," " )</f>
        <v>Imperial Irrigation Dist. - El Centro Generating Station WWTP</v>
      </c>
      <c r="C98" s="30">
        <f>IF(GAAP!$G255&lt;2,+GAAP!J255," " )</f>
        <v>266758</v>
      </c>
      <c r="D98" s="30">
        <f>IF(GAAP!$G255&lt;2,+GAAP!M255," " )</f>
        <v>2609289</v>
      </c>
      <c r="E98" s="30">
        <f>IF(GAAP!$G255&lt;2,+GAAP!C255," " )</f>
        <v>2876047</v>
      </c>
      <c r="F98" s="30">
        <f>IF(GAAP!$G255&lt;2,+GAAP!F255," " )</f>
        <v>262382.86</v>
      </c>
      <c r="G98" s="30">
        <f>IF(GAAP!$G255&lt;2,+GAAP!L255," " )</f>
        <v>2481599.14</v>
      </c>
      <c r="H98" s="30">
        <f>IF(GAAP!$G255&lt;2,+GAAP!D255," " )</f>
        <v>2743982</v>
      </c>
      <c r="I98" s="30">
        <f>IF(GAAP!$G255&lt;2,+GAAP!E255," " )</f>
        <v>132065</v>
      </c>
      <c r="J98" s="31">
        <f>IF(GAAP!$G255&lt;2,+GAAP!G255," " )</f>
        <v>9.5621203054538986E-2</v>
      </c>
      <c r="K98" s="30">
        <f>IF(GAAP!$G255&lt;2,+GAAP!H255," " )</f>
        <v>0</v>
      </c>
      <c r="L98" s="30">
        <f>+GAAP!K255</f>
        <v>4375.140000000014</v>
      </c>
      <c r="N98" s="33"/>
      <c r="S98" s="33"/>
      <c r="T98" s="33"/>
    </row>
    <row r="99" spans="1:20" ht="10.5" customHeight="1">
      <c r="A99" s="262"/>
      <c r="B99" s="97"/>
      <c r="C99" s="30"/>
      <c r="D99" s="30"/>
      <c r="E99" s="30"/>
      <c r="F99" s="30"/>
      <c r="G99" s="30"/>
      <c r="H99" s="30"/>
      <c r="I99" s="30"/>
      <c r="J99" s="31"/>
      <c r="K99" s="30"/>
      <c r="L99" s="30"/>
      <c r="N99" s="33"/>
      <c r="S99" s="33">
        <f>K99-'Bonus WIP'!K100</f>
        <v>0</v>
      </c>
      <c r="T99" s="33">
        <f>L99-'Bonus WIP'!L100</f>
        <v>0</v>
      </c>
    </row>
    <row r="100" spans="1:20" ht="12" customHeight="1">
      <c r="A100" s="262">
        <f>+GAAP!A267</f>
        <v>58.000300000000003</v>
      </c>
      <c r="B100" s="97" t="str">
        <f>IF(GAAP!$G267&lt;2,+GAAP!B267," " )</f>
        <v>Los Angeles County Sanitation Dist. - Los Coyotes WRP Process Air Compressor Replacement</v>
      </c>
      <c r="C100" s="30">
        <f>IF(GAAP!$G267&lt;2,+GAAP!J267," " )</f>
        <v>11889201.76</v>
      </c>
      <c r="D100" s="30">
        <f>IF(GAAP!$G267&lt;2,+GAAP!M267," " )</f>
        <v>10635987.24</v>
      </c>
      <c r="E100" s="30">
        <f>IF(GAAP!$G267&lt;2,+GAAP!C267," " )</f>
        <v>22525189</v>
      </c>
      <c r="F100" s="30">
        <f>IF(GAAP!$G267&lt;2,+GAAP!F267," " )</f>
        <v>11034781.789999999</v>
      </c>
      <c r="G100" s="30">
        <f>IF(GAAP!$G267&lt;2,+GAAP!L267," " )</f>
        <v>10182392.210000001</v>
      </c>
      <c r="H100" s="30">
        <f>IF(GAAP!$G267&lt;2,+GAAP!D267," " )</f>
        <v>21217174</v>
      </c>
      <c r="I100" s="30">
        <f>IF(GAAP!$G267&lt;2,+GAAP!E267," " )</f>
        <v>1308015</v>
      </c>
      <c r="J100" s="31">
        <f>IF(GAAP!$G267&lt;2,+GAAP!G267," " )</f>
        <v>0.52008725525840527</v>
      </c>
      <c r="K100" s="30">
        <f>IF(GAAP!$G267&lt;2,+GAAP!H267," " )</f>
        <v>680281.93118682294</v>
      </c>
      <c r="L100" s="30">
        <f>+GAAP!K267</f>
        <v>174138.0388131775</v>
      </c>
      <c r="N100" s="33"/>
      <c r="S100" s="33">
        <f>K100-'Bonus WIP'!K101</f>
        <v>0</v>
      </c>
      <c r="T100" s="33">
        <f>L100-'Bonus WIP'!L101</f>
        <v>0</v>
      </c>
    </row>
    <row r="101" spans="1:20" ht="10.5" customHeight="1">
      <c r="A101" s="262"/>
      <c r="B101" s="97"/>
      <c r="C101" s="30"/>
      <c r="D101" s="30"/>
      <c r="E101" s="30"/>
      <c r="F101" s="30"/>
      <c r="G101" s="30"/>
      <c r="H101" s="30"/>
      <c r="I101" s="30"/>
      <c r="J101" s="31"/>
      <c r="K101" s="30"/>
      <c r="L101" s="30"/>
      <c r="N101" s="33"/>
      <c r="S101" s="33">
        <f>K101-'Bonus WIP'!K102</f>
        <v>0</v>
      </c>
      <c r="T101" s="33">
        <f>L101-'Bonus WIP'!L102</f>
        <v>0</v>
      </c>
    </row>
    <row r="102" spans="1:20" ht="12" customHeight="1">
      <c r="A102" s="262">
        <f>+GAAP!A283</f>
        <v>56.1004</v>
      </c>
      <c r="B102" s="97" t="str">
        <f>IF(GAAP!$G283&lt;2,+GAAP!B283," " )</f>
        <v>San Joaquin Electric - Liberty Ranch Sewer Pump Station</v>
      </c>
      <c r="C102" s="30">
        <f>IF(GAAP!$G283&lt;2,+GAAP!J283," " )</f>
        <v>371550</v>
      </c>
      <c r="D102" s="30">
        <f>IF(GAAP!$G283&lt;2,+GAAP!M283," " )</f>
        <v>1875</v>
      </c>
      <c r="E102" s="30">
        <f>IF(GAAP!$G283&lt;2,+GAAP!C283," " )</f>
        <v>373425</v>
      </c>
      <c r="F102" s="30">
        <f>IF(GAAP!$G283&lt;2,+GAAP!F283," " )</f>
        <v>236373.73</v>
      </c>
      <c r="G102" s="30">
        <f>IF(GAAP!$G283&lt;2,+GAAP!L283," " )</f>
        <v>33466.26999999999</v>
      </c>
      <c r="H102" s="30">
        <f>IF(GAAP!$G283&lt;2,+GAAP!D283," " )</f>
        <v>269840</v>
      </c>
      <c r="I102" s="30">
        <f>IF(GAAP!$G283&lt;2,+GAAP!E283," " )</f>
        <v>103585</v>
      </c>
      <c r="J102" s="31">
        <f>IF(GAAP!$G283&lt;2,+GAAP!G283," " )</f>
        <v>0.87597735695226808</v>
      </c>
      <c r="K102" s="30">
        <f>IF(GAAP!$G283&lt;2,+GAAP!H283," " )</f>
        <v>90738.114519900686</v>
      </c>
      <c r="L102" s="30">
        <f>+GAAP!K283</f>
        <v>44438.155480099318</v>
      </c>
      <c r="N102" s="33"/>
      <c r="S102" s="33">
        <f>K102-'Bonus WIP'!K103</f>
        <v>0</v>
      </c>
      <c r="T102" s="33">
        <f>L102-'Bonus WIP'!L103</f>
        <v>0</v>
      </c>
    </row>
    <row r="103" spans="1:20" ht="12" customHeight="1">
      <c r="A103" s="262">
        <f>+GAAP!A284</f>
        <v>56.100499999999997</v>
      </c>
      <c r="B103" s="97" t="str">
        <f>IF(GAAP!$G284&lt;2,+GAAP!B284," " )</f>
        <v>SD Electric, Inc. - Stormwater Evacuation Lines &amp; Outfall Manifold</v>
      </c>
      <c r="C103" s="30">
        <f>IF(GAAP!$G284&lt;2,+GAAP!J284," " )</f>
        <v>135000</v>
      </c>
      <c r="D103" s="30">
        <f>IF(GAAP!$G284&lt;2,+GAAP!M284," " )</f>
        <v>0</v>
      </c>
      <c r="E103" s="30">
        <f>IF(GAAP!$G284&lt;2,+GAAP!C284," " )</f>
        <v>135000</v>
      </c>
      <c r="F103" s="30">
        <f>IF(GAAP!$G284&lt;2,+GAAP!F284," " )</f>
        <v>51037.42</v>
      </c>
      <c r="G103" s="30">
        <f>IF(GAAP!$G284&lt;2,+GAAP!L284," " )</f>
        <v>16987.580000000002</v>
      </c>
      <c r="H103" s="30">
        <f>IF(GAAP!$G284&lt;2,+GAAP!D284," " )</f>
        <v>68025</v>
      </c>
      <c r="I103" s="30">
        <f>IF(GAAP!$G284&lt;2,+GAAP!E284," " )</f>
        <v>66975</v>
      </c>
      <c r="J103" s="31">
        <f>IF(GAAP!$G284&lt;2,+GAAP!G284," " )</f>
        <v>0.75027445791988234</v>
      </c>
      <c r="K103" s="30">
        <f>IF(GAAP!$G284&lt;2,+GAAP!H284," " )</f>
        <v>50249.63181918412</v>
      </c>
      <c r="L103" s="30">
        <f>+GAAP!K284</f>
        <v>33712.948180815874</v>
      </c>
      <c r="N103" s="33"/>
      <c r="S103" s="33">
        <f>K103-'Bonus WIP'!K104</f>
        <v>0</v>
      </c>
      <c r="T103" s="33">
        <f>L103-'Bonus WIP'!L104</f>
        <v>0</v>
      </c>
    </row>
    <row r="104" spans="1:20" ht="12" customHeight="1">
      <c r="A104" s="262">
        <f>+GAAP!A285</f>
        <v>56.100999999999999</v>
      </c>
      <c r="B104" s="97" t="str">
        <f>IF(GAAP!$G285&lt;2,+GAAP!B285," " )</f>
        <v>Placer County Water Agency -PCWA Time &amp; Material Contract</v>
      </c>
      <c r="C104" s="30">
        <f>IF(GAAP!$G285&lt;2,+GAAP!J285," " )</f>
        <v>49250</v>
      </c>
      <c r="D104" s="30">
        <f>IF(GAAP!$G285&lt;2,+GAAP!M285," " )</f>
        <v>0</v>
      </c>
      <c r="E104" s="30">
        <f>IF(GAAP!$G285&lt;2,+GAAP!C285," " )</f>
        <v>49250</v>
      </c>
      <c r="F104" s="30">
        <f>IF(GAAP!$G285&lt;2,+GAAP!F285," " )</f>
        <v>36461.94</v>
      </c>
      <c r="G104" s="30">
        <f>IF(GAAP!$G285&lt;2,+GAAP!L285," " )</f>
        <v>0</v>
      </c>
      <c r="H104" s="30">
        <f>IF(GAAP!$G285&lt;2,+GAAP!D285," " )</f>
        <v>36461.94</v>
      </c>
      <c r="I104" s="30">
        <f>IF(GAAP!$G285&lt;2,+GAAP!E285," " )</f>
        <v>12788.059999999998</v>
      </c>
      <c r="J104" s="31">
        <f>IF(GAAP!$G285&lt;2,+GAAP!G285," " )</f>
        <v>1</v>
      </c>
      <c r="K104" s="30">
        <f>IF(GAAP!$G285&lt;2,+GAAP!H285," " )</f>
        <v>12788.059999999998</v>
      </c>
      <c r="L104" s="30">
        <f>+GAAP!K285</f>
        <v>0</v>
      </c>
      <c r="N104" s="33"/>
      <c r="S104" s="33">
        <f>K104-'Bonus WIP'!K105</f>
        <v>0</v>
      </c>
      <c r="T104" s="33">
        <f>L104-'Bonus WIP'!L105</f>
        <v>0</v>
      </c>
    </row>
    <row r="105" spans="1:20" ht="12" customHeight="1">
      <c r="A105" s="262">
        <f>+GAAP!A286</f>
        <v>56.101500000000001</v>
      </c>
      <c r="B105" s="97" t="str">
        <f>IF(GAAP!$G286&lt;2,+GAAP!B286," " )</f>
        <v>Mike Brown Electric Co. - Riverside Ponds &amp; Headworks Mitigation – City of Calistoga</v>
      </c>
      <c r="C105" s="30">
        <f>IF(GAAP!$G286&lt;2,+GAAP!J286," " )</f>
        <v>160000</v>
      </c>
      <c r="D105" s="30">
        <f>IF(GAAP!$G286&lt;2,+GAAP!M286," " )</f>
        <v>0</v>
      </c>
      <c r="E105" s="30">
        <f>IF(GAAP!$G286&lt;2,+GAAP!C286," " )</f>
        <v>160000</v>
      </c>
      <c r="F105" s="30">
        <f>IF(GAAP!$G286&lt;2,+GAAP!F286," " )</f>
        <v>142358.95000000001</v>
      </c>
      <c r="G105" s="30">
        <f>IF(GAAP!$G286&lt;2,+GAAP!L286," " )</f>
        <v>0</v>
      </c>
      <c r="H105" s="30">
        <f>IF(GAAP!$G286&lt;2,+GAAP!D286," " )</f>
        <v>142358.95000000001</v>
      </c>
      <c r="I105" s="30">
        <f>IF(GAAP!$G286&lt;2,+GAAP!E286," " )</f>
        <v>17641.049999999988</v>
      </c>
      <c r="J105" s="31">
        <f>IF(GAAP!$G286&lt;2,+GAAP!G286," " )</f>
        <v>1</v>
      </c>
      <c r="K105" s="30">
        <f>IF(GAAP!$G286&lt;2,+GAAP!H286," " )</f>
        <v>17641.049999999988</v>
      </c>
      <c r="L105" s="30">
        <f>+GAAP!K286</f>
        <v>0</v>
      </c>
      <c r="N105" s="33"/>
      <c r="S105" s="33">
        <f>K105-'Bonus WIP'!K106</f>
        <v>-881.28193789309444</v>
      </c>
      <c r="T105" s="33">
        <f>L105-'Bonus WIP'!L106</f>
        <v>881.28193789310171</v>
      </c>
    </row>
    <row r="106" spans="1:20" ht="12" customHeight="1">
      <c r="A106" s="262">
        <f>+GAAP!A287</f>
        <v>56.101700000000001</v>
      </c>
      <c r="B106" s="97" t="str">
        <f>IF(GAAP!$G287&lt;2,+GAAP!B287," " )</f>
        <v>Bay Tech Engineering - SDDS Gate Valves Replacement – SF International Airport</v>
      </c>
      <c r="C106" s="30">
        <f>IF(GAAP!$G287&lt;2,+GAAP!J287," " )</f>
        <v>99118</v>
      </c>
      <c r="D106" s="30">
        <f>IF(GAAP!$G287&lt;2,+GAAP!M287," " )</f>
        <v>3750</v>
      </c>
      <c r="E106" s="30">
        <f>IF(GAAP!$G287&lt;2,+GAAP!C287," " )</f>
        <v>102868</v>
      </c>
      <c r="F106" s="30">
        <f>IF(GAAP!$G287&lt;2,+GAAP!F287," " )</f>
        <v>95450.46</v>
      </c>
      <c r="G106" s="30">
        <f>IF(GAAP!$G287&lt;2,+GAAP!L287," " )</f>
        <v>19444.539999999994</v>
      </c>
      <c r="H106" s="30">
        <f>IF(GAAP!$G287&lt;2,+GAAP!D287," " )</f>
        <v>114895</v>
      </c>
      <c r="I106" s="30">
        <f>IF(GAAP!$G287&lt;2,+GAAP!E287," " )</f>
        <v>-12027</v>
      </c>
      <c r="J106" s="31">
        <f>IF(GAAP!$G287&lt;2,+GAAP!G287," " )</f>
        <v>0.83076252230297232</v>
      </c>
      <c r="K106" s="30">
        <f>IF(GAAP!$G287&lt;2,+GAAP!H287," " )</f>
        <v>-12027</v>
      </c>
      <c r="L106" s="30">
        <f>+GAAP!K287</f>
        <v>15694.539999999994</v>
      </c>
      <c r="N106" s="33">
        <f>I106*J106</f>
        <v>-9991.5808557378477</v>
      </c>
      <c r="O106" s="33">
        <f>N106-K106</f>
        <v>2035.4191442621523</v>
      </c>
      <c r="P106" s="490" t="s">
        <v>491</v>
      </c>
      <c r="S106" s="33">
        <f>K106-'Bonus WIP'!K107</f>
        <v>0</v>
      </c>
      <c r="T106" s="33">
        <f>L106-'Bonus WIP'!L107</f>
        <v>0</v>
      </c>
    </row>
    <row r="107" spans="1:20" ht="12" customHeight="1">
      <c r="A107" s="262">
        <f>+GAAP!A288</f>
        <v>56.101799999999997</v>
      </c>
      <c r="B107" s="97" t="str">
        <f>IF(GAAP!$G288&lt;2,+GAAP!B288," " )</f>
        <v>CM Controls - Salinas AG Industrial Phase 1 – City of Salinas</v>
      </c>
      <c r="C107" s="30">
        <f>IF(GAAP!$G288&lt;2,+GAAP!J288," " )</f>
        <v>50000</v>
      </c>
      <c r="D107" s="30">
        <f>IF(GAAP!$G288&lt;2,+GAAP!M288," " )</f>
        <v>103913</v>
      </c>
      <c r="E107" s="30">
        <f>IF(GAAP!$G288&lt;2,+GAAP!C288," " )</f>
        <v>153913</v>
      </c>
      <c r="F107" s="30">
        <f>IF(GAAP!$G288&lt;2,+GAAP!F288," " )</f>
        <v>41991.15</v>
      </c>
      <c r="G107" s="30">
        <f>IF(GAAP!$G288&lt;2,+GAAP!L288," " )</f>
        <v>29053.85</v>
      </c>
      <c r="H107" s="30">
        <f>IF(GAAP!$G288&lt;2,+GAAP!D288," " )</f>
        <v>71045</v>
      </c>
      <c r="I107" s="30">
        <f>IF(GAAP!$G288&lt;2,+GAAP!E288," " )</f>
        <v>82868</v>
      </c>
      <c r="J107" s="31">
        <f>IF(GAAP!$G288&lt;2,+GAAP!G288," " )</f>
        <v>0.59105003870786121</v>
      </c>
      <c r="K107" s="30">
        <f>IF(GAAP!$G288&lt;2,+GAAP!H288," " )</f>
        <v>48979.134607643042</v>
      </c>
      <c r="L107" s="30">
        <f>+GAAP!K288</f>
        <v>-40970.284607643043</v>
      </c>
      <c r="N107" s="33"/>
      <c r="S107" s="33">
        <f>K107-'Bonus WIP'!K108</f>
        <v>0</v>
      </c>
      <c r="T107" s="33">
        <f>L107-'Bonus WIP'!L108</f>
        <v>0</v>
      </c>
    </row>
    <row r="108" spans="1:20" ht="12" customHeight="1">
      <c r="A108" s="262">
        <f>+GAAP!A289</f>
        <v>56.103200000000001</v>
      </c>
      <c r="B108" s="97" t="str">
        <f>IF(GAAP!$G289&lt;2,+GAAP!B289," " )</f>
        <v>Newtron - Watsonville, City of - Zone 2 Water Res &amp; AirportBPS Mods</v>
      </c>
      <c r="C108" s="30">
        <f>IF(GAAP!$G289&lt;2,+GAAP!J289," " )</f>
        <v>0</v>
      </c>
      <c r="D108" s="30">
        <f>IF(GAAP!$G289&lt;2,+GAAP!M289," " )</f>
        <v>85000</v>
      </c>
      <c r="E108" s="30">
        <f>IF(GAAP!$G289&lt;2,+GAAP!C289," " )</f>
        <v>85000</v>
      </c>
      <c r="F108" s="30">
        <f>IF(GAAP!$G289&lt;2,+GAAP!F289," " )</f>
        <v>35024.339999999997</v>
      </c>
      <c r="G108" s="30">
        <f>IF(GAAP!$G289&lt;2,+GAAP!L289," " )</f>
        <v>47950.66</v>
      </c>
      <c r="H108" s="30">
        <f>IF(GAAP!$G289&lt;2,+GAAP!D289," " )</f>
        <v>82975</v>
      </c>
      <c r="I108" s="30">
        <f>IF(GAAP!$G289&lt;2,+GAAP!E289," " )</f>
        <v>2025</v>
      </c>
      <c r="J108" s="31">
        <f>IF(GAAP!$G289&lt;2,+GAAP!G289," " )</f>
        <v>0.42210714070503158</v>
      </c>
      <c r="K108" s="30">
        <f>IF(GAAP!$G289&lt;2,+GAAP!H289," " )</f>
        <v>854.76695992768896</v>
      </c>
      <c r="L108" s="30">
        <f>+GAAP!K289</f>
        <v>-35879.106959927689</v>
      </c>
      <c r="N108" s="33"/>
      <c r="S108" s="33">
        <f>K108-'Bonus WIP'!K109</f>
        <v>0</v>
      </c>
      <c r="T108" s="33">
        <f>L108-'Bonus WIP'!L109</f>
        <v>0</v>
      </c>
    </row>
    <row r="109" spans="1:20" ht="12" customHeight="1">
      <c r="A109" s="262">
        <f>+GAAP!A290</f>
        <v>56.1036</v>
      </c>
      <c r="B109" s="97" t="str">
        <f>IF(GAAP!$G290&lt;2,+GAAP!B290," " )</f>
        <v>Darrel Varni Electric, Inc. - GSW, San Benito Co. Sewer Pump Station No. 2</v>
      </c>
      <c r="C109" s="30">
        <f>IF(GAAP!$G290&lt;2,+GAAP!J290," " )</f>
        <v>48000</v>
      </c>
      <c r="D109" s="30">
        <f>IF(GAAP!$G290&lt;2,+GAAP!M290," " )</f>
        <v>228000</v>
      </c>
      <c r="E109" s="30">
        <f>IF(GAAP!$G290&lt;2,+GAAP!C290," " )</f>
        <v>276000</v>
      </c>
      <c r="F109" s="30">
        <f>IF(GAAP!$G290&lt;2,+GAAP!F290," " )</f>
        <v>107051.95</v>
      </c>
      <c r="G109" s="30">
        <f>IF(GAAP!$G290&lt;2,+GAAP!L290," " )</f>
        <v>101972.05</v>
      </c>
      <c r="H109" s="30">
        <f>IF(GAAP!$G290&lt;2,+GAAP!D290," " )</f>
        <v>209024</v>
      </c>
      <c r="I109" s="30">
        <f>IF(GAAP!$G290&lt;2,+GAAP!E290," " )</f>
        <v>66976</v>
      </c>
      <c r="J109" s="31">
        <f>IF(GAAP!$G290&lt;2,+GAAP!G290," " )</f>
        <v>0.51215147542865891</v>
      </c>
      <c r="K109" s="30">
        <f>IF(GAAP!$G290&lt;2,+GAAP!H290," " )</f>
        <v>34301.857218309859</v>
      </c>
      <c r="L109" s="30">
        <f>+GAAP!K290</f>
        <v>-93353.807218309841</v>
      </c>
      <c r="N109" s="33"/>
      <c r="S109" s="33">
        <f>K109-'Bonus WIP'!K110</f>
        <v>0</v>
      </c>
      <c r="T109" s="33">
        <f>L109-'Bonus WIP'!L110</f>
        <v>0</v>
      </c>
    </row>
    <row r="110" spans="1:20" ht="12" customHeight="1">
      <c r="A110" s="262">
        <f>+GAAP!A291</f>
        <v>56.103700000000003</v>
      </c>
      <c r="B110" s="97" t="str">
        <f>IF(GAAP!$G291&lt;2,+GAAP!B291," " )</f>
        <v>East Orange County Water District - EOCWD - On-Call SCADA Integration Services</v>
      </c>
      <c r="C110" s="30">
        <f>IF(GAAP!$G291&lt;2,+GAAP!J291," " )</f>
        <v>36491</v>
      </c>
      <c r="D110" s="30">
        <f>IF(GAAP!$G291&lt;2,+GAAP!M291," " )</f>
        <v>0</v>
      </c>
      <c r="E110" s="30">
        <f>IF(GAAP!$G291&lt;2,+GAAP!C291," " )</f>
        <v>36491</v>
      </c>
      <c r="F110" s="30">
        <f>IF(GAAP!$G291&lt;2,+GAAP!F291," " )</f>
        <v>21674.2</v>
      </c>
      <c r="G110" s="30">
        <f>IF(GAAP!$G291&lt;2,+GAAP!L291," " )</f>
        <v>0</v>
      </c>
      <c r="H110" s="30">
        <f>IF(GAAP!$G291&lt;2,+GAAP!D291," " )</f>
        <v>21674.2</v>
      </c>
      <c r="I110" s="30">
        <f>IF(GAAP!$G291&lt;2,+GAAP!E291," " )</f>
        <v>14816.8</v>
      </c>
      <c r="J110" s="31">
        <f>IF(GAAP!$G291&lt;2,+GAAP!G291," " )</f>
        <v>1</v>
      </c>
      <c r="K110" s="30">
        <f>IF(GAAP!$G291&lt;2,+GAAP!H291," " )</f>
        <v>14816.8</v>
      </c>
      <c r="L110" s="30">
        <f>+GAAP!K291</f>
        <v>0</v>
      </c>
      <c r="N110" s="33"/>
      <c r="S110" s="33">
        <f>K110-'Bonus WIP'!K111</f>
        <v>0</v>
      </c>
      <c r="T110" s="33">
        <f>L110-'Bonus WIP'!L111</f>
        <v>0</v>
      </c>
    </row>
    <row r="111" spans="1:20" ht="12" customHeight="1">
      <c r="A111" s="262">
        <f>+GAAP!A292</f>
        <v>56.1038</v>
      </c>
      <c r="B111" s="97" t="str">
        <f>IF(GAAP!$G292&lt;2,+GAAP!B292," " )</f>
        <v>Troxell JH Electrical Inc - Keyes CSD TCP Treatment Impvmts Wells 7,8,9,10</v>
      </c>
      <c r="C111" s="30">
        <f>IF(GAAP!$G292&lt;2,+GAAP!J292," " )</f>
        <v>0</v>
      </c>
      <c r="D111" s="30">
        <f>IF(GAAP!$G292&lt;2,+GAAP!M292," " )</f>
        <v>95000</v>
      </c>
      <c r="E111" s="30">
        <f>IF(GAAP!$G292&lt;2,+GAAP!C292," " )</f>
        <v>95000</v>
      </c>
      <c r="F111" s="30">
        <f>IF(GAAP!$G292&lt;2,+GAAP!F292," " )</f>
        <v>100049.89</v>
      </c>
      <c r="G111" s="30">
        <f>IF(GAAP!$G292&lt;2,+GAAP!L292," " )</f>
        <v>17326.11</v>
      </c>
      <c r="H111" s="30">
        <f>IF(GAAP!$G292&lt;2,+GAAP!D292," " )</f>
        <v>117376</v>
      </c>
      <c r="I111" s="30">
        <f>IF(GAAP!$G292&lt;2,+GAAP!E292," " )</f>
        <v>-22376</v>
      </c>
      <c r="J111" s="31">
        <f>IF(GAAP!$G292&lt;2,+GAAP!G292," " )</f>
        <v>0.85238796687568152</v>
      </c>
      <c r="K111" s="30">
        <f>IF(GAAP!$G292&lt;2,+GAAP!H292," " )</f>
        <v>-22376</v>
      </c>
      <c r="L111" s="30">
        <f>+GAAP!K292</f>
        <v>-77673.89</v>
      </c>
      <c r="N111" s="33">
        <f>I111*J111</f>
        <v>-19073.033146810249</v>
      </c>
      <c r="O111" s="33">
        <f>N111-K111</f>
        <v>3302.9668531897514</v>
      </c>
      <c r="P111" s="490" t="s">
        <v>491</v>
      </c>
      <c r="S111" s="33">
        <f>K111-'Bonus WIP'!K112</f>
        <v>0</v>
      </c>
      <c r="T111" s="33">
        <f>L111-'Bonus WIP'!L112</f>
        <v>0</v>
      </c>
    </row>
    <row r="112" spans="1:20" ht="12" customHeight="1">
      <c r="A112" s="262">
        <f>+GAAP!A293</f>
        <v>56.103900000000003</v>
      </c>
      <c r="B112" s="97" t="str">
        <f>IF(GAAP!$G293&lt;2,+GAAP!B293," " )</f>
        <v>Sac Valley Electrica Inc -  Placer County - Creekview Ranch Sewer Lift Station</v>
      </c>
      <c r="C112" s="30">
        <f>IF(GAAP!$G293&lt;2,+GAAP!J293," " )</f>
        <v>330000</v>
      </c>
      <c r="D112" s="30">
        <f>IF(GAAP!$G293&lt;2,+GAAP!M293," " )</f>
        <v>45000</v>
      </c>
      <c r="E112" s="30">
        <f>IF(GAAP!$G293&lt;2,+GAAP!C293," " )</f>
        <v>375000</v>
      </c>
      <c r="F112" s="30">
        <f>IF(GAAP!$G293&lt;2,+GAAP!F293," " )</f>
        <v>324049.23</v>
      </c>
      <c r="G112" s="30">
        <f>IF(GAAP!$G293&lt;2,+GAAP!L293," " )</f>
        <v>8234.7700000000186</v>
      </c>
      <c r="H112" s="30">
        <f>IF(GAAP!$G293&lt;2,+GAAP!D293," " )</f>
        <v>332284</v>
      </c>
      <c r="I112" s="30">
        <f>IF(GAAP!$G293&lt;2,+GAAP!E293," " )</f>
        <v>42716</v>
      </c>
      <c r="J112" s="31">
        <f>IF(GAAP!$G293&lt;2,+GAAP!G293," " )</f>
        <v>0.9752176752416607</v>
      </c>
      <c r="K112" s="30">
        <f>IF(GAAP!$G293&lt;2,+GAAP!H293," " )</f>
        <v>41657.398215622779</v>
      </c>
      <c r="L112" s="30">
        <f>+GAAP!K293</f>
        <v>-35706.628215622739</v>
      </c>
      <c r="N112" s="33"/>
      <c r="S112" s="33">
        <f>K112-'Bonus WIP'!K113</f>
        <v>0</v>
      </c>
      <c r="T112" s="33">
        <f>L112-'Bonus WIP'!L113</f>
        <v>0</v>
      </c>
    </row>
    <row r="113" spans="1:20" ht="12" customHeight="1">
      <c r="A113" s="262">
        <f>+GAAP!A294</f>
        <v>56.104199999999999</v>
      </c>
      <c r="B113" s="97" t="str">
        <f>IF(GAAP!$G294&lt;2,+GAAP!B294," " )</f>
        <v>Trabuco Canyon Water Dist.  - SCADA Integration Services</v>
      </c>
      <c r="C113" s="30">
        <f>IF(GAAP!$G294&lt;2,+GAAP!J294," " )</f>
        <v>217715</v>
      </c>
      <c r="D113" s="30">
        <f>IF(GAAP!$G294&lt;2,+GAAP!M294," " )</f>
        <v>59850</v>
      </c>
      <c r="E113" s="30">
        <f>IF(GAAP!$G294&lt;2,+GAAP!C294," " )</f>
        <v>277565</v>
      </c>
      <c r="F113" s="30">
        <f>IF(GAAP!$G294&lt;2,+GAAP!F294," " )</f>
        <v>172683.27</v>
      </c>
      <c r="G113" s="30">
        <f>IF(GAAP!$G294&lt;2,+GAAP!L294," " )</f>
        <v>45604.73000000001</v>
      </c>
      <c r="H113" s="30">
        <f>IF(GAAP!$G294&lt;2,+GAAP!D294," " )</f>
        <v>218288</v>
      </c>
      <c r="I113" s="30">
        <f>IF(GAAP!$G294&lt;2,+GAAP!E294," " )</f>
        <v>59277</v>
      </c>
      <c r="J113" s="31">
        <f>IF(GAAP!$G294&lt;2,+GAAP!G294," " )</f>
        <v>0.79107999523565198</v>
      </c>
      <c r="K113" s="30">
        <f>IF(GAAP!$G294&lt;2,+GAAP!H294," " )</f>
        <v>46892.84887758374</v>
      </c>
      <c r="L113" s="30">
        <f>+GAAP!K294</f>
        <v>-1861.1188775837363</v>
      </c>
      <c r="N113" s="33"/>
      <c r="S113" s="33">
        <f>K113-'Bonus WIP'!K114</f>
        <v>0</v>
      </c>
      <c r="T113" s="33">
        <f>L113-'Bonus WIP'!L114</f>
        <v>0</v>
      </c>
    </row>
    <row r="114" spans="1:20" ht="12" customHeight="1">
      <c r="A114" s="262">
        <f>+GAAP!A295</f>
        <v>56.104300000000002</v>
      </c>
      <c r="B114" s="97" t="str">
        <f>IF(GAAP!$G295&lt;2,+GAAP!B295," " )</f>
        <v>SD Electirc, Inc - Morgan Hill, City of - Sanitary Sewer Lift Station K &amp; F Reh</v>
      </c>
      <c r="C114" s="30">
        <f>IF(GAAP!$G295&lt;2,+GAAP!J295," " )</f>
        <v>0</v>
      </c>
      <c r="D114" s="30">
        <f>IF(GAAP!$G295&lt;2,+GAAP!M295," " )</f>
        <v>336610</v>
      </c>
      <c r="E114" s="30">
        <f>IF(GAAP!$G295&lt;2,+GAAP!C295," " )</f>
        <v>336610</v>
      </c>
      <c r="F114" s="30">
        <f>IF(GAAP!$G295&lt;2,+GAAP!F295," " )</f>
        <v>214994.3</v>
      </c>
      <c r="G114" s="30">
        <f>IF(GAAP!$G295&lt;2,+GAAP!L295," " )</f>
        <v>96396.700000000012</v>
      </c>
      <c r="H114" s="30">
        <f>IF(GAAP!$G295&lt;2,+GAAP!D295," " )</f>
        <v>311391</v>
      </c>
      <c r="I114" s="30">
        <f>IF(GAAP!$G295&lt;2,+GAAP!E295," " )</f>
        <v>25219</v>
      </c>
      <c r="J114" s="31">
        <f>IF(GAAP!$G295&lt;2,+GAAP!G295," " )</f>
        <v>0.69043196495724024</v>
      </c>
      <c r="K114" s="30">
        <f>IF(GAAP!$G295&lt;2,+GAAP!H295," " )</f>
        <v>17412.003724256643</v>
      </c>
      <c r="L114" s="30">
        <f>+GAAP!K295</f>
        <v>-232406.30372425664</v>
      </c>
      <c r="N114" s="33"/>
      <c r="S114" s="33">
        <f>K114-'Bonus WIP'!K115</f>
        <v>0</v>
      </c>
      <c r="T114" s="33">
        <f>L114-'Bonus WIP'!L115</f>
        <v>0</v>
      </c>
    </row>
    <row r="115" spans="1:20" ht="12" customHeight="1">
      <c r="A115" s="262">
        <f>+GAAP!A296</f>
        <v>56.104599999999998</v>
      </c>
      <c r="B115" s="97" t="str">
        <f>IF(GAAP!$G296&lt;2,+GAAP!B296," " )</f>
        <v>California Water Service Co. - SSF-1 - Visalia St. 97 Panelboard Mods</v>
      </c>
      <c r="C115" s="30">
        <f>IF(GAAP!$G296&lt;2,+GAAP!J296," " )</f>
        <v>75120</v>
      </c>
      <c r="D115" s="30">
        <f>IF(GAAP!$G296&lt;2,+GAAP!M296," " )</f>
        <v>2000</v>
      </c>
      <c r="E115" s="30">
        <f>IF(GAAP!$G296&lt;2,+GAAP!C296," " )</f>
        <v>77120</v>
      </c>
      <c r="F115" s="30">
        <f>IF(GAAP!$G296&lt;2,+GAAP!F296," " )</f>
        <v>77765.8</v>
      </c>
      <c r="G115" s="30">
        <f>IF(GAAP!$G296&lt;2,+GAAP!L296," " )</f>
        <v>2190.1999999999971</v>
      </c>
      <c r="H115" s="30">
        <f>IF(GAAP!$G296&lt;2,+GAAP!D296," " )</f>
        <v>79956</v>
      </c>
      <c r="I115" s="30">
        <f>IF(GAAP!$G296&lt;2,+GAAP!E296," " )</f>
        <v>-2836</v>
      </c>
      <c r="J115" s="31">
        <f>IF(GAAP!$G296&lt;2,+GAAP!G296," " )</f>
        <v>0.97260743408874883</v>
      </c>
      <c r="K115" s="30">
        <f>IF(GAAP!$G296&lt;2,+GAAP!H296," " )</f>
        <v>-2836</v>
      </c>
      <c r="L115" s="30">
        <f>+GAAP!K296</f>
        <v>190.19999999999709</v>
      </c>
      <c r="N115" s="33">
        <f>I115*J115</f>
        <v>-2758.3146830756918</v>
      </c>
      <c r="O115" s="33">
        <f>N115-K115</f>
        <v>77.685316924308154</v>
      </c>
      <c r="P115" s="490" t="s">
        <v>491</v>
      </c>
      <c r="S115" s="33">
        <f>K115-'Bonus WIP'!K116</f>
        <v>0</v>
      </c>
      <c r="T115" s="33">
        <f>L115-'Bonus WIP'!L116</f>
        <v>0</v>
      </c>
    </row>
    <row r="116" spans="1:20" ht="12" customHeight="1">
      <c r="A116" s="262">
        <f>+GAAP!A297</f>
        <v>56.104700000000001</v>
      </c>
      <c r="B116" s="97" t="str">
        <f>IF(GAAP!$G297&lt;2,+GAAP!B297," " )</f>
        <v>SD Electric, Inc - Lathrop, City of - Consolidated Treatment Facility Ph. 3</v>
      </c>
      <c r="C116" s="30">
        <f>IF(GAAP!$G297&lt;2,+GAAP!J297," " )</f>
        <v>1905218.25</v>
      </c>
      <c r="D116" s="30">
        <f>IF(GAAP!$G297&lt;2,+GAAP!M297," " )</f>
        <v>489539.75</v>
      </c>
      <c r="E116" s="30">
        <f>IF(GAAP!$G297&lt;2,+GAAP!C297," " )</f>
        <v>2394758</v>
      </c>
      <c r="F116" s="30">
        <f>IF(GAAP!$G297&lt;2,+GAAP!F297," " )</f>
        <v>1602869.63</v>
      </c>
      <c r="G116" s="30">
        <f>IF(GAAP!$G297&lt;2,+GAAP!L297," " )</f>
        <v>437685.37000000011</v>
      </c>
      <c r="H116" s="30">
        <f>IF(GAAP!$G297&lt;2,+GAAP!D297," " )</f>
        <v>2040555</v>
      </c>
      <c r="I116" s="30">
        <f>IF(GAAP!$G297&lt;2,+GAAP!E297," " )</f>
        <v>354203</v>
      </c>
      <c r="J116" s="31">
        <f>IF(GAAP!$G297&lt;2,+GAAP!G297," " )</f>
        <v>0.78550670283329771</v>
      </c>
      <c r="K116" s="30">
        <f>IF(GAAP!$G297&lt;2,+GAAP!H297," " )</f>
        <v>278228.83066366252</v>
      </c>
      <c r="L116" s="30">
        <f>+GAAP!K297</f>
        <v>24119.789336337708</v>
      </c>
      <c r="N116" s="33"/>
      <c r="S116" s="33">
        <f>K116-'Bonus WIP'!K117</f>
        <v>0</v>
      </c>
      <c r="T116" s="33">
        <f>L116-'Bonus WIP'!L117</f>
        <v>0</v>
      </c>
    </row>
    <row r="117" spans="1:20" ht="12" customHeight="1">
      <c r="A117" s="262">
        <f>+GAAP!A298</f>
        <v>56.104799999999997</v>
      </c>
      <c r="B117" s="97" t="str">
        <f>IF(GAAP!$G298&lt;2,+GAAP!B298," " )</f>
        <v>Blocka Construction, Inc - West Bay Sanitary District - Telemetry Panel Replacement</v>
      </c>
      <c r="C117" s="30">
        <f>IF(GAAP!$G298&lt;2,+GAAP!J298," " )</f>
        <v>187500</v>
      </c>
      <c r="D117" s="30">
        <f>IF(GAAP!$G298&lt;2,+GAAP!M298," " )</f>
        <v>12500</v>
      </c>
      <c r="E117" s="30">
        <f>IF(GAAP!$G298&lt;2,+GAAP!C298," " )</f>
        <v>200000</v>
      </c>
      <c r="F117" s="30">
        <f>IF(GAAP!$G298&lt;2,+GAAP!F298," " )</f>
        <v>157916.15</v>
      </c>
      <c r="G117" s="30">
        <f>IF(GAAP!$G298&lt;2,+GAAP!L298," " )</f>
        <v>3202.8500000000058</v>
      </c>
      <c r="H117" s="30">
        <f>IF(GAAP!$G298&lt;2,+GAAP!D298," " )</f>
        <v>161119</v>
      </c>
      <c r="I117" s="30">
        <f>IF(GAAP!$G298&lt;2,+GAAP!E298," " )</f>
        <v>38881</v>
      </c>
      <c r="J117" s="31">
        <f>IF(GAAP!$G298&lt;2,+GAAP!G298," " )</f>
        <v>0.98012121475431202</v>
      </c>
      <c r="K117" s="30">
        <f>IF(GAAP!$G298&lt;2,+GAAP!H298," " )</f>
        <v>38108.092950862403</v>
      </c>
      <c r="L117" s="30">
        <f>+GAAP!K298</f>
        <v>-8524.24295086239</v>
      </c>
      <c r="N117" s="33"/>
      <c r="S117" s="33">
        <f>K117-'Bonus WIP'!K118</f>
        <v>0</v>
      </c>
      <c r="T117" s="33">
        <f>L117-'Bonus WIP'!L118</f>
        <v>0</v>
      </c>
    </row>
    <row r="118" spans="1:20" ht="12" customHeight="1">
      <c r="A118" s="262">
        <f>+GAAP!A299</f>
        <v>56.104900000000001</v>
      </c>
      <c r="B118" s="97" t="str">
        <f>IF(GAAP!$G299&lt;2,+GAAP!B299," " )</f>
        <v>East Orange County Water District - SCADA Field Site RTU Prog Ph.1</v>
      </c>
      <c r="C118" s="30">
        <f>IF(GAAP!$G299&lt;2,+GAAP!J299," " )</f>
        <v>291725</v>
      </c>
      <c r="D118" s="30">
        <f>IF(GAAP!$G299&lt;2,+GAAP!M299," " )</f>
        <v>17000</v>
      </c>
      <c r="E118" s="30">
        <f>IF(GAAP!$G299&lt;2,+GAAP!C299," " )</f>
        <v>308725</v>
      </c>
      <c r="F118" s="30">
        <f>IF(GAAP!$G299&lt;2,+GAAP!F299," " )</f>
        <v>214423.06</v>
      </c>
      <c r="G118" s="30">
        <f>IF(GAAP!$G299&lt;2,+GAAP!L299," " )</f>
        <v>34449.94</v>
      </c>
      <c r="H118" s="30">
        <f>IF(GAAP!$G299&lt;2,+GAAP!D299," " )</f>
        <v>248873</v>
      </c>
      <c r="I118" s="30">
        <f>IF(GAAP!$G299&lt;2,+GAAP!E299," " )</f>
        <v>59852</v>
      </c>
      <c r="J118" s="31">
        <f>IF(GAAP!$G299&lt;2,+GAAP!G299," " )</f>
        <v>0.86157622562511804</v>
      </c>
      <c r="K118" s="30">
        <f>IF(GAAP!$G299&lt;2,+GAAP!H299," " )</f>
        <v>51567.060256114564</v>
      </c>
      <c r="L118" s="30">
        <f>+GAAP!K299</f>
        <v>25734.879743885424</v>
      </c>
      <c r="N118" s="33"/>
      <c r="S118" s="33">
        <f>K118-'Bonus WIP'!K119</f>
        <v>0</v>
      </c>
      <c r="T118" s="33">
        <f>L118-'Bonus WIP'!L119</f>
        <v>0</v>
      </c>
    </row>
    <row r="119" spans="1:20" ht="12" customHeight="1">
      <c r="A119" s="262">
        <f>+GAAP!A300</f>
        <v>56.104999999999997</v>
      </c>
      <c r="B119" s="97" t="str">
        <f>IF(GAAP!$G300&lt;2,+GAAP!B300," " )</f>
        <v>Collins Electric - Watsonville, City of - WWTF Electrical System Hazard Mitigat</v>
      </c>
      <c r="C119" s="30">
        <f>IF(GAAP!$G300&lt;2,+GAAP!J300," " )</f>
        <v>675979.5</v>
      </c>
      <c r="D119" s="30">
        <f>IF(GAAP!$G300&lt;2,+GAAP!M300," " )</f>
        <v>3116579.5</v>
      </c>
      <c r="E119" s="30">
        <f>IF(GAAP!$G300&lt;2,+GAAP!C300," " )</f>
        <v>3792559</v>
      </c>
      <c r="F119" s="30">
        <f>IF(GAAP!$G300&lt;2,+GAAP!F300," " )</f>
        <v>925847.53</v>
      </c>
      <c r="G119" s="30">
        <f>IF(GAAP!$G300&lt;2,+GAAP!L300," " )</f>
        <v>2439719.4699999997</v>
      </c>
      <c r="H119" s="30">
        <f>IF(GAAP!$G300&lt;2,+GAAP!D300," " )</f>
        <v>3365567</v>
      </c>
      <c r="I119" s="30">
        <f>IF(GAAP!$G300&lt;2,+GAAP!E300," " )</f>
        <v>426992</v>
      </c>
      <c r="J119" s="31">
        <f>IF(GAAP!$G300&lt;2,+GAAP!G300," " )</f>
        <v>0.27509407181613083</v>
      </c>
      <c r="K119" s="30">
        <f>IF(GAAP!$G300&lt;2,+GAAP!H300," " )</f>
        <v>117462.96791291333</v>
      </c>
      <c r="L119" s="30">
        <f>+GAAP!K300</f>
        <v>-367330.99791291333</v>
      </c>
      <c r="N119" s="33"/>
      <c r="S119" s="33">
        <f>K119-'Bonus WIP'!K120</f>
        <v>0</v>
      </c>
      <c r="T119" s="33">
        <f>L119-'Bonus WIP'!L120</f>
        <v>0</v>
      </c>
    </row>
    <row r="120" spans="1:20" ht="12" customHeight="1">
      <c r="A120" s="262">
        <f>+GAAP!A301</f>
        <v>56.105499999999999</v>
      </c>
      <c r="B120" s="97" t="str">
        <f>IF(GAAP!$G301&lt;2,+GAAP!B301," " )</f>
        <v>Strategic Mechanical, Inc - Tranquility Irrigation District - Tranquility Well 8 Project</v>
      </c>
      <c r="C120" s="30">
        <f>IF(GAAP!$G301&lt;2,+GAAP!J301," " )</f>
        <v>120891</v>
      </c>
      <c r="D120" s="30">
        <f>IF(GAAP!$G301&lt;2,+GAAP!M301," " )</f>
        <v>0</v>
      </c>
      <c r="E120" s="30">
        <f>IF(GAAP!$G301&lt;2,+GAAP!C301," " )</f>
        <v>120891</v>
      </c>
      <c r="F120" s="30">
        <f>IF(GAAP!$G301&lt;2,+GAAP!F301," " )</f>
        <v>78736.44</v>
      </c>
      <c r="G120" s="30">
        <f>IF(GAAP!$G301&lt;2,+GAAP!L301," " )</f>
        <v>14111.559999999998</v>
      </c>
      <c r="H120" s="30">
        <f>IF(GAAP!$G301&lt;2,+GAAP!D301," " )</f>
        <v>92848</v>
      </c>
      <c r="I120" s="30">
        <f>IF(GAAP!$G301&lt;2,+GAAP!E301," " )</f>
        <v>28043</v>
      </c>
      <c r="J120" s="31">
        <f>IF(GAAP!$G301&lt;2,+GAAP!G301," " )</f>
        <v>0.84801438910908156</v>
      </c>
      <c r="K120" s="30">
        <f>IF(GAAP!$G301&lt;2,+GAAP!H301," " )</f>
        <v>23780.867513785975</v>
      </c>
      <c r="L120" s="30">
        <f>+GAAP!K301</f>
        <v>18373.692486214015</v>
      </c>
      <c r="N120" s="33"/>
      <c r="S120" s="33">
        <f>K120-'Bonus WIP'!K121</f>
        <v>0</v>
      </c>
      <c r="T120" s="33">
        <f>L120-'Bonus WIP'!L121</f>
        <v>0</v>
      </c>
    </row>
    <row r="121" spans="1:20" ht="12" customHeight="1">
      <c r="A121" s="262">
        <f>+GAAP!A302</f>
        <v>56.105899999999998</v>
      </c>
      <c r="B121" s="97" t="str">
        <f>IF(GAAP!$G302&lt;2,+GAAP!B302," " )</f>
        <v>Fusion Electric, Inc - San Francisco Utilities Commission (SFPUC) - Moccasin Compou</v>
      </c>
      <c r="C121" s="30">
        <f>IF(GAAP!$G302&lt;2,+GAAP!J302," " )</f>
        <v>0</v>
      </c>
      <c r="D121" s="30">
        <f>IF(GAAP!$G302&lt;2,+GAAP!M302," " )</f>
        <v>399389</v>
      </c>
      <c r="E121" s="30">
        <f>IF(GAAP!$G302&lt;2,+GAAP!C302," " )</f>
        <v>399389</v>
      </c>
      <c r="F121" s="30">
        <f>IF(GAAP!$G302&lt;2,+GAAP!F302," " )</f>
        <v>235841.92000000001</v>
      </c>
      <c r="G121" s="30">
        <f>IF(GAAP!$G302&lt;2,+GAAP!L302," " )</f>
        <v>93364.079999999987</v>
      </c>
      <c r="H121" s="30">
        <f>IF(GAAP!$G302&lt;2,+GAAP!D302," " )</f>
        <v>329206</v>
      </c>
      <c r="I121" s="30">
        <f>IF(GAAP!$G302&lt;2,+GAAP!E302," " )</f>
        <v>70183</v>
      </c>
      <c r="J121" s="31">
        <f>IF(GAAP!$G302&lt;2,+GAAP!G302," " )</f>
        <v>0.71639617746942652</v>
      </c>
      <c r="K121" s="30">
        <f>IF(GAAP!$G302&lt;2,+GAAP!H302," " )</f>
        <v>50278.832923336762</v>
      </c>
      <c r="L121" s="30">
        <f>+GAAP!K302</f>
        <v>-286120.75292333675</v>
      </c>
      <c r="N121" s="33"/>
      <c r="S121" s="33">
        <f>K121-'Bonus WIP'!K122</f>
        <v>0</v>
      </c>
      <c r="T121" s="33">
        <f>L121-'Bonus WIP'!L122</f>
        <v>0</v>
      </c>
    </row>
    <row r="122" spans="1:20" ht="12" customHeight="1">
      <c r="A122" s="262">
        <f>+GAAP!A303</f>
        <v>56.106000000000002</v>
      </c>
      <c r="B122" s="97" t="str">
        <f>IF(GAAP!$G303&lt;2,+GAAP!B303," " )</f>
        <v>Fusion Electric, Inc - Stockton, City of - N4 Pump Station Improvement Plans of Mar</v>
      </c>
      <c r="C122" s="30">
        <f>IF(GAAP!$G303&lt;2,+GAAP!J303," " )</f>
        <v>0</v>
      </c>
      <c r="D122" s="30">
        <f>IF(GAAP!$G303&lt;2,+GAAP!M303," " )</f>
        <v>404663</v>
      </c>
      <c r="E122" s="30">
        <f>IF(GAAP!$G303&lt;2,+GAAP!C303," " )</f>
        <v>404663</v>
      </c>
      <c r="F122" s="30">
        <f>IF(GAAP!$G303&lt;2,+GAAP!F303," " )</f>
        <v>145563.35999999999</v>
      </c>
      <c r="G122" s="30">
        <f>IF(GAAP!$G303&lt;2,+GAAP!L303," " )</f>
        <v>176927.64</v>
      </c>
      <c r="H122" s="30">
        <f>IF(GAAP!$G303&lt;2,+GAAP!D303," " )</f>
        <v>322491</v>
      </c>
      <c r="I122" s="30">
        <f>IF(GAAP!$G303&lt;2,+GAAP!E303," " )</f>
        <v>82172</v>
      </c>
      <c r="J122" s="31">
        <f>IF(GAAP!$G303&lt;2,+GAAP!G303," " )</f>
        <v>0.45137185223773685</v>
      </c>
      <c r="K122" s="30">
        <f>IF(GAAP!$G303&lt;2,+GAAP!H303," " )</f>
        <v>37090.12784207931</v>
      </c>
      <c r="L122" s="30">
        <f>+GAAP!K303</f>
        <v>-182653.48784207931</v>
      </c>
      <c r="N122" s="33"/>
      <c r="S122" s="33">
        <f>K122-'Bonus WIP'!K123</f>
        <v>0</v>
      </c>
      <c r="T122" s="33">
        <f>L122-'Bonus WIP'!L123</f>
        <v>0</v>
      </c>
    </row>
    <row r="123" spans="1:20" ht="12" customHeight="1">
      <c r="A123" s="262">
        <f>+GAAP!A304</f>
        <v>56.106299999999997</v>
      </c>
      <c r="B123" s="97" t="str">
        <f>IF(GAAP!$G304&lt;2,+GAAP!B304," " )</f>
        <v>Bay Tech Engineering - West Bay Sanitary District - Stowe Lane Pump Station Project</v>
      </c>
      <c r="C123" s="30">
        <f>IF(GAAP!$G304&lt;2,+GAAP!J304," " )</f>
        <v>10000</v>
      </c>
      <c r="D123" s="30">
        <f>IF(GAAP!$G304&lt;2,+GAAP!M304," " )</f>
        <v>98000</v>
      </c>
      <c r="E123" s="30">
        <f>IF(GAAP!$G304&lt;2,+GAAP!C304," " )</f>
        <v>108000</v>
      </c>
      <c r="F123" s="30">
        <f>IF(GAAP!$G304&lt;2,+GAAP!F304," " )</f>
        <v>74040.41</v>
      </c>
      <c r="G123" s="30">
        <f>IF(GAAP!$G304&lt;2,+GAAP!L304," " )</f>
        <v>23880.589999999997</v>
      </c>
      <c r="H123" s="30">
        <f>IF(GAAP!$G304&lt;2,+GAAP!D304," " )</f>
        <v>97921</v>
      </c>
      <c r="I123" s="30">
        <f>IF(GAAP!$G304&lt;2,+GAAP!E304," " )</f>
        <v>10079</v>
      </c>
      <c r="J123" s="31">
        <f>IF(GAAP!$G304&lt;2,+GAAP!G304," " )</f>
        <v>0.75612391621817587</v>
      </c>
      <c r="K123" s="30">
        <f>IF(GAAP!$G304&lt;2,+GAAP!H304," " )</f>
        <v>7620.9729515629942</v>
      </c>
      <c r="L123" s="30">
        <f>+GAAP!K304</f>
        <v>-71661.382951562991</v>
      </c>
      <c r="N123" s="33"/>
      <c r="S123" s="33">
        <f>K123-'Bonus WIP'!K124</f>
        <v>0</v>
      </c>
      <c r="T123" s="33">
        <f>L123-'Bonus WIP'!L124</f>
        <v>0</v>
      </c>
    </row>
    <row r="124" spans="1:20" ht="12" customHeight="1">
      <c r="A124" s="262">
        <f>+GAAP!A305</f>
        <v>56.1066</v>
      </c>
      <c r="B124" s="97" t="str">
        <f>IF(GAAP!$G305&lt;2,+GAAP!B305," " )</f>
        <v>CM Controls - City of Larkspur and Ross Valley Sanitary District – Heather</v>
      </c>
      <c r="C124" s="30">
        <f>IF(GAAP!$G305&lt;2,+GAAP!J305," " )</f>
        <v>570000</v>
      </c>
      <c r="D124" s="30">
        <f>IF(GAAP!$G305&lt;2,+GAAP!M305," " )</f>
        <v>25000</v>
      </c>
      <c r="E124" s="30">
        <f>IF(GAAP!$G305&lt;2,+GAAP!C305," " )</f>
        <v>595000</v>
      </c>
      <c r="F124" s="30">
        <f>IF(GAAP!$G305&lt;2,+GAAP!F305," " )</f>
        <v>476030.06</v>
      </c>
      <c r="G124" s="30">
        <f>IF(GAAP!$G305&lt;2,+GAAP!L305," " )</f>
        <v>55459.94</v>
      </c>
      <c r="H124" s="30">
        <f>IF(GAAP!$G305&lt;2,+GAAP!D305," " )</f>
        <v>531490</v>
      </c>
      <c r="I124" s="30">
        <f>IF(GAAP!$G305&lt;2,+GAAP!E305," " )</f>
        <v>63510</v>
      </c>
      <c r="J124" s="31">
        <f>IF(GAAP!$G305&lt;2,+GAAP!G305," " )</f>
        <v>0.89565195958531674</v>
      </c>
      <c r="K124" s="30">
        <f>IF(GAAP!$G305&lt;2,+GAAP!H305," " )</f>
        <v>56882.855953263468</v>
      </c>
      <c r="L124" s="30">
        <f>+GAAP!K305</f>
        <v>37087.084046736592</v>
      </c>
      <c r="N124" s="33"/>
      <c r="S124" s="33">
        <f>K124-'Bonus WIP'!K125</f>
        <v>0</v>
      </c>
      <c r="T124" s="33">
        <f>L124-'Bonus WIP'!L125</f>
        <v>0</v>
      </c>
    </row>
    <row r="125" spans="1:20" ht="12" customHeight="1">
      <c r="A125" s="262">
        <f>+GAAP!A306</f>
        <v>56.106699999999996</v>
      </c>
      <c r="B125" s="97" t="str">
        <f>IF(GAAP!$G306&lt;2,+GAAP!B306," " )</f>
        <v>Fusion Electric - Woodland Lift Station Rehabilitation - City of Modesto</v>
      </c>
      <c r="C125" s="30">
        <f>IF(GAAP!$G306&lt;2,+GAAP!J306," " )</f>
        <v>217000</v>
      </c>
      <c r="D125" s="30">
        <f>IF(GAAP!$G306&lt;2,+GAAP!M306," " )</f>
        <v>261000</v>
      </c>
      <c r="E125" s="30">
        <f>IF(GAAP!$G306&lt;2,+GAAP!C306," " )</f>
        <v>478000</v>
      </c>
      <c r="F125" s="30">
        <f>IF(GAAP!$G306&lt;2,+GAAP!F306," " )</f>
        <v>104751.99</v>
      </c>
      <c r="G125" s="30">
        <f>IF(GAAP!$G306&lt;2,+GAAP!L306," " )</f>
        <v>311126.01</v>
      </c>
      <c r="H125" s="30">
        <f>IF(GAAP!$G306&lt;2,+GAAP!D306," " )</f>
        <v>415878</v>
      </c>
      <c r="I125" s="30">
        <f>IF(GAAP!$G306&lt;2,+GAAP!E306," " )</f>
        <v>62122</v>
      </c>
      <c r="J125" s="31">
        <f>IF(GAAP!$G306&lt;2,+GAAP!G306," " )</f>
        <v>0.25188153737394142</v>
      </c>
      <c r="K125" s="30">
        <f>IF(GAAP!$G306&lt;2,+GAAP!H306," " )</f>
        <v>15647.384864743988</v>
      </c>
      <c r="L125" s="30">
        <f>+GAAP!K306</f>
        <v>96600.625135256007</v>
      </c>
      <c r="N125" s="33"/>
      <c r="S125" s="33">
        <f>K125-'Bonus WIP'!K126</f>
        <v>0</v>
      </c>
      <c r="T125" s="33">
        <f>L125-'Bonus WIP'!L126</f>
        <v>0</v>
      </c>
    </row>
    <row r="126" spans="1:20" ht="12" customHeight="1">
      <c r="A126" s="262">
        <f>+GAAP!A307</f>
        <v>56.107300000000002</v>
      </c>
      <c r="B126" s="97" t="str">
        <f>IF(GAAP!$G307&lt;2,+GAAP!B307," " )</f>
        <v>California Water Service Co. - Stockton Station 66-02 Panelboard Replacement - California W</v>
      </c>
      <c r="C126" s="30">
        <f>IF(GAAP!$G307&lt;2,+GAAP!J307," " )</f>
        <v>0</v>
      </c>
      <c r="D126" s="30">
        <f>IF(GAAP!$G307&lt;2,+GAAP!M307," " )</f>
        <v>122210</v>
      </c>
      <c r="E126" s="30">
        <f>IF(GAAP!$G307&lt;2,+GAAP!C307," " )</f>
        <v>122210</v>
      </c>
      <c r="F126" s="30">
        <f>IF(GAAP!$G307&lt;2,+GAAP!F307," " )</f>
        <v>108855.81</v>
      </c>
      <c r="G126" s="30">
        <f>IF(GAAP!$G307&lt;2,+GAAP!L307," " )</f>
        <v>5191.1900000000023</v>
      </c>
      <c r="H126" s="30">
        <f>IF(GAAP!$G307&lt;2,+GAAP!D307," " )</f>
        <v>114047</v>
      </c>
      <c r="I126" s="30">
        <f>IF(GAAP!$G307&lt;2,+GAAP!E307," " )</f>
        <v>8163</v>
      </c>
      <c r="J126" s="31">
        <f>IF(GAAP!$G307&lt;2,+GAAP!G307," " )</f>
        <v>0.95448201180215175</v>
      </c>
      <c r="K126" s="30">
        <f>IF(GAAP!$G307&lt;2,+GAAP!H307," " )</f>
        <v>7791.4366623409651</v>
      </c>
      <c r="L126" s="30">
        <f>+GAAP!K307</f>
        <v>-116647.24666234096</v>
      </c>
      <c r="N126" s="33"/>
      <c r="S126" s="33">
        <f>K126-'Bonus WIP'!K127</f>
        <v>0</v>
      </c>
      <c r="T126" s="33">
        <f>L126-'Bonus WIP'!L127</f>
        <v>0</v>
      </c>
    </row>
    <row r="127" spans="1:20" ht="12" customHeight="1">
      <c r="A127" s="262">
        <f>+GAAP!A308</f>
        <v>56.107500000000002</v>
      </c>
      <c r="B127" s="97" t="str">
        <f>IF(GAAP!$G308&lt;2,+GAAP!B308," " )</f>
        <v>California Water Service Co. -Pkg 1 Bakersfield &amp; Arden PFAS RF</v>
      </c>
      <c r="C127" s="30">
        <f>IF(GAAP!$G308&lt;2,+GAAP!J308," " )</f>
        <v>0</v>
      </c>
      <c r="D127" s="30">
        <f>IF(GAAP!$G308&lt;2,+GAAP!M308," " )</f>
        <v>27665.919999999998</v>
      </c>
      <c r="E127" s="30">
        <f>IF(GAAP!$G308&lt;2,+GAAP!C308," " )</f>
        <v>27665.919999999998</v>
      </c>
      <c r="F127" s="30">
        <f>IF(GAAP!$G308&lt;2,+GAAP!F308," " )</f>
        <v>27665.919999999998</v>
      </c>
      <c r="G127" s="30">
        <f>IF(GAAP!$G308&lt;2,+GAAP!L308," " )</f>
        <v>0</v>
      </c>
      <c r="H127" s="30">
        <f>IF(GAAP!$G308&lt;2,+GAAP!D308," " )</f>
        <v>27665.919999999998</v>
      </c>
      <c r="I127" s="30">
        <f>IF(GAAP!$G308&lt;2,+GAAP!E308," " )</f>
        <v>0</v>
      </c>
      <c r="J127" s="31">
        <f>IF(GAAP!$G308&lt;2,+GAAP!G308," " )</f>
        <v>1</v>
      </c>
      <c r="K127" s="30">
        <f>IF(GAAP!$G308&lt;2,+GAAP!H308," " )</f>
        <v>0</v>
      </c>
      <c r="L127" s="30">
        <f>+GAAP!K308</f>
        <v>-27665.919999999998</v>
      </c>
      <c r="N127" s="33"/>
      <c r="S127" s="33">
        <f>K127-'Bonus WIP'!K128</f>
        <v>0</v>
      </c>
      <c r="T127" s="33">
        <f>L127-'Bonus WIP'!L128</f>
        <v>0</v>
      </c>
    </row>
    <row r="128" spans="1:20" ht="12" customHeight="1">
      <c r="A128" s="262">
        <f>+GAAP!A309</f>
        <v>56.107799999999997</v>
      </c>
      <c r="B128" s="97" t="str">
        <f>IF(GAAP!$G309&lt;2,+GAAP!B309," " )</f>
        <v>City of Napa - On-Call Control Systems Integrator Services</v>
      </c>
      <c r="C128" s="30">
        <f>IF(GAAP!$G309&lt;2,+GAAP!J309," " )</f>
        <v>17050.240000000002</v>
      </c>
      <c r="D128" s="30">
        <f>IF(GAAP!$G309&lt;2,+GAAP!M309," " )</f>
        <v>8306.0099999999984</v>
      </c>
      <c r="E128" s="30">
        <f>IF(GAAP!$G309&lt;2,+GAAP!C309," " )</f>
        <v>25356.25</v>
      </c>
      <c r="F128" s="30">
        <f>IF(GAAP!$G309&lt;2,+GAAP!F309," " )</f>
        <v>25356.25</v>
      </c>
      <c r="G128" s="30">
        <f>IF(GAAP!$G309&lt;2,+GAAP!L309," " )</f>
        <v>0</v>
      </c>
      <c r="H128" s="30">
        <f>IF(GAAP!$G309&lt;2,+GAAP!D309," " )</f>
        <v>25356.25</v>
      </c>
      <c r="I128" s="30">
        <f>IF(GAAP!$G309&lt;2,+GAAP!E309," " )</f>
        <v>0</v>
      </c>
      <c r="J128" s="31">
        <f>IF(GAAP!$G309&lt;2,+GAAP!G309," " )</f>
        <v>1</v>
      </c>
      <c r="K128" s="30">
        <f>IF(GAAP!$G309&lt;2,+GAAP!H309," " )</f>
        <v>0</v>
      </c>
      <c r="L128" s="30">
        <f>+GAAP!K309</f>
        <v>-8306.0099999999984</v>
      </c>
      <c r="N128" s="33"/>
      <c r="S128" s="33">
        <f>K128-'Bonus WIP'!K129</f>
        <v>0</v>
      </c>
      <c r="T128" s="33">
        <f>L128-'Bonus WIP'!L129</f>
        <v>0</v>
      </c>
    </row>
    <row r="129" spans="1:20" ht="12" customHeight="1">
      <c r="A129" s="262">
        <f>+GAAP!A310</f>
        <v>56.1081</v>
      </c>
      <c r="B129" s="97" t="str">
        <f>IF(GAAP!$G310&lt;2,+GAAP!B310," " )</f>
        <v>Rancho Murieta Community Service District - RFP for Replacement of WTP SCADA</v>
      </c>
      <c r="C129" s="30">
        <f>IF(GAAP!$G310&lt;2,+GAAP!J310," " )</f>
        <v>164416.35</v>
      </c>
      <c r="D129" s="30">
        <f>IF(GAAP!$G310&lt;2,+GAAP!M310," " )</f>
        <v>15273.649999999994</v>
      </c>
      <c r="E129" s="30">
        <f>IF(GAAP!$G310&lt;2,+GAAP!C310," " )</f>
        <v>179690</v>
      </c>
      <c r="F129" s="30">
        <f>IF(GAAP!$G310&lt;2,+GAAP!F310," " )</f>
        <v>156744.37</v>
      </c>
      <c r="G129" s="30">
        <f>IF(GAAP!$G310&lt;2,+GAAP!L310," " )</f>
        <v>3040.6300000000047</v>
      </c>
      <c r="H129" s="30">
        <f>IF(GAAP!$G310&lt;2,+GAAP!D310," " )</f>
        <v>159785</v>
      </c>
      <c r="I129" s="30">
        <f>IF(GAAP!$G310&lt;2,+GAAP!E310," " )</f>
        <v>19905</v>
      </c>
      <c r="J129" s="31">
        <f>IF(GAAP!$G310&lt;2,+GAAP!G310," " )</f>
        <v>0.98097049159808491</v>
      </c>
      <c r="K129" s="30">
        <f>IF(GAAP!$G310&lt;2,+GAAP!H310," " )</f>
        <v>19526.21763525988</v>
      </c>
      <c r="L129" s="30">
        <f>+GAAP!K310</f>
        <v>-11854.237635259866</v>
      </c>
      <c r="N129" s="33"/>
      <c r="S129" s="33">
        <f>K129-'Bonus WIP'!K130</f>
        <v>0</v>
      </c>
      <c r="T129" s="33">
        <f>L129-'Bonus WIP'!L130</f>
        <v>0</v>
      </c>
    </row>
    <row r="130" spans="1:20" ht="12" customHeight="1">
      <c r="A130" s="262">
        <f>+GAAP!A311</f>
        <v>56.1083</v>
      </c>
      <c r="B130" s="97" t="str">
        <f>IF(GAAP!$G311&lt;2,+GAAP!B311," " )</f>
        <v>West Valley Water District - Furnish Planning Services for SCADA, Instrumentation, and SM</v>
      </c>
      <c r="C130" s="30">
        <f>IF(GAAP!$G311&lt;2,+GAAP!J311," " )</f>
        <v>153616.75</v>
      </c>
      <c r="D130" s="30">
        <f>IF(GAAP!$G311&lt;2,+GAAP!M311," " )</f>
        <v>563393.25</v>
      </c>
      <c r="E130" s="30">
        <f>IF(GAAP!$G311&lt;2,+GAAP!C311," " )</f>
        <v>717010</v>
      </c>
      <c r="F130" s="30">
        <f>IF(GAAP!$G311&lt;2,+GAAP!F311," " )</f>
        <v>347967.35</v>
      </c>
      <c r="G130" s="30">
        <f>IF(GAAP!$G311&lt;2,+GAAP!L311," " )</f>
        <v>308395.65000000002</v>
      </c>
      <c r="H130" s="30">
        <f>IF(GAAP!$G311&lt;2,+GAAP!D311," " )</f>
        <v>656363</v>
      </c>
      <c r="I130" s="30">
        <f>IF(GAAP!$G311&lt;2,+GAAP!E311," " )</f>
        <v>60647</v>
      </c>
      <c r="J130" s="31">
        <f>IF(GAAP!$G311&lt;2,+GAAP!G311," " )</f>
        <v>0.5301446760405446</v>
      </c>
      <c r="K130" s="30">
        <f>IF(GAAP!$G311&lt;2,+GAAP!H311," " )</f>
        <v>32151.68416783091</v>
      </c>
      <c r="L130" s="30">
        <f>+GAAP!K311</f>
        <v>-226502.28416783089</v>
      </c>
      <c r="N130" s="33"/>
      <c r="S130" s="33">
        <f>K130-'Bonus WIP'!K131</f>
        <v>0</v>
      </c>
      <c r="T130" s="33">
        <f>L130-'Bonus WIP'!L131</f>
        <v>0</v>
      </c>
    </row>
    <row r="131" spans="1:20" ht="12" customHeight="1">
      <c r="A131" s="262">
        <f>+GAAP!A312</f>
        <v>56.108499999999999</v>
      </c>
      <c r="B131" s="97" t="str">
        <f>IF(GAAP!$G312&lt;2,+GAAP!B312," " )</f>
        <v>Bullert Industrial Electric, Inc - Pkg 3 Chico PFAS RFP (CTS) - California Water Service</v>
      </c>
      <c r="C131" s="30">
        <f>IF(GAAP!$G312&lt;2,+GAAP!J312," " )</f>
        <v>0</v>
      </c>
      <c r="D131" s="30">
        <f>IF(GAAP!$G312&lt;2,+GAAP!M312," " )</f>
        <v>80000</v>
      </c>
      <c r="E131" s="30">
        <f>IF(GAAP!$G312&lt;2,+GAAP!C312," " )</f>
        <v>80000</v>
      </c>
      <c r="F131" s="30">
        <f>IF(GAAP!$G312&lt;2,+GAAP!F312," " )</f>
        <v>1090.31</v>
      </c>
      <c r="G131" s="30">
        <f>IF(GAAP!$G312&lt;2,+GAAP!L312," " )</f>
        <v>65864.69</v>
      </c>
      <c r="H131" s="30">
        <f>IF(GAAP!$G312&lt;2,+GAAP!D312," " )</f>
        <v>66955</v>
      </c>
      <c r="I131" s="30">
        <f>IF(GAAP!$G312&lt;2,+GAAP!E312," " )</f>
        <v>13045</v>
      </c>
      <c r="J131" s="31">
        <f>IF(GAAP!$G312&lt;2,+GAAP!G312," " )</f>
        <v>1.6284220745276679E-2</v>
      </c>
      <c r="K131" s="30">
        <f>IF(GAAP!$G312&lt;2,+GAAP!H312," " )</f>
        <v>0</v>
      </c>
      <c r="L131" s="30">
        <f>+GAAP!K312</f>
        <v>-1090.31</v>
      </c>
      <c r="N131" s="33"/>
      <c r="S131" s="33">
        <f>K131-'Bonus WIP'!K132</f>
        <v>0</v>
      </c>
      <c r="T131" s="33">
        <f>L131-'Bonus WIP'!L132</f>
        <v>0</v>
      </c>
    </row>
    <row r="132" spans="1:20" ht="12" customHeight="1">
      <c r="A132" s="262">
        <f>+GAAP!A313</f>
        <v>56.108600000000003</v>
      </c>
      <c r="B132" s="97" t="str">
        <f>IF(GAAP!$G313&lt;2,+GAAP!B313," " )</f>
        <v>Bullert Industrial Electric, Inc - Pkg 3 Chico PFAS RFP (WVC) - California Water Service</v>
      </c>
      <c r="C132" s="30">
        <f>IF(GAAP!$G313&lt;2,+GAAP!J313," " )</f>
        <v>0</v>
      </c>
      <c r="D132" s="30">
        <f>IF(GAAP!$G313&lt;2,+GAAP!M313," " )</f>
        <v>376000</v>
      </c>
      <c r="E132" s="30">
        <f>IF(GAAP!$G313&lt;2,+GAAP!C313," " )</f>
        <v>376000</v>
      </c>
      <c r="F132" s="30">
        <f>IF(GAAP!$G313&lt;2,+GAAP!F313," " )</f>
        <v>12732.69</v>
      </c>
      <c r="G132" s="30">
        <f>IF(GAAP!$G313&lt;2,+GAAP!L313," " )</f>
        <v>282369.31</v>
      </c>
      <c r="H132" s="30">
        <f>IF(GAAP!$G313&lt;2,+GAAP!D313," " )</f>
        <v>295102</v>
      </c>
      <c r="I132" s="30">
        <f>IF(GAAP!$G313&lt;2,+GAAP!E313," " )</f>
        <v>80898</v>
      </c>
      <c r="J132" s="31">
        <f>IF(GAAP!$G313&lt;2,+GAAP!G313," " )</f>
        <v>4.3146742482260372E-2</v>
      </c>
      <c r="K132" s="30">
        <f>IF(GAAP!$G313&lt;2,+GAAP!H313," " )</f>
        <v>0</v>
      </c>
      <c r="L132" s="30">
        <f>+GAAP!K313</f>
        <v>-12732.69</v>
      </c>
      <c r="N132" s="33"/>
      <c r="S132" s="33">
        <f>K132-'Bonus WIP'!K133</f>
        <v>0</v>
      </c>
      <c r="T132" s="33">
        <f>L132-'Bonus WIP'!L133</f>
        <v>0</v>
      </c>
    </row>
    <row r="133" spans="1:20" ht="12" customHeight="1">
      <c r="A133" s="262">
        <f>+GAAP!A314</f>
        <v>56.108699999999999</v>
      </c>
      <c r="B133" s="97" t="str">
        <f>IF(GAAP!$G314&lt;2,+GAAP!B314," " )</f>
        <v>San Gabrial Valley Water Companyy - WNOU Plant Replacement Flow Transmitters</v>
      </c>
      <c r="C133" s="30">
        <f>IF(GAAP!$G314&lt;2,+GAAP!J314," " )</f>
        <v>37977</v>
      </c>
      <c r="D133" s="30">
        <f>IF(GAAP!$G314&lt;2,+GAAP!M314," " )</f>
        <v>11392</v>
      </c>
      <c r="E133" s="30">
        <f>IF(GAAP!$G314&lt;2,+GAAP!C314," " )</f>
        <v>49369</v>
      </c>
      <c r="F133" s="30">
        <f>IF(GAAP!$G314&lt;2,+GAAP!F314," " )</f>
        <v>39121.54</v>
      </c>
      <c r="G133" s="30">
        <f>IF(GAAP!$G314&lt;2,+GAAP!L314," " )</f>
        <v>3904.4599999999991</v>
      </c>
      <c r="H133" s="30">
        <f>IF(GAAP!$G314&lt;2,+GAAP!D314," " )</f>
        <v>43026</v>
      </c>
      <c r="I133" s="30">
        <f>IF(GAAP!$G314&lt;2,+GAAP!E314," " )</f>
        <v>6343</v>
      </c>
      <c r="J133" s="31">
        <f>IF(GAAP!$G314&lt;2,+GAAP!G314," " )</f>
        <v>0.90925347464323902</v>
      </c>
      <c r="K133" s="30">
        <f>IF(GAAP!$G314&lt;2,+GAAP!H314," " )</f>
        <v>5767.3947896620648</v>
      </c>
      <c r="L133" s="30">
        <f>+GAAP!K314</f>
        <v>-6911.9347896620675</v>
      </c>
      <c r="N133" s="33"/>
      <c r="S133" s="33">
        <f>K133-'Bonus WIP'!K134</f>
        <v>0</v>
      </c>
      <c r="T133" s="33">
        <f>L133-'Bonus WIP'!L134</f>
        <v>0</v>
      </c>
    </row>
    <row r="134" spans="1:20" ht="12" customHeight="1">
      <c r="A134" s="262">
        <f>+GAAP!A315</f>
        <v>56.108800000000002</v>
      </c>
      <c r="B134" s="97" t="str">
        <f>IF(GAAP!$G315&lt;2,+GAAP!B315," " )</f>
        <v>California Water Service Company - Salinas District Station 304 Panelboard Replacement - Califo</v>
      </c>
      <c r="C134" s="30">
        <f>IF(GAAP!$G315&lt;2,+GAAP!J315," " )</f>
        <v>0</v>
      </c>
      <c r="D134" s="30">
        <f>IF(GAAP!$G315&lt;2,+GAAP!M315," " )</f>
        <v>117985</v>
      </c>
      <c r="E134" s="30">
        <f>IF(GAAP!$G315&lt;2,+GAAP!C315," " )</f>
        <v>117985</v>
      </c>
      <c r="F134" s="30">
        <f>IF(GAAP!$G315&lt;2,+GAAP!F315," " )</f>
        <v>66827.490000000005</v>
      </c>
      <c r="G134" s="30">
        <f>IF(GAAP!$G315&lt;2,+GAAP!L315," " )</f>
        <v>18577.509999999995</v>
      </c>
      <c r="H134" s="30">
        <f>IF(GAAP!$G315&lt;2,+GAAP!D315," " )</f>
        <v>85405</v>
      </c>
      <c r="I134" s="30">
        <f>IF(GAAP!$G315&lt;2,+GAAP!E315," " )</f>
        <v>32580</v>
      </c>
      <c r="J134" s="31">
        <f>IF(GAAP!$G315&lt;2,+GAAP!G315," " )</f>
        <v>0.78247748960833685</v>
      </c>
      <c r="K134" s="30">
        <f>IF(GAAP!$G315&lt;2,+GAAP!H315," " )</f>
        <v>25493.116611439615</v>
      </c>
      <c r="L134" s="30">
        <f>+GAAP!K315</f>
        <v>-92320.606611439624</v>
      </c>
      <c r="N134" s="33"/>
      <c r="S134" s="33">
        <f>K134-'Bonus WIP'!K135</f>
        <v>0</v>
      </c>
      <c r="T134" s="33">
        <f>L134-'Bonus WIP'!L135</f>
        <v>0</v>
      </c>
    </row>
    <row r="135" spans="1:20" ht="11.25" customHeight="1">
      <c r="A135" s="262"/>
      <c r="B135" s="97"/>
      <c r="C135" s="30"/>
      <c r="D135" s="30"/>
      <c r="E135" s="30"/>
      <c r="F135" s="30"/>
      <c r="G135" s="30"/>
      <c r="H135" s="30"/>
      <c r="I135" s="30"/>
      <c r="J135" s="31"/>
      <c r="K135" s="30"/>
      <c r="L135" s="30"/>
      <c r="N135" s="33"/>
      <c r="S135" s="33" t="e">
        <f>K135-'Bonus WIP'!#REF!</f>
        <v>#REF!</v>
      </c>
      <c r="T135" s="33" t="e">
        <f>L135-'Bonus WIP'!#REF!</f>
        <v>#REF!</v>
      </c>
    </row>
    <row r="136" spans="1:20" ht="13.5" thickBot="1">
      <c r="A136" s="40"/>
      <c r="B136" s="40"/>
      <c r="C136" s="39">
        <f t="shared" ref="C136:I136" si="0">SUM(C7:C135)</f>
        <v>1107424084.2599998</v>
      </c>
      <c r="D136" s="39">
        <f t="shared" si="0"/>
        <v>751698755.73999989</v>
      </c>
      <c r="E136" s="39">
        <f t="shared" si="0"/>
        <v>1859122840.0000002</v>
      </c>
      <c r="F136" s="39">
        <f t="shared" si="0"/>
        <v>1041534998.2700002</v>
      </c>
      <c r="G136" s="39">
        <f t="shared" si="0"/>
        <v>693304584.16000009</v>
      </c>
      <c r="H136" s="39">
        <f t="shared" si="0"/>
        <v>1734839582.4300003</v>
      </c>
      <c r="I136" s="39">
        <f t="shared" si="0"/>
        <v>124283257.57000001</v>
      </c>
      <c r="J136" s="39"/>
      <c r="K136" s="39">
        <f>SUM(K7:K135)</f>
        <v>65410179.697191834</v>
      </c>
      <c r="L136" s="39">
        <f>SUM(L7:L135)</f>
        <v>478906.29280815308</v>
      </c>
      <c r="N136" s="33"/>
      <c r="S136" s="33">
        <f>K136-'Bonus WIP'!K137</f>
        <v>-862491.52594411373</v>
      </c>
      <c r="T136" s="33">
        <f>L136-'Bonus WIP'!L137</f>
        <v>862491.52594410884</v>
      </c>
    </row>
    <row r="137" spans="1:20" ht="11.25" customHeight="1" thickTop="1">
      <c r="C137" s="33"/>
      <c r="D137" s="33"/>
      <c r="E137" s="33"/>
      <c r="F137" s="33"/>
      <c r="G137" s="33"/>
      <c r="H137" s="33"/>
      <c r="I137" s="33"/>
      <c r="J137" s="33"/>
      <c r="K137" s="33"/>
      <c r="L137" s="33"/>
    </row>
    <row r="138" spans="1:20" ht="14.1" customHeight="1">
      <c r="G138" t="s">
        <v>20</v>
      </c>
    </row>
    <row r="139" spans="1:20" ht="13.15" customHeight="1">
      <c r="G139" t="s">
        <v>21</v>
      </c>
      <c r="I139" s="33">
        <f>+GAAP!Q400</f>
        <v>338883768.88</v>
      </c>
      <c r="K139" s="46" t="s">
        <v>49</v>
      </c>
      <c r="L139" s="47"/>
    </row>
    <row r="140" spans="1:20" ht="13.15" customHeight="1">
      <c r="G140" t="s">
        <v>48</v>
      </c>
      <c r="I140" s="33"/>
      <c r="K140" s="48" t="s">
        <v>50</v>
      </c>
      <c r="L140" s="49">
        <f>F136</f>
        <v>1041534998.2700002</v>
      </c>
    </row>
    <row r="141" spans="1:20" ht="13.15" customHeight="1">
      <c r="G141" t="s">
        <v>22</v>
      </c>
      <c r="I141" s="33">
        <f>+GAAP!S400</f>
        <v>17281747.057894088</v>
      </c>
      <c r="K141" s="48" t="s">
        <v>51</v>
      </c>
      <c r="L141" s="50">
        <f>+K136</f>
        <v>65410179.697191834</v>
      </c>
    </row>
    <row r="142" spans="1:20" ht="13.15" customHeight="1">
      <c r="G142" t="s">
        <v>23</v>
      </c>
      <c r="I142" s="35">
        <f>-GAAP!R400</f>
        <v>-355018357.06</v>
      </c>
      <c r="K142" s="48"/>
      <c r="L142" s="49">
        <f>L140+L141</f>
        <v>1106945177.9671922</v>
      </c>
    </row>
    <row r="143" spans="1:20" ht="13.5" thickBot="1">
      <c r="G143" t="s">
        <v>30</v>
      </c>
      <c r="I143" s="39">
        <f>SUM(I139:I142)</f>
        <v>1147158.8778941035</v>
      </c>
      <c r="K143" s="48" t="s">
        <v>52</v>
      </c>
      <c r="L143" s="50">
        <f>-C136</f>
        <v>-1107424084.2599998</v>
      </c>
    </row>
    <row r="144" spans="1:20" ht="14.25" thickTop="1" thickBot="1">
      <c r="I144" s="33"/>
      <c r="K144" s="96" t="s">
        <v>111</v>
      </c>
      <c r="L144" s="51">
        <f>L142+L143</f>
        <v>-478906.29280757904</v>
      </c>
    </row>
    <row r="145" spans="3:13" ht="13.5" thickTop="1">
      <c r="G145" t="s">
        <v>24</v>
      </c>
      <c r="I145" s="33">
        <f>+GAAP!L404</f>
        <v>1626065.1707022099</v>
      </c>
      <c r="K145" s="52"/>
      <c r="L145" s="53"/>
    </row>
    <row r="146" spans="3:13">
      <c r="G146" t="s">
        <v>25</v>
      </c>
      <c r="I146" s="35">
        <f>-L136</f>
        <v>-478906.29280815308</v>
      </c>
    </row>
    <row r="147" spans="3:13" ht="13.5" thickBot="1">
      <c r="G147" s="45" t="s">
        <v>30</v>
      </c>
      <c r="I147" s="39">
        <f>SUM(I145:I146)</f>
        <v>1147158.877894057</v>
      </c>
    </row>
    <row r="148" spans="3:13" ht="13.5" thickTop="1">
      <c r="I148" s="33">
        <f>I143-I147</f>
        <v>4.6566128730773926E-8</v>
      </c>
    </row>
    <row r="150" spans="3:13">
      <c r="H150" s="101" t="s">
        <v>213</v>
      </c>
      <c r="I150" s="33">
        <f>+I147</f>
        <v>1147158.877894057</v>
      </c>
    </row>
    <row r="151" spans="3:13">
      <c r="H151" s="101" t="s">
        <v>212</v>
      </c>
      <c r="I151" s="33">
        <f>-I150</f>
        <v>-1147158.877894057</v>
      </c>
    </row>
    <row r="152" spans="3:13">
      <c r="H152" s="200"/>
      <c r="I152" s="200"/>
      <c r="J152" s="200"/>
      <c r="K152" s="200"/>
      <c r="L152" s="200"/>
    </row>
    <row r="153" spans="3:13">
      <c r="C153" s="33">
        <f>C136-GAAP!J65-GAAP!J154-GAAP!J26-GAAP!J237-GAAP!J109-GAAP!J257-GAAP!J269-GAAP!J317</f>
        <v>-2.1047890186309814E-7</v>
      </c>
      <c r="F153" s="33">
        <f>F136-GAAP!F65-GAAP!F154-GAAP!F26-GAAP!F237-GAAP!F109-GAAP!F257-GAAP!F269-GAAP!F317</f>
        <v>2.5331974029541016E-7</v>
      </c>
      <c r="H153" s="200"/>
      <c r="I153" s="33"/>
      <c r="J153" s="200"/>
      <c r="K153" s="200">
        <f>K136-GAAP!H398</f>
        <v>0</v>
      </c>
      <c r="L153" s="200"/>
    </row>
    <row r="154" spans="3:13">
      <c r="H154" s="200"/>
      <c r="I154" s="200"/>
      <c r="J154" s="200"/>
      <c r="K154" s="200"/>
      <c r="L154" s="200"/>
    </row>
    <row r="155" spans="3:13">
      <c r="H155" s="200"/>
      <c r="J155" s="200"/>
      <c r="K155" s="200"/>
      <c r="L155" s="200"/>
    </row>
    <row r="156" spans="3:13">
      <c r="H156" s="200"/>
      <c r="I156" s="200"/>
      <c r="J156" s="200"/>
      <c r="K156" s="200"/>
      <c r="L156" s="200"/>
    </row>
    <row r="157" spans="3:13">
      <c r="C157" s="33"/>
      <c r="D157" s="33"/>
      <c r="E157" s="33"/>
      <c r="F157" s="33"/>
      <c r="G157" s="33"/>
      <c r="H157" s="33"/>
      <c r="I157" s="33"/>
      <c r="J157" s="33"/>
      <c r="K157" s="33"/>
      <c r="L157" s="33"/>
    </row>
    <row r="158" spans="3:13">
      <c r="F158" s="200"/>
      <c r="H158" s="200"/>
      <c r="I158" s="200"/>
      <c r="J158" s="200"/>
      <c r="K158" s="200"/>
      <c r="L158" s="200"/>
    </row>
    <row r="159" spans="3:13">
      <c r="F159" s="200"/>
      <c r="H159" s="200"/>
      <c r="I159" s="200"/>
      <c r="J159" s="200"/>
      <c r="K159" s="200"/>
      <c r="L159" s="200"/>
      <c r="M159" s="200"/>
    </row>
    <row r="160" spans="3:13">
      <c r="F160" s="200"/>
      <c r="H160" s="200"/>
      <c r="I160" s="200"/>
      <c r="J160" s="200"/>
      <c r="K160" s="200"/>
      <c r="L160" s="200"/>
      <c r="M160" s="200"/>
    </row>
    <row r="161" spans="8:13">
      <c r="H161" s="200"/>
      <c r="I161" s="200"/>
      <c r="J161" s="200"/>
      <c r="K161" s="200"/>
      <c r="L161" s="200"/>
      <c r="M161" s="200"/>
    </row>
    <row r="162" spans="8:13">
      <c r="M162" s="200"/>
    </row>
    <row r="163" spans="8:13">
      <c r="M163" s="200"/>
    </row>
    <row r="164" spans="8:13">
      <c r="M164" s="200"/>
    </row>
    <row r="165" spans="8:13">
      <c r="M165" s="200"/>
    </row>
    <row r="166" spans="8:13">
      <c r="M166" s="200"/>
    </row>
    <row r="167" spans="8:13">
      <c r="M167" s="200"/>
    </row>
    <row r="168" spans="8:13">
      <c r="M168" s="200"/>
    </row>
  </sheetData>
  <sortState xmlns:xlrd2="http://schemas.microsoft.com/office/spreadsheetml/2017/richdata2" ref="T1:U168">
    <sortCondition ref="T1:T168"/>
  </sortState>
  <phoneticPr fontId="2" type="noConversion"/>
  <pageMargins left="0.25" right="0.25" top="0.21" bottom="0.3" header="0.19" footer="0.17"/>
  <pageSetup scale="54" fitToHeight="0" orientation="landscape" r:id="rId1"/>
  <headerFooter alignWithMargins="0">
    <oddFooter>&amp;L&amp;"Arial Narrow,Regular"&amp;8&amp;Z&amp;F&amp;R&amp;P/&amp;N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688"/>
  <sheetViews>
    <sheetView zoomScaleNormal="100" zoomScaleSheetLayoutView="85" workbookViewId="0">
      <pane ySplit="7" topLeftCell="A31" activePane="bottomLeft" state="frozen"/>
      <selection pane="bottomLeft" activeCell="I58" sqref="I58"/>
    </sheetView>
  </sheetViews>
  <sheetFormatPr defaultColWidth="11.28515625" defaultRowHeight="12.75"/>
  <cols>
    <col min="1" max="1" width="11.28515625" customWidth="1"/>
    <col min="2" max="2" width="48.28515625" customWidth="1"/>
    <col min="3" max="3" width="12.42578125" style="143" customWidth="1"/>
    <col min="4" max="4" width="12" style="132" customWidth="1"/>
    <col min="5" max="5" width="11.28515625" style="132" customWidth="1"/>
    <col min="6" max="6" width="11.7109375" style="132" customWidth="1"/>
    <col min="7" max="7" width="7" customWidth="1"/>
    <col min="8" max="8" width="11.7109375" style="33" customWidth="1"/>
    <col min="9" max="9" width="11.85546875" style="33" customWidth="1"/>
    <col min="10" max="10" width="13.5703125" style="132" customWidth="1"/>
    <col min="11" max="11" width="11.140625" style="33" customWidth="1"/>
    <col min="12" max="12" width="12.140625" style="33" customWidth="1"/>
    <col min="13" max="13" width="11.5703125" style="33" customWidth="1"/>
    <col min="14" max="14" width="11.85546875" style="132" hidden="1" customWidth="1"/>
    <col min="15" max="15" width="13.5703125" style="132" hidden="1" customWidth="1"/>
    <col min="16" max="16" width="12.28515625" style="154" hidden="1" customWidth="1"/>
    <col min="17" max="17" width="10.5703125" style="33" customWidth="1"/>
    <col min="18" max="18" width="12" style="33" bestFit="1" customWidth="1"/>
    <col min="19" max="19" width="11.7109375" style="54" customWidth="1"/>
    <col min="20" max="20" width="8.42578125" style="15" customWidth="1"/>
    <col min="21" max="21" width="8.5703125" style="15" customWidth="1"/>
    <col min="22" max="22" width="9.28515625" customWidth="1"/>
  </cols>
  <sheetData>
    <row r="1" spans="1:22" ht="20.25">
      <c r="A1" s="113" t="s">
        <v>42</v>
      </c>
      <c r="B1" s="2"/>
      <c r="C1" s="133"/>
      <c r="D1" s="120"/>
      <c r="E1" s="120"/>
      <c r="F1" s="120"/>
      <c r="G1" s="102"/>
      <c r="H1" s="36"/>
      <c r="I1" s="36"/>
      <c r="J1" s="120"/>
      <c r="K1" s="36"/>
      <c r="L1" s="36"/>
      <c r="M1" s="36"/>
      <c r="N1" s="120"/>
      <c r="O1" s="120"/>
      <c r="P1" s="145"/>
      <c r="Q1" s="36"/>
      <c r="R1" s="36"/>
      <c r="S1" s="36"/>
      <c r="T1" s="119"/>
      <c r="U1" s="119"/>
    </row>
    <row r="2" spans="1:22" ht="15.75">
      <c r="A2" s="6" t="s">
        <v>26</v>
      </c>
      <c r="B2" s="2"/>
      <c r="C2" s="133"/>
      <c r="D2" s="120"/>
      <c r="E2" s="120"/>
      <c r="F2" s="120"/>
      <c r="G2" s="102"/>
      <c r="H2" s="36"/>
      <c r="I2" s="36"/>
      <c r="J2" s="120"/>
      <c r="K2" s="36"/>
      <c r="L2" s="36"/>
      <c r="M2" s="36"/>
      <c r="N2" s="120"/>
      <c r="O2" s="120"/>
      <c r="P2" s="145"/>
      <c r="Q2" s="36"/>
      <c r="R2" s="36"/>
      <c r="S2" s="36"/>
      <c r="T2" s="119"/>
      <c r="U2" s="119"/>
    </row>
    <row r="3" spans="1:22" ht="15.75">
      <c r="A3" s="6" t="s">
        <v>497</v>
      </c>
      <c r="B3" s="2"/>
      <c r="C3" s="274"/>
      <c r="D3" s="275"/>
      <c r="E3" s="275"/>
      <c r="F3" s="120"/>
      <c r="G3" s="102"/>
      <c r="H3" s="36"/>
      <c r="I3" s="36"/>
      <c r="J3" s="120"/>
      <c r="K3" s="36"/>
      <c r="L3" s="36"/>
      <c r="M3" s="36"/>
      <c r="N3" s="120"/>
      <c r="O3" s="120"/>
      <c r="P3" s="145"/>
      <c r="Q3" s="36"/>
      <c r="R3" s="36"/>
      <c r="S3" s="41"/>
      <c r="T3" s="45" t="s">
        <v>133</v>
      </c>
      <c r="U3" s="119"/>
    </row>
    <row r="4" spans="1:22" ht="15.75">
      <c r="A4" s="6" t="s">
        <v>705</v>
      </c>
      <c r="B4" s="2"/>
      <c r="C4" s="133"/>
      <c r="D4" s="134"/>
      <c r="E4" s="135"/>
      <c r="F4" s="120"/>
      <c r="G4" s="102"/>
      <c r="H4" s="36"/>
      <c r="I4" s="36"/>
      <c r="J4" s="120"/>
      <c r="K4" s="36"/>
      <c r="L4" s="36"/>
      <c r="M4" s="36"/>
      <c r="N4" s="120"/>
      <c r="O4" s="120"/>
      <c r="P4" s="145"/>
      <c r="Q4" s="36"/>
      <c r="R4" s="36"/>
      <c r="S4" s="41"/>
      <c r="T4" s="360" t="s">
        <v>137</v>
      </c>
      <c r="U4" s="119"/>
    </row>
    <row r="5" spans="1:22" s="57" customFormat="1" ht="12.75" customHeight="1">
      <c r="A5" s="81"/>
      <c r="C5" s="136"/>
      <c r="D5" s="98"/>
      <c r="E5" s="98"/>
      <c r="F5" s="98"/>
      <c r="G5" s="215"/>
      <c r="H5" s="214"/>
      <c r="I5" s="214"/>
      <c r="J5" s="98"/>
      <c r="K5" s="214"/>
      <c r="L5" s="214"/>
      <c r="M5" s="214"/>
      <c r="N5" s="121"/>
      <c r="O5" s="121"/>
      <c r="P5" s="163"/>
      <c r="Q5" s="214"/>
      <c r="R5" s="214"/>
      <c r="S5" s="68"/>
      <c r="T5" s="361"/>
      <c r="U5" s="361"/>
    </row>
    <row r="6" spans="1:22" s="57" customFormat="1" ht="12.75" customHeight="1">
      <c r="C6" s="138" t="s">
        <v>16</v>
      </c>
      <c r="D6" s="126" t="s">
        <v>55</v>
      </c>
      <c r="E6" s="126" t="s">
        <v>127</v>
      </c>
      <c r="F6" s="126" t="s">
        <v>128</v>
      </c>
      <c r="G6" s="104" t="s">
        <v>27</v>
      </c>
      <c r="H6" s="126" t="s">
        <v>128</v>
      </c>
      <c r="I6" s="126" t="s">
        <v>128</v>
      </c>
      <c r="J6" s="126"/>
      <c r="K6" s="56"/>
      <c r="L6" s="56" t="s">
        <v>57</v>
      </c>
      <c r="M6" s="56" t="s">
        <v>16</v>
      </c>
      <c r="N6" s="334" t="s">
        <v>61</v>
      </c>
      <c r="O6" s="334" t="s">
        <v>62</v>
      </c>
      <c r="P6" s="206" t="s">
        <v>63</v>
      </c>
      <c r="Q6" s="56"/>
      <c r="R6" s="56"/>
      <c r="S6" s="56"/>
      <c r="T6" s="79" t="s">
        <v>121</v>
      </c>
      <c r="U6" s="79" t="s">
        <v>121</v>
      </c>
    </row>
    <row r="7" spans="1:22" s="57" customFormat="1" ht="12.75" customHeight="1">
      <c r="A7" s="114" t="s">
        <v>14</v>
      </c>
      <c r="B7" s="115" t="s">
        <v>13</v>
      </c>
      <c r="C7" s="139" t="s">
        <v>0</v>
      </c>
      <c r="D7" s="127" t="s">
        <v>2</v>
      </c>
      <c r="E7" s="127" t="s">
        <v>17</v>
      </c>
      <c r="F7" s="127" t="s">
        <v>131</v>
      </c>
      <c r="G7" s="105" t="s">
        <v>29</v>
      </c>
      <c r="H7" s="58" t="s">
        <v>129</v>
      </c>
      <c r="I7" s="58" t="s">
        <v>130</v>
      </c>
      <c r="J7" s="127" t="s">
        <v>56</v>
      </c>
      <c r="K7" s="106" t="s">
        <v>124</v>
      </c>
      <c r="L7" s="58" t="s">
        <v>12</v>
      </c>
      <c r="M7" s="58" t="s">
        <v>31</v>
      </c>
      <c r="N7" s="335">
        <v>45657</v>
      </c>
      <c r="O7" s="335">
        <f>+N7</f>
        <v>45657</v>
      </c>
      <c r="P7" s="207">
        <f>+N7</f>
        <v>45657</v>
      </c>
      <c r="Q7" s="58" t="s">
        <v>58</v>
      </c>
      <c r="R7" s="58" t="s">
        <v>59</v>
      </c>
      <c r="S7" s="58" t="s">
        <v>60</v>
      </c>
      <c r="T7" s="79" t="s">
        <v>122</v>
      </c>
      <c r="U7" s="79" t="s">
        <v>123</v>
      </c>
    </row>
    <row r="8" spans="1:22" s="57" customFormat="1" ht="12.75" customHeight="1">
      <c r="A8" s="176" t="str">
        <f>+Bonus!A8</f>
        <v>Rocklin Area - Open Jobs</v>
      </c>
      <c r="B8" s="82"/>
      <c r="C8" s="227"/>
      <c r="D8" s="63"/>
      <c r="E8" s="63"/>
      <c r="F8" s="218"/>
      <c r="G8" s="182"/>
      <c r="H8" s="98"/>
      <c r="I8" s="98"/>
      <c r="J8" s="218"/>
      <c r="K8" s="98"/>
      <c r="L8" s="98"/>
      <c r="M8" s="98"/>
      <c r="N8" s="218"/>
      <c r="O8" s="218"/>
      <c r="P8" s="98"/>
      <c r="Q8" s="98"/>
      <c r="R8" s="98"/>
      <c r="S8" s="129"/>
      <c r="T8" s="199"/>
      <c r="U8" s="199"/>
      <c r="V8" s="82"/>
    </row>
    <row r="9" spans="1:22" s="57" customFormat="1" ht="12.75" customHeight="1">
      <c r="A9" s="617">
        <f>Bonus!A9</f>
        <v>51.110799999999998</v>
      </c>
      <c r="B9" s="82" t="str">
        <f>Bonus!B9</f>
        <v>City of Stockton - RWCF Phase 2A/2B</v>
      </c>
      <c r="C9" s="227">
        <f>J9</f>
        <v>94045647.859999999</v>
      </c>
      <c r="D9" s="63">
        <f>F9</f>
        <v>89805617.799999997</v>
      </c>
      <c r="E9" s="63">
        <f>C9-D9</f>
        <v>4240030.0600000024</v>
      </c>
      <c r="F9" s="218">
        <f>Bonus!F9</f>
        <v>89805617.799999997</v>
      </c>
      <c r="G9" s="182">
        <f>IF(D9&lt;&gt;0,+F9/D9,0)</f>
        <v>1</v>
      </c>
      <c r="H9" s="98">
        <f>IF(E9&lt;=0,E9,IF(G9&lt;0.1,0,IF(G9&lt;=1,G9*E9,E9)))</f>
        <v>4240030.0600000024</v>
      </c>
      <c r="I9" s="98">
        <f>+F9+H9</f>
        <v>94045647.859999999</v>
      </c>
      <c r="J9" s="218">
        <f>Bonus!J9</f>
        <v>94045647.859999999</v>
      </c>
      <c r="K9" s="98">
        <f>J9-I9</f>
        <v>0</v>
      </c>
      <c r="L9" s="98">
        <f>+D9-F9</f>
        <v>0</v>
      </c>
      <c r="M9" s="98">
        <f>+C9-J9</f>
        <v>0</v>
      </c>
      <c r="N9" s="218">
        <f>Bonus!N9</f>
        <v>88519194.969999999</v>
      </c>
      <c r="O9" s="218">
        <f>Bonus!O9</f>
        <v>92554957.540000007</v>
      </c>
      <c r="P9" s="98">
        <f>Bonus!W9</f>
        <v>4035762.5700000077</v>
      </c>
      <c r="Q9" s="98">
        <f>F9-N9</f>
        <v>1286422.8299999982</v>
      </c>
      <c r="R9" s="98">
        <f>+J9-O9</f>
        <v>1490690.3199999928</v>
      </c>
      <c r="S9" s="129">
        <f>H9-P9</f>
        <v>204267.48999999464</v>
      </c>
      <c r="T9" s="199" t="str">
        <f>Bonus!T9</f>
        <v>2019</v>
      </c>
      <c r="U9" s="199">
        <f>Bonus!U9</f>
        <v>0</v>
      </c>
      <c r="V9" s="199" t="str">
        <f>+Bonus!V9</f>
        <v>.</v>
      </c>
    </row>
    <row r="10" spans="1:22" s="57" customFormat="1" ht="12.75" customHeight="1">
      <c r="A10" s="259">
        <f>Bonus!A10</f>
        <v>51.112900000000003</v>
      </c>
      <c r="B10" s="82" t="str">
        <f>Bonus!B10</f>
        <v>Union Sanit. Dist - Enhanced Trtmnt &amp; Site Upgrd Ph. 1A Aeration Basin</v>
      </c>
      <c r="C10" s="227">
        <f>Bonus!C10</f>
        <v>126483580.84</v>
      </c>
      <c r="D10" s="63">
        <f>Bonus!D10</f>
        <v>115233580.84</v>
      </c>
      <c r="E10" s="63">
        <f>Bonus!E10</f>
        <v>11250000</v>
      </c>
      <c r="F10" s="218">
        <f>Bonus!F10</f>
        <v>87315159.219999999</v>
      </c>
      <c r="G10" s="182">
        <f t="shared" ref="G10" si="0">IF(D10&lt;&gt;0,+F10/D10,0)</f>
        <v>0.75772321387144703</v>
      </c>
      <c r="H10" s="98">
        <f t="shared" ref="H10" si="1">IF(E10&lt;=0,E10,IF(G10&lt;0.1,0,IF(G10&lt;=1,G10*E10,E10)))</f>
        <v>8524386.1560537796</v>
      </c>
      <c r="I10" s="98">
        <f t="shared" ref="I10" si="2">+F10+H10</f>
        <v>95839545.37605378</v>
      </c>
      <c r="J10" s="218">
        <f>Bonus!J10</f>
        <v>96918206.900000006</v>
      </c>
      <c r="K10" s="98">
        <f t="shared" ref="K10" si="3">J10-I10</f>
        <v>1078661.5239462256</v>
      </c>
      <c r="L10" s="98">
        <f t="shared" ref="L10" si="4">+D10-F10</f>
        <v>27918421.620000005</v>
      </c>
      <c r="M10" s="98">
        <f t="shared" ref="M10" si="5">+C10-J10</f>
        <v>29565373.939999998</v>
      </c>
      <c r="N10" s="218">
        <f>Bonus!N10</f>
        <v>63757070.670000002</v>
      </c>
      <c r="O10" s="218">
        <f>Bonus!O10</f>
        <v>66921921.329999998</v>
      </c>
      <c r="P10" s="98">
        <f>Bonus!W10</f>
        <v>6957477.3602031237</v>
      </c>
      <c r="Q10" s="98">
        <f t="shared" ref="Q10" si="6">F10-N10</f>
        <v>23558088.549999997</v>
      </c>
      <c r="R10" s="98">
        <f t="shared" ref="R10" si="7">+J10-O10</f>
        <v>29996285.570000008</v>
      </c>
      <c r="S10" s="129">
        <f t="shared" ref="S10" si="8">H10-P10</f>
        <v>1566908.795850656</v>
      </c>
      <c r="T10" s="199" t="str">
        <f>Bonus!T10</f>
        <v>2022</v>
      </c>
      <c r="U10" s="199">
        <f>Bonus!U10</f>
        <v>0</v>
      </c>
      <c r="V10" s="199" t="str">
        <f>+Bonus!V10</f>
        <v>.</v>
      </c>
    </row>
    <row r="11" spans="1:22" s="57" customFormat="1" ht="12.75" customHeight="1">
      <c r="A11" s="259">
        <f>Bonus!A11</f>
        <v>51.113700000000001</v>
      </c>
      <c r="B11" s="82" t="str">
        <f>Bonus!B11</f>
        <v>CA Water Service Co. - Bear Gulch Pump Station 18</v>
      </c>
      <c r="C11" s="227">
        <f>Bonus!C11</f>
        <v>1312151.46</v>
      </c>
      <c r="D11" s="63">
        <f>Bonus!D11</f>
        <v>1198511.46</v>
      </c>
      <c r="E11" s="63">
        <f>Bonus!E11</f>
        <v>113640</v>
      </c>
      <c r="F11" s="218">
        <f>Bonus!F11</f>
        <v>1042229.29</v>
      </c>
      <c r="G11" s="182">
        <f t="shared" ref="G11:G24" si="9">IF(D11&lt;&gt;0,+F11/D11,0)</f>
        <v>0.86960310750804171</v>
      </c>
      <c r="H11" s="98">
        <f t="shared" ref="H11:H24" si="10">IF(E11&lt;=0,E11,IF(G11&lt;0.1,0,IF(G11&lt;=1,G11*E11,E11)))</f>
        <v>98821.697137213865</v>
      </c>
      <c r="I11" s="98">
        <f t="shared" ref="I11:I24" si="11">+F11+H11</f>
        <v>1141050.9871372138</v>
      </c>
      <c r="J11" s="218">
        <f>Bonus!J11</f>
        <v>1121900.01</v>
      </c>
      <c r="K11" s="98">
        <f t="shared" ref="K11:K24" si="12">J11-I11</f>
        <v>-19150.977137213806</v>
      </c>
      <c r="L11" s="98">
        <f t="shared" ref="L11:L24" si="13">+D11-F11</f>
        <v>156282.16999999993</v>
      </c>
      <c r="M11" s="98">
        <f t="shared" ref="M11:M24" si="14">+C11-J11</f>
        <v>190251.44999999995</v>
      </c>
      <c r="N11" s="218">
        <f>Bonus!N11</f>
        <v>271684.42</v>
      </c>
      <c r="O11" s="218">
        <f>Bonus!O11</f>
        <v>78558</v>
      </c>
      <c r="P11" s="98">
        <f>Bonus!W11</f>
        <v>27243.588658981782</v>
      </c>
      <c r="Q11" s="98">
        <f t="shared" ref="Q11:Q24" si="15">F11-N11</f>
        <v>770544.87000000011</v>
      </c>
      <c r="R11" s="98">
        <f t="shared" ref="R11:R24" si="16">+J11-O11</f>
        <v>1043342.01</v>
      </c>
      <c r="S11" s="129">
        <f t="shared" ref="S11:S24" si="17">H11-P11</f>
        <v>71578.108478232083</v>
      </c>
      <c r="T11" s="199" t="str">
        <f>Bonus!T11</f>
        <v>2023</v>
      </c>
      <c r="U11" s="199">
        <f>Bonus!U11</f>
        <v>0</v>
      </c>
      <c r="V11" s="199" t="str">
        <f>+Bonus!V11</f>
        <v>.</v>
      </c>
    </row>
    <row r="12" spans="1:22" s="57" customFormat="1" ht="12.75" customHeight="1">
      <c r="A12" s="259">
        <f>Bonus!A12</f>
        <v>51.114400000000003</v>
      </c>
      <c r="B12" s="82" t="str">
        <f>Bonus!B12</f>
        <v>Silicon Valley Clean Water - FEP Improvements Project</v>
      </c>
      <c r="C12" s="227">
        <f>Bonus!C12</f>
        <v>14969566</v>
      </c>
      <c r="D12" s="63">
        <f>Bonus!D12</f>
        <v>13839617</v>
      </c>
      <c r="E12" s="63">
        <f>Bonus!E12</f>
        <v>1129949</v>
      </c>
      <c r="F12" s="218">
        <f>Bonus!F12</f>
        <v>8406760.8000000007</v>
      </c>
      <c r="G12" s="182">
        <f t="shared" si="9"/>
        <v>0.60744172327890289</v>
      </c>
      <c r="H12" s="98">
        <f t="shared" si="10"/>
        <v>686378.16777727299</v>
      </c>
      <c r="I12" s="98">
        <f t="shared" si="11"/>
        <v>9093138.9677772745</v>
      </c>
      <c r="J12" s="218">
        <f>Bonus!J12</f>
        <v>9667725.7699999996</v>
      </c>
      <c r="K12" s="98">
        <f t="shared" si="12"/>
        <v>574586.802222725</v>
      </c>
      <c r="L12" s="98">
        <f t="shared" si="13"/>
        <v>5432856.1999999993</v>
      </c>
      <c r="M12" s="98">
        <f t="shared" si="14"/>
        <v>5301840.2300000004</v>
      </c>
      <c r="N12" s="218">
        <f>Bonus!N12</f>
        <v>1353379.42</v>
      </c>
      <c r="O12" s="218">
        <f>Bonus!O12</f>
        <v>1514359.61</v>
      </c>
      <c r="P12" s="98">
        <f>Bonus!W12</f>
        <v>90331.451153550006</v>
      </c>
      <c r="Q12" s="98">
        <f t="shared" si="15"/>
        <v>7053381.3800000008</v>
      </c>
      <c r="R12" s="98">
        <f t="shared" si="16"/>
        <v>8153366.1599999992</v>
      </c>
      <c r="S12" s="129">
        <f t="shared" si="17"/>
        <v>596046.71662372304</v>
      </c>
      <c r="T12" s="199" t="str">
        <f>Bonus!T12</f>
        <v>2023</v>
      </c>
      <c r="U12" s="199">
        <f>Bonus!U12</f>
        <v>0</v>
      </c>
      <c r="V12" s="199" t="str">
        <f>+Bonus!V12</f>
        <v>.</v>
      </c>
    </row>
    <row r="13" spans="1:22" s="57" customFormat="1" ht="12.75" customHeight="1">
      <c r="A13" s="259">
        <f>Bonus!A13</f>
        <v>51.114600000000003</v>
      </c>
      <c r="B13" s="82" t="str">
        <f>Bonus!B13</f>
        <v>National Carbon Technologies, LLC - Aymium Williams Production Facility</v>
      </c>
      <c r="C13" s="227">
        <f>Bonus!C13</f>
        <v>60980234</v>
      </c>
      <c r="D13" s="63">
        <f>Bonus!D13</f>
        <v>44196854.030000001</v>
      </c>
      <c r="E13" s="63">
        <f>Bonus!E13</f>
        <v>16783379.969999999</v>
      </c>
      <c r="F13" s="218">
        <f>Bonus!F13</f>
        <v>40950686.5</v>
      </c>
      <c r="G13" s="182">
        <f t="shared" si="9"/>
        <v>0.92655206798663625</v>
      </c>
      <c r="H13" s="98">
        <f t="shared" si="10"/>
        <v>15550675.419008989</v>
      </c>
      <c r="I13" s="98">
        <f t="shared" si="11"/>
        <v>56501361.919008985</v>
      </c>
      <c r="J13" s="218">
        <f>Bonus!J13</f>
        <v>60980234</v>
      </c>
      <c r="K13" s="98">
        <f t="shared" si="12"/>
        <v>4478872.0809910148</v>
      </c>
      <c r="L13" s="98">
        <f t="shared" si="13"/>
        <v>3246167.5300000012</v>
      </c>
      <c r="M13" s="98">
        <f t="shared" si="14"/>
        <v>0</v>
      </c>
      <c r="N13" s="218">
        <f>Bonus!N13</f>
        <v>4561081.2100000009</v>
      </c>
      <c r="O13" s="218">
        <f>Bonus!O13</f>
        <v>9363858.4499999993</v>
      </c>
      <c r="P13" s="98">
        <f>Bonus!W13</f>
        <v>0</v>
      </c>
      <c r="Q13" s="98">
        <f t="shared" si="15"/>
        <v>36389605.289999999</v>
      </c>
      <c r="R13" s="98">
        <f t="shared" si="16"/>
        <v>51616375.549999997</v>
      </c>
      <c r="S13" s="129">
        <f t="shared" si="17"/>
        <v>15550675.419008989</v>
      </c>
      <c r="T13" s="199" t="str">
        <f>Bonus!T13</f>
        <v>2023</v>
      </c>
      <c r="U13" s="199">
        <f>Bonus!U13</f>
        <v>0</v>
      </c>
      <c r="V13" s="199" t="str">
        <f>+Bonus!V13</f>
        <v>.</v>
      </c>
    </row>
    <row r="14" spans="1:22" s="57" customFormat="1" ht="12.75" customHeight="1">
      <c r="A14" s="259">
        <f>Bonus!A14</f>
        <v>51.115099999999998</v>
      </c>
      <c r="B14" s="82" t="str">
        <f>Bonus!B14</f>
        <v>Sonoma Valley County Sanitation Dist. - Sonoma Valley Influent Effluent Upgrade</v>
      </c>
      <c r="C14" s="227">
        <f>Bonus!C14</f>
        <v>10658200</v>
      </c>
      <c r="D14" s="63">
        <f>Bonus!D14</f>
        <v>10079352</v>
      </c>
      <c r="E14" s="63">
        <f>Bonus!E14</f>
        <v>578848</v>
      </c>
      <c r="F14" s="218">
        <f>Bonus!F14</f>
        <v>4923435.18</v>
      </c>
      <c r="G14" s="182">
        <f t="shared" si="9"/>
        <v>0.48846743123962727</v>
      </c>
      <c r="H14" s="98">
        <f t="shared" si="10"/>
        <v>282748.39563819574</v>
      </c>
      <c r="I14" s="98">
        <f t="shared" si="11"/>
        <v>5206183.5756381955</v>
      </c>
      <c r="J14" s="218">
        <f>Bonus!J14</f>
        <v>5009265.21</v>
      </c>
      <c r="K14" s="98">
        <f t="shared" si="12"/>
        <v>-196918.36563819554</v>
      </c>
      <c r="L14" s="98">
        <f t="shared" si="13"/>
        <v>5155916.82</v>
      </c>
      <c r="M14" s="98">
        <f t="shared" si="14"/>
        <v>5648934.79</v>
      </c>
      <c r="N14" s="218">
        <f>Bonus!N14</f>
        <v>187144.08</v>
      </c>
      <c r="O14" s="218">
        <f>Bonus!O14</f>
        <v>0</v>
      </c>
      <c r="P14" s="98">
        <f>Bonus!W14</f>
        <v>0</v>
      </c>
      <c r="Q14" s="98">
        <f t="shared" si="15"/>
        <v>4736291.0999999996</v>
      </c>
      <c r="R14" s="98">
        <f t="shared" si="16"/>
        <v>5009265.21</v>
      </c>
      <c r="S14" s="129">
        <f t="shared" si="17"/>
        <v>282748.39563819574</v>
      </c>
      <c r="T14" s="199" t="str">
        <f>Bonus!T14</f>
        <v>2024</v>
      </c>
      <c r="U14" s="199">
        <f>Bonus!U14</f>
        <v>0</v>
      </c>
      <c r="V14" s="199" t="str">
        <f>+Bonus!V14</f>
        <v>.</v>
      </c>
    </row>
    <row r="15" spans="1:22" s="57" customFormat="1" ht="12.75" customHeight="1">
      <c r="A15" s="259">
        <f>Bonus!A15</f>
        <v>51.115200000000002</v>
      </c>
      <c r="B15" s="82" t="str">
        <f>Bonus!B15</f>
        <v>Mozingo Construction Inc - ElD Sly Park Intertie Project</v>
      </c>
      <c r="C15" s="227">
        <f>Bonus!C15</f>
        <v>19974489.34</v>
      </c>
      <c r="D15" s="63">
        <f>Bonus!D15</f>
        <v>18628948.34</v>
      </c>
      <c r="E15" s="63">
        <f>Bonus!E15</f>
        <v>1345541</v>
      </c>
      <c r="F15" s="218">
        <f>Bonus!F15</f>
        <v>13474808.539999999</v>
      </c>
      <c r="G15" s="182">
        <f t="shared" si="9"/>
        <v>0.72332631418956417</v>
      </c>
      <c r="H15" s="98">
        <f t="shared" si="10"/>
        <v>973265.21212094033</v>
      </c>
      <c r="I15" s="98">
        <f t="shared" si="11"/>
        <v>14448073.75212094</v>
      </c>
      <c r="J15" s="218">
        <f>Bonus!J15</f>
        <v>15610649.01</v>
      </c>
      <c r="K15" s="98">
        <f t="shared" si="12"/>
        <v>1162575.2578790598</v>
      </c>
      <c r="L15" s="98">
        <f t="shared" si="13"/>
        <v>5154139.8000000007</v>
      </c>
      <c r="M15" s="98">
        <f t="shared" si="14"/>
        <v>4363840.33</v>
      </c>
      <c r="N15" s="218">
        <f>Bonus!N15</f>
        <v>1446770.9</v>
      </c>
      <c r="O15" s="218">
        <f>Bonus!O15</f>
        <v>2807450</v>
      </c>
      <c r="P15" s="98">
        <f>Bonus!W15</f>
        <v>0</v>
      </c>
      <c r="Q15" s="98">
        <f t="shared" si="15"/>
        <v>12028037.639999999</v>
      </c>
      <c r="R15" s="98">
        <f t="shared" si="16"/>
        <v>12803199.01</v>
      </c>
      <c r="S15" s="129">
        <f t="shared" si="17"/>
        <v>973265.21212094033</v>
      </c>
      <c r="T15" s="199" t="str">
        <f>Bonus!T15</f>
        <v>2024</v>
      </c>
      <c r="U15" s="199">
        <f>Bonus!U15</f>
        <v>0</v>
      </c>
      <c r="V15" s="199" t="str">
        <f>+Bonus!V15</f>
        <v>.</v>
      </c>
    </row>
    <row r="16" spans="1:22" s="57" customFormat="1" ht="12.75" customHeight="1">
      <c r="A16" s="259">
        <f>Bonus!A16</f>
        <v>51.115299999999998</v>
      </c>
      <c r="B16" s="82" t="str">
        <f>Bonus!B16</f>
        <v>Linda County Water Dist. - Aeration Blower Replacement</v>
      </c>
      <c r="C16" s="227">
        <f>Bonus!C16</f>
        <v>562824.68000000005</v>
      </c>
      <c r="D16" s="63">
        <f>Bonus!D16</f>
        <v>454520.68000000005</v>
      </c>
      <c r="E16" s="63">
        <f>Bonus!E16</f>
        <v>108304</v>
      </c>
      <c r="F16" s="218">
        <f>Bonus!F16</f>
        <v>334550.81</v>
      </c>
      <c r="G16" s="182">
        <f t="shared" si="9"/>
        <v>0.7360518997727451</v>
      </c>
      <c r="H16" s="98">
        <f t="shared" si="10"/>
        <v>79717.36495298738</v>
      </c>
      <c r="I16" s="98">
        <f t="shared" si="11"/>
        <v>414268.17495298735</v>
      </c>
      <c r="J16" s="218">
        <f>Bonus!J16</f>
        <v>549548.82999999996</v>
      </c>
      <c r="K16" s="98">
        <f t="shared" si="12"/>
        <v>135280.65504701261</v>
      </c>
      <c r="L16" s="98">
        <f t="shared" si="13"/>
        <v>119969.87000000005</v>
      </c>
      <c r="M16" s="98">
        <f t="shared" si="14"/>
        <v>13275.850000000093</v>
      </c>
      <c r="N16" s="218">
        <f>Bonus!N16</f>
        <v>98963.36</v>
      </c>
      <c r="O16" s="218">
        <f>Bonus!O16</f>
        <v>116846.83</v>
      </c>
      <c r="P16" s="98">
        <f>Bonus!W16</f>
        <v>12859.389183176303</v>
      </c>
      <c r="Q16" s="98">
        <f t="shared" si="15"/>
        <v>235587.45</v>
      </c>
      <c r="R16" s="98">
        <f t="shared" si="16"/>
        <v>432701.99999999994</v>
      </c>
      <c r="S16" s="129">
        <f t="shared" si="17"/>
        <v>66857.975769811077</v>
      </c>
      <c r="T16" s="199" t="str">
        <f>Bonus!T16</f>
        <v>2024</v>
      </c>
      <c r="U16" s="199">
        <f>Bonus!U16</f>
        <v>0</v>
      </c>
      <c r="V16" s="199" t="str">
        <f>+Bonus!V16</f>
        <v>.</v>
      </c>
    </row>
    <row r="17" spans="1:22" s="57" customFormat="1" ht="12.75" customHeight="1">
      <c r="A17" s="259">
        <f>Bonus!A17</f>
        <v>51.115400000000001</v>
      </c>
      <c r="B17" s="82" t="str">
        <f>Bonus!B17</f>
        <v>Keyes Community Services Dist. - TCP Treatment Impvmts Wells 7,8,9,10</v>
      </c>
      <c r="C17" s="227">
        <f>Bonus!C17</f>
        <v>13363835</v>
      </c>
      <c r="D17" s="63">
        <f>Bonus!D17</f>
        <v>12488835</v>
      </c>
      <c r="E17" s="63">
        <f>Bonus!E17</f>
        <v>875000</v>
      </c>
      <c r="F17" s="218">
        <f>Bonus!F17</f>
        <v>11872342.6</v>
      </c>
      <c r="G17" s="182">
        <f t="shared" si="9"/>
        <v>0.95063651653657044</v>
      </c>
      <c r="H17" s="98">
        <f t="shared" si="10"/>
        <v>831806.95196949912</v>
      </c>
      <c r="I17" s="98">
        <f t="shared" si="11"/>
        <v>12704149.551969498</v>
      </c>
      <c r="J17" s="218">
        <f>Bonus!J17</f>
        <v>13340008</v>
      </c>
      <c r="K17" s="98">
        <f t="shared" si="12"/>
        <v>635858.4480305016</v>
      </c>
      <c r="L17" s="98">
        <f t="shared" si="13"/>
        <v>616492.40000000037</v>
      </c>
      <c r="M17" s="98">
        <f t="shared" si="14"/>
        <v>23827</v>
      </c>
      <c r="N17" s="218">
        <f>Bonus!N17</f>
        <v>2378559.16</v>
      </c>
      <c r="O17" s="218">
        <f>Bonus!O17</f>
        <v>3186935</v>
      </c>
      <c r="P17" s="98">
        <f>Bonus!W17</f>
        <v>94320.422614429452</v>
      </c>
      <c r="Q17" s="98">
        <f t="shared" si="15"/>
        <v>9493783.4399999995</v>
      </c>
      <c r="R17" s="98">
        <f t="shared" si="16"/>
        <v>10153073</v>
      </c>
      <c r="S17" s="129">
        <f t="shared" si="17"/>
        <v>737486.52935506962</v>
      </c>
      <c r="T17" s="199" t="str">
        <f>Bonus!T17</f>
        <v>2024</v>
      </c>
      <c r="U17" s="199">
        <f>Bonus!U17</f>
        <v>0</v>
      </c>
      <c r="V17" s="199" t="str">
        <f>+Bonus!V17</f>
        <v>.</v>
      </c>
    </row>
    <row r="18" spans="1:22" s="57" customFormat="1" ht="12.75" customHeight="1">
      <c r="A18" s="259">
        <f>Bonus!A18</f>
        <v>51.1158</v>
      </c>
      <c r="B18" s="82" t="str">
        <f>Bonus!B18</f>
        <v>Schneider Electric - City of Ceres WWTP Phase 1- Schneider Electric</v>
      </c>
      <c r="C18" s="227">
        <f>Bonus!C18</f>
        <v>104446</v>
      </c>
      <c r="D18" s="63">
        <f>Bonus!D18</f>
        <v>104446</v>
      </c>
      <c r="E18" s="63">
        <f>Bonus!E18</f>
        <v>0</v>
      </c>
      <c r="F18" s="218">
        <f>Bonus!F18</f>
        <v>56960.69</v>
      </c>
      <c r="G18" s="182">
        <f t="shared" si="9"/>
        <v>0.54536018612488757</v>
      </c>
      <c r="H18" s="98">
        <f t="shared" si="10"/>
        <v>0</v>
      </c>
      <c r="I18" s="98">
        <f t="shared" si="11"/>
        <v>56960.69</v>
      </c>
      <c r="J18" s="218">
        <f>Bonus!J18</f>
        <v>32282</v>
      </c>
      <c r="K18" s="98">
        <f t="shared" si="12"/>
        <v>-24678.690000000002</v>
      </c>
      <c r="L18" s="98">
        <f t="shared" si="13"/>
        <v>47485.31</v>
      </c>
      <c r="M18" s="98">
        <f t="shared" si="14"/>
        <v>72164</v>
      </c>
      <c r="N18" s="218">
        <f>Bonus!N18</f>
        <v>0</v>
      </c>
      <c r="O18" s="218">
        <f>Bonus!O18</f>
        <v>0</v>
      </c>
      <c r="P18" s="98">
        <f>Bonus!W18</f>
        <v>0</v>
      </c>
      <c r="Q18" s="98">
        <f t="shared" si="15"/>
        <v>56960.69</v>
      </c>
      <c r="R18" s="98">
        <f t="shared" si="16"/>
        <v>32282</v>
      </c>
      <c r="S18" s="129">
        <f t="shared" si="17"/>
        <v>0</v>
      </c>
      <c r="T18" s="199" t="str">
        <f>Bonus!T18</f>
        <v>2025</v>
      </c>
      <c r="U18" s="199">
        <f>Bonus!U18</f>
        <v>0</v>
      </c>
      <c r="V18" s="199" t="str">
        <f>+Bonus!V18</f>
        <v>&lt; 250k</v>
      </c>
    </row>
    <row r="19" spans="1:22" s="57" customFormat="1" ht="12.75" customHeight="1">
      <c r="A19" s="259">
        <f>Bonus!A19</f>
        <v>51.115900000000003</v>
      </c>
      <c r="B19" s="82" t="str">
        <f>Bonus!B19</f>
        <v>El Dorado Irrigation Dist. - EID Reservoir A WTP Backwash-to-waste Valve Repalcement</v>
      </c>
      <c r="C19" s="227">
        <f>Bonus!C19</f>
        <v>1199000</v>
      </c>
      <c r="D19" s="63">
        <f>Bonus!D19</f>
        <v>1079240</v>
      </c>
      <c r="E19" s="63">
        <f>Bonus!E19</f>
        <v>119760</v>
      </c>
      <c r="F19" s="218">
        <f>Bonus!F19</f>
        <v>790051.12</v>
      </c>
      <c r="G19" s="182">
        <f t="shared" si="9"/>
        <v>0.73204395685853008</v>
      </c>
      <c r="H19" s="98">
        <f t="shared" si="10"/>
        <v>87669.584273377564</v>
      </c>
      <c r="I19" s="98">
        <f t="shared" si="11"/>
        <v>877720.70427337755</v>
      </c>
      <c r="J19" s="218">
        <f>Bonus!J19</f>
        <v>732995</v>
      </c>
      <c r="K19" s="98">
        <f t="shared" si="12"/>
        <v>-144725.70427337755</v>
      </c>
      <c r="L19" s="98">
        <f t="shared" si="13"/>
        <v>289188.88</v>
      </c>
      <c r="M19" s="98">
        <f t="shared" si="14"/>
        <v>466005</v>
      </c>
      <c r="N19" s="218">
        <f>Bonus!N19</f>
        <v>0</v>
      </c>
      <c r="O19" s="218">
        <f>Bonus!O19</f>
        <v>0</v>
      </c>
      <c r="P19" s="98">
        <f>Bonus!W19</f>
        <v>0</v>
      </c>
      <c r="Q19" s="98">
        <f t="shared" si="15"/>
        <v>790051.12</v>
      </c>
      <c r="R19" s="98">
        <f t="shared" si="16"/>
        <v>732995</v>
      </c>
      <c r="S19" s="129">
        <f t="shared" si="17"/>
        <v>87669.584273377564</v>
      </c>
      <c r="T19" s="199" t="str">
        <f>Bonus!T19</f>
        <v>2025</v>
      </c>
      <c r="U19" s="199">
        <f>Bonus!U19</f>
        <v>0</v>
      </c>
      <c r="V19" s="199" t="str">
        <f>+Bonus!V19</f>
        <v>.</v>
      </c>
    </row>
    <row r="20" spans="1:22" s="57" customFormat="1" ht="12.75" customHeight="1">
      <c r="A20" s="259">
        <f>Bonus!A20</f>
        <v>51.116</v>
      </c>
      <c r="B20" s="82" t="str">
        <f>Bonus!B20</f>
        <v>City of Galt Public Works - Industrial WWTP Expansion</v>
      </c>
      <c r="C20" s="227">
        <f>Bonus!C20</f>
        <v>1757000</v>
      </c>
      <c r="D20" s="63">
        <f>Bonus!D20</f>
        <v>1690000</v>
      </c>
      <c r="E20" s="63">
        <f>Bonus!E20</f>
        <v>67000</v>
      </c>
      <c r="F20" s="218">
        <f>Bonus!F20</f>
        <v>250518.05</v>
      </c>
      <c r="G20" s="182">
        <f t="shared" si="9"/>
        <v>0.14823553254437868</v>
      </c>
      <c r="H20" s="98">
        <f t="shared" si="10"/>
        <v>9931.7806804733718</v>
      </c>
      <c r="I20" s="98">
        <f t="shared" si="11"/>
        <v>260449.83068047336</v>
      </c>
      <c r="J20" s="218">
        <f>Bonus!J20</f>
        <v>223725</v>
      </c>
      <c r="K20" s="98">
        <f t="shared" si="12"/>
        <v>-36724.830680473358</v>
      </c>
      <c r="L20" s="98">
        <f t="shared" si="13"/>
        <v>1439481.95</v>
      </c>
      <c r="M20" s="98">
        <f t="shared" si="14"/>
        <v>1533275</v>
      </c>
      <c r="N20" s="218">
        <f>Bonus!N20</f>
        <v>0</v>
      </c>
      <c r="O20" s="218">
        <f>Bonus!O20</f>
        <v>0</v>
      </c>
      <c r="P20" s="98">
        <f>Bonus!W20</f>
        <v>0</v>
      </c>
      <c r="Q20" s="98">
        <f t="shared" si="15"/>
        <v>250518.05</v>
      </c>
      <c r="R20" s="98">
        <f t="shared" si="16"/>
        <v>223725</v>
      </c>
      <c r="S20" s="129">
        <f t="shared" si="17"/>
        <v>9931.7806804733718</v>
      </c>
      <c r="T20" s="199" t="str">
        <f>Bonus!T20</f>
        <v>2025</v>
      </c>
      <c r="U20" s="199">
        <f>Bonus!U20</f>
        <v>0</v>
      </c>
      <c r="V20" s="199" t="str">
        <f>+Bonus!V20</f>
        <v>.</v>
      </c>
    </row>
    <row r="21" spans="1:22" s="57" customFormat="1" ht="12.75" customHeight="1">
      <c r="A21" s="259">
        <f>Bonus!A21</f>
        <v>51.116100000000003</v>
      </c>
      <c r="B21" s="82" t="str">
        <f>Bonus!B21</f>
        <v>Sacramento Area Sewer Dist. - SASD Influent Pump Nos. 2 and 5 Installation Project</v>
      </c>
      <c r="C21" s="227">
        <f>Bonus!C21</f>
        <v>10848599.449999999</v>
      </c>
      <c r="D21" s="63">
        <f>Bonus!D21</f>
        <v>10261252.449999999</v>
      </c>
      <c r="E21" s="63">
        <f>Bonus!E21</f>
        <v>587347</v>
      </c>
      <c r="F21" s="218">
        <f>Bonus!F21</f>
        <v>601852.17000000004</v>
      </c>
      <c r="G21" s="182">
        <f t="shared" si="9"/>
        <v>5.8652895729117367E-2</v>
      </c>
      <c r="H21" s="98">
        <f t="shared" si="10"/>
        <v>0</v>
      </c>
      <c r="I21" s="98">
        <f t="shared" si="11"/>
        <v>601852.17000000004</v>
      </c>
      <c r="J21" s="218">
        <f>Bonus!J21</f>
        <v>745707.2</v>
      </c>
      <c r="K21" s="98">
        <f t="shared" si="12"/>
        <v>143855.02999999991</v>
      </c>
      <c r="L21" s="98">
        <f t="shared" si="13"/>
        <v>9659400.2799999993</v>
      </c>
      <c r="M21" s="98">
        <f t="shared" si="14"/>
        <v>10102892.25</v>
      </c>
      <c r="N21" s="218">
        <f>Bonus!N21</f>
        <v>0</v>
      </c>
      <c r="O21" s="218">
        <f>Bonus!O21</f>
        <v>0</v>
      </c>
      <c r="P21" s="98">
        <f>Bonus!W21</f>
        <v>0</v>
      </c>
      <c r="Q21" s="98">
        <f t="shared" si="15"/>
        <v>601852.17000000004</v>
      </c>
      <c r="R21" s="98">
        <f t="shared" si="16"/>
        <v>745707.2</v>
      </c>
      <c r="S21" s="129">
        <f t="shared" si="17"/>
        <v>0</v>
      </c>
      <c r="T21" s="199" t="str">
        <f>Bonus!T21</f>
        <v>2025</v>
      </c>
      <c r="U21" s="199">
        <f>Bonus!U21</f>
        <v>0</v>
      </c>
      <c r="V21" s="199" t="str">
        <f>+Bonus!V21</f>
        <v>.</v>
      </c>
    </row>
    <row r="22" spans="1:22" s="57" customFormat="1" ht="12.75" customHeight="1">
      <c r="A22" s="259">
        <f>Bonus!A22</f>
        <v>51.116199999999999</v>
      </c>
      <c r="B22" s="82" t="str">
        <f>Bonus!B22</f>
        <v>City of Chico - Chico Primary Clarifiers No. 1-3 Rehabilitation Project</v>
      </c>
      <c r="C22" s="227">
        <f>Bonus!C22</f>
        <v>6029750</v>
      </c>
      <c r="D22" s="63">
        <f>Bonus!D22</f>
        <v>5845263</v>
      </c>
      <c r="E22" s="63">
        <f>Bonus!E22</f>
        <v>184487</v>
      </c>
      <c r="F22" s="218">
        <f>Bonus!F22</f>
        <v>85941.38</v>
      </c>
      <c r="G22" s="182">
        <f t="shared" si="9"/>
        <v>1.4702739637207087E-2</v>
      </c>
      <c r="H22" s="98">
        <f t="shared" si="10"/>
        <v>0</v>
      </c>
      <c r="I22" s="98">
        <f t="shared" si="11"/>
        <v>85941.38</v>
      </c>
      <c r="J22" s="218">
        <f>Bonus!J22</f>
        <v>0</v>
      </c>
      <c r="K22" s="98">
        <f t="shared" si="12"/>
        <v>-85941.38</v>
      </c>
      <c r="L22" s="98">
        <f t="shared" si="13"/>
        <v>5759321.6200000001</v>
      </c>
      <c r="M22" s="98">
        <f t="shared" si="14"/>
        <v>6029750</v>
      </c>
      <c r="N22" s="218">
        <f>Bonus!N22</f>
        <v>0</v>
      </c>
      <c r="O22" s="218">
        <f>Bonus!O22</f>
        <v>0</v>
      </c>
      <c r="P22" s="98">
        <f>Bonus!W22</f>
        <v>0</v>
      </c>
      <c r="Q22" s="98">
        <f t="shared" si="15"/>
        <v>85941.38</v>
      </c>
      <c r="R22" s="98">
        <f t="shared" si="16"/>
        <v>0</v>
      </c>
      <c r="S22" s="129">
        <f t="shared" si="17"/>
        <v>0</v>
      </c>
      <c r="T22" s="199" t="str">
        <f>Bonus!T22</f>
        <v>2025</v>
      </c>
      <c r="U22" s="199">
        <f>Bonus!U22</f>
        <v>0</v>
      </c>
      <c r="V22" s="199" t="str">
        <f>+Bonus!V22</f>
        <v>.</v>
      </c>
    </row>
    <row r="23" spans="1:22" s="57" customFormat="1" ht="12.75" customHeight="1">
      <c r="A23" s="259">
        <f>Bonus!A23</f>
        <v>51.116399999999999</v>
      </c>
      <c r="B23" s="82" t="str">
        <f>Bonus!B23</f>
        <v>CA Water Service Co. - Stockton Roofing</v>
      </c>
      <c r="C23" s="227">
        <f>Bonus!C23</f>
        <v>387260</v>
      </c>
      <c r="D23" s="63">
        <f>Bonus!D23</f>
        <v>383387</v>
      </c>
      <c r="E23" s="63">
        <f>Bonus!E23</f>
        <v>3873</v>
      </c>
      <c r="F23" s="218">
        <f>Bonus!F23</f>
        <v>4363.25</v>
      </c>
      <c r="G23" s="182">
        <f t="shared" si="9"/>
        <v>1.1380797992628857E-2</v>
      </c>
      <c r="H23" s="98">
        <f t="shared" si="10"/>
        <v>0</v>
      </c>
      <c r="I23" s="98">
        <f t="shared" si="11"/>
        <v>4363.25</v>
      </c>
      <c r="J23" s="218">
        <f>Bonus!J23</f>
        <v>0</v>
      </c>
      <c r="K23" s="98">
        <f t="shared" si="12"/>
        <v>-4363.25</v>
      </c>
      <c r="L23" s="98">
        <f t="shared" si="13"/>
        <v>379023.75</v>
      </c>
      <c r="M23" s="98">
        <f t="shared" si="14"/>
        <v>387260</v>
      </c>
      <c r="N23" s="218">
        <f>Bonus!N23</f>
        <v>0</v>
      </c>
      <c r="O23" s="218">
        <f>Bonus!O23</f>
        <v>0</v>
      </c>
      <c r="P23" s="98">
        <f>Bonus!W23</f>
        <v>0</v>
      </c>
      <c r="Q23" s="98">
        <f t="shared" si="15"/>
        <v>4363.25</v>
      </c>
      <c r="R23" s="98">
        <f t="shared" si="16"/>
        <v>0</v>
      </c>
      <c r="S23" s="129">
        <f t="shared" si="17"/>
        <v>0</v>
      </c>
      <c r="T23" s="199" t="str">
        <f>Bonus!T23</f>
        <v>2025</v>
      </c>
      <c r="U23" s="199">
        <f>Bonus!U23</f>
        <v>0</v>
      </c>
      <c r="V23" s="199" t="str">
        <f>+Bonus!V23</f>
        <v>.</v>
      </c>
    </row>
    <row r="24" spans="1:22" s="57" customFormat="1" ht="12.75" customHeight="1">
      <c r="A24" s="259">
        <f>Bonus!A24</f>
        <v>51.116500000000002</v>
      </c>
      <c r="B24" s="82" t="str">
        <f>Bonus!B24</f>
        <v>City of Yuba City - WTP Aquifer Storage and Recovery Well No. 3</v>
      </c>
      <c r="C24" s="227">
        <f>Bonus!C24</f>
        <v>5304500</v>
      </c>
      <c r="D24" s="63">
        <f>Bonus!D24</f>
        <v>4886443</v>
      </c>
      <c r="E24" s="63">
        <f>Bonus!E24</f>
        <v>418057</v>
      </c>
      <c r="F24" s="218">
        <f>Bonus!F24</f>
        <v>23330.33</v>
      </c>
      <c r="G24" s="182">
        <f t="shared" si="9"/>
        <v>4.7745016160016607E-3</v>
      </c>
      <c r="H24" s="98">
        <f t="shared" si="10"/>
        <v>0</v>
      </c>
      <c r="I24" s="98">
        <f t="shared" si="11"/>
        <v>23330.33</v>
      </c>
      <c r="J24" s="218">
        <f>Bonus!J24</f>
        <v>0</v>
      </c>
      <c r="K24" s="98">
        <f t="shared" si="12"/>
        <v>-23330.33</v>
      </c>
      <c r="L24" s="98">
        <f t="shared" si="13"/>
        <v>4863112.67</v>
      </c>
      <c r="M24" s="98">
        <f t="shared" si="14"/>
        <v>5304500</v>
      </c>
      <c r="N24" s="218">
        <f>Bonus!N24</f>
        <v>0</v>
      </c>
      <c r="O24" s="218">
        <f>Bonus!O24</f>
        <v>0</v>
      </c>
      <c r="P24" s="98">
        <f>Bonus!W24</f>
        <v>0</v>
      </c>
      <c r="Q24" s="98">
        <f t="shared" si="15"/>
        <v>23330.33</v>
      </c>
      <c r="R24" s="98">
        <f t="shared" si="16"/>
        <v>0</v>
      </c>
      <c r="S24" s="129">
        <f t="shared" si="17"/>
        <v>0</v>
      </c>
      <c r="T24" s="199" t="str">
        <f>Bonus!T24</f>
        <v>2025</v>
      </c>
      <c r="U24" s="199">
        <f>Bonus!U24</f>
        <v>0</v>
      </c>
      <c r="V24" s="199" t="str">
        <f>+Bonus!V24</f>
        <v>.</v>
      </c>
    </row>
    <row r="25" spans="1:22" s="57" customFormat="1" ht="12.75" hidden="1" customHeight="1">
      <c r="A25" s="259"/>
      <c r="B25" s="82"/>
      <c r="C25" s="227"/>
      <c r="D25" s="63"/>
      <c r="E25" s="63"/>
      <c r="F25" s="218"/>
      <c r="G25" s="182"/>
      <c r="H25" s="98"/>
      <c r="I25" s="98"/>
      <c r="J25" s="218"/>
      <c r="K25" s="98"/>
      <c r="L25" s="98"/>
      <c r="M25" s="98"/>
      <c r="N25" s="218"/>
      <c r="O25" s="218"/>
      <c r="P25" s="98"/>
      <c r="Q25" s="98"/>
      <c r="R25" s="98"/>
      <c r="S25" s="129"/>
      <c r="T25" s="199"/>
      <c r="U25" s="199"/>
      <c r="V25" s="199"/>
    </row>
    <row r="26" spans="1:22" s="57" customFormat="1" ht="12.75" customHeight="1">
      <c r="A26" s="176" t="str">
        <f>+Bonus!A26</f>
        <v>Rocklin Area - Open Job Totals</v>
      </c>
      <c r="B26" s="85"/>
      <c r="C26" s="193">
        <f>SUM(C$9:C$25)</f>
        <v>367981084.62999994</v>
      </c>
      <c r="D26" s="193">
        <f>SUM(D$9:D$25)</f>
        <v>330175868.59999996</v>
      </c>
      <c r="E26" s="193">
        <f>SUM(E$9:E$25)</f>
        <v>37805216.030000001</v>
      </c>
      <c r="F26" s="86">
        <f>SUM(F$9:F$25)</f>
        <v>259938607.72999999</v>
      </c>
      <c r="G26" s="86"/>
      <c r="H26" s="86">
        <f t="shared" ref="H26:S26" si="18">SUM(H$9:H$25)</f>
        <v>31365430.789612737</v>
      </c>
      <c r="I26" s="86">
        <f t="shared" si="18"/>
        <v>291304038.51961279</v>
      </c>
      <c r="J26" s="86">
        <f t="shared" si="18"/>
        <v>298977894.78999996</v>
      </c>
      <c r="K26" s="86">
        <f t="shared" si="18"/>
        <v>7673856.2703872789</v>
      </c>
      <c r="L26" s="86">
        <f t="shared" si="18"/>
        <v>70237260.87000002</v>
      </c>
      <c r="M26" s="86">
        <f t="shared" si="18"/>
        <v>69003189.840000004</v>
      </c>
      <c r="N26" s="86">
        <f t="shared" si="18"/>
        <v>162573848.19</v>
      </c>
      <c r="O26" s="86">
        <f t="shared" si="18"/>
        <v>176544886.76000002</v>
      </c>
      <c r="P26" s="86">
        <f t="shared" si="18"/>
        <v>11217994.781813269</v>
      </c>
      <c r="Q26" s="86">
        <f t="shared" si="18"/>
        <v>97364759.539999977</v>
      </c>
      <c r="R26" s="86">
        <f t="shared" si="18"/>
        <v>122433008.03</v>
      </c>
      <c r="S26" s="86">
        <f t="shared" si="18"/>
        <v>20147436.007799461</v>
      </c>
      <c r="T26" s="359"/>
      <c r="U26" s="359"/>
      <c r="V26" s="199"/>
    </row>
    <row r="27" spans="1:22" s="57" customFormat="1" ht="12.75" customHeight="1">
      <c r="A27" s="176"/>
      <c r="B27" s="82"/>
      <c r="C27" s="227"/>
      <c r="D27" s="63"/>
      <c r="E27" s="63"/>
      <c r="F27" s="218"/>
      <c r="G27" s="182"/>
      <c r="H27" s="98"/>
      <c r="I27" s="98"/>
      <c r="J27" s="218"/>
      <c r="K27" s="98"/>
      <c r="L27" s="98"/>
      <c r="M27" s="98"/>
      <c r="N27" s="218"/>
      <c r="O27" s="218"/>
      <c r="P27" s="98"/>
      <c r="Q27" s="98"/>
      <c r="R27" s="98"/>
      <c r="S27" s="129"/>
      <c r="T27" s="199"/>
      <c r="U27" s="199"/>
      <c r="V27" s="199"/>
    </row>
    <row r="28" spans="1:22" s="57" customFormat="1" ht="12.75" customHeight="1">
      <c r="A28" s="176" t="str">
        <f>+Bonus!A28</f>
        <v>Rocklin Area - Closed Jobs</v>
      </c>
      <c r="B28" s="82"/>
      <c r="C28" s="227"/>
      <c r="D28" s="63"/>
      <c r="E28" s="63"/>
      <c r="F28" s="218"/>
      <c r="G28" s="182"/>
      <c r="H28" s="98"/>
      <c r="I28" s="98"/>
      <c r="J28" s="218"/>
      <c r="K28" s="98"/>
      <c r="L28" s="98"/>
      <c r="M28" s="98"/>
      <c r="N28" s="218"/>
      <c r="O28" s="218"/>
      <c r="P28" s="98"/>
      <c r="Q28" s="98"/>
      <c r="R28" s="98"/>
      <c r="S28" s="129"/>
      <c r="T28" s="199"/>
      <c r="U28" s="199"/>
      <c r="V28" s="199"/>
    </row>
    <row r="29" spans="1:22" s="57" customFormat="1" ht="12.75" customHeight="1">
      <c r="A29" s="259">
        <f>Bonus!A29</f>
        <v>51.113300000000002</v>
      </c>
      <c r="B29" s="82" t="str">
        <f>Bonus!B29</f>
        <v>CA Water Service Co. - S. San Francisco St 1-A Pump Replacement</v>
      </c>
      <c r="C29" s="227">
        <f>Bonus!C29</f>
        <v>372738</v>
      </c>
      <c r="D29" s="63">
        <f>Bonus!D29</f>
        <v>331855.28000000003</v>
      </c>
      <c r="E29" s="63">
        <f>Bonus!E29</f>
        <v>40882.719999999972</v>
      </c>
      <c r="F29" s="218">
        <f>Bonus!F29</f>
        <v>331855.28000000003</v>
      </c>
      <c r="G29" s="182">
        <f t="shared" ref="G29" si="19">IF(D29&lt;&gt;0,+F29/D29,0)</f>
        <v>1</v>
      </c>
      <c r="H29" s="98">
        <f t="shared" ref="H29" si="20">IF(E29&lt;=0,E29,IF(G29&lt;0.1,0,IF(G29&lt;=1,G29*E29,E29)))</f>
        <v>40882.719999999972</v>
      </c>
      <c r="I29" s="98">
        <f t="shared" ref="I29" si="21">+F29+H29</f>
        <v>372738</v>
      </c>
      <c r="J29" s="218">
        <f>Bonus!J29</f>
        <v>372738</v>
      </c>
      <c r="K29" s="98">
        <f t="shared" ref="K29" si="22">J29-I29</f>
        <v>0</v>
      </c>
      <c r="L29" s="98">
        <f t="shared" ref="L29" si="23">+D29-F29</f>
        <v>0</v>
      </c>
      <c r="M29" s="98">
        <f t="shared" ref="M29" si="24">+C29-J29</f>
        <v>0</v>
      </c>
      <c r="N29" s="218">
        <f>Bonus!N29</f>
        <v>303125.40999999997</v>
      </c>
      <c r="O29" s="218">
        <f>Bonus!O29</f>
        <v>326664</v>
      </c>
      <c r="P29" s="98">
        <f>Bonus!W29</f>
        <v>17359.580582792041</v>
      </c>
      <c r="Q29" s="98">
        <f t="shared" ref="Q29" si="25">F29-N29</f>
        <v>28729.870000000054</v>
      </c>
      <c r="R29" s="98">
        <f t="shared" ref="R29" si="26">+J29-O29</f>
        <v>46074</v>
      </c>
      <c r="S29" s="129">
        <f t="shared" ref="S29" si="27">H29-P29</f>
        <v>23523.139417207931</v>
      </c>
      <c r="T29" s="199" t="str">
        <f>Bonus!T29</f>
        <v>2023</v>
      </c>
      <c r="U29" s="199" t="str">
        <f>Bonus!U29</f>
        <v>2025</v>
      </c>
      <c r="V29" s="199" t="str">
        <f>+Bonus!V29</f>
        <v>.</v>
      </c>
    </row>
    <row r="30" spans="1:22" s="57" customFormat="1" ht="12.75" customHeight="1">
      <c r="A30" s="259">
        <f>Bonus!A30</f>
        <v>51.113599999999998</v>
      </c>
      <c r="B30" s="82" t="str">
        <f>Bonus!B30</f>
        <v>Union Sanitary Dist - USD Plant Misc. Improvements</v>
      </c>
      <c r="C30" s="227">
        <f>Bonus!C30</f>
        <v>5483550</v>
      </c>
      <c r="D30" s="63">
        <f>Bonus!D30</f>
        <v>4531817.8600000003</v>
      </c>
      <c r="E30" s="63">
        <f>Bonus!E30</f>
        <v>951732.13999999966</v>
      </c>
      <c r="F30" s="218">
        <f>Bonus!F30</f>
        <v>4531817.8600000003</v>
      </c>
      <c r="G30" s="182">
        <f t="shared" ref="G30:G36" si="28">IF(D30&lt;&gt;0,+F30/D30,0)</f>
        <v>1</v>
      </c>
      <c r="H30" s="98">
        <f t="shared" ref="H30:H36" si="29">IF(E30&lt;=0,E30,IF(G30&lt;0.1,0,IF(G30&lt;=1,G30*E30,E30)))</f>
        <v>951732.13999999966</v>
      </c>
      <c r="I30" s="98">
        <f t="shared" ref="I30:I36" si="30">+F30+H30</f>
        <v>5483550</v>
      </c>
      <c r="J30" s="218">
        <f>Bonus!J30</f>
        <v>5483550</v>
      </c>
      <c r="K30" s="98">
        <f t="shared" ref="K30:K36" si="31">J30-I30</f>
        <v>0</v>
      </c>
      <c r="L30" s="98">
        <f t="shared" ref="L30:L36" si="32">+D30-F30</f>
        <v>0</v>
      </c>
      <c r="M30" s="98">
        <f t="shared" ref="M30:M36" si="33">+C30-J30</f>
        <v>0</v>
      </c>
      <c r="N30" s="218">
        <f>Bonus!N30</f>
        <v>4229332.84</v>
      </c>
      <c r="O30" s="218">
        <f>Bonus!O30</f>
        <v>5133927.2</v>
      </c>
      <c r="P30" s="98">
        <f>Bonus!W30</f>
        <v>758905.78605212795</v>
      </c>
      <c r="Q30" s="98">
        <f t="shared" ref="Q30:Q36" si="34">F30-N30</f>
        <v>302485.02000000048</v>
      </c>
      <c r="R30" s="98">
        <f t="shared" ref="R30:R36" si="35">+J30-O30</f>
        <v>349622.79999999981</v>
      </c>
      <c r="S30" s="129">
        <f t="shared" ref="S30:S36" si="36">H30-P30</f>
        <v>192826.35394787171</v>
      </c>
      <c r="T30" s="199" t="str">
        <f>Bonus!T30</f>
        <v>2023</v>
      </c>
      <c r="U30" s="199" t="str">
        <f>Bonus!U30</f>
        <v>2025</v>
      </c>
      <c r="V30" s="199" t="str">
        <f>+Bonus!V30</f>
        <v>.</v>
      </c>
    </row>
    <row r="31" spans="1:22" s="57" customFormat="1" ht="12.75" customHeight="1">
      <c r="A31" s="259">
        <f>Bonus!A31</f>
        <v>51.113799999999998</v>
      </c>
      <c r="B31" s="82" t="str">
        <f>Bonus!B31</f>
        <v>CA Water Service Co. - Bear Gulch Pump Station 21</v>
      </c>
      <c r="C31" s="227">
        <f>Bonus!C31</f>
        <v>1120182.07</v>
      </c>
      <c r="D31" s="63">
        <f>Bonus!D31</f>
        <v>1167704.1499999999</v>
      </c>
      <c r="E31" s="63">
        <f>Bonus!E31</f>
        <v>-47522.079999999842</v>
      </c>
      <c r="F31" s="218">
        <f>Bonus!F31</f>
        <v>1167704.1499999999</v>
      </c>
      <c r="G31" s="182">
        <f t="shared" si="28"/>
        <v>1</v>
      </c>
      <c r="H31" s="98">
        <f t="shared" si="29"/>
        <v>-47522.079999999842</v>
      </c>
      <c r="I31" s="98">
        <f t="shared" si="30"/>
        <v>1120182.07</v>
      </c>
      <c r="J31" s="218">
        <f>Bonus!J31</f>
        <v>1120182.07</v>
      </c>
      <c r="K31" s="98">
        <f t="shared" si="31"/>
        <v>0</v>
      </c>
      <c r="L31" s="98">
        <f t="shared" si="32"/>
        <v>0</v>
      </c>
      <c r="M31" s="98">
        <f t="shared" si="33"/>
        <v>0</v>
      </c>
      <c r="N31" s="218">
        <f>Bonus!N31</f>
        <v>786902.05</v>
      </c>
      <c r="O31" s="218">
        <f>Bonus!O31</f>
        <v>831943.71</v>
      </c>
      <c r="P31" s="98">
        <f>Bonus!W31</f>
        <v>77778.099073409947</v>
      </c>
      <c r="Q31" s="98">
        <f t="shared" si="34"/>
        <v>380802.09999999986</v>
      </c>
      <c r="R31" s="98">
        <f t="shared" si="35"/>
        <v>288238.3600000001</v>
      </c>
      <c r="S31" s="129">
        <f t="shared" si="36"/>
        <v>-125300.17907340979</v>
      </c>
      <c r="T31" s="199" t="str">
        <f>Bonus!T31</f>
        <v>2023</v>
      </c>
      <c r="U31" s="199" t="str">
        <f>Bonus!U31</f>
        <v>2025</v>
      </c>
      <c r="V31" s="199" t="str">
        <f>+Bonus!V31</f>
        <v>.</v>
      </c>
    </row>
    <row r="32" spans="1:22" s="57" customFormat="1" ht="12.75" customHeight="1">
      <c r="A32" s="259">
        <f>Bonus!A32</f>
        <v>51.113900000000001</v>
      </c>
      <c r="B32" s="82" t="str">
        <f>Bonus!B32</f>
        <v>CA Water Service Co. - Bear Gulch Pump Station 14/29</v>
      </c>
      <c r="C32" s="227">
        <f>Bonus!C32</f>
        <v>61902</v>
      </c>
      <c r="D32" s="63">
        <f>Bonus!D32</f>
        <v>56994.44</v>
      </c>
      <c r="E32" s="63">
        <f>Bonus!E32</f>
        <v>4907.5599999999977</v>
      </c>
      <c r="F32" s="218">
        <f>Bonus!F32</f>
        <v>56994.44</v>
      </c>
      <c r="G32" s="182">
        <f t="shared" si="28"/>
        <v>1</v>
      </c>
      <c r="H32" s="98">
        <f t="shared" si="29"/>
        <v>4907.5599999999977</v>
      </c>
      <c r="I32" s="98">
        <f t="shared" si="30"/>
        <v>61902</v>
      </c>
      <c r="J32" s="218">
        <f>Bonus!J32</f>
        <v>61902</v>
      </c>
      <c r="K32" s="98">
        <f t="shared" si="31"/>
        <v>0</v>
      </c>
      <c r="L32" s="98">
        <f t="shared" si="32"/>
        <v>0</v>
      </c>
      <c r="M32" s="98">
        <f t="shared" si="33"/>
        <v>0</v>
      </c>
      <c r="N32" s="218">
        <f>Bonus!N32</f>
        <v>56994.44</v>
      </c>
      <c r="O32" s="218">
        <f>Bonus!O32</f>
        <v>61902</v>
      </c>
      <c r="P32" s="98">
        <f>Bonus!W32</f>
        <v>4426.3589929115478</v>
      </c>
      <c r="Q32" s="98">
        <f t="shared" si="34"/>
        <v>0</v>
      </c>
      <c r="R32" s="98">
        <f t="shared" si="35"/>
        <v>0</v>
      </c>
      <c r="S32" s="129">
        <f t="shared" si="36"/>
        <v>481.20100708844984</v>
      </c>
      <c r="T32" s="199" t="str">
        <f>Bonus!T32</f>
        <v>2023</v>
      </c>
      <c r="U32" s="199" t="str">
        <f>Bonus!U32</f>
        <v>2025</v>
      </c>
      <c r="V32" s="199" t="str">
        <f>+Bonus!V32</f>
        <v>&lt; 250k</v>
      </c>
    </row>
    <row r="33" spans="1:24" s="57" customFormat="1" ht="12.75" customHeight="1">
      <c r="A33" s="259">
        <f>Bonus!A33</f>
        <v>51.114100000000001</v>
      </c>
      <c r="B33" s="82" t="str">
        <f>Bonus!B33</f>
        <v>City of Colfax - WWTP Algae Reduction Project</v>
      </c>
      <c r="C33" s="227">
        <f>Bonus!C33</f>
        <v>3967189.79</v>
      </c>
      <c r="D33" s="63">
        <f>Bonus!D33</f>
        <v>3835094.73</v>
      </c>
      <c r="E33" s="63">
        <f>Bonus!E33</f>
        <v>132095.06000000006</v>
      </c>
      <c r="F33" s="218">
        <f>Bonus!F33</f>
        <v>3835094.73</v>
      </c>
      <c r="G33" s="182">
        <f t="shared" si="28"/>
        <v>1</v>
      </c>
      <c r="H33" s="98">
        <f t="shared" si="29"/>
        <v>132095.06000000006</v>
      </c>
      <c r="I33" s="98">
        <f t="shared" si="30"/>
        <v>3967189.79</v>
      </c>
      <c r="J33" s="218">
        <f>Bonus!J33</f>
        <v>3967189.79</v>
      </c>
      <c r="K33" s="98">
        <f t="shared" si="31"/>
        <v>0</v>
      </c>
      <c r="L33" s="98">
        <f t="shared" si="32"/>
        <v>0</v>
      </c>
      <c r="M33" s="98">
        <f t="shared" si="33"/>
        <v>0</v>
      </c>
      <c r="N33" s="218">
        <f>Bonus!N33</f>
        <v>3109905.76</v>
      </c>
      <c r="O33" s="218">
        <f>Bonus!O33</f>
        <v>3392862.8</v>
      </c>
      <c r="P33" s="98">
        <f>Bonus!W33</f>
        <v>79920.298670616976</v>
      </c>
      <c r="Q33" s="98">
        <f t="shared" si="34"/>
        <v>725188.9700000002</v>
      </c>
      <c r="R33" s="98">
        <f t="shared" si="35"/>
        <v>574326.99000000022</v>
      </c>
      <c r="S33" s="129">
        <f t="shared" si="36"/>
        <v>52174.76132938308</v>
      </c>
      <c r="T33" s="199" t="str">
        <f>Bonus!T33</f>
        <v>2023</v>
      </c>
      <c r="U33" s="199" t="str">
        <f>Bonus!U33</f>
        <v>2025</v>
      </c>
      <c r="V33" s="199" t="str">
        <f>+Bonus!V33</f>
        <v>.</v>
      </c>
    </row>
    <row r="34" spans="1:24" s="57" customFormat="1" ht="12.75" customHeight="1">
      <c r="A34" s="259">
        <f>Bonus!A34</f>
        <v>51.1143</v>
      </c>
      <c r="B34" s="82" t="str">
        <f>Bonus!B34</f>
        <v>Olivehurst Plumas Lake Manganese Filter Expansion</v>
      </c>
      <c r="C34" s="227">
        <f>Bonus!C34</f>
        <v>1991231.37</v>
      </c>
      <c r="D34" s="63">
        <f>Bonus!D34</f>
        <v>1758132.57</v>
      </c>
      <c r="E34" s="63">
        <f>Bonus!E34</f>
        <v>233098.80000000005</v>
      </c>
      <c r="F34" s="218">
        <f>Bonus!F34</f>
        <v>1758132.57</v>
      </c>
      <c r="G34" s="182">
        <f t="shared" si="28"/>
        <v>1</v>
      </c>
      <c r="H34" s="98">
        <f t="shared" si="29"/>
        <v>233098.80000000005</v>
      </c>
      <c r="I34" s="98">
        <f t="shared" si="30"/>
        <v>1991231.37</v>
      </c>
      <c r="J34" s="218">
        <f>Bonus!J34</f>
        <v>1991231.37</v>
      </c>
      <c r="K34" s="98">
        <f t="shared" si="31"/>
        <v>0</v>
      </c>
      <c r="L34" s="98">
        <f t="shared" si="32"/>
        <v>0</v>
      </c>
      <c r="M34" s="98">
        <f t="shared" si="33"/>
        <v>0</v>
      </c>
      <c r="N34" s="218">
        <f>Bonus!N34</f>
        <v>1730690.97</v>
      </c>
      <c r="O34" s="218">
        <f>Bonus!O34</f>
        <v>1955683.37</v>
      </c>
      <c r="P34" s="98">
        <f>Bonus!W34</f>
        <v>226011.76285223232</v>
      </c>
      <c r="Q34" s="98">
        <f t="shared" si="34"/>
        <v>27441.600000000093</v>
      </c>
      <c r="R34" s="98">
        <f t="shared" si="35"/>
        <v>35548</v>
      </c>
      <c r="S34" s="129">
        <f t="shared" si="36"/>
        <v>7087.0371477677254</v>
      </c>
      <c r="T34" s="199" t="str">
        <f>Bonus!T34</f>
        <v>2023</v>
      </c>
      <c r="U34" s="199" t="str">
        <f>Bonus!U34</f>
        <v>2025</v>
      </c>
      <c r="V34" s="199" t="str">
        <f>+Bonus!V34</f>
        <v>.</v>
      </c>
    </row>
    <row r="35" spans="1:24" s="57" customFormat="1" ht="12.75" customHeight="1">
      <c r="A35" s="259">
        <f>Bonus!A35</f>
        <v>51.114699999999999</v>
      </c>
      <c r="B35" s="82" t="str">
        <f>Bonus!B35</f>
        <v>City of Lodi-Public Works Dept. - Aeration Diffusers Replacement Project</v>
      </c>
      <c r="C35" s="227">
        <f>Bonus!C35</f>
        <v>2742860.08</v>
      </c>
      <c r="D35" s="63">
        <f>Bonus!D35</f>
        <v>2548724.9200000004</v>
      </c>
      <c r="E35" s="63">
        <f>Bonus!E35</f>
        <v>194135.15999999968</v>
      </c>
      <c r="F35" s="218">
        <f>Bonus!F35</f>
        <v>2548724.9200000004</v>
      </c>
      <c r="G35" s="182">
        <f t="shared" si="28"/>
        <v>1</v>
      </c>
      <c r="H35" s="98">
        <f t="shared" si="29"/>
        <v>194135.15999999968</v>
      </c>
      <c r="I35" s="98">
        <f t="shared" si="30"/>
        <v>2742860.08</v>
      </c>
      <c r="J35" s="218">
        <f>Bonus!J35</f>
        <v>2742860.08</v>
      </c>
      <c r="K35" s="98">
        <f t="shared" si="31"/>
        <v>0</v>
      </c>
      <c r="L35" s="98">
        <f t="shared" si="32"/>
        <v>0</v>
      </c>
      <c r="M35" s="98">
        <f t="shared" si="33"/>
        <v>0</v>
      </c>
      <c r="N35" s="218">
        <f>Bonus!N35</f>
        <v>1749912.32</v>
      </c>
      <c r="O35" s="218">
        <f>Bonus!O35</f>
        <v>1894059.69</v>
      </c>
      <c r="P35" s="98">
        <f>Bonus!W35</f>
        <v>128284.53515962398</v>
      </c>
      <c r="Q35" s="98">
        <f t="shared" si="34"/>
        <v>798812.60000000033</v>
      </c>
      <c r="R35" s="98">
        <f t="shared" si="35"/>
        <v>848800.39000000013</v>
      </c>
      <c r="S35" s="129">
        <f t="shared" si="36"/>
        <v>65850.624840375705</v>
      </c>
      <c r="T35" s="199" t="str">
        <f>Bonus!T35</f>
        <v>2023</v>
      </c>
      <c r="U35" s="199" t="str">
        <f>Bonus!U35</f>
        <v>2025</v>
      </c>
      <c r="V35" s="199" t="str">
        <f>+Bonus!V35</f>
        <v>.</v>
      </c>
    </row>
    <row r="36" spans="1:24" s="57" customFormat="1" ht="12.75" customHeight="1">
      <c r="A36" s="259">
        <f>Bonus!A36</f>
        <v>51.115000000000002</v>
      </c>
      <c r="B36" s="82" t="str">
        <f>Bonus!B36</f>
        <v>Sacramento Co. Dept. of Water Resources - D49 Metro Air Park Storm Drain Pump Station Phase 2</v>
      </c>
      <c r="C36" s="227">
        <f>Bonus!C36</f>
        <v>2486231.58</v>
      </c>
      <c r="D36" s="63">
        <f>Bonus!D36</f>
        <v>2239435.14</v>
      </c>
      <c r="E36" s="63">
        <f>Bonus!E36</f>
        <v>246796.43999999994</v>
      </c>
      <c r="F36" s="218">
        <f>Bonus!F36</f>
        <v>2239435.14</v>
      </c>
      <c r="G36" s="182">
        <f t="shared" si="28"/>
        <v>1</v>
      </c>
      <c r="H36" s="98">
        <f t="shared" si="29"/>
        <v>246796.43999999994</v>
      </c>
      <c r="I36" s="98">
        <f t="shared" si="30"/>
        <v>2486231.58</v>
      </c>
      <c r="J36" s="218">
        <f>Bonus!J36</f>
        <v>2486231.58</v>
      </c>
      <c r="K36" s="98">
        <f t="shared" si="31"/>
        <v>0</v>
      </c>
      <c r="L36" s="98">
        <f t="shared" si="32"/>
        <v>0</v>
      </c>
      <c r="M36" s="98">
        <f t="shared" si="33"/>
        <v>0</v>
      </c>
      <c r="N36" s="218">
        <f>Bonus!N36</f>
        <v>2071076.8</v>
      </c>
      <c r="O36" s="218">
        <f>Bonus!O36</f>
        <v>2378955.7599999998</v>
      </c>
      <c r="P36" s="98">
        <f>Bonus!W36</f>
        <v>166471.82949694013</v>
      </c>
      <c r="Q36" s="98">
        <f t="shared" si="34"/>
        <v>168358.34000000008</v>
      </c>
      <c r="R36" s="98">
        <f t="shared" si="35"/>
        <v>107275.8200000003</v>
      </c>
      <c r="S36" s="129">
        <f t="shared" si="36"/>
        <v>80324.610503059812</v>
      </c>
      <c r="T36" s="199" t="str">
        <f>Bonus!T36</f>
        <v>2024</v>
      </c>
      <c r="U36" s="199" t="str">
        <f>Bonus!U36</f>
        <v>2025</v>
      </c>
      <c r="V36" s="199" t="str">
        <f>+Bonus!V36</f>
        <v>.</v>
      </c>
    </row>
    <row r="37" spans="1:24" s="57" customFormat="1" ht="12.75" customHeight="1">
      <c r="A37" s="259">
        <f>Bonus!A37</f>
        <v>51.115600000000001</v>
      </c>
      <c r="B37" s="82" t="str">
        <f>Bonus!B37</f>
        <v>Rocklin Overhead 2025</v>
      </c>
      <c r="C37" s="227">
        <f>Bonus!C37</f>
        <v>0</v>
      </c>
      <c r="D37" s="63">
        <f>Bonus!D37</f>
        <v>1426058.69</v>
      </c>
      <c r="E37" s="63">
        <f>Bonus!E37</f>
        <v>-1426058.69</v>
      </c>
      <c r="F37" s="218">
        <f>Bonus!F37</f>
        <v>1426058.69</v>
      </c>
      <c r="G37" s="182">
        <f t="shared" ref="G37:G38" si="37">IF(D37&lt;&gt;0,+F37/D37,0)</f>
        <v>1</v>
      </c>
      <c r="H37" s="98">
        <f t="shared" ref="H37:H38" si="38">IF(E37&lt;=0,E37,IF(G37&lt;0.1,0,IF(G37&lt;=1,G37*E37,E37)))</f>
        <v>-1426058.69</v>
      </c>
      <c r="I37" s="98">
        <f t="shared" ref="I37:I38" si="39">+F37+H37</f>
        <v>0</v>
      </c>
      <c r="J37" s="218">
        <f>Bonus!J37</f>
        <v>0</v>
      </c>
      <c r="K37" s="98">
        <f t="shared" ref="K37:K38" si="40">J37-I37</f>
        <v>0</v>
      </c>
      <c r="L37" s="98">
        <f t="shared" ref="L37:L38" si="41">+D37-F37</f>
        <v>0</v>
      </c>
      <c r="M37" s="98">
        <f t="shared" ref="M37:M38" si="42">+C37-J37</f>
        <v>0</v>
      </c>
      <c r="N37" s="218">
        <f>Bonus!N37</f>
        <v>0</v>
      </c>
      <c r="O37" s="218">
        <f>Bonus!O37</f>
        <v>0</v>
      </c>
      <c r="P37" s="98">
        <f>Bonus!W37</f>
        <v>0</v>
      </c>
      <c r="Q37" s="98">
        <f t="shared" ref="Q37:Q38" si="43">F37-N37</f>
        <v>1426058.69</v>
      </c>
      <c r="R37" s="98">
        <f t="shared" ref="R37:R38" si="44">+J37-O37</f>
        <v>0</v>
      </c>
      <c r="S37" s="129">
        <f t="shared" ref="S37:S38" si="45">H37-P37</f>
        <v>-1426058.69</v>
      </c>
      <c r="T37" s="199" t="str">
        <f>Bonus!T37</f>
        <v>2025</v>
      </c>
      <c r="U37" s="199" t="str">
        <f>Bonus!U37</f>
        <v>2025</v>
      </c>
      <c r="V37" s="199" t="str">
        <f>+Bonus!V37</f>
        <v>OH</v>
      </c>
    </row>
    <row r="38" spans="1:24" s="57" customFormat="1" ht="12.75" customHeight="1">
      <c r="A38" s="259">
        <f>Bonus!A38</f>
        <v>51.115699999999997</v>
      </c>
      <c r="B38" s="82" t="str">
        <f>Bonus!B38</f>
        <v>Rocklin Estimating 2025</v>
      </c>
      <c r="C38" s="227">
        <f>Bonus!C38</f>
        <v>0</v>
      </c>
      <c r="D38" s="63">
        <f>Bonus!D38</f>
        <v>613546.52</v>
      </c>
      <c r="E38" s="63">
        <f>Bonus!E38</f>
        <v>-613546.52</v>
      </c>
      <c r="F38" s="218">
        <f>Bonus!F38</f>
        <v>613546.52</v>
      </c>
      <c r="G38" s="182">
        <f t="shared" si="37"/>
        <v>1</v>
      </c>
      <c r="H38" s="98">
        <f t="shared" si="38"/>
        <v>-613546.52</v>
      </c>
      <c r="I38" s="98">
        <f t="shared" si="39"/>
        <v>0</v>
      </c>
      <c r="J38" s="218">
        <f>Bonus!J38</f>
        <v>0</v>
      </c>
      <c r="K38" s="98">
        <f t="shared" si="40"/>
        <v>0</v>
      </c>
      <c r="L38" s="98">
        <f t="shared" si="41"/>
        <v>0</v>
      </c>
      <c r="M38" s="98">
        <f t="shared" si="42"/>
        <v>0</v>
      </c>
      <c r="N38" s="218">
        <f>Bonus!N38</f>
        <v>0</v>
      </c>
      <c r="O38" s="218">
        <f>Bonus!O38</f>
        <v>0</v>
      </c>
      <c r="P38" s="98">
        <f>Bonus!W38</f>
        <v>0</v>
      </c>
      <c r="Q38" s="98">
        <f t="shared" si="43"/>
        <v>613546.52</v>
      </c>
      <c r="R38" s="98">
        <f t="shared" si="44"/>
        <v>0</v>
      </c>
      <c r="S38" s="129">
        <f t="shared" si="45"/>
        <v>-613546.52</v>
      </c>
      <c r="T38" s="199" t="str">
        <f>Bonus!T38</f>
        <v>2025</v>
      </c>
      <c r="U38" s="199" t="str">
        <f>Bonus!U38</f>
        <v>2025</v>
      </c>
      <c r="V38" s="199" t="str">
        <f>+Bonus!V38</f>
        <v>OH</v>
      </c>
    </row>
    <row r="39" spans="1:24" s="57" customFormat="1" ht="12.75" hidden="1" customHeight="1">
      <c r="A39" s="259"/>
      <c r="B39" s="82"/>
      <c r="C39" s="227"/>
      <c r="D39" s="63"/>
      <c r="E39" s="63"/>
      <c r="F39" s="218"/>
      <c r="G39" s="182"/>
      <c r="H39" s="98"/>
      <c r="I39" s="98"/>
      <c r="J39" s="218"/>
      <c r="K39" s="98"/>
      <c r="L39" s="98"/>
      <c r="M39" s="98"/>
      <c r="N39" s="218"/>
      <c r="O39" s="218"/>
      <c r="P39" s="98"/>
      <c r="Q39" s="98"/>
      <c r="R39" s="98"/>
      <c r="S39" s="129"/>
      <c r="T39" s="199"/>
      <c r="U39" s="199"/>
      <c r="V39" s="199"/>
    </row>
    <row r="40" spans="1:24" s="57" customFormat="1" ht="12.75" customHeight="1">
      <c r="A40" s="176" t="str">
        <f>+Bonus!A40</f>
        <v>Rocklin Area - Closed Totals</v>
      </c>
      <c r="B40" s="85"/>
      <c r="C40" s="193">
        <f>SUM(C29:C39)</f>
        <v>18225884.890000001</v>
      </c>
      <c r="D40" s="193">
        <f>SUM(D29:D39)</f>
        <v>18509364.300000001</v>
      </c>
      <c r="E40" s="193">
        <f t="shared" ref="E40:F40" si="46">SUM(E29:E39)</f>
        <v>-283479.41000000038</v>
      </c>
      <c r="F40" s="193">
        <f t="shared" si="46"/>
        <v>18509364.300000001</v>
      </c>
      <c r="G40" s="86"/>
      <c r="H40" s="193">
        <f t="shared" ref="H40:S40" si="47">SUM(H29:H39)</f>
        <v>-283479.41000000038</v>
      </c>
      <c r="I40" s="193">
        <f t="shared" si="47"/>
        <v>18225884.890000001</v>
      </c>
      <c r="J40" s="193">
        <f t="shared" si="47"/>
        <v>18225884.890000001</v>
      </c>
      <c r="K40" s="193">
        <f t="shared" si="47"/>
        <v>0</v>
      </c>
      <c r="L40" s="193">
        <f t="shared" si="47"/>
        <v>0</v>
      </c>
      <c r="M40" s="193">
        <f t="shared" si="47"/>
        <v>0</v>
      </c>
      <c r="N40" s="193">
        <f t="shared" si="47"/>
        <v>14037940.590000002</v>
      </c>
      <c r="O40" s="193">
        <f t="shared" si="47"/>
        <v>15975998.530000001</v>
      </c>
      <c r="P40" s="193">
        <f t="shared" si="47"/>
        <v>1459158.2508806547</v>
      </c>
      <c r="Q40" s="193">
        <f t="shared" si="47"/>
        <v>4471423.7100000009</v>
      </c>
      <c r="R40" s="193">
        <f t="shared" si="47"/>
        <v>2249886.3600000003</v>
      </c>
      <c r="S40" s="193">
        <f t="shared" si="47"/>
        <v>-1742637.6608806555</v>
      </c>
      <c r="T40" s="359"/>
      <c r="U40" s="359"/>
      <c r="V40" s="199"/>
    </row>
    <row r="41" spans="1:24" s="57" customFormat="1" ht="12.75" customHeight="1">
      <c r="A41" s="176" t="str">
        <f>+Bonus!A41</f>
        <v>Rocklin Area - Grand Totals</v>
      </c>
      <c r="B41" s="85"/>
      <c r="C41" s="193">
        <f>+C40+C26</f>
        <v>386206969.51999992</v>
      </c>
      <c r="D41" s="193">
        <f>+D40+D26</f>
        <v>348685232.89999998</v>
      </c>
      <c r="E41" s="193">
        <f>+E40+E26</f>
        <v>37521736.619999997</v>
      </c>
      <c r="F41" s="86">
        <f>+F40+F26</f>
        <v>278447972.02999997</v>
      </c>
      <c r="G41" s="86"/>
      <c r="H41" s="86">
        <f t="shared" ref="H41:S41" si="48">+H40+H26</f>
        <v>31081951.379612736</v>
      </c>
      <c r="I41" s="86">
        <f t="shared" si="48"/>
        <v>309529923.40961277</v>
      </c>
      <c r="J41" s="86">
        <f t="shared" si="48"/>
        <v>317203779.67999995</v>
      </c>
      <c r="K41" s="86">
        <f t="shared" si="48"/>
        <v>7673856.2703872789</v>
      </c>
      <c r="L41" s="86">
        <f t="shared" si="48"/>
        <v>70237260.87000002</v>
      </c>
      <c r="M41" s="86">
        <f t="shared" si="48"/>
        <v>69003189.840000004</v>
      </c>
      <c r="N41" s="86">
        <f t="shared" si="48"/>
        <v>176611788.78</v>
      </c>
      <c r="O41" s="86">
        <f t="shared" si="48"/>
        <v>192520885.29000002</v>
      </c>
      <c r="P41" s="86">
        <f t="shared" si="48"/>
        <v>12677153.032693924</v>
      </c>
      <c r="Q41" s="86">
        <f t="shared" si="48"/>
        <v>101836183.24999997</v>
      </c>
      <c r="R41" s="86">
        <f t="shared" si="48"/>
        <v>124682894.39</v>
      </c>
      <c r="S41" s="86">
        <f t="shared" si="48"/>
        <v>18404798.346918806</v>
      </c>
      <c r="T41" s="359"/>
      <c r="U41" s="359"/>
      <c r="V41" s="199"/>
    </row>
    <row r="42" spans="1:24" s="57" customFormat="1" ht="12.75" customHeight="1">
      <c r="A42" s="417"/>
      <c r="B42" s="59"/>
      <c r="C42" s="136"/>
      <c r="D42" s="140"/>
      <c r="E42" s="140"/>
      <c r="F42" s="140"/>
      <c r="G42" s="107"/>
      <c r="H42" s="78"/>
      <c r="I42" s="78"/>
      <c r="J42" s="140"/>
      <c r="K42" s="109"/>
      <c r="L42" s="78"/>
      <c r="M42" s="78"/>
      <c r="N42" s="336"/>
      <c r="O42" s="336"/>
      <c r="P42" s="208"/>
      <c r="Q42" s="78"/>
      <c r="R42" s="78"/>
      <c r="S42" s="78"/>
      <c r="T42" s="79"/>
      <c r="U42" s="79"/>
      <c r="V42" s="199"/>
    </row>
    <row r="43" spans="1:24" s="57" customFormat="1" ht="12.75" customHeight="1">
      <c r="A43" s="195" t="str">
        <f>+Bonus!A43</f>
        <v>Fresno Area - Open Jobs</v>
      </c>
      <c r="B43" s="59"/>
      <c r="C43" s="136"/>
      <c r="D43" s="140"/>
      <c r="E43" s="140"/>
      <c r="F43" s="141"/>
      <c r="G43" s="107"/>
      <c r="H43" s="108"/>
      <c r="I43" s="109"/>
      <c r="J43" s="128"/>
      <c r="K43" s="109"/>
      <c r="L43" s="78"/>
      <c r="M43" s="78"/>
      <c r="N43" s="336"/>
      <c r="O43" s="336"/>
      <c r="P43" s="208"/>
      <c r="Q43" s="337"/>
      <c r="R43" s="78"/>
      <c r="S43" s="78"/>
      <c r="T43" s="118"/>
      <c r="U43" s="118"/>
      <c r="V43" s="199"/>
    </row>
    <row r="44" spans="1:24">
      <c r="A44" s="617">
        <f>+Bonus!A44</f>
        <v>52.856299999999997</v>
      </c>
      <c r="B44" s="82" t="str">
        <f>+Bonus!B44</f>
        <v>City of Santa Cruz - Graham Hill WTP Facility Improvements - Phase 1</v>
      </c>
      <c r="C44" s="227">
        <f>J44</f>
        <v>1134038.1299999999</v>
      </c>
      <c r="D44" s="63">
        <f>F44</f>
        <v>859077.05</v>
      </c>
      <c r="E44" s="63">
        <f>C44-D44</f>
        <v>274961.07999999984</v>
      </c>
      <c r="F44" s="218">
        <f>+Bonus!F44</f>
        <v>859077.05</v>
      </c>
      <c r="G44" s="182">
        <f>IF(D44&lt;&gt;0,+F44/D44,0)</f>
        <v>1</v>
      </c>
      <c r="H44" s="98">
        <f>IF(E44&lt;=0,E44,IF(G44&lt;0.1,0,IF(G44&lt;=1,G44*E44,E44)))</f>
        <v>274961.07999999984</v>
      </c>
      <c r="I44" s="98">
        <f>+F44+H44</f>
        <v>1134038.1299999999</v>
      </c>
      <c r="J44" s="218">
        <f>+Bonus!J44</f>
        <v>1134038.1299999999</v>
      </c>
      <c r="K44" s="98">
        <f>J44-I44</f>
        <v>0</v>
      </c>
      <c r="L44" s="98">
        <f>+D44-F44</f>
        <v>0</v>
      </c>
      <c r="M44" s="98">
        <f>+C44-J44</f>
        <v>0</v>
      </c>
      <c r="N44" s="218">
        <f>Bonus!N44</f>
        <v>720866.75</v>
      </c>
      <c r="O44" s="218">
        <f>Bonus!O44</f>
        <v>915332.49</v>
      </c>
      <c r="P44" s="154">
        <f>Bonus!W44</f>
        <v>194465.74</v>
      </c>
      <c r="Q44" s="98">
        <f>F44-N44</f>
        <v>138210.30000000005</v>
      </c>
      <c r="R44" s="98">
        <f>+J44-O44</f>
        <v>218705.6399999999</v>
      </c>
      <c r="S44" s="129">
        <f>H44-P44</f>
        <v>80495.339999999851</v>
      </c>
      <c r="T44" s="199">
        <f>+Bonus!T44</f>
        <v>2021</v>
      </c>
      <c r="U44" s="199">
        <f>+Bonus!U44</f>
        <v>0</v>
      </c>
      <c r="V44" s="199" t="str">
        <f>+Bonus!V44</f>
        <v>.</v>
      </c>
      <c r="X44" s="33"/>
    </row>
    <row r="45" spans="1:24">
      <c r="A45" s="614">
        <f>+Bonus!A45</f>
        <v>52.8566</v>
      </c>
      <c r="B45" s="82" t="str">
        <f>+Bonus!B45</f>
        <v>City of Visalia - Water Reclamation Facility RPGS SCR System</v>
      </c>
      <c r="C45" s="227">
        <f>Bonus!C45</f>
        <v>1259398</v>
      </c>
      <c r="D45" s="63">
        <f>Bonus!D45</f>
        <v>1029398</v>
      </c>
      <c r="E45" s="63">
        <f>Bonus!E45</f>
        <v>230000</v>
      </c>
      <c r="F45" s="218">
        <f>+Bonus!F45</f>
        <v>1023821.05</v>
      </c>
      <c r="G45" s="182">
        <f t="shared" ref="G45" si="49">IF(D45&lt;&gt;0,+F45/D45,0)</f>
        <v>0.99458231898643679</v>
      </c>
      <c r="H45" s="98">
        <f t="shared" ref="H45" si="50">IF(E45&lt;=0,E45,IF(G45&lt;0.1,0,IF(G45&lt;=1,G45*E45,E45)))</f>
        <v>228753.93336688046</v>
      </c>
      <c r="I45" s="98">
        <f t="shared" ref="I45" si="51">+F45+H45</f>
        <v>1252574.9833668806</v>
      </c>
      <c r="J45" s="218">
        <f>+Bonus!J45</f>
        <v>1242053</v>
      </c>
      <c r="K45" s="98">
        <f t="shared" ref="K45" si="52">J45-I45</f>
        <v>-10521.983366880566</v>
      </c>
      <c r="L45" s="98">
        <f t="shared" ref="L45" si="53">+D45-F45</f>
        <v>5576.9499999999534</v>
      </c>
      <c r="M45" s="98">
        <f t="shared" ref="M45" si="54">+C45-J45</f>
        <v>17345</v>
      </c>
      <c r="N45" s="218">
        <f>Bonus!N45</f>
        <v>994790.56</v>
      </c>
      <c r="O45" s="218">
        <f>Bonus!O45</f>
        <v>1242053</v>
      </c>
      <c r="P45" s="154">
        <f>Bonus!W45</f>
        <v>223974.50626643945</v>
      </c>
      <c r="Q45" s="98">
        <f t="shared" ref="Q45" si="55">F45-N45</f>
        <v>29030.489999999991</v>
      </c>
      <c r="R45" s="98">
        <f t="shared" ref="R45" si="56">+J45-O45</f>
        <v>0</v>
      </c>
      <c r="S45" s="129">
        <f t="shared" ref="S45" si="57">H45-P45</f>
        <v>4779.4271004410111</v>
      </c>
      <c r="T45" s="199" t="str">
        <f>+Bonus!T45</f>
        <v>2021</v>
      </c>
      <c r="U45" s="199">
        <f>+Bonus!U45</f>
        <v>0</v>
      </c>
      <c r="V45" s="199" t="str">
        <f>+Bonus!V45</f>
        <v>.</v>
      </c>
      <c r="X45" s="33"/>
    </row>
    <row r="46" spans="1:24">
      <c r="A46" s="614">
        <f>+Bonus!A46</f>
        <v>52.858600000000003</v>
      </c>
      <c r="B46" s="82" t="str">
        <f>+Bonus!B46</f>
        <v>Tesoro Viejo MMWC- WTP/WWTP/RWSP Phase B Expansion - Phase 1</v>
      </c>
      <c r="C46" s="227">
        <f>Bonus!C46</f>
        <v>12611349</v>
      </c>
      <c r="D46" s="63">
        <f>Bonus!D46</f>
        <v>10661349</v>
      </c>
      <c r="E46" s="63">
        <f>Bonus!E46</f>
        <v>1950000</v>
      </c>
      <c r="F46" s="218">
        <f>+Bonus!F46</f>
        <v>10565460.74</v>
      </c>
      <c r="G46" s="182">
        <f t="shared" ref="G46" si="58">IF(D46&lt;&gt;0,+F46/D46,0)</f>
        <v>0.99100599183086491</v>
      </c>
      <c r="H46" s="98">
        <f t="shared" ref="H46" si="59">IF(E46&lt;=0,E46,IF(G46&lt;0.1,0,IF(G46&lt;=1,G46*E46,E46)))</f>
        <v>1932461.6840701865</v>
      </c>
      <c r="I46" s="98">
        <f t="shared" ref="I46" si="60">+F46+H46</f>
        <v>12497922.424070187</v>
      </c>
      <c r="J46" s="218">
        <f>+Bonus!J46</f>
        <v>12611349</v>
      </c>
      <c r="K46" s="98">
        <f t="shared" ref="K46" si="61">J46-I46</f>
        <v>113426.57592981309</v>
      </c>
      <c r="L46" s="98">
        <f t="shared" ref="L46" si="62">+D46-F46</f>
        <v>95888.259999999776</v>
      </c>
      <c r="M46" s="98">
        <f t="shared" ref="M46" si="63">+C46-J46</f>
        <v>0</v>
      </c>
      <c r="N46" s="218">
        <f>Bonus!N46</f>
        <v>10233292.710000001</v>
      </c>
      <c r="O46" s="218">
        <f>Bonus!O46</f>
        <v>12384954</v>
      </c>
      <c r="P46" s="154">
        <f>Bonus!W46</f>
        <v>1757780.0078678457</v>
      </c>
      <c r="Q46" s="98">
        <f t="shared" ref="Q46" si="64">F46-N46</f>
        <v>332168.02999999933</v>
      </c>
      <c r="R46" s="98">
        <f t="shared" ref="R46" si="65">+J46-O46</f>
        <v>226395</v>
      </c>
      <c r="S46" s="129">
        <f t="shared" ref="S46" si="66">H46-P46</f>
        <v>174681.67620234075</v>
      </c>
      <c r="T46" s="199" t="str">
        <f>+Bonus!T46</f>
        <v>2022</v>
      </c>
      <c r="U46" s="199">
        <f>+Bonus!U46</f>
        <v>0</v>
      </c>
      <c r="V46" s="199" t="str">
        <f>+Bonus!V46</f>
        <v>.</v>
      </c>
      <c r="X46" s="33"/>
    </row>
    <row r="47" spans="1:24">
      <c r="A47" s="259">
        <f>+Bonus!A47</f>
        <v>52.863399999999999</v>
      </c>
      <c r="B47" s="82" t="str">
        <f>+Bonus!B47</f>
        <v>City of Huron - Water Treatment Plant Imp. Phase 2</v>
      </c>
      <c r="C47" s="227">
        <f>Bonus!C47</f>
        <v>13892722.74</v>
      </c>
      <c r="D47" s="63">
        <f>Bonus!D47</f>
        <v>13190722.74</v>
      </c>
      <c r="E47" s="63">
        <f>Bonus!E47</f>
        <v>702000</v>
      </c>
      <c r="F47" s="218">
        <f>+Bonus!F47</f>
        <v>11707058.24</v>
      </c>
      <c r="G47" s="182">
        <f t="shared" ref="G47:G63" si="67">IF(D47&lt;&gt;0,+F47/D47,0)</f>
        <v>0.8875221222336146</v>
      </c>
      <c r="H47" s="98">
        <f t="shared" ref="H47:H63" si="68">IF(E47&lt;=0,E47,IF(G47&lt;0.1,0,IF(G47&lt;=1,G47*E47,E47)))</f>
        <v>623040.5298079974</v>
      </c>
      <c r="I47" s="98">
        <f t="shared" ref="I47:I63" si="69">+F47+H47</f>
        <v>12330098.769807998</v>
      </c>
      <c r="J47" s="218">
        <f>+Bonus!J47</f>
        <v>12576768.039999999</v>
      </c>
      <c r="K47" s="98">
        <f t="shared" ref="K47:K63" si="70">J47-I47</f>
        <v>246669.27019200101</v>
      </c>
      <c r="L47" s="98">
        <f t="shared" ref="L47:L63" si="71">+D47-F47</f>
        <v>1483664.5</v>
      </c>
      <c r="M47" s="98">
        <f t="shared" ref="M47:M63" si="72">+C47-J47</f>
        <v>1315954.7000000011</v>
      </c>
      <c r="N47" s="218">
        <f>Bonus!N47</f>
        <v>5213426.62</v>
      </c>
      <c r="O47" s="218">
        <f>Bonus!O47</f>
        <v>5564075.3700000001</v>
      </c>
      <c r="P47" s="154">
        <f>Bonus!W47</f>
        <v>277972.01148414961</v>
      </c>
      <c r="Q47" s="98">
        <f t="shared" ref="Q47:Q63" si="73">F47-N47</f>
        <v>6493631.6200000001</v>
      </c>
      <c r="R47" s="98">
        <f t="shared" ref="R47:R63" si="74">+J47-O47</f>
        <v>7012692.669999999</v>
      </c>
      <c r="S47" s="129">
        <f t="shared" ref="S47:S63" si="75">H47-P47</f>
        <v>345068.51832384779</v>
      </c>
      <c r="T47" s="199" t="str">
        <f>+Bonus!T47</f>
        <v>2023</v>
      </c>
      <c r="U47" s="199">
        <f>+Bonus!U47</f>
        <v>0</v>
      </c>
      <c r="V47" s="199" t="str">
        <f>+Bonus!V47</f>
        <v>.</v>
      </c>
      <c r="X47" s="33"/>
    </row>
    <row r="48" spans="1:24">
      <c r="A48" s="614">
        <f>+Bonus!A48</f>
        <v>52.863599999999998</v>
      </c>
      <c r="B48" s="82" t="str">
        <f>+Bonus!B48</f>
        <v>Anaergia Technologies, LLC - Anaergia M1W Digester Mixing Project</v>
      </c>
      <c r="C48" s="227">
        <v>3656112</v>
      </c>
      <c r="D48" s="63">
        <f>C48-E48</f>
        <v>3381112</v>
      </c>
      <c r="E48" s="63">
        <f>Bonus!E48</f>
        <v>275000</v>
      </c>
      <c r="F48" s="218">
        <f>+Bonus!F48</f>
        <v>3367047.36</v>
      </c>
      <c r="G48" s="182">
        <f t="shared" si="67"/>
        <v>0.99584023244423725</v>
      </c>
      <c r="H48" s="98">
        <f t="shared" si="68"/>
        <v>273856.06392216525</v>
      </c>
      <c r="I48" s="98">
        <f t="shared" si="69"/>
        <v>3640903.4239221653</v>
      </c>
      <c r="J48" s="218">
        <f>+Bonus!J48</f>
        <v>3065635.6</v>
      </c>
      <c r="K48" s="98">
        <f t="shared" si="70"/>
        <v>-575267.8239221652</v>
      </c>
      <c r="L48" s="98">
        <f t="shared" si="71"/>
        <v>14064.64000000013</v>
      </c>
      <c r="M48" s="98">
        <f t="shared" si="72"/>
        <v>590476.39999999991</v>
      </c>
      <c r="N48" s="218">
        <f>Bonus!N48</f>
        <v>1456799.54</v>
      </c>
      <c r="O48" s="218">
        <f>Bonus!O48</f>
        <v>1731771.2</v>
      </c>
      <c r="P48" s="154">
        <f>Bonus!W48</f>
        <v>204319.7110799439</v>
      </c>
      <c r="Q48" s="98">
        <f t="shared" si="73"/>
        <v>1910247.8199999998</v>
      </c>
      <c r="R48" s="98">
        <f t="shared" si="74"/>
        <v>1333864.4000000001</v>
      </c>
      <c r="S48" s="129">
        <f t="shared" si="75"/>
        <v>69536.352842221357</v>
      </c>
      <c r="T48" s="199" t="str">
        <f>+Bonus!T48</f>
        <v>2023</v>
      </c>
      <c r="U48" s="199">
        <f>+Bonus!U48</f>
        <v>0</v>
      </c>
      <c r="V48" s="199" t="str">
        <f>+Bonus!V48</f>
        <v>.</v>
      </c>
      <c r="X48" s="33"/>
    </row>
    <row r="49" spans="1:24">
      <c r="A49" s="614">
        <f>+Bonus!A49</f>
        <v>52.863700000000001</v>
      </c>
      <c r="B49" s="82" t="str">
        <f>+Bonus!B49</f>
        <v>Root Creek Water Dist. - Groundwater Blending &amp; Arsenic</v>
      </c>
      <c r="C49" s="227">
        <f>Bonus!C49</f>
        <v>26264577.649999999</v>
      </c>
      <c r="D49" s="63">
        <f>Bonus!D49</f>
        <v>24614577.649999999</v>
      </c>
      <c r="E49" s="63">
        <f>Bonus!E49</f>
        <v>1650000</v>
      </c>
      <c r="F49" s="218">
        <f>+Bonus!F49</f>
        <v>24374299.030000001</v>
      </c>
      <c r="G49" s="182">
        <f t="shared" si="67"/>
        <v>0.99023836104699536</v>
      </c>
      <c r="H49" s="98">
        <f t="shared" si="68"/>
        <v>1633893.2957275424</v>
      </c>
      <c r="I49" s="98">
        <f t="shared" si="69"/>
        <v>26008192.325727545</v>
      </c>
      <c r="J49" s="218">
        <f>+Bonus!J49</f>
        <v>26148625</v>
      </c>
      <c r="K49" s="98">
        <f t="shared" si="70"/>
        <v>140432.67427245528</v>
      </c>
      <c r="L49" s="98">
        <f t="shared" si="71"/>
        <v>240278.61999999732</v>
      </c>
      <c r="M49" s="98">
        <f t="shared" si="72"/>
        <v>115952.64999999851</v>
      </c>
      <c r="N49" s="218">
        <f>Bonus!N49</f>
        <v>19441814.989999998</v>
      </c>
      <c r="O49" s="218">
        <f>Bonus!O49</f>
        <v>20860138</v>
      </c>
      <c r="P49" s="154">
        <f>Bonus!W49</f>
        <v>1208391.7577226674</v>
      </c>
      <c r="Q49" s="98">
        <f t="shared" si="73"/>
        <v>4932484.0400000028</v>
      </c>
      <c r="R49" s="98">
        <f t="shared" si="74"/>
        <v>5288487</v>
      </c>
      <c r="S49" s="129">
        <f t="shared" si="75"/>
        <v>425501.53800487495</v>
      </c>
      <c r="T49" s="199" t="str">
        <f>+Bonus!T49</f>
        <v>2023</v>
      </c>
      <c r="U49" s="199">
        <f>+Bonus!U49</f>
        <v>0</v>
      </c>
      <c r="V49" s="199" t="str">
        <f>+Bonus!V49</f>
        <v>.</v>
      </c>
      <c r="X49" s="33"/>
    </row>
    <row r="50" spans="1:24">
      <c r="A50" s="259">
        <f>+Bonus!A50</f>
        <v>52.863999999999997</v>
      </c>
      <c r="B50" s="82" t="str">
        <f>+Bonus!B50</f>
        <v>City of Dos Palos - WTP Replacement Project</v>
      </c>
      <c r="C50" s="227">
        <f>Bonus!C50</f>
        <v>38646363.159999996</v>
      </c>
      <c r="D50" s="63">
        <f>Bonus!D50</f>
        <v>36773040.159999996</v>
      </c>
      <c r="E50" s="63">
        <f>Bonus!E50</f>
        <v>1873323</v>
      </c>
      <c r="F50" s="218">
        <f>+Bonus!F50</f>
        <v>32158781.48</v>
      </c>
      <c r="G50" s="182">
        <f t="shared" si="67"/>
        <v>0.87452060912224572</v>
      </c>
      <c r="H50" s="98">
        <f t="shared" si="68"/>
        <v>1638259.5710427128</v>
      </c>
      <c r="I50" s="98">
        <f t="shared" si="69"/>
        <v>33797041.051042713</v>
      </c>
      <c r="J50" s="218">
        <f>+Bonus!J50</f>
        <v>34176041.859999999</v>
      </c>
      <c r="K50" s="98">
        <f t="shared" si="70"/>
        <v>379000.80895728618</v>
      </c>
      <c r="L50" s="98">
        <f t="shared" si="71"/>
        <v>4614258.679999996</v>
      </c>
      <c r="M50" s="98">
        <f t="shared" si="72"/>
        <v>4470321.299999997</v>
      </c>
      <c r="N50" s="218">
        <f>Bonus!N50</f>
        <v>13034452.74</v>
      </c>
      <c r="O50" s="218">
        <f>Bonus!O50</f>
        <v>13664733.789999999</v>
      </c>
      <c r="P50" s="154">
        <f>Bonus!W50</f>
        <v>703966.83888736507</v>
      </c>
      <c r="Q50" s="98">
        <f t="shared" si="73"/>
        <v>19124328.740000002</v>
      </c>
      <c r="R50" s="98">
        <f t="shared" si="74"/>
        <v>20511308.07</v>
      </c>
      <c r="S50" s="129">
        <f t="shared" si="75"/>
        <v>934292.73215534771</v>
      </c>
      <c r="T50" s="199" t="str">
        <f>+Bonus!T50</f>
        <v>2023</v>
      </c>
      <c r="U50" s="199">
        <f>+Bonus!U50</f>
        <v>0</v>
      </c>
      <c r="V50" s="199" t="str">
        <f>+Bonus!V50</f>
        <v>.</v>
      </c>
      <c r="X50" s="33"/>
    </row>
    <row r="51" spans="1:24">
      <c r="A51" s="259">
        <f>+Bonus!A51</f>
        <v>52.866799999999998</v>
      </c>
      <c r="B51" s="82" t="str">
        <f>+Bonus!B51</f>
        <v>California Water Service Co. - Cal Water - Salinas Station 57</v>
      </c>
      <c r="C51" s="227">
        <f>Bonus!C51</f>
        <v>411851</v>
      </c>
      <c r="D51" s="63">
        <f>Bonus!D51</f>
        <v>376996</v>
      </c>
      <c r="E51" s="63">
        <f>Bonus!E51</f>
        <v>34855</v>
      </c>
      <c r="F51" s="218">
        <f>+Bonus!F51</f>
        <v>357710.67</v>
      </c>
      <c r="G51" s="182">
        <f t="shared" si="67"/>
        <v>0.94884473575316441</v>
      </c>
      <c r="H51" s="98">
        <f t="shared" si="68"/>
        <v>33071.983264676543</v>
      </c>
      <c r="I51" s="98">
        <f t="shared" si="69"/>
        <v>390782.65326467651</v>
      </c>
      <c r="J51" s="218">
        <f>+Bonus!J51</f>
        <v>349622.76</v>
      </c>
      <c r="K51" s="98">
        <f t="shared" si="70"/>
        <v>-41159.893264676502</v>
      </c>
      <c r="L51" s="98">
        <f t="shared" si="71"/>
        <v>19285.330000000016</v>
      </c>
      <c r="M51" s="98">
        <f t="shared" si="72"/>
        <v>62228.239999999991</v>
      </c>
      <c r="N51" s="218">
        <f>Bonus!N51</f>
        <v>49065</v>
      </c>
      <c r="O51" s="218">
        <f>Bonus!O51</f>
        <v>0</v>
      </c>
      <c r="P51" s="154">
        <f>Bonus!W51</f>
        <v>5273.046449323896</v>
      </c>
      <c r="Q51" s="98">
        <f t="shared" si="73"/>
        <v>308645.67</v>
      </c>
      <c r="R51" s="98">
        <f t="shared" si="74"/>
        <v>349622.76</v>
      </c>
      <c r="S51" s="129">
        <f t="shared" si="75"/>
        <v>27798.936815352645</v>
      </c>
      <c r="T51" s="199" t="str">
        <f>+Bonus!T51</f>
        <v>2024</v>
      </c>
      <c r="U51" s="199">
        <f>+Bonus!U51</f>
        <v>0</v>
      </c>
      <c r="V51" s="199" t="str">
        <f>+Bonus!V51</f>
        <v>.</v>
      </c>
      <c r="X51" s="33"/>
    </row>
    <row r="52" spans="1:24">
      <c r="A52" s="259">
        <f>+Bonus!A52</f>
        <v>52.867800000000003</v>
      </c>
      <c r="B52" s="82" t="str">
        <f>+Bonus!B52</f>
        <v>City of Chowcilla - Well 15 &amp; Generator Improvement Projects</v>
      </c>
      <c r="C52" s="227">
        <f>Bonus!C52</f>
        <v>1240321</v>
      </c>
      <c r="D52" s="63">
        <f>Bonus!D52</f>
        <v>1162321</v>
      </c>
      <c r="E52" s="63">
        <f>Bonus!E52</f>
        <v>78000</v>
      </c>
      <c r="F52" s="218">
        <f>+Bonus!F52</f>
        <v>926007.31</v>
      </c>
      <c r="G52" s="182">
        <f t="shared" si="67"/>
        <v>0.79668810079143371</v>
      </c>
      <c r="H52" s="98">
        <f t="shared" si="68"/>
        <v>62141.671861731826</v>
      </c>
      <c r="I52" s="98">
        <f t="shared" si="69"/>
        <v>988148.98186173185</v>
      </c>
      <c r="J52" s="218">
        <f>+Bonus!J52</f>
        <v>1142122</v>
      </c>
      <c r="K52" s="98">
        <f t="shared" si="70"/>
        <v>153973.01813826815</v>
      </c>
      <c r="L52" s="98">
        <f t="shared" si="71"/>
        <v>236313.68999999994</v>
      </c>
      <c r="M52" s="98">
        <f t="shared" si="72"/>
        <v>98199</v>
      </c>
      <c r="N52" s="218">
        <f>Bonus!N52</f>
        <v>5563.63</v>
      </c>
      <c r="O52" s="218">
        <f>Bonus!O52</f>
        <v>0</v>
      </c>
      <c r="P52" s="154">
        <f>Bonus!W52</f>
        <v>0</v>
      </c>
      <c r="Q52" s="98">
        <f t="shared" si="73"/>
        <v>920443.68</v>
      </c>
      <c r="R52" s="98">
        <f t="shared" si="74"/>
        <v>1142122</v>
      </c>
      <c r="S52" s="129">
        <f t="shared" si="75"/>
        <v>62141.671861731826</v>
      </c>
      <c r="T52" s="199" t="str">
        <f>+Bonus!T52</f>
        <v>2024</v>
      </c>
      <c r="U52" s="199">
        <f>+Bonus!U52</f>
        <v>0</v>
      </c>
      <c r="V52" s="199" t="str">
        <f>+Bonus!V52</f>
        <v>.</v>
      </c>
      <c r="X52" s="33"/>
    </row>
    <row r="53" spans="1:24">
      <c r="A53" s="259">
        <f>+Bonus!A53</f>
        <v>52.868699999999997</v>
      </c>
      <c r="B53" s="82" t="str">
        <f>+Bonus!B53</f>
        <v>California Water Service Co. - Salinas Station 205</v>
      </c>
      <c r="C53" s="227">
        <f>Bonus!C53</f>
        <v>877954</v>
      </c>
      <c r="D53" s="63">
        <f>Bonus!D53</f>
        <v>790771.4800000001</v>
      </c>
      <c r="E53" s="63">
        <f>Bonus!E53</f>
        <v>87182.519999999902</v>
      </c>
      <c r="F53" s="218">
        <f>+Bonus!F53</f>
        <v>740629.43</v>
      </c>
      <c r="G53" s="182">
        <f t="shared" si="67"/>
        <v>0.93659097315952766</v>
      </c>
      <c r="H53" s="98">
        <f t="shared" si="68"/>
        <v>81654.361249299895</v>
      </c>
      <c r="I53" s="98">
        <f t="shared" si="69"/>
        <v>822283.79124929989</v>
      </c>
      <c r="J53" s="218">
        <f>+Bonus!J53</f>
        <v>827811.95</v>
      </c>
      <c r="K53" s="98">
        <f t="shared" si="70"/>
        <v>5528.1587507000659</v>
      </c>
      <c r="L53" s="98">
        <f t="shared" si="71"/>
        <v>50142.050000000047</v>
      </c>
      <c r="M53" s="98">
        <f t="shared" si="72"/>
        <v>50142.050000000047</v>
      </c>
      <c r="N53" s="218">
        <f>Bonus!N53</f>
        <v>0</v>
      </c>
      <c r="O53" s="218">
        <f>Bonus!O53</f>
        <v>0</v>
      </c>
      <c r="P53" s="154">
        <f>Bonus!W53</f>
        <v>0</v>
      </c>
      <c r="Q53" s="98">
        <f t="shared" si="73"/>
        <v>740629.43</v>
      </c>
      <c r="R53" s="98">
        <f t="shared" si="74"/>
        <v>827811.95</v>
      </c>
      <c r="S53" s="129">
        <f t="shared" si="75"/>
        <v>81654.361249299895</v>
      </c>
      <c r="T53" s="199" t="str">
        <f>+Bonus!T53</f>
        <v>2025</v>
      </c>
      <c r="U53" s="199">
        <f>+Bonus!U53</f>
        <v>0</v>
      </c>
      <c r="V53" s="199" t="str">
        <f>+Bonus!V53</f>
        <v>.</v>
      </c>
      <c r="X53" s="33"/>
    </row>
    <row r="54" spans="1:24">
      <c r="A54" s="614">
        <f>+Bonus!A54</f>
        <v>52.869199999999999</v>
      </c>
      <c r="B54" s="82" t="str">
        <f>+Bonus!B54</f>
        <v>New England Sheet Metal and Mechanical Co. - Clovis South T&amp;M</v>
      </c>
      <c r="C54" s="227">
        <f>Bonus!C54</f>
        <v>55135.37</v>
      </c>
      <c r="D54" s="63">
        <f>Bonus!D54</f>
        <v>49682.49</v>
      </c>
      <c r="E54" s="63">
        <f>Bonus!E54</f>
        <v>5452.8800000000047</v>
      </c>
      <c r="F54" s="218">
        <f>+Bonus!F54</f>
        <v>49682.49</v>
      </c>
      <c r="G54" s="182">
        <f t="shared" si="67"/>
        <v>1</v>
      </c>
      <c r="H54" s="98">
        <f t="shared" si="68"/>
        <v>5452.8800000000047</v>
      </c>
      <c r="I54" s="98">
        <f t="shared" si="69"/>
        <v>55135.37</v>
      </c>
      <c r="J54" s="218">
        <f>+Bonus!J54</f>
        <v>55135.37</v>
      </c>
      <c r="K54" s="98">
        <f t="shared" si="70"/>
        <v>0</v>
      </c>
      <c r="L54" s="98">
        <f t="shared" si="71"/>
        <v>0</v>
      </c>
      <c r="M54" s="98">
        <f t="shared" si="72"/>
        <v>0</v>
      </c>
      <c r="N54" s="218">
        <f>Bonus!N54</f>
        <v>0</v>
      </c>
      <c r="O54" s="218">
        <f>Bonus!O54</f>
        <v>0</v>
      </c>
      <c r="P54" s="154">
        <f>Bonus!W54</f>
        <v>0</v>
      </c>
      <c r="Q54" s="98">
        <f t="shared" si="73"/>
        <v>49682.49</v>
      </c>
      <c r="R54" s="98">
        <f t="shared" si="74"/>
        <v>55135.37</v>
      </c>
      <c r="S54" s="129">
        <f t="shared" si="75"/>
        <v>5452.8800000000047</v>
      </c>
      <c r="T54" s="199" t="str">
        <f>+Bonus!T54</f>
        <v>2025</v>
      </c>
      <c r="U54" s="199">
        <f>+Bonus!U54</f>
        <v>0</v>
      </c>
      <c r="V54" s="199" t="str">
        <f>+Bonus!V54</f>
        <v>&lt; 250k</v>
      </c>
      <c r="X54" s="33"/>
    </row>
    <row r="55" spans="1:24">
      <c r="A55" s="259">
        <f>+Bonus!A55</f>
        <v>52.869700000000002</v>
      </c>
      <c r="B55" s="82" t="str">
        <f>+Bonus!B55</f>
        <v>City of Tulare - Industrial WWTP Dewatering Improvements Pro</v>
      </c>
      <c r="C55" s="227">
        <f>Bonus!C55</f>
        <v>1388000</v>
      </c>
      <c r="D55" s="63">
        <f>Bonus!D55</f>
        <v>1325482</v>
      </c>
      <c r="E55" s="63">
        <f>Bonus!E55</f>
        <v>62518</v>
      </c>
      <c r="F55" s="218">
        <f>+Bonus!F55</f>
        <v>772187.73</v>
      </c>
      <c r="G55" s="182">
        <f t="shared" si="67"/>
        <v>0.58257126841405615</v>
      </c>
      <c r="H55" s="98">
        <f t="shared" si="68"/>
        <v>36421.190558709961</v>
      </c>
      <c r="I55" s="98">
        <f t="shared" si="69"/>
        <v>808608.92055870988</v>
      </c>
      <c r="J55" s="218">
        <f>+Bonus!J55</f>
        <v>1069317</v>
      </c>
      <c r="K55" s="98">
        <f t="shared" si="70"/>
        <v>260708.07944129012</v>
      </c>
      <c r="L55" s="98">
        <f t="shared" si="71"/>
        <v>553294.27</v>
      </c>
      <c r="M55" s="98">
        <f t="shared" si="72"/>
        <v>318683</v>
      </c>
      <c r="N55" s="218">
        <f>Bonus!N55</f>
        <v>0</v>
      </c>
      <c r="O55" s="218">
        <f>Bonus!O55</f>
        <v>0</v>
      </c>
      <c r="P55" s="154">
        <f>Bonus!W55</f>
        <v>0</v>
      </c>
      <c r="Q55" s="98">
        <f t="shared" si="73"/>
        <v>772187.73</v>
      </c>
      <c r="R55" s="98">
        <f t="shared" si="74"/>
        <v>1069317</v>
      </c>
      <c r="S55" s="129">
        <f t="shared" si="75"/>
        <v>36421.190558709961</v>
      </c>
      <c r="T55" s="199" t="str">
        <f>+Bonus!T55</f>
        <v>2025</v>
      </c>
      <c r="U55" s="199">
        <f>+Bonus!U55</f>
        <v>0</v>
      </c>
      <c r="V55" s="199" t="str">
        <f>+Bonus!V55</f>
        <v>.</v>
      </c>
      <c r="X55" s="33"/>
    </row>
    <row r="56" spans="1:24">
      <c r="A56" s="259">
        <f>+Bonus!A56</f>
        <v>52.869799999999998</v>
      </c>
      <c r="B56" s="82" t="str">
        <f>+Bonus!B56</f>
        <v>California Water Service Co. - Tesoro Viejo RWSP Liner Repair</v>
      </c>
      <c r="C56" s="227">
        <f>Bonus!C56</f>
        <v>22713</v>
      </c>
      <c r="D56" s="63">
        <f>Bonus!D56</f>
        <v>16128</v>
      </c>
      <c r="E56" s="63">
        <f>Bonus!E56</f>
        <v>6585</v>
      </c>
      <c r="F56" s="218">
        <f>+Bonus!F56</f>
        <v>15264</v>
      </c>
      <c r="G56" s="182">
        <f t="shared" si="67"/>
        <v>0.9464285714285714</v>
      </c>
      <c r="H56" s="98">
        <f t="shared" si="68"/>
        <v>6232.2321428571422</v>
      </c>
      <c r="I56" s="98">
        <f t="shared" si="69"/>
        <v>21496.232142857141</v>
      </c>
      <c r="J56" s="218">
        <f>+Bonus!J56</f>
        <v>0</v>
      </c>
      <c r="K56" s="98">
        <f t="shared" si="70"/>
        <v>-21496.232142857141</v>
      </c>
      <c r="L56" s="98">
        <f t="shared" si="71"/>
        <v>864</v>
      </c>
      <c r="M56" s="98">
        <f t="shared" si="72"/>
        <v>22713</v>
      </c>
      <c r="N56" s="218">
        <f>Bonus!N56</f>
        <v>0</v>
      </c>
      <c r="O56" s="218">
        <f>Bonus!O56</f>
        <v>0</v>
      </c>
      <c r="P56" s="154">
        <f>Bonus!W56</f>
        <v>0</v>
      </c>
      <c r="Q56" s="98">
        <f t="shared" si="73"/>
        <v>15264</v>
      </c>
      <c r="R56" s="98">
        <f t="shared" si="74"/>
        <v>0</v>
      </c>
      <c r="S56" s="129">
        <f t="shared" si="75"/>
        <v>6232.2321428571422</v>
      </c>
      <c r="T56" s="199" t="str">
        <f>+Bonus!T56</f>
        <v>2025</v>
      </c>
      <c r="U56" s="199">
        <f>+Bonus!U56</f>
        <v>0</v>
      </c>
      <c r="V56" s="199" t="str">
        <f>+Bonus!V56</f>
        <v>&lt; 250k</v>
      </c>
      <c r="X56" s="33"/>
    </row>
    <row r="57" spans="1:24">
      <c r="A57" s="259">
        <f>+Bonus!A57</f>
        <v>52.870399999999997</v>
      </c>
      <c r="B57" s="82" t="str">
        <f>+Bonus!B57</f>
        <v>City of Visalia - Solids Handling Improvements Project</v>
      </c>
      <c r="C57" s="227">
        <f>Bonus!C57</f>
        <v>13744000</v>
      </c>
      <c r="D57" s="63">
        <f>Bonus!D57</f>
        <v>13491127</v>
      </c>
      <c r="E57" s="63">
        <f>Bonus!E57</f>
        <v>252873</v>
      </c>
      <c r="F57" s="218">
        <f>+Bonus!F57</f>
        <v>820988.3</v>
      </c>
      <c r="G57" s="182">
        <f t="shared" si="67"/>
        <v>6.0853944966940125E-2</v>
      </c>
      <c r="H57" s="98">
        <f t="shared" si="68"/>
        <v>0</v>
      </c>
      <c r="I57" s="98">
        <f t="shared" si="69"/>
        <v>820988.3</v>
      </c>
      <c r="J57" s="218">
        <f>+Bonus!J57</f>
        <v>1037950</v>
      </c>
      <c r="K57" s="98">
        <f t="shared" si="70"/>
        <v>216961.69999999995</v>
      </c>
      <c r="L57" s="98">
        <f t="shared" si="71"/>
        <v>12670138.699999999</v>
      </c>
      <c r="M57" s="98">
        <f t="shared" si="72"/>
        <v>12706050</v>
      </c>
      <c r="N57" s="218">
        <f>Bonus!N57</f>
        <v>0</v>
      </c>
      <c r="O57" s="218">
        <f>Bonus!O57</f>
        <v>0</v>
      </c>
      <c r="P57" s="154">
        <f>Bonus!W57</f>
        <v>0</v>
      </c>
      <c r="Q57" s="98">
        <f t="shared" si="73"/>
        <v>820988.3</v>
      </c>
      <c r="R57" s="98">
        <f t="shared" si="74"/>
        <v>1037950</v>
      </c>
      <c r="S57" s="129">
        <f t="shared" si="75"/>
        <v>0</v>
      </c>
      <c r="T57" s="199" t="str">
        <f>+Bonus!T57</f>
        <v>2025</v>
      </c>
      <c r="U57" s="199">
        <f>+Bonus!U57</f>
        <v>0</v>
      </c>
      <c r="V57" s="199" t="str">
        <f>+Bonus!V57</f>
        <v>.</v>
      </c>
      <c r="X57" s="33"/>
    </row>
    <row r="58" spans="1:24">
      <c r="A58" s="259">
        <f>+Bonus!A58</f>
        <v>52.8705</v>
      </c>
      <c r="B58" s="82" t="str">
        <f>+Bonus!B58</f>
        <v>California Water Service Co. - Visalia Station 200 - New Storage Tank &amp; Booster</v>
      </c>
      <c r="C58" s="227">
        <f>Bonus!C58</f>
        <v>775000</v>
      </c>
      <c r="D58" s="63">
        <f>Bonus!D58</f>
        <v>719260</v>
      </c>
      <c r="E58" s="63">
        <f>Bonus!E58</f>
        <v>55740</v>
      </c>
      <c r="F58" s="218">
        <f>+Bonus!F58</f>
        <v>285425.71999999997</v>
      </c>
      <c r="G58" s="182">
        <f t="shared" si="67"/>
        <v>0.39683246670188799</v>
      </c>
      <c r="H58" s="98">
        <f t="shared" si="68"/>
        <v>22119.441693963236</v>
      </c>
      <c r="I58" s="98">
        <f t="shared" si="69"/>
        <v>307545.16169396322</v>
      </c>
      <c r="J58" s="218">
        <f>+Bonus!J58</f>
        <v>261232</v>
      </c>
      <c r="K58" s="98">
        <f t="shared" si="70"/>
        <v>-46313.161693963222</v>
      </c>
      <c r="L58" s="98">
        <f t="shared" si="71"/>
        <v>433834.28</v>
      </c>
      <c r="M58" s="98">
        <f t="shared" si="72"/>
        <v>513768</v>
      </c>
      <c r="N58" s="218">
        <f>Bonus!N58</f>
        <v>0</v>
      </c>
      <c r="O58" s="218">
        <f>Bonus!O58</f>
        <v>0</v>
      </c>
      <c r="P58" s="154">
        <f>Bonus!W58</f>
        <v>0</v>
      </c>
      <c r="Q58" s="98">
        <f t="shared" si="73"/>
        <v>285425.71999999997</v>
      </c>
      <c r="R58" s="98">
        <f t="shared" si="74"/>
        <v>261232</v>
      </c>
      <c r="S58" s="129">
        <f t="shared" si="75"/>
        <v>22119.441693963236</v>
      </c>
      <c r="T58" s="199" t="str">
        <f>+Bonus!T58</f>
        <v>2025</v>
      </c>
      <c r="U58" s="199">
        <f>+Bonus!U58</f>
        <v>0</v>
      </c>
      <c r="V58" s="199" t="str">
        <f>+Bonus!V58</f>
        <v>.</v>
      </c>
      <c r="X58" s="33"/>
    </row>
    <row r="59" spans="1:24">
      <c r="A59" s="259">
        <f>+Bonus!A59</f>
        <v>52.870699999999999</v>
      </c>
      <c r="B59" s="82" t="str">
        <f>+Bonus!B59</f>
        <v>County of Fresno - Westside Water Tank and Pump Station</v>
      </c>
      <c r="C59" s="227">
        <f>Bonus!C59</f>
        <v>3693200</v>
      </c>
      <c r="D59" s="63">
        <f>Bonus!D59</f>
        <v>3461577</v>
      </c>
      <c r="E59" s="63">
        <f>Bonus!E59</f>
        <v>231623</v>
      </c>
      <c r="F59" s="218">
        <f>+Bonus!F59</f>
        <v>1012057.14</v>
      </c>
      <c r="G59" s="182">
        <f t="shared" si="67"/>
        <v>0.29236880762727507</v>
      </c>
      <c r="H59" s="98">
        <f t="shared" si="68"/>
        <v>67719.340329052327</v>
      </c>
      <c r="I59" s="98">
        <f t="shared" si="69"/>
        <v>1079776.4803290523</v>
      </c>
      <c r="J59" s="218">
        <f>+Bonus!J59</f>
        <v>913135</v>
      </c>
      <c r="K59" s="98">
        <f t="shared" si="70"/>
        <v>-166641.48032905231</v>
      </c>
      <c r="L59" s="98">
        <f t="shared" si="71"/>
        <v>2449519.86</v>
      </c>
      <c r="M59" s="98">
        <f t="shared" si="72"/>
        <v>2780065</v>
      </c>
      <c r="N59" s="218">
        <f>Bonus!N59</f>
        <v>0</v>
      </c>
      <c r="O59" s="218">
        <f>Bonus!O59</f>
        <v>0</v>
      </c>
      <c r="P59" s="154">
        <f>Bonus!W59</f>
        <v>0</v>
      </c>
      <c r="Q59" s="98">
        <f t="shared" si="73"/>
        <v>1012057.14</v>
      </c>
      <c r="R59" s="98">
        <f t="shared" si="74"/>
        <v>913135</v>
      </c>
      <c r="S59" s="129">
        <f t="shared" si="75"/>
        <v>67719.340329052327</v>
      </c>
      <c r="T59" s="199" t="str">
        <f>+Bonus!T59</f>
        <v>2025</v>
      </c>
      <c r="U59" s="199">
        <f>+Bonus!U59</f>
        <v>0</v>
      </c>
      <c r="V59" s="199" t="str">
        <f>+Bonus!V59</f>
        <v>.</v>
      </c>
      <c r="X59" s="33"/>
    </row>
    <row r="60" spans="1:24">
      <c r="A60" s="259">
        <f>+Bonus!A60</f>
        <v>52.870800000000003</v>
      </c>
      <c r="B60" s="82" t="str">
        <f>+Bonus!B60</f>
        <v>County of Fresno - CSA 44A Wastewater Improvements</v>
      </c>
      <c r="C60" s="227">
        <f>Bonus!C60</f>
        <v>363833</v>
      </c>
      <c r="D60" s="63">
        <f>Bonus!D60</f>
        <v>333757</v>
      </c>
      <c r="E60" s="63">
        <f>Bonus!E60</f>
        <v>30076</v>
      </c>
      <c r="F60" s="218">
        <f>+Bonus!F60</f>
        <v>7682.19</v>
      </c>
      <c r="G60" s="182">
        <f t="shared" si="67"/>
        <v>2.3017314992644349E-2</v>
      </c>
      <c r="H60" s="98">
        <f t="shared" si="68"/>
        <v>0</v>
      </c>
      <c r="I60" s="98">
        <f t="shared" si="69"/>
        <v>7682.19</v>
      </c>
      <c r="J60" s="218">
        <f>+Bonus!J60</f>
        <v>0</v>
      </c>
      <c r="K60" s="98">
        <f t="shared" si="70"/>
        <v>-7682.19</v>
      </c>
      <c r="L60" s="98">
        <f t="shared" si="71"/>
        <v>326074.81</v>
      </c>
      <c r="M60" s="98">
        <f t="shared" si="72"/>
        <v>363833</v>
      </c>
      <c r="N60" s="218">
        <f>Bonus!N60</f>
        <v>0</v>
      </c>
      <c r="O60" s="218">
        <f>Bonus!O60</f>
        <v>0</v>
      </c>
      <c r="P60" s="154">
        <f>Bonus!W60</f>
        <v>0</v>
      </c>
      <c r="Q60" s="98">
        <f t="shared" si="73"/>
        <v>7682.19</v>
      </c>
      <c r="R60" s="98">
        <f t="shared" si="74"/>
        <v>0</v>
      </c>
      <c r="S60" s="129">
        <f t="shared" si="75"/>
        <v>0</v>
      </c>
      <c r="T60" s="199" t="str">
        <f>+Bonus!T60</f>
        <v>2025</v>
      </c>
      <c r="U60" s="199">
        <f>+Bonus!U60</f>
        <v>0</v>
      </c>
      <c r="V60" s="199" t="str">
        <f>+Bonus!V60</f>
        <v>.</v>
      </c>
      <c r="X60" s="33"/>
    </row>
    <row r="61" spans="1:24">
      <c r="A61" s="259">
        <f>+Bonus!A61</f>
        <v>52.871099999999998</v>
      </c>
      <c r="B61" s="82" t="str">
        <f>+Bonus!B61</f>
        <v>California Water Service Co. - Tesoro Viejo ARV Replacement</v>
      </c>
      <c r="C61" s="227">
        <f>Bonus!C61</f>
        <v>6860</v>
      </c>
      <c r="D61" s="63">
        <f>Bonus!D61</f>
        <v>6315</v>
      </c>
      <c r="E61" s="63">
        <f>Bonus!E61</f>
        <v>545</v>
      </c>
      <c r="F61" s="218">
        <f>+Bonus!F61</f>
        <v>4568.8100000000004</v>
      </c>
      <c r="G61" s="182">
        <f t="shared" si="67"/>
        <v>0.72348535233570865</v>
      </c>
      <c r="H61" s="98">
        <f t="shared" si="68"/>
        <v>394.2995170229612</v>
      </c>
      <c r="I61" s="98">
        <f t="shared" si="69"/>
        <v>4963.1095170229619</v>
      </c>
      <c r="J61" s="218">
        <f>+Bonus!J61</f>
        <v>0</v>
      </c>
      <c r="K61" s="98">
        <f t="shared" si="70"/>
        <v>-4963.1095170229619</v>
      </c>
      <c r="L61" s="98">
        <f t="shared" si="71"/>
        <v>1746.1899999999996</v>
      </c>
      <c r="M61" s="98">
        <f t="shared" si="72"/>
        <v>6860</v>
      </c>
      <c r="N61" s="218">
        <f>Bonus!N61</f>
        <v>0</v>
      </c>
      <c r="O61" s="218">
        <f>Bonus!O61</f>
        <v>0</v>
      </c>
      <c r="P61" s="154">
        <f>Bonus!W61</f>
        <v>0</v>
      </c>
      <c r="Q61" s="98">
        <f t="shared" si="73"/>
        <v>4568.8100000000004</v>
      </c>
      <c r="R61" s="98">
        <f t="shared" si="74"/>
        <v>0</v>
      </c>
      <c r="S61" s="129">
        <f t="shared" si="75"/>
        <v>394.2995170229612</v>
      </c>
      <c r="T61" s="199" t="str">
        <f>+Bonus!T61</f>
        <v>2025</v>
      </c>
      <c r="U61" s="199">
        <f>+Bonus!U61</f>
        <v>0</v>
      </c>
      <c r="V61" s="199" t="str">
        <f>+Bonus!V61</f>
        <v>&lt; 250k</v>
      </c>
      <c r="X61" s="33"/>
    </row>
    <row r="62" spans="1:24">
      <c r="A62" s="259">
        <f>+Bonus!A62</f>
        <v>52.871299999999998</v>
      </c>
      <c r="B62" s="82" t="str">
        <f>+Bonus!B62</f>
        <v>City of Visalia - Remove &amp; Replace Chain and Flight Mechanic</v>
      </c>
      <c r="C62" s="227">
        <f>Bonus!C62</f>
        <v>218842</v>
      </c>
      <c r="D62" s="63">
        <f>Bonus!D62</f>
        <v>190439</v>
      </c>
      <c r="E62" s="63">
        <f>Bonus!E62</f>
        <v>28403</v>
      </c>
      <c r="F62" s="218">
        <f>+Bonus!F62</f>
        <v>927.5</v>
      </c>
      <c r="G62" s="182">
        <f t="shared" si="67"/>
        <v>4.8703259311380547E-3</v>
      </c>
      <c r="H62" s="98">
        <f t="shared" si="68"/>
        <v>0</v>
      </c>
      <c r="I62" s="98">
        <f t="shared" si="69"/>
        <v>927.5</v>
      </c>
      <c r="J62" s="218">
        <f>+Bonus!J62</f>
        <v>0</v>
      </c>
      <c r="K62" s="98">
        <f t="shared" si="70"/>
        <v>-927.5</v>
      </c>
      <c r="L62" s="98">
        <f t="shared" si="71"/>
        <v>189511.5</v>
      </c>
      <c r="M62" s="98">
        <f t="shared" si="72"/>
        <v>218842</v>
      </c>
      <c r="N62" s="218">
        <f>Bonus!N62</f>
        <v>0</v>
      </c>
      <c r="O62" s="218">
        <f>Bonus!O62</f>
        <v>0</v>
      </c>
      <c r="P62" s="154">
        <f>Bonus!W62</f>
        <v>0</v>
      </c>
      <c r="Q62" s="98">
        <f t="shared" si="73"/>
        <v>927.5</v>
      </c>
      <c r="R62" s="98">
        <f t="shared" si="74"/>
        <v>0</v>
      </c>
      <c r="S62" s="129">
        <f t="shared" si="75"/>
        <v>0</v>
      </c>
      <c r="T62" s="199" t="str">
        <f>+Bonus!T62</f>
        <v>2025</v>
      </c>
      <c r="U62" s="199">
        <f>+Bonus!U62</f>
        <v>0</v>
      </c>
      <c r="V62" s="199" t="str">
        <f>+Bonus!V62</f>
        <v>&lt; 250k</v>
      </c>
      <c r="X62" s="33"/>
    </row>
    <row r="63" spans="1:24">
      <c r="A63" s="614">
        <f>+Bonus!A63</f>
        <v>52.871400000000001</v>
      </c>
      <c r="B63" s="82" t="str">
        <f>+Bonus!B63</f>
        <v>New England Sheet Metal and Mechanical Co. - VCH Digging Water Line T&amp;M</v>
      </c>
      <c r="C63" s="227">
        <f>Bonus!C63</f>
        <v>5084.9399999999996</v>
      </c>
      <c r="D63" s="63">
        <f>Bonus!D63</f>
        <v>4465.6099999999997</v>
      </c>
      <c r="E63" s="63">
        <f>Bonus!E63</f>
        <v>619.32999999999993</v>
      </c>
      <c r="F63" s="218">
        <f>+Bonus!F63</f>
        <v>4465.6099999999997</v>
      </c>
      <c r="G63" s="182">
        <f t="shared" si="67"/>
        <v>1</v>
      </c>
      <c r="H63" s="98">
        <f t="shared" si="68"/>
        <v>619.32999999999993</v>
      </c>
      <c r="I63" s="98">
        <f t="shared" si="69"/>
        <v>5084.9399999999996</v>
      </c>
      <c r="J63" s="218">
        <f>+Bonus!J63</f>
        <v>5084.9399999999996</v>
      </c>
      <c r="K63" s="98">
        <f t="shared" si="70"/>
        <v>0</v>
      </c>
      <c r="L63" s="98">
        <f t="shared" si="71"/>
        <v>0</v>
      </c>
      <c r="M63" s="98">
        <f t="shared" si="72"/>
        <v>0</v>
      </c>
      <c r="N63" s="218">
        <f>Bonus!N63</f>
        <v>0</v>
      </c>
      <c r="O63" s="218">
        <f>Bonus!O63</f>
        <v>0</v>
      </c>
      <c r="P63" s="154">
        <f>Bonus!W63</f>
        <v>0</v>
      </c>
      <c r="Q63" s="98">
        <f t="shared" si="73"/>
        <v>4465.6099999999997</v>
      </c>
      <c r="R63" s="98">
        <f t="shared" si="74"/>
        <v>5084.9399999999996</v>
      </c>
      <c r="S63" s="129">
        <f t="shared" si="75"/>
        <v>619.32999999999993</v>
      </c>
      <c r="T63" s="199" t="str">
        <f>+Bonus!T63</f>
        <v>2025</v>
      </c>
      <c r="U63" s="199">
        <f>+Bonus!U63</f>
        <v>0</v>
      </c>
      <c r="V63" s="199" t="str">
        <f>+Bonus!V63</f>
        <v>&lt; 250k</v>
      </c>
      <c r="X63" s="33"/>
    </row>
    <row r="64" spans="1:24" hidden="1">
      <c r="A64" s="259"/>
      <c r="B64" s="82"/>
      <c r="C64" s="227"/>
      <c r="D64" s="63"/>
      <c r="E64" s="63"/>
      <c r="F64" s="218"/>
      <c r="G64" s="182"/>
      <c r="H64" s="98"/>
      <c r="I64" s="98"/>
      <c r="J64" s="218"/>
      <c r="K64" s="98"/>
      <c r="L64" s="98"/>
      <c r="M64" s="98"/>
      <c r="N64" s="218"/>
      <c r="O64" s="218"/>
      <c r="Q64" s="98"/>
      <c r="R64" s="98"/>
      <c r="S64" s="129"/>
      <c r="T64" s="199"/>
      <c r="U64" s="199"/>
      <c r="V64" s="199"/>
      <c r="X64" s="33"/>
    </row>
    <row r="65" spans="1:24">
      <c r="A65" s="195" t="str">
        <f>+Bonus!A65</f>
        <v>Fresno Area - Open Jobs Totals</v>
      </c>
      <c r="B65" s="82"/>
      <c r="C65" s="193">
        <f>SUM(C44:C64)</f>
        <v>120267354.98999999</v>
      </c>
      <c r="D65" s="193">
        <f>SUM(D44:D64)</f>
        <v>112437598.17999999</v>
      </c>
      <c r="E65" s="193">
        <f>SUM(E44:E64)</f>
        <v>7829756.8099999996</v>
      </c>
      <c r="F65" s="193">
        <f>SUM(F44:F64)</f>
        <v>89053141.850000009</v>
      </c>
      <c r="G65" s="182"/>
      <c r="H65" s="193">
        <f t="shared" ref="H65:S65" si="76">SUM(H44:H64)</f>
        <v>6921052.8885547984</v>
      </c>
      <c r="I65" s="193">
        <f t="shared" si="76"/>
        <v>95974194.738554776</v>
      </c>
      <c r="J65" s="193">
        <f t="shared" si="76"/>
        <v>96615921.650000006</v>
      </c>
      <c r="K65" s="193">
        <f t="shared" si="76"/>
        <v>641726.9114451959</v>
      </c>
      <c r="L65" s="193">
        <f t="shared" si="76"/>
        <v>23384456.329999991</v>
      </c>
      <c r="M65" s="193">
        <f t="shared" si="76"/>
        <v>23651433.339999996</v>
      </c>
      <c r="N65" s="193">
        <f t="shared" si="76"/>
        <v>51150072.540000007</v>
      </c>
      <c r="O65" s="193">
        <f t="shared" si="76"/>
        <v>56363057.850000001</v>
      </c>
      <c r="P65" s="193">
        <f t="shared" si="76"/>
        <v>4576143.6197577361</v>
      </c>
      <c r="Q65" s="193">
        <f t="shared" si="76"/>
        <v>37903069.310000002</v>
      </c>
      <c r="R65" s="193">
        <f t="shared" si="76"/>
        <v>40252863.799999997</v>
      </c>
      <c r="S65" s="193">
        <f t="shared" si="76"/>
        <v>2344909.2687970633</v>
      </c>
      <c r="T65" s="199"/>
      <c r="U65" s="199"/>
      <c r="V65" s="199"/>
      <c r="X65" s="33"/>
    </row>
    <row r="66" spans="1:24">
      <c r="A66" s="195"/>
      <c r="B66" s="82"/>
      <c r="C66" s="227"/>
      <c r="D66" s="63"/>
      <c r="E66" s="63"/>
      <c r="F66" s="218"/>
      <c r="G66" s="182"/>
      <c r="H66" s="98"/>
      <c r="I66" s="98"/>
      <c r="J66" s="218"/>
      <c r="K66" s="98"/>
      <c r="L66" s="98"/>
      <c r="M66" s="98"/>
      <c r="N66" s="218"/>
      <c r="O66" s="218"/>
      <c r="Q66" s="98"/>
      <c r="R66" s="98"/>
      <c r="S66" s="129"/>
      <c r="T66" s="199"/>
      <c r="U66" s="199"/>
      <c r="V66" s="199"/>
      <c r="X66" s="33"/>
    </row>
    <row r="67" spans="1:24">
      <c r="A67" s="195" t="str">
        <f>+Bonus!A67</f>
        <v>Fresno Area - Closed Jobs</v>
      </c>
      <c r="B67" s="82"/>
      <c r="C67" s="227"/>
      <c r="D67" s="63"/>
      <c r="E67" s="63"/>
      <c r="F67" s="218"/>
      <c r="G67" s="182"/>
      <c r="H67" s="98"/>
      <c r="I67" s="98"/>
      <c r="J67" s="218"/>
      <c r="K67" s="98"/>
      <c r="L67" s="98"/>
      <c r="M67" s="98"/>
      <c r="N67" s="218"/>
      <c r="O67" s="218"/>
      <c r="Q67" s="98"/>
      <c r="R67" s="98"/>
      <c r="S67" s="129"/>
      <c r="T67" s="199"/>
      <c r="U67" s="199"/>
      <c r="V67" s="199"/>
      <c r="X67" s="33"/>
    </row>
    <row r="68" spans="1:24">
      <c r="A68" s="259">
        <f>+Bonus!A68</f>
        <v>52.856699999999996</v>
      </c>
      <c r="B68" s="82" t="str">
        <f>+Bonus!B68</f>
        <v>City of Modesto - Grayson Well 69</v>
      </c>
      <c r="C68" s="227">
        <f>+Bonus!C68</f>
        <v>3059858.99</v>
      </c>
      <c r="D68" s="63">
        <f>+Bonus!D68</f>
        <v>3128023.93</v>
      </c>
      <c r="E68" s="63">
        <f>+Bonus!E68</f>
        <v>-68164.939999999944</v>
      </c>
      <c r="F68" s="218">
        <f>+Bonus!F68</f>
        <v>3128023.93</v>
      </c>
      <c r="G68" s="182">
        <f t="shared" ref="G68" si="77">IF(D68&lt;&gt;0,+F68/D68,0)</f>
        <v>1</v>
      </c>
      <c r="H68" s="98">
        <f t="shared" ref="H68" si="78">IF(E68&lt;=0,E68,IF(G68&lt;0.1,0,IF(G68&lt;=1,G68*E68,E68)))</f>
        <v>-68164.939999999944</v>
      </c>
      <c r="I68" s="98">
        <f t="shared" ref="I68" si="79">+F68+H68</f>
        <v>3059858.99</v>
      </c>
      <c r="J68" s="218">
        <f>+Bonus!J68</f>
        <v>3059858.99</v>
      </c>
      <c r="K68" s="98">
        <f t="shared" ref="K68" si="80">J68-I68</f>
        <v>0</v>
      </c>
      <c r="L68" s="98">
        <f t="shared" ref="L68" si="81">+D68-F68</f>
        <v>0</v>
      </c>
      <c r="M68" s="98">
        <f t="shared" ref="M68" si="82">+C68-J68</f>
        <v>0</v>
      </c>
      <c r="N68" s="218">
        <f>Bonus!N68</f>
        <v>3093625.26</v>
      </c>
      <c r="O68" s="218">
        <f>Bonus!O68</f>
        <v>3018499.27</v>
      </c>
      <c r="P68" s="154">
        <f>Bonus!W68</f>
        <v>-83000</v>
      </c>
      <c r="Q68" s="98">
        <f t="shared" ref="Q68" si="83">F68-N68</f>
        <v>34398.670000000391</v>
      </c>
      <c r="R68" s="98">
        <f t="shared" ref="R68" si="84">+J68-O68</f>
        <v>41359.720000000205</v>
      </c>
      <c r="S68" s="129">
        <f t="shared" ref="S68" si="85">H68-P68</f>
        <v>14835.060000000056</v>
      </c>
      <c r="T68" s="199" t="str">
        <f>+Bonus!T68</f>
        <v>2021</v>
      </c>
      <c r="U68" s="199" t="str">
        <f>+Bonus!U68</f>
        <v>2025</v>
      </c>
      <c r="V68" s="199" t="str">
        <f>+Bonus!V68</f>
        <v>.</v>
      </c>
      <c r="X68" s="33"/>
    </row>
    <row r="69" spans="1:24">
      <c r="A69" s="259">
        <f>+Bonus!A69</f>
        <v>52.860399999999998</v>
      </c>
      <c r="B69" s="82" t="str">
        <f>+Bonus!B69</f>
        <v>City of Atwater - Project No. 20-2, Well 20-A TCP Mitigation</v>
      </c>
      <c r="C69" s="227">
        <f>+Bonus!C69</f>
        <v>5095690.97</v>
      </c>
      <c r="D69" s="63">
        <f>+Bonus!D69</f>
        <v>4572503.2299999995</v>
      </c>
      <c r="E69" s="63">
        <f>+Bonus!E69</f>
        <v>523187.74000000022</v>
      </c>
      <c r="F69" s="218">
        <f>+Bonus!F69</f>
        <v>4572503.2299999995</v>
      </c>
      <c r="G69" s="182">
        <f t="shared" ref="G69:G101" si="86">IF(D69&lt;&gt;0,+F69/D69,0)</f>
        <v>1</v>
      </c>
      <c r="H69" s="98">
        <f t="shared" ref="H69:H101" si="87">IF(E69&lt;=0,E69,IF(G69&lt;0.1,0,IF(G69&lt;=1,G69*E69,E69)))</f>
        <v>523187.74000000022</v>
      </c>
      <c r="I69" s="98">
        <f t="shared" ref="I69:I101" si="88">+F69+H69</f>
        <v>5095690.97</v>
      </c>
      <c r="J69" s="218">
        <f>+Bonus!J69</f>
        <v>5095690.97</v>
      </c>
      <c r="K69" s="98">
        <f t="shared" ref="K69:K101" si="89">J69-I69</f>
        <v>0</v>
      </c>
      <c r="L69" s="98">
        <f t="shared" ref="L69:L101" si="90">+D69-F69</f>
        <v>0</v>
      </c>
      <c r="M69" s="98">
        <f t="shared" ref="M69:M101" si="91">+C69-J69</f>
        <v>0</v>
      </c>
      <c r="N69" s="218">
        <f>Bonus!N69</f>
        <v>3663663.49</v>
      </c>
      <c r="O69" s="218">
        <f>Bonus!O69</f>
        <v>4537408</v>
      </c>
      <c r="P69" s="154">
        <f>Bonus!W69</f>
        <v>329989.13269960659</v>
      </c>
      <c r="Q69" s="98">
        <f t="shared" ref="Q69:Q101" si="92">F69-N69</f>
        <v>908839.73999999929</v>
      </c>
      <c r="R69" s="98">
        <f t="shared" ref="R69:R101" si="93">+J69-O69</f>
        <v>558282.96999999974</v>
      </c>
      <c r="S69" s="129">
        <f t="shared" ref="S69:S101" si="94">H69-P69</f>
        <v>193198.60730039363</v>
      </c>
      <c r="T69" s="199" t="str">
        <f>+Bonus!T69</f>
        <v>2022</v>
      </c>
      <c r="U69" s="199" t="str">
        <f>+Bonus!U69</f>
        <v>2025</v>
      </c>
      <c r="V69" s="199" t="str">
        <f>+Bonus!V69</f>
        <v>.</v>
      </c>
      <c r="X69" s="33"/>
    </row>
    <row r="70" spans="1:24">
      <c r="A70" s="259">
        <f>+Bonus!A70</f>
        <v>52.8628</v>
      </c>
      <c r="B70" s="82" t="str">
        <f>+Bonus!B70</f>
        <v>City of Tulare - Well 4-3 Equipping &amp; I Drive Pipeline Proj.</v>
      </c>
      <c r="C70" s="227">
        <f>+Bonus!C70</f>
        <v>5213345.5</v>
      </c>
      <c r="D70" s="63">
        <f>+Bonus!D70</f>
        <v>4745798.53</v>
      </c>
      <c r="E70" s="63">
        <f>+Bonus!E70</f>
        <v>467546.96999999974</v>
      </c>
      <c r="F70" s="218">
        <f>+Bonus!F70</f>
        <v>4745798.53</v>
      </c>
      <c r="G70" s="182">
        <f t="shared" si="86"/>
        <v>1</v>
      </c>
      <c r="H70" s="98">
        <f t="shared" si="87"/>
        <v>467546.96999999974</v>
      </c>
      <c r="I70" s="98">
        <f t="shared" si="88"/>
        <v>5213345.5</v>
      </c>
      <c r="J70" s="218">
        <f>+Bonus!J70</f>
        <v>5213345.5</v>
      </c>
      <c r="K70" s="98">
        <f t="shared" si="89"/>
        <v>0</v>
      </c>
      <c r="L70" s="98">
        <f t="shared" si="90"/>
        <v>0</v>
      </c>
      <c r="M70" s="98">
        <f t="shared" si="91"/>
        <v>0</v>
      </c>
      <c r="N70" s="218">
        <f>Bonus!N70</f>
        <v>3841927.99</v>
      </c>
      <c r="O70" s="218">
        <f>Bonus!O70</f>
        <v>4344899</v>
      </c>
      <c r="P70" s="154">
        <f>Bonus!W70</f>
        <v>197224.75376923761</v>
      </c>
      <c r="Q70" s="98">
        <f t="shared" si="92"/>
        <v>903870.54</v>
      </c>
      <c r="R70" s="98">
        <f t="shared" si="93"/>
        <v>868446.5</v>
      </c>
      <c r="S70" s="129">
        <f t="shared" si="94"/>
        <v>270322.21623076213</v>
      </c>
      <c r="T70" s="199" t="str">
        <f>+Bonus!T70</f>
        <v>2023</v>
      </c>
      <c r="U70" s="199" t="str">
        <f>+Bonus!U70</f>
        <v>2025</v>
      </c>
      <c r="V70" s="199" t="str">
        <f>+Bonus!V70</f>
        <v>.</v>
      </c>
      <c r="X70" s="33"/>
    </row>
    <row r="71" spans="1:24">
      <c r="A71" s="259">
        <f>+Bonus!A71</f>
        <v>52.863100000000003</v>
      </c>
      <c r="B71" s="82" t="str">
        <f>+Bonus!B71</f>
        <v>Gunner Ranch, Inc. - Well 1 Equipping and Site Improvements</v>
      </c>
      <c r="C71" s="227">
        <f>+Bonus!C71</f>
        <v>2560650.14</v>
      </c>
      <c r="D71" s="63">
        <f>+Bonus!D71</f>
        <v>2448658.2599999998</v>
      </c>
      <c r="E71" s="63">
        <f>+Bonus!E71</f>
        <v>111991.88000000035</v>
      </c>
      <c r="F71" s="218">
        <f>+Bonus!F71</f>
        <v>2448658.2599999998</v>
      </c>
      <c r="G71" s="182">
        <f t="shared" si="86"/>
        <v>1</v>
      </c>
      <c r="H71" s="98">
        <f t="shared" si="87"/>
        <v>111991.88000000035</v>
      </c>
      <c r="I71" s="98">
        <f t="shared" si="88"/>
        <v>2560650.14</v>
      </c>
      <c r="J71" s="218">
        <f>+Bonus!J71</f>
        <v>2560650.14</v>
      </c>
      <c r="K71" s="98">
        <f t="shared" si="89"/>
        <v>0</v>
      </c>
      <c r="L71" s="98">
        <f t="shared" si="90"/>
        <v>0</v>
      </c>
      <c r="M71" s="98">
        <f t="shared" si="91"/>
        <v>0</v>
      </c>
      <c r="N71" s="218">
        <f>Bonus!N71</f>
        <v>2249693.14</v>
      </c>
      <c r="O71" s="218">
        <f>Bonus!O71</f>
        <v>2130066.81</v>
      </c>
      <c r="P71" s="154">
        <f>Bonus!W71</f>
        <v>73003.700537153374</v>
      </c>
      <c r="Q71" s="98">
        <f t="shared" si="92"/>
        <v>198965.11999999965</v>
      </c>
      <c r="R71" s="98">
        <f t="shared" si="93"/>
        <v>430583.33000000007</v>
      </c>
      <c r="S71" s="129">
        <f t="shared" si="94"/>
        <v>38988.17946284698</v>
      </c>
      <c r="T71" s="199" t="str">
        <f>+Bonus!T71</f>
        <v>2023</v>
      </c>
      <c r="U71" s="199" t="str">
        <f>+Bonus!U71</f>
        <v>2025</v>
      </c>
      <c r="V71" s="199" t="str">
        <f>+Bonus!V71</f>
        <v>.</v>
      </c>
      <c r="X71" s="33"/>
    </row>
    <row r="72" spans="1:24">
      <c r="A72" s="259">
        <f>+Bonus!A72</f>
        <v>52.865200000000002</v>
      </c>
      <c r="B72" s="82" t="str">
        <f>+Bonus!B72</f>
        <v>California Water Service Co. - Salinas 77 Booster Station</v>
      </c>
      <c r="C72" s="227">
        <f>+Bonus!C72</f>
        <v>1290184</v>
      </c>
      <c r="D72" s="63">
        <f>+Bonus!D72</f>
        <v>1039376.08</v>
      </c>
      <c r="E72" s="63">
        <f>+Bonus!E72</f>
        <v>250807.92000000004</v>
      </c>
      <c r="F72" s="218">
        <f>+Bonus!F72</f>
        <v>1039376.08</v>
      </c>
      <c r="G72" s="182">
        <f t="shared" si="86"/>
        <v>1</v>
      </c>
      <c r="H72" s="98">
        <f t="shared" si="87"/>
        <v>250807.92000000004</v>
      </c>
      <c r="I72" s="98">
        <f t="shared" si="88"/>
        <v>1290184</v>
      </c>
      <c r="J72" s="218">
        <f>+Bonus!J72</f>
        <v>1290184</v>
      </c>
      <c r="K72" s="98">
        <f t="shared" si="89"/>
        <v>0</v>
      </c>
      <c r="L72" s="98">
        <f t="shared" si="90"/>
        <v>0</v>
      </c>
      <c r="M72" s="98">
        <f t="shared" si="91"/>
        <v>0</v>
      </c>
      <c r="N72" s="218">
        <f>Bonus!N72</f>
        <v>985944.49</v>
      </c>
      <c r="O72" s="218">
        <f>Bonus!O72</f>
        <v>1202385</v>
      </c>
      <c r="P72" s="154">
        <f>Bonus!W72</f>
        <v>170698.83744000029</v>
      </c>
      <c r="Q72" s="98">
        <f t="shared" si="92"/>
        <v>53431.589999999967</v>
      </c>
      <c r="R72" s="98">
        <f t="shared" si="93"/>
        <v>87799</v>
      </c>
      <c r="S72" s="129">
        <f t="shared" si="94"/>
        <v>80109.082559999748</v>
      </c>
      <c r="T72" s="199" t="str">
        <f>+Bonus!T72</f>
        <v>2024</v>
      </c>
      <c r="U72" s="199" t="str">
        <f>+Bonus!U72</f>
        <v>2025</v>
      </c>
      <c r="V72" s="199" t="str">
        <f>+Bonus!V72</f>
        <v>.</v>
      </c>
      <c r="X72" s="33"/>
    </row>
    <row r="73" spans="1:24">
      <c r="A73" s="259">
        <f>+Bonus!A73</f>
        <v>52.8658</v>
      </c>
      <c r="B73" s="82" t="str">
        <f>+Bonus!B73</f>
        <v>California Water Service Co. - Visalia Station 98 Water Storage Tank &amp; Booster Site</v>
      </c>
      <c r="C73" s="227">
        <f>+Bonus!C73</f>
        <v>1870914.99</v>
      </c>
      <c r="D73" s="63">
        <f>+Bonus!D73</f>
        <v>1633530.21</v>
      </c>
      <c r="E73" s="63">
        <f>+Bonus!E73</f>
        <v>237384.78000000003</v>
      </c>
      <c r="F73" s="218">
        <f>+Bonus!F73</f>
        <v>1633530.21</v>
      </c>
      <c r="G73" s="182">
        <f t="shared" si="86"/>
        <v>1</v>
      </c>
      <c r="H73" s="98">
        <f t="shared" si="87"/>
        <v>237384.78000000003</v>
      </c>
      <c r="I73" s="98">
        <f t="shared" si="88"/>
        <v>1870914.99</v>
      </c>
      <c r="J73" s="218">
        <f>+Bonus!J73</f>
        <v>1870914.99</v>
      </c>
      <c r="K73" s="98">
        <f t="shared" si="89"/>
        <v>0</v>
      </c>
      <c r="L73" s="98">
        <f t="shared" si="90"/>
        <v>0</v>
      </c>
      <c r="M73" s="98">
        <f t="shared" si="91"/>
        <v>0</v>
      </c>
      <c r="N73" s="218">
        <f>Bonus!N73</f>
        <v>1521618.77</v>
      </c>
      <c r="O73" s="218">
        <f>Bonus!O73</f>
        <v>1789732.45</v>
      </c>
      <c r="P73" s="154">
        <f>Bonus!W73</f>
        <v>145886.60538494127</v>
      </c>
      <c r="Q73" s="98">
        <f t="shared" si="92"/>
        <v>111911.43999999994</v>
      </c>
      <c r="R73" s="98">
        <f t="shared" si="93"/>
        <v>81182.540000000037</v>
      </c>
      <c r="S73" s="129">
        <f t="shared" si="94"/>
        <v>91498.174615058757</v>
      </c>
      <c r="T73" s="199" t="str">
        <f>+Bonus!T73</f>
        <v>2023</v>
      </c>
      <c r="U73" s="199" t="str">
        <f>+Bonus!U73</f>
        <v>2025</v>
      </c>
      <c r="V73" s="199" t="str">
        <f>+Bonus!V73</f>
        <v>.</v>
      </c>
      <c r="X73" s="33"/>
    </row>
    <row r="74" spans="1:24">
      <c r="A74" s="259">
        <f>+Bonus!A74</f>
        <v>52.866300000000003</v>
      </c>
      <c r="B74" s="82" t="str">
        <f>+Bonus!B74</f>
        <v>Root Creek Water Dist. - Ag Well 277 Conversion Project</v>
      </c>
      <c r="C74" s="227">
        <f>+Bonus!C74</f>
        <v>1641800</v>
      </c>
      <c r="D74" s="63">
        <f>+Bonus!D74</f>
        <v>1379688.28</v>
      </c>
      <c r="E74" s="63">
        <f>+Bonus!E74</f>
        <v>262111.71999999997</v>
      </c>
      <c r="F74" s="218">
        <f>+Bonus!F74</f>
        <v>1379688.28</v>
      </c>
      <c r="G74" s="182">
        <f t="shared" si="86"/>
        <v>1</v>
      </c>
      <c r="H74" s="98">
        <f t="shared" si="87"/>
        <v>262111.71999999997</v>
      </c>
      <c r="I74" s="98">
        <f t="shared" si="88"/>
        <v>1641800</v>
      </c>
      <c r="J74" s="218">
        <f>+Bonus!J74</f>
        <v>1641800</v>
      </c>
      <c r="K74" s="98">
        <f t="shared" si="89"/>
        <v>0</v>
      </c>
      <c r="L74" s="98">
        <f t="shared" si="90"/>
        <v>0</v>
      </c>
      <c r="M74" s="98">
        <f t="shared" si="91"/>
        <v>0</v>
      </c>
      <c r="N74" s="218">
        <f>Bonus!N74</f>
        <v>406865.39</v>
      </c>
      <c r="O74" s="218">
        <f>Bonus!O74</f>
        <v>507750</v>
      </c>
      <c r="P74" s="154">
        <f>Bonus!W74</f>
        <v>42676.950827370209</v>
      </c>
      <c r="Q74" s="98">
        <f t="shared" si="92"/>
        <v>972822.89</v>
      </c>
      <c r="R74" s="98">
        <f t="shared" si="93"/>
        <v>1134050</v>
      </c>
      <c r="S74" s="129">
        <f t="shared" si="94"/>
        <v>219434.76917262975</v>
      </c>
      <c r="T74" s="199" t="str">
        <f>+Bonus!T74</f>
        <v>2024</v>
      </c>
      <c r="U74" s="199" t="str">
        <f>+Bonus!U74</f>
        <v>2025</v>
      </c>
      <c r="V74" s="199" t="str">
        <f>+Bonus!V74</f>
        <v>.</v>
      </c>
      <c r="X74" s="33"/>
    </row>
    <row r="75" spans="1:24">
      <c r="A75" s="259">
        <f>+Bonus!A75</f>
        <v>52.866700000000002</v>
      </c>
      <c r="B75" s="82" t="str">
        <f>+Bonus!B75</f>
        <v>California Water Service Co. - Cal Water Salinas Station 33</v>
      </c>
      <c r="C75" s="227">
        <f>+Bonus!C75</f>
        <v>314085.77</v>
      </c>
      <c r="D75" s="63">
        <f>+Bonus!D75</f>
        <v>290726.11</v>
      </c>
      <c r="E75" s="63">
        <f>+Bonus!E75</f>
        <v>23359.660000000033</v>
      </c>
      <c r="F75" s="218">
        <f>+Bonus!F75</f>
        <v>290726.11</v>
      </c>
      <c r="G75" s="182">
        <f t="shared" si="86"/>
        <v>1</v>
      </c>
      <c r="H75" s="98">
        <f t="shared" si="87"/>
        <v>23359.660000000033</v>
      </c>
      <c r="I75" s="98">
        <f t="shared" si="88"/>
        <v>314085.77</v>
      </c>
      <c r="J75" s="218">
        <f>+Bonus!J75</f>
        <v>314085.77</v>
      </c>
      <c r="K75" s="98">
        <f t="shared" si="89"/>
        <v>0</v>
      </c>
      <c r="L75" s="98">
        <f t="shared" si="90"/>
        <v>0</v>
      </c>
      <c r="M75" s="98">
        <f t="shared" si="91"/>
        <v>0</v>
      </c>
      <c r="N75" s="218">
        <f>Bonus!N75</f>
        <v>285347.34999999998</v>
      </c>
      <c r="O75" s="218">
        <f>Bonus!O75</f>
        <v>201644.15</v>
      </c>
      <c r="P75" s="154">
        <f>Bonus!W75</f>
        <v>26868.865348399246</v>
      </c>
      <c r="Q75" s="98">
        <f t="shared" si="92"/>
        <v>5378.7600000000093</v>
      </c>
      <c r="R75" s="98">
        <f t="shared" si="93"/>
        <v>112441.62000000002</v>
      </c>
      <c r="S75" s="129">
        <f t="shared" si="94"/>
        <v>-3509.2053483992131</v>
      </c>
      <c r="T75" s="199" t="str">
        <f>+Bonus!T75</f>
        <v>2024</v>
      </c>
      <c r="U75" s="199" t="str">
        <f>+Bonus!U75</f>
        <v>2025</v>
      </c>
      <c r="V75" s="199" t="str">
        <f>+Bonus!V75</f>
        <v>.</v>
      </c>
      <c r="X75" s="33"/>
    </row>
    <row r="76" spans="1:24">
      <c r="A76" s="259">
        <f>+Bonus!A76</f>
        <v>52.866999999999997</v>
      </c>
      <c r="B76" s="82" t="str">
        <f>+Bonus!B76</f>
        <v>California Water Service Co. - Cal Water - King City Station 10</v>
      </c>
      <c r="C76" s="227">
        <f>+Bonus!C76</f>
        <v>274166.01</v>
      </c>
      <c r="D76" s="63">
        <f>+Bonus!D76</f>
        <v>267282.05</v>
      </c>
      <c r="E76" s="63">
        <f>+Bonus!E76</f>
        <v>6883.960000000021</v>
      </c>
      <c r="F76" s="218">
        <f>+Bonus!F76</f>
        <v>267282.05</v>
      </c>
      <c r="G76" s="182">
        <f t="shared" si="86"/>
        <v>1</v>
      </c>
      <c r="H76" s="98">
        <f t="shared" si="87"/>
        <v>6883.960000000021</v>
      </c>
      <c r="I76" s="98">
        <f t="shared" si="88"/>
        <v>274166.01</v>
      </c>
      <c r="J76" s="218">
        <f>+Bonus!J76</f>
        <v>274166.01</v>
      </c>
      <c r="K76" s="98">
        <f t="shared" si="89"/>
        <v>0</v>
      </c>
      <c r="L76" s="98">
        <f t="shared" si="90"/>
        <v>0</v>
      </c>
      <c r="M76" s="98">
        <f t="shared" si="91"/>
        <v>0</v>
      </c>
      <c r="N76" s="218">
        <f>Bonus!N76</f>
        <v>121115.51</v>
      </c>
      <c r="O76" s="218">
        <f>Bonus!O76</f>
        <v>0</v>
      </c>
      <c r="P76" s="154">
        <f>Bonus!W76</f>
        <v>10404.4355848992</v>
      </c>
      <c r="Q76" s="98">
        <f t="shared" si="92"/>
        <v>146166.53999999998</v>
      </c>
      <c r="R76" s="98">
        <f t="shared" si="93"/>
        <v>274166.01</v>
      </c>
      <c r="S76" s="129">
        <f t="shared" si="94"/>
        <v>-3520.475584899179</v>
      </c>
      <c r="T76" s="199" t="str">
        <f>+Bonus!T76</f>
        <v>2024</v>
      </c>
      <c r="U76" s="199" t="str">
        <f>+Bonus!U76</f>
        <v>2025</v>
      </c>
      <c r="V76" s="199" t="str">
        <f>+Bonus!V76</f>
        <v>.</v>
      </c>
      <c r="X76" s="33"/>
    </row>
    <row r="77" spans="1:24">
      <c r="A77" s="259">
        <f>+Bonus!A77</f>
        <v>52.867400000000004</v>
      </c>
      <c r="B77" s="82" t="str">
        <f>+Bonus!B77</f>
        <v>City of Hanford - WWTP Standby Influent Pump Install</v>
      </c>
      <c r="C77" s="227">
        <f>+Bonus!C77</f>
        <v>279244</v>
      </c>
      <c r="D77" s="63">
        <f>+Bonus!D77</f>
        <v>251088.2</v>
      </c>
      <c r="E77" s="63">
        <f>+Bonus!E77</f>
        <v>28155.799999999988</v>
      </c>
      <c r="F77" s="218">
        <f>+Bonus!F77</f>
        <v>251088.2</v>
      </c>
      <c r="G77" s="182">
        <f t="shared" si="86"/>
        <v>1</v>
      </c>
      <c r="H77" s="98">
        <f t="shared" si="87"/>
        <v>28155.799999999988</v>
      </c>
      <c r="I77" s="98">
        <f t="shared" si="88"/>
        <v>279244</v>
      </c>
      <c r="J77" s="218">
        <f>+Bonus!J77</f>
        <v>279244</v>
      </c>
      <c r="K77" s="98">
        <f t="shared" si="89"/>
        <v>0</v>
      </c>
      <c r="L77" s="98">
        <f t="shared" si="90"/>
        <v>0</v>
      </c>
      <c r="M77" s="98">
        <f t="shared" si="91"/>
        <v>0</v>
      </c>
      <c r="N77" s="218">
        <f>Bonus!N77</f>
        <v>184739.62</v>
      </c>
      <c r="O77" s="218">
        <f>Bonus!O77</f>
        <v>279244</v>
      </c>
      <c r="P77" s="154">
        <f>Bonus!W77</f>
        <v>15534.58355022051</v>
      </c>
      <c r="Q77" s="98">
        <f t="shared" si="92"/>
        <v>66348.580000000016</v>
      </c>
      <c r="R77" s="98">
        <f t="shared" si="93"/>
        <v>0</v>
      </c>
      <c r="S77" s="129">
        <f t="shared" si="94"/>
        <v>12621.216449779478</v>
      </c>
      <c r="T77" s="199" t="str">
        <f>+Bonus!T77</f>
        <v>2024</v>
      </c>
      <c r="U77" s="199" t="str">
        <f>+Bonus!U77</f>
        <v>2025</v>
      </c>
      <c r="V77" s="199" t="str">
        <f>+Bonus!V77</f>
        <v>.</v>
      </c>
      <c r="X77" s="33"/>
    </row>
    <row r="78" spans="1:24">
      <c r="A78" s="259">
        <f>+Bonus!A78</f>
        <v>52.867699999999999</v>
      </c>
      <c r="B78" s="82" t="str">
        <f>+Bonus!B78</f>
        <v>Gunner Ranch, Inc. - CSA 22C Tank and PW2 Site Improvements</v>
      </c>
      <c r="C78" s="227">
        <f>+Bonus!C78</f>
        <v>796055.3</v>
      </c>
      <c r="D78" s="63">
        <f>+Bonus!D78</f>
        <v>689831.96</v>
      </c>
      <c r="E78" s="63">
        <f>+Bonus!E78</f>
        <v>106223.34000000008</v>
      </c>
      <c r="F78" s="218">
        <f>+Bonus!F78</f>
        <v>689831.96</v>
      </c>
      <c r="G78" s="182">
        <f t="shared" si="86"/>
        <v>1</v>
      </c>
      <c r="H78" s="98">
        <f t="shared" si="87"/>
        <v>106223.34000000008</v>
      </c>
      <c r="I78" s="98">
        <f t="shared" si="88"/>
        <v>796055.3</v>
      </c>
      <c r="J78" s="218">
        <f>+Bonus!J78</f>
        <v>796055.3</v>
      </c>
      <c r="K78" s="98">
        <f t="shared" si="89"/>
        <v>0</v>
      </c>
      <c r="L78" s="98">
        <f t="shared" si="90"/>
        <v>0</v>
      </c>
      <c r="M78" s="98">
        <f t="shared" si="91"/>
        <v>0</v>
      </c>
      <c r="N78" s="218">
        <f>Bonus!N78</f>
        <v>33286.03</v>
      </c>
      <c r="O78" s="218">
        <f>Bonus!O78</f>
        <v>0</v>
      </c>
      <c r="P78" s="154">
        <f>Bonus!W78</f>
        <v>0</v>
      </c>
      <c r="Q78" s="98">
        <f t="shared" si="92"/>
        <v>656545.92999999993</v>
      </c>
      <c r="R78" s="98">
        <f t="shared" si="93"/>
        <v>796055.3</v>
      </c>
      <c r="S78" s="129">
        <f t="shared" si="94"/>
        <v>106223.34000000008</v>
      </c>
      <c r="T78" s="199" t="str">
        <f>+Bonus!T78</f>
        <v>2024</v>
      </c>
      <c r="U78" s="199" t="str">
        <f>+Bonus!U78</f>
        <v>2025</v>
      </c>
      <c r="V78" s="199" t="str">
        <f>+Bonus!V78</f>
        <v>.</v>
      </c>
      <c r="X78" s="33"/>
    </row>
    <row r="79" spans="1:24">
      <c r="A79" s="259">
        <f>+Bonus!A79</f>
        <v>52.868000000000002</v>
      </c>
      <c r="B79" s="82" t="str">
        <f>+Bonus!B79</f>
        <v>City of Orange Cove - Orange Cove West Clarifier T&amp;M</v>
      </c>
      <c r="C79" s="227">
        <f>+Bonus!C79</f>
        <v>29838.25</v>
      </c>
      <c r="D79" s="63">
        <f>+Bonus!D79</f>
        <v>26088.33</v>
      </c>
      <c r="E79" s="63">
        <f>+Bonus!E79</f>
        <v>3749.9199999999983</v>
      </c>
      <c r="F79" s="218">
        <f>+Bonus!F79</f>
        <v>26088.33</v>
      </c>
      <c r="G79" s="182">
        <f t="shared" si="86"/>
        <v>1</v>
      </c>
      <c r="H79" s="98">
        <f t="shared" si="87"/>
        <v>3749.9199999999983</v>
      </c>
      <c r="I79" s="98">
        <f t="shared" si="88"/>
        <v>29838.25</v>
      </c>
      <c r="J79" s="218">
        <f>+Bonus!J79</f>
        <v>29838.25</v>
      </c>
      <c r="K79" s="98">
        <f t="shared" si="89"/>
        <v>0</v>
      </c>
      <c r="L79" s="98">
        <f t="shared" si="90"/>
        <v>0</v>
      </c>
      <c r="M79" s="98">
        <f t="shared" si="91"/>
        <v>0</v>
      </c>
      <c r="N79" s="218">
        <f>Bonus!N79</f>
        <v>6514.21</v>
      </c>
      <c r="O79" s="218">
        <f>Bonus!O79</f>
        <v>0</v>
      </c>
      <c r="P79" s="154">
        <f>Bonus!W79</f>
        <v>0</v>
      </c>
      <c r="Q79" s="98">
        <f t="shared" si="92"/>
        <v>19574.120000000003</v>
      </c>
      <c r="R79" s="98">
        <f t="shared" si="93"/>
        <v>29838.25</v>
      </c>
      <c r="S79" s="129">
        <f t="shared" si="94"/>
        <v>3749.9199999999983</v>
      </c>
      <c r="T79" s="199" t="str">
        <f>+Bonus!T79</f>
        <v>2024</v>
      </c>
      <c r="U79" s="199" t="str">
        <f>+Bonus!U79</f>
        <v>2025</v>
      </c>
      <c r="V79" s="199" t="str">
        <f>+Bonus!V79</f>
        <v>&lt; 250k</v>
      </c>
      <c r="X79" s="33"/>
    </row>
    <row r="80" spans="1:24">
      <c r="A80" s="259">
        <f>+Bonus!A80</f>
        <v>52.868200000000002</v>
      </c>
      <c r="B80" s="82" t="str">
        <f>+Bonus!B80</f>
        <v>Fresno Overhead 2025</v>
      </c>
      <c r="C80" s="227">
        <f>+Bonus!C80</f>
        <v>0</v>
      </c>
      <c r="D80" s="63">
        <f>+Bonus!D80</f>
        <v>1121157.1000000001</v>
      </c>
      <c r="E80" s="63">
        <f>+Bonus!E80</f>
        <v>-1121157.1000000001</v>
      </c>
      <c r="F80" s="218">
        <f>+Bonus!F80</f>
        <v>1121157.1000000001</v>
      </c>
      <c r="G80" s="182">
        <f t="shared" ref="G80:G81" si="95">IF(D80&lt;&gt;0,+F80/D80,0)</f>
        <v>1</v>
      </c>
      <c r="H80" s="98">
        <f t="shared" ref="H80:H81" si="96">IF(E80&lt;=0,E80,IF(G80&lt;0.1,0,IF(G80&lt;=1,G80*E80,E80)))</f>
        <v>-1121157.1000000001</v>
      </c>
      <c r="I80" s="98">
        <f t="shared" ref="I80:I81" si="97">+F80+H80</f>
        <v>0</v>
      </c>
      <c r="J80" s="218">
        <f>+Bonus!J80</f>
        <v>0</v>
      </c>
      <c r="K80" s="98">
        <f t="shared" ref="K80:K81" si="98">J80-I80</f>
        <v>0</v>
      </c>
      <c r="L80" s="98">
        <f t="shared" ref="L80:L81" si="99">+D80-F80</f>
        <v>0</v>
      </c>
      <c r="M80" s="98">
        <f t="shared" ref="M80:M81" si="100">+C80-J80</f>
        <v>0</v>
      </c>
      <c r="N80" s="218">
        <f>Bonus!N80</f>
        <v>0</v>
      </c>
      <c r="O80" s="218">
        <f>Bonus!O80</f>
        <v>0</v>
      </c>
      <c r="P80" s="154">
        <f>Bonus!W80</f>
        <v>0</v>
      </c>
      <c r="Q80" s="98">
        <f t="shared" ref="Q80:Q81" si="101">F80-N80</f>
        <v>1121157.1000000001</v>
      </c>
      <c r="R80" s="98">
        <f t="shared" ref="R80:R81" si="102">+J80-O80</f>
        <v>0</v>
      </c>
      <c r="S80" s="129">
        <f t="shared" ref="S80:S81" si="103">H80-P80</f>
        <v>-1121157.1000000001</v>
      </c>
      <c r="T80" s="199" t="str">
        <f>+Bonus!T80</f>
        <v>2025</v>
      </c>
      <c r="U80" s="199" t="str">
        <f>+Bonus!U80</f>
        <v>2025</v>
      </c>
      <c r="V80" s="199" t="str">
        <f>+Bonus!V80</f>
        <v>OH</v>
      </c>
      <c r="X80" s="33"/>
    </row>
    <row r="81" spans="1:24">
      <c r="A81" s="259">
        <f>+Bonus!A81</f>
        <v>52.868299999999998</v>
      </c>
      <c r="B81" s="82" t="str">
        <f>+Bonus!B81</f>
        <v>Fresno Estimating 2025</v>
      </c>
      <c r="C81" s="227">
        <f>+Bonus!C81</f>
        <v>0</v>
      </c>
      <c r="D81" s="63">
        <f>+Bonus!D81</f>
        <v>415452.52</v>
      </c>
      <c r="E81" s="63">
        <f>+Bonus!E81</f>
        <v>-415452.52</v>
      </c>
      <c r="F81" s="218">
        <f>+Bonus!F81</f>
        <v>415452.52</v>
      </c>
      <c r="G81" s="182">
        <f t="shared" si="95"/>
        <v>1</v>
      </c>
      <c r="H81" s="98">
        <f t="shared" si="96"/>
        <v>-415452.52</v>
      </c>
      <c r="I81" s="98">
        <f t="shared" si="97"/>
        <v>0</v>
      </c>
      <c r="J81" s="218">
        <f>+Bonus!J81</f>
        <v>0</v>
      </c>
      <c r="K81" s="98">
        <f t="shared" si="98"/>
        <v>0</v>
      </c>
      <c r="L81" s="98">
        <f t="shared" si="99"/>
        <v>0</v>
      </c>
      <c r="M81" s="98">
        <f t="shared" si="100"/>
        <v>0</v>
      </c>
      <c r="N81" s="218">
        <f>Bonus!N81</f>
        <v>0</v>
      </c>
      <c r="O81" s="218">
        <f>Bonus!O81</f>
        <v>0</v>
      </c>
      <c r="P81" s="154">
        <f>Bonus!W81</f>
        <v>0</v>
      </c>
      <c r="Q81" s="98">
        <f t="shared" si="101"/>
        <v>415452.52</v>
      </c>
      <c r="R81" s="98">
        <f t="shared" si="102"/>
        <v>0</v>
      </c>
      <c r="S81" s="129">
        <f t="shared" si="103"/>
        <v>-415452.52</v>
      </c>
      <c r="T81" s="199" t="str">
        <f>+Bonus!T81</f>
        <v>2025</v>
      </c>
      <c r="U81" s="199" t="str">
        <f>+Bonus!U81</f>
        <v>2025</v>
      </c>
      <c r="V81" s="199" t="str">
        <f>+Bonus!V81</f>
        <v>OH</v>
      </c>
      <c r="X81" s="33"/>
    </row>
    <row r="82" spans="1:24">
      <c r="A82" s="259">
        <f>+Bonus!A82</f>
        <v>52.868400000000001</v>
      </c>
      <c r="B82" s="82" t="str">
        <f>+Bonus!B82</f>
        <v>Lakeside Ditch Co. - Lakeland Radial Gate Repair (T&amp;M)</v>
      </c>
      <c r="C82" s="227">
        <f>+Bonus!C82</f>
        <v>50568.05</v>
      </c>
      <c r="D82" s="63">
        <f>+Bonus!D82</f>
        <v>45291.39</v>
      </c>
      <c r="E82" s="63">
        <f>+Bonus!E82</f>
        <v>5276.6600000000035</v>
      </c>
      <c r="F82" s="218">
        <f>+Bonus!F82</f>
        <v>45291.39</v>
      </c>
      <c r="G82" s="182">
        <f t="shared" si="86"/>
        <v>1</v>
      </c>
      <c r="H82" s="98">
        <f t="shared" si="87"/>
        <v>5276.6600000000035</v>
      </c>
      <c r="I82" s="98">
        <f t="shared" si="88"/>
        <v>50568.05</v>
      </c>
      <c r="J82" s="218">
        <f>+Bonus!J82</f>
        <v>50568.05</v>
      </c>
      <c r="K82" s="98">
        <f t="shared" si="89"/>
        <v>0</v>
      </c>
      <c r="L82" s="98">
        <f t="shared" si="90"/>
        <v>0</v>
      </c>
      <c r="M82" s="98">
        <f t="shared" si="91"/>
        <v>0</v>
      </c>
      <c r="N82" s="218">
        <f>Bonus!N82</f>
        <v>0</v>
      </c>
      <c r="O82" s="218">
        <f>Bonus!O82</f>
        <v>0</v>
      </c>
      <c r="P82" s="154">
        <f>Bonus!W82</f>
        <v>0</v>
      </c>
      <c r="Q82" s="98">
        <f t="shared" si="92"/>
        <v>45291.39</v>
      </c>
      <c r="R82" s="98">
        <f t="shared" si="93"/>
        <v>50568.05</v>
      </c>
      <c r="S82" s="129">
        <f t="shared" si="94"/>
        <v>5276.6600000000035</v>
      </c>
      <c r="T82" s="199" t="str">
        <f>+Bonus!T82</f>
        <v>2025</v>
      </c>
      <c r="U82" s="199" t="str">
        <f>+Bonus!U82</f>
        <v>2025</v>
      </c>
      <c r="V82" s="199" t="str">
        <f>+Bonus!V82</f>
        <v>&lt; 250k</v>
      </c>
      <c r="X82" s="33"/>
    </row>
    <row r="83" spans="1:24">
      <c r="A83" s="259">
        <f>+Bonus!A83</f>
        <v>52.868499999999997</v>
      </c>
      <c r="B83" s="82" t="str">
        <f>+Bonus!B83</f>
        <v>Malaga County Water Dist. - Malaga County Water District</v>
      </c>
      <c r="C83" s="227">
        <f>+Bonus!C83</f>
        <v>451254</v>
      </c>
      <c r="D83" s="63">
        <f>+Bonus!D83</f>
        <v>382067.32</v>
      </c>
      <c r="E83" s="63">
        <f>+Bonus!E83</f>
        <v>69186.679999999993</v>
      </c>
      <c r="F83" s="218">
        <f>+Bonus!F83</f>
        <v>382067.32</v>
      </c>
      <c r="G83" s="182">
        <f t="shared" si="86"/>
        <v>1</v>
      </c>
      <c r="H83" s="98">
        <f t="shared" si="87"/>
        <v>69186.679999999993</v>
      </c>
      <c r="I83" s="98">
        <f t="shared" si="88"/>
        <v>451254</v>
      </c>
      <c r="J83" s="218">
        <f>+Bonus!J83</f>
        <v>451254</v>
      </c>
      <c r="K83" s="98">
        <f t="shared" si="89"/>
        <v>0</v>
      </c>
      <c r="L83" s="98">
        <f t="shared" si="90"/>
        <v>0</v>
      </c>
      <c r="M83" s="98">
        <f t="shared" si="91"/>
        <v>0</v>
      </c>
      <c r="N83" s="218">
        <f>Bonus!N83</f>
        <v>0</v>
      </c>
      <c r="O83" s="218">
        <f>Bonus!O83</f>
        <v>0</v>
      </c>
      <c r="P83" s="154">
        <f>Bonus!W83</f>
        <v>0</v>
      </c>
      <c r="Q83" s="98">
        <f t="shared" si="92"/>
        <v>382067.32</v>
      </c>
      <c r="R83" s="98">
        <f t="shared" si="93"/>
        <v>451254</v>
      </c>
      <c r="S83" s="129">
        <f t="shared" si="94"/>
        <v>69186.679999999993</v>
      </c>
      <c r="T83" s="199" t="str">
        <f>+Bonus!T83</f>
        <v>2025</v>
      </c>
      <c r="U83" s="199" t="str">
        <f>+Bonus!U83</f>
        <v>2025</v>
      </c>
      <c r="V83" s="199" t="str">
        <f>+Bonus!V83</f>
        <v>.</v>
      </c>
      <c r="X83" s="33"/>
    </row>
    <row r="84" spans="1:24">
      <c r="A84" s="259">
        <f>+Bonus!A84</f>
        <v>52.868600000000001</v>
      </c>
      <c r="B84" s="82" t="str">
        <f>+Bonus!B84</f>
        <v>Root Creek Water Dist. - Groundwater - 48-Inch RCP Repair</v>
      </c>
      <c r="C84" s="227">
        <f>+Bonus!C84</f>
        <v>23957</v>
      </c>
      <c r="D84" s="63">
        <f>+Bonus!D84</f>
        <v>7505.260000000002</v>
      </c>
      <c r="E84" s="63">
        <f>+Bonus!E84</f>
        <v>16451.739999999998</v>
      </c>
      <c r="F84" s="218">
        <f>+Bonus!F84</f>
        <v>7505.26</v>
      </c>
      <c r="G84" s="182">
        <f t="shared" si="86"/>
        <v>0.99999999999999978</v>
      </c>
      <c r="H84" s="98">
        <f t="shared" si="87"/>
        <v>16451.739999999994</v>
      </c>
      <c r="I84" s="98">
        <f t="shared" si="88"/>
        <v>23956.999999999993</v>
      </c>
      <c r="J84" s="218">
        <f>+Bonus!J84</f>
        <v>23957</v>
      </c>
      <c r="K84" s="98">
        <f t="shared" si="89"/>
        <v>0</v>
      </c>
      <c r="L84" s="98">
        <f t="shared" si="90"/>
        <v>0</v>
      </c>
      <c r="M84" s="98">
        <f t="shared" si="91"/>
        <v>0</v>
      </c>
      <c r="N84" s="218">
        <f>Bonus!N84</f>
        <v>6290.87</v>
      </c>
      <c r="O84" s="218">
        <f>Bonus!O84</f>
        <v>0</v>
      </c>
      <c r="P84" s="154">
        <f>Bonus!W84</f>
        <v>15372.256719850511</v>
      </c>
      <c r="Q84" s="98">
        <f t="shared" si="92"/>
        <v>1214.3900000000003</v>
      </c>
      <c r="R84" s="98">
        <f t="shared" si="93"/>
        <v>23957</v>
      </c>
      <c r="S84" s="129">
        <f t="shared" si="94"/>
        <v>1079.4832801494831</v>
      </c>
      <c r="T84" s="199" t="str">
        <f>+Bonus!T84</f>
        <v>2024</v>
      </c>
      <c r="U84" s="199" t="str">
        <f>+Bonus!U84</f>
        <v>2025</v>
      </c>
      <c r="V84" s="199" t="str">
        <f>+Bonus!V84</f>
        <v>&lt; 250k</v>
      </c>
      <c r="X84" s="33"/>
    </row>
    <row r="85" spans="1:24">
      <c r="A85" s="259">
        <f>+Bonus!A85</f>
        <v>52.8688</v>
      </c>
      <c r="B85" s="82" t="str">
        <f>+Bonus!B85</f>
        <v>New England Sheet Metal and Mechanical Co. - Valley Children's Hospital NESM Trench Limits</v>
      </c>
      <c r="C85" s="227">
        <f>+Bonus!C85</f>
        <v>132492.20000000001</v>
      </c>
      <c r="D85" s="63">
        <f>+Bonus!D85</f>
        <v>116972.75</v>
      </c>
      <c r="E85" s="63">
        <f>+Bonus!E85</f>
        <v>15519.450000000012</v>
      </c>
      <c r="F85" s="218">
        <f>+Bonus!F85</f>
        <v>116972.75</v>
      </c>
      <c r="G85" s="182">
        <f t="shared" si="86"/>
        <v>1</v>
      </c>
      <c r="H85" s="98">
        <f t="shared" si="87"/>
        <v>15519.450000000012</v>
      </c>
      <c r="I85" s="98">
        <f t="shared" si="88"/>
        <v>132492.20000000001</v>
      </c>
      <c r="J85" s="218">
        <f>+Bonus!J85</f>
        <v>132492.20000000001</v>
      </c>
      <c r="K85" s="98">
        <f t="shared" si="89"/>
        <v>0</v>
      </c>
      <c r="L85" s="98">
        <f t="shared" si="90"/>
        <v>0</v>
      </c>
      <c r="M85" s="98">
        <f t="shared" si="91"/>
        <v>0</v>
      </c>
      <c r="N85" s="218">
        <f>Bonus!N85</f>
        <v>0</v>
      </c>
      <c r="O85" s="218">
        <f>Bonus!O85</f>
        <v>0</v>
      </c>
      <c r="P85" s="154">
        <f>Bonus!W85</f>
        <v>0</v>
      </c>
      <c r="Q85" s="98">
        <f t="shared" si="92"/>
        <v>116972.75</v>
      </c>
      <c r="R85" s="98">
        <f t="shared" si="93"/>
        <v>132492.20000000001</v>
      </c>
      <c r="S85" s="129">
        <f t="shared" si="94"/>
        <v>15519.450000000012</v>
      </c>
      <c r="T85" s="199" t="str">
        <f>+Bonus!T85</f>
        <v>2025</v>
      </c>
      <c r="U85" s="199" t="str">
        <f>+Bonus!U85</f>
        <v>2025</v>
      </c>
      <c r="V85" s="199" t="str">
        <f>+Bonus!V85</f>
        <v>&lt; 250k</v>
      </c>
      <c r="X85" s="33"/>
    </row>
    <row r="86" spans="1:24">
      <c r="A86" s="259">
        <f>+Bonus!A86</f>
        <v>52.868899999999996</v>
      </c>
      <c r="B86" s="82" t="str">
        <f>+Bonus!B86</f>
        <v>City of Sanger - Public Works Dept. - City of Sanger WWTP- Remove and Install Valves T&amp;M</v>
      </c>
      <c r="C86" s="227">
        <f>+Bonus!C86</f>
        <v>16665.830000000002</v>
      </c>
      <c r="D86" s="63">
        <f>+Bonus!D86</f>
        <v>16095.58</v>
      </c>
      <c r="E86" s="63">
        <f>+Bonus!E86</f>
        <v>570.25000000000182</v>
      </c>
      <c r="F86" s="218">
        <f>+Bonus!F86</f>
        <v>16095.58</v>
      </c>
      <c r="G86" s="182">
        <f t="shared" si="86"/>
        <v>1</v>
      </c>
      <c r="H86" s="98">
        <f t="shared" si="87"/>
        <v>570.25000000000182</v>
      </c>
      <c r="I86" s="98">
        <f t="shared" si="88"/>
        <v>16665.830000000002</v>
      </c>
      <c r="J86" s="218">
        <f>+Bonus!J86</f>
        <v>16665.830000000002</v>
      </c>
      <c r="K86" s="98">
        <f t="shared" si="89"/>
        <v>0</v>
      </c>
      <c r="L86" s="98">
        <f t="shared" si="90"/>
        <v>0</v>
      </c>
      <c r="M86" s="98">
        <f t="shared" si="91"/>
        <v>0</v>
      </c>
      <c r="N86" s="218">
        <f>Bonus!N86</f>
        <v>0</v>
      </c>
      <c r="O86" s="218">
        <f>Bonus!O86</f>
        <v>0</v>
      </c>
      <c r="P86" s="154">
        <f>Bonus!W86</f>
        <v>0</v>
      </c>
      <c r="Q86" s="98">
        <f t="shared" si="92"/>
        <v>16095.58</v>
      </c>
      <c r="R86" s="98">
        <f t="shared" si="93"/>
        <v>16665.830000000002</v>
      </c>
      <c r="S86" s="129">
        <f t="shared" si="94"/>
        <v>570.25000000000182</v>
      </c>
      <c r="T86" s="199" t="str">
        <f>+Bonus!T86</f>
        <v>2025</v>
      </c>
      <c r="U86" s="199" t="str">
        <f>+Bonus!U86</f>
        <v>2025</v>
      </c>
      <c r="V86" s="199" t="str">
        <f>+Bonus!V86</f>
        <v>&lt; 250k</v>
      </c>
      <c r="X86" s="33"/>
    </row>
    <row r="87" spans="1:24">
      <c r="A87" s="259">
        <f>+Bonus!A87</f>
        <v>52.869</v>
      </c>
      <c r="B87" s="82" t="str">
        <f>+Bonus!B87</f>
        <v>City of Dinuba - WWTP Rake Replacement</v>
      </c>
      <c r="C87" s="227">
        <f>+Bonus!C87</f>
        <v>14151.97</v>
      </c>
      <c r="D87" s="63">
        <f>+Bonus!D87</f>
        <v>13155.83</v>
      </c>
      <c r="E87" s="63">
        <f>+Bonus!E87</f>
        <v>996.13999999999942</v>
      </c>
      <c r="F87" s="218">
        <f>+Bonus!F87</f>
        <v>13155.83</v>
      </c>
      <c r="G87" s="182">
        <f t="shared" si="86"/>
        <v>1</v>
      </c>
      <c r="H87" s="98">
        <f t="shared" si="87"/>
        <v>996.13999999999942</v>
      </c>
      <c r="I87" s="98">
        <f t="shared" si="88"/>
        <v>14151.97</v>
      </c>
      <c r="J87" s="218">
        <f>+Bonus!J87</f>
        <v>14151.97</v>
      </c>
      <c r="K87" s="98">
        <f t="shared" si="89"/>
        <v>0</v>
      </c>
      <c r="L87" s="98">
        <f t="shared" si="90"/>
        <v>0</v>
      </c>
      <c r="M87" s="98">
        <f t="shared" si="91"/>
        <v>0</v>
      </c>
      <c r="N87" s="218">
        <f>Bonus!N87</f>
        <v>0</v>
      </c>
      <c r="O87" s="218">
        <f>Bonus!O87</f>
        <v>0</v>
      </c>
      <c r="P87" s="154">
        <f>Bonus!W87</f>
        <v>0</v>
      </c>
      <c r="Q87" s="98">
        <f t="shared" si="92"/>
        <v>13155.83</v>
      </c>
      <c r="R87" s="98">
        <f t="shared" si="93"/>
        <v>14151.97</v>
      </c>
      <c r="S87" s="129">
        <f t="shared" si="94"/>
        <v>996.13999999999942</v>
      </c>
      <c r="T87" s="199" t="str">
        <f>+Bonus!T87</f>
        <v>2025</v>
      </c>
      <c r="U87" s="199" t="str">
        <f>+Bonus!U87</f>
        <v>2025</v>
      </c>
      <c r="V87" s="199" t="str">
        <f>+Bonus!V87</f>
        <v>&lt; 250k</v>
      </c>
      <c r="X87" s="33"/>
    </row>
    <row r="88" spans="1:24">
      <c r="A88" s="259">
        <f>+Bonus!A88</f>
        <v>52.869100000000003</v>
      </c>
      <c r="B88" s="82" t="str">
        <f>+Bonus!B88</f>
        <v>County of Fresno - Quail Lakes Repair at Bodega Bay Rd</v>
      </c>
      <c r="C88" s="227">
        <f>+Bonus!C88</f>
        <v>11302.84</v>
      </c>
      <c r="D88" s="63">
        <f>+Bonus!D88</f>
        <v>8287.82</v>
      </c>
      <c r="E88" s="63">
        <f>+Bonus!E88</f>
        <v>3015.0200000000004</v>
      </c>
      <c r="F88" s="218">
        <f>+Bonus!F88</f>
        <v>8287.82</v>
      </c>
      <c r="G88" s="182">
        <f t="shared" si="86"/>
        <v>1</v>
      </c>
      <c r="H88" s="98">
        <f t="shared" si="87"/>
        <v>3015.0200000000004</v>
      </c>
      <c r="I88" s="98">
        <f t="shared" si="88"/>
        <v>11302.84</v>
      </c>
      <c r="J88" s="218">
        <f>+Bonus!J88</f>
        <v>11302.84</v>
      </c>
      <c r="K88" s="98">
        <f t="shared" si="89"/>
        <v>0</v>
      </c>
      <c r="L88" s="98">
        <f t="shared" si="90"/>
        <v>0</v>
      </c>
      <c r="M88" s="98">
        <f t="shared" si="91"/>
        <v>0</v>
      </c>
      <c r="N88" s="218">
        <f>Bonus!N88</f>
        <v>0</v>
      </c>
      <c r="O88" s="218">
        <f>Bonus!O88</f>
        <v>0</v>
      </c>
      <c r="P88" s="154">
        <f>Bonus!W88</f>
        <v>0</v>
      </c>
      <c r="Q88" s="98">
        <f t="shared" si="92"/>
        <v>8287.82</v>
      </c>
      <c r="R88" s="98">
        <f t="shared" si="93"/>
        <v>11302.84</v>
      </c>
      <c r="S88" s="129">
        <f t="shared" si="94"/>
        <v>3015.0200000000004</v>
      </c>
      <c r="T88" s="199" t="str">
        <f>+Bonus!T88</f>
        <v>2025</v>
      </c>
      <c r="U88" s="199" t="str">
        <f>+Bonus!U88</f>
        <v>2025</v>
      </c>
      <c r="V88" s="199" t="str">
        <f>+Bonus!V88</f>
        <v>&lt; 250k</v>
      </c>
      <c r="X88" s="33"/>
    </row>
    <row r="89" spans="1:24">
      <c r="A89" s="259">
        <f>+Bonus!A89</f>
        <v>52.869300000000003</v>
      </c>
      <c r="B89" s="82" t="str">
        <f>+Bonus!B89</f>
        <v>New England Sheet Metal and Mechanical Co. - VCH Service Meter Connections</v>
      </c>
      <c r="C89" s="227">
        <f>+Bonus!C89</f>
        <v>1120704.2</v>
      </c>
      <c r="D89" s="63">
        <f>+Bonus!D89</f>
        <v>663140.99</v>
      </c>
      <c r="E89" s="63">
        <f>+Bonus!E89</f>
        <v>457563.20999999996</v>
      </c>
      <c r="F89" s="218">
        <f>+Bonus!F89</f>
        <v>663140.99</v>
      </c>
      <c r="G89" s="182">
        <f t="shared" si="86"/>
        <v>1</v>
      </c>
      <c r="H89" s="98">
        <f t="shared" si="87"/>
        <v>457563.20999999996</v>
      </c>
      <c r="I89" s="98">
        <f t="shared" si="88"/>
        <v>1120704.2</v>
      </c>
      <c r="J89" s="218">
        <f>+Bonus!J89</f>
        <v>1120704.2</v>
      </c>
      <c r="K89" s="98">
        <f t="shared" si="89"/>
        <v>0</v>
      </c>
      <c r="L89" s="98">
        <f t="shared" si="90"/>
        <v>0</v>
      </c>
      <c r="M89" s="98">
        <f t="shared" si="91"/>
        <v>0</v>
      </c>
      <c r="N89" s="218">
        <f>Bonus!N89</f>
        <v>0</v>
      </c>
      <c r="O89" s="218">
        <f>Bonus!O89</f>
        <v>0</v>
      </c>
      <c r="P89" s="154">
        <f>Bonus!W89</f>
        <v>0</v>
      </c>
      <c r="Q89" s="98">
        <f t="shared" si="92"/>
        <v>663140.99</v>
      </c>
      <c r="R89" s="98">
        <f t="shared" si="93"/>
        <v>1120704.2</v>
      </c>
      <c r="S89" s="129">
        <f t="shared" si="94"/>
        <v>457563.20999999996</v>
      </c>
      <c r="T89" s="199" t="str">
        <f>+Bonus!T89</f>
        <v>2025</v>
      </c>
      <c r="U89" s="199" t="str">
        <f>+Bonus!U89</f>
        <v>2025</v>
      </c>
      <c r="V89" s="199" t="str">
        <f>+Bonus!V89</f>
        <v>.</v>
      </c>
      <c r="X89" s="33"/>
    </row>
    <row r="90" spans="1:24">
      <c r="A90" s="259">
        <f>+Bonus!A90</f>
        <v>52.869399999999999</v>
      </c>
      <c r="B90" s="82" t="str">
        <f>+Bonus!B90</f>
        <v>Pixley Public Utility District - Pixley WWTF - STM-Aerotor Repair</v>
      </c>
      <c r="C90" s="227">
        <f>+Bonus!C90</f>
        <v>43047.45</v>
      </c>
      <c r="D90" s="63">
        <f>+Bonus!D90</f>
        <v>38541.99</v>
      </c>
      <c r="E90" s="63">
        <f>+Bonus!E90</f>
        <v>4505.4599999999991</v>
      </c>
      <c r="F90" s="218">
        <f>+Bonus!F90</f>
        <v>38541.99</v>
      </c>
      <c r="G90" s="182">
        <f t="shared" si="86"/>
        <v>1</v>
      </c>
      <c r="H90" s="98">
        <f t="shared" si="87"/>
        <v>4505.4599999999991</v>
      </c>
      <c r="I90" s="98">
        <f t="shared" si="88"/>
        <v>43047.45</v>
      </c>
      <c r="J90" s="218">
        <f>+Bonus!J90</f>
        <v>43047.45</v>
      </c>
      <c r="K90" s="98">
        <f t="shared" si="89"/>
        <v>0</v>
      </c>
      <c r="L90" s="98">
        <f t="shared" si="90"/>
        <v>0</v>
      </c>
      <c r="M90" s="98">
        <f t="shared" si="91"/>
        <v>0</v>
      </c>
      <c r="N90" s="218">
        <f>Bonus!N90</f>
        <v>0</v>
      </c>
      <c r="O90" s="218">
        <f>Bonus!O90</f>
        <v>0</v>
      </c>
      <c r="P90" s="154">
        <f>Bonus!W90</f>
        <v>0</v>
      </c>
      <c r="Q90" s="98">
        <f t="shared" si="92"/>
        <v>38541.99</v>
      </c>
      <c r="R90" s="98">
        <f t="shared" si="93"/>
        <v>43047.45</v>
      </c>
      <c r="S90" s="129">
        <f t="shared" si="94"/>
        <v>4505.4599999999991</v>
      </c>
      <c r="T90" s="199" t="str">
        <f>+Bonus!T90</f>
        <v>2025</v>
      </c>
      <c r="U90" s="199" t="str">
        <f>+Bonus!U90</f>
        <v>2025</v>
      </c>
      <c r="V90" s="199" t="str">
        <f>+Bonus!V90</f>
        <v>&lt; 250k</v>
      </c>
      <c r="X90" s="33"/>
    </row>
    <row r="91" spans="1:24">
      <c r="A91" s="259">
        <f>+Bonus!A91</f>
        <v>52.869500000000002</v>
      </c>
      <c r="B91" s="82" t="str">
        <f>+Bonus!B91</f>
        <v>Lyles Services Co. - LSC GO Trash Enclosure</v>
      </c>
      <c r="C91" s="227">
        <f>+Bonus!C91</f>
        <v>13769</v>
      </c>
      <c r="D91" s="63">
        <f>+Bonus!D91</f>
        <v>13024.37</v>
      </c>
      <c r="E91" s="63">
        <f>+Bonus!E91</f>
        <v>744.6299999999992</v>
      </c>
      <c r="F91" s="218">
        <f>+Bonus!F91</f>
        <v>13024.37</v>
      </c>
      <c r="G91" s="182">
        <f t="shared" si="86"/>
        <v>1</v>
      </c>
      <c r="H91" s="98">
        <f t="shared" si="87"/>
        <v>744.6299999999992</v>
      </c>
      <c r="I91" s="98">
        <f t="shared" si="88"/>
        <v>13769</v>
      </c>
      <c r="J91" s="218">
        <f>+Bonus!J91</f>
        <v>13769</v>
      </c>
      <c r="K91" s="98">
        <f t="shared" si="89"/>
        <v>0</v>
      </c>
      <c r="L91" s="98">
        <f t="shared" si="90"/>
        <v>0</v>
      </c>
      <c r="M91" s="98">
        <f t="shared" si="91"/>
        <v>0</v>
      </c>
      <c r="N91" s="218">
        <f>Bonus!N91</f>
        <v>0</v>
      </c>
      <c r="O91" s="218">
        <f>Bonus!O91</f>
        <v>0</v>
      </c>
      <c r="P91" s="154">
        <f>Bonus!W91</f>
        <v>0</v>
      </c>
      <c r="Q91" s="98">
        <f t="shared" si="92"/>
        <v>13024.37</v>
      </c>
      <c r="R91" s="98">
        <f t="shared" si="93"/>
        <v>13769</v>
      </c>
      <c r="S91" s="129">
        <f t="shared" si="94"/>
        <v>744.6299999999992</v>
      </c>
      <c r="T91" s="199" t="str">
        <f>+Bonus!T91</f>
        <v>2025</v>
      </c>
      <c r="U91" s="199" t="str">
        <f>+Bonus!U91</f>
        <v>2025</v>
      </c>
      <c r="V91" s="199" t="str">
        <f>+Bonus!V91</f>
        <v>&lt; 250k</v>
      </c>
      <c r="X91" s="33"/>
    </row>
    <row r="92" spans="1:24">
      <c r="A92" s="259">
        <f>+Bonus!A92</f>
        <v>52.869599999999998</v>
      </c>
      <c r="B92" s="82" t="str">
        <f>+Bonus!B92</f>
        <v>American Paving Co. - Hot Tap for APC- Tule River Parkway</v>
      </c>
      <c r="C92" s="227">
        <f>+Bonus!C92</f>
        <v>1059.22</v>
      </c>
      <c r="D92" s="63">
        <f>+Bonus!D92</f>
        <v>887.65</v>
      </c>
      <c r="E92" s="63">
        <f>+Bonus!E92</f>
        <v>171.57000000000005</v>
      </c>
      <c r="F92" s="218">
        <f>+Bonus!F92</f>
        <v>887.65</v>
      </c>
      <c r="G92" s="182">
        <f t="shared" si="86"/>
        <v>1</v>
      </c>
      <c r="H92" s="98">
        <f t="shared" si="87"/>
        <v>171.57000000000005</v>
      </c>
      <c r="I92" s="98">
        <f t="shared" si="88"/>
        <v>1059.22</v>
      </c>
      <c r="J92" s="218">
        <f>+Bonus!J92</f>
        <v>1059.22</v>
      </c>
      <c r="K92" s="98">
        <f t="shared" si="89"/>
        <v>0</v>
      </c>
      <c r="L92" s="98">
        <f t="shared" si="90"/>
        <v>0</v>
      </c>
      <c r="M92" s="98">
        <f t="shared" si="91"/>
        <v>0</v>
      </c>
      <c r="N92" s="218">
        <f>Bonus!N92</f>
        <v>0</v>
      </c>
      <c r="O92" s="218">
        <f>Bonus!O92</f>
        <v>0</v>
      </c>
      <c r="P92" s="154">
        <f>Bonus!W92</f>
        <v>0</v>
      </c>
      <c r="Q92" s="98">
        <f t="shared" si="92"/>
        <v>887.65</v>
      </c>
      <c r="R92" s="98">
        <f t="shared" si="93"/>
        <v>1059.22</v>
      </c>
      <c r="S92" s="129">
        <f t="shared" si="94"/>
        <v>171.57000000000005</v>
      </c>
      <c r="T92" s="199" t="str">
        <f>+Bonus!T92</f>
        <v>2025</v>
      </c>
      <c r="U92" s="199" t="str">
        <f>+Bonus!U92</f>
        <v>2025</v>
      </c>
      <c r="V92" s="199" t="str">
        <f>+Bonus!V92</f>
        <v>&lt; 250k</v>
      </c>
      <c r="X92" s="33"/>
    </row>
    <row r="93" spans="1:24">
      <c r="A93" s="259">
        <f>+Bonus!A93</f>
        <v>52.869900000000001</v>
      </c>
      <c r="B93" s="82" t="str">
        <f>+Bonus!B93</f>
        <v>City of Hanford - WWTP Repair T&amp;M</v>
      </c>
      <c r="C93" s="227">
        <f>+Bonus!C93</f>
        <v>3001.12</v>
      </c>
      <c r="D93" s="63">
        <f>+Bonus!D93</f>
        <v>2948.91</v>
      </c>
      <c r="E93" s="63">
        <f>+Bonus!E93</f>
        <v>52.210000000000036</v>
      </c>
      <c r="F93" s="218">
        <f>+Bonus!F93</f>
        <v>2948.91</v>
      </c>
      <c r="G93" s="182">
        <f t="shared" si="86"/>
        <v>1</v>
      </c>
      <c r="H93" s="98">
        <f t="shared" si="87"/>
        <v>52.210000000000036</v>
      </c>
      <c r="I93" s="98">
        <f t="shared" si="88"/>
        <v>3001.12</v>
      </c>
      <c r="J93" s="218">
        <f>+Bonus!J93</f>
        <v>3001.12</v>
      </c>
      <c r="K93" s="98">
        <f t="shared" si="89"/>
        <v>0</v>
      </c>
      <c r="L93" s="98">
        <f t="shared" si="90"/>
        <v>0</v>
      </c>
      <c r="M93" s="98">
        <f t="shared" si="91"/>
        <v>0</v>
      </c>
      <c r="N93" s="218">
        <f>Bonus!N93</f>
        <v>0</v>
      </c>
      <c r="O93" s="218">
        <f>Bonus!O93</f>
        <v>0</v>
      </c>
      <c r="P93" s="154">
        <f>Bonus!W93</f>
        <v>0</v>
      </c>
      <c r="Q93" s="98">
        <f t="shared" si="92"/>
        <v>2948.91</v>
      </c>
      <c r="R93" s="98">
        <f t="shared" si="93"/>
        <v>3001.12</v>
      </c>
      <c r="S93" s="129">
        <f t="shared" si="94"/>
        <v>52.210000000000036</v>
      </c>
      <c r="T93" s="199" t="str">
        <f>+Bonus!T93</f>
        <v>2025</v>
      </c>
      <c r="U93" s="199" t="str">
        <f>+Bonus!U93</f>
        <v>2025</v>
      </c>
      <c r="V93" s="199" t="str">
        <f>+Bonus!V93</f>
        <v>&lt; 250k</v>
      </c>
      <c r="X93" s="33"/>
    </row>
    <row r="94" spans="1:24">
      <c r="A94" s="259">
        <f>+Bonus!A94</f>
        <v>52.87</v>
      </c>
      <c r="B94" s="82" t="str">
        <f>+Bonus!B94</f>
        <v>Lyles Services Co. - LSC GO Misc. Work</v>
      </c>
      <c r="C94" s="227">
        <f>+Bonus!C94</f>
        <v>5297</v>
      </c>
      <c r="D94" s="63">
        <f>+Bonus!D94</f>
        <v>4446.13</v>
      </c>
      <c r="E94" s="63">
        <f>+Bonus!E94</f>
        <v>850.86999999999989</v>
      </c>
      <c r="F94" s="218">
        <f>+Bonus!F94</f>
        <v>4446.13</v>
      </c>
      <c r="G94" s="182">
        <f t="shared" si="86"/>
        <v>1</v>
      </c>
      <c r="H94" s="98">
        <f t="shared" si="87"/>
        <v>850.86999999999989</v>
      </c>
      <c r="I94" s="98">
        <f t="shared" si="88"/>
        <v>5297</v>
      </c>
      <c r="J94" s="218">
        <f>+Bonus!J94</f>
        <v>5297</v>
      </c>
      <c r="K94" s="98">
        <f t="shared" si="89"/>
        <v>0</v>
      </c>
      <c r="L94" s="98">
        <f t="shared" si="90"/>
        <v>0</v>
      </c>
      <c r="M94" s="98">
        <f t="shared" si="91"/>
        <v>0</v>
      </c>
      <c r="N94" s="218">
        <f>Bonus!N94</f>
        <v>0</v>
      </c>
      <c r="O94" s="218">
        <f>Bonus!O94</f>
        <v>0</v>
      </c>
      <c r="P94" s="154">
        <f>Bonus!W94</f>
        <v>0</v>
      </c>
      <c r="Q94" s="98">
        <f t="shared" si="92"/>
        <v>4446.13</v>
      </c>
      <c r="R94" s="98">
        <f t="shared" si="93"/>
        <v>5297</v>
      </c>
      <c r="S94" s="129">
        <f t="shared" si="94"/>
        <v>850.86999999999989</v>
      </c>
      <c r="T94" s="199" t="str">
        <f>+Bonus!T94</f>
        <v>2025</v>
      </c>
      <c r="U94" s="199" t="str">
        <f>+Bonus!U94</f>
        <v>2025</v>
      </c>
      <c r="V94" s="199" t="str">
        <f>+Bonus!V94</f>
        <v>&lt; 250k</v>
      </c>
      <c r="X94" s="33"/>
    </row>
    <row r="95" spans="1:24">
      <c r="A95" s="259">
        <f>+Bonus!A95</f>
        <v>52.870100000000001</v>
      </c>
      <c r="B95" s="82" t="str">
        <f>+Bonus!B95</f>
        <v>County of Fresno - 47 Water</v>
      </c>
      <c r="C95" s="227">
        <f>+Bonus!C95</f>
        <v>13433.85</v>
      </c>
      <c r="D95" s="63">
        <f>+Bonus!D95</f>
        <v>12421.08</v>
      </c>
      <c r="E95" s="63">
        <f>+Bonus!E95</f>
        <v>1012.7700000000004</v>
      </c>
      <c r="F95" s="218">
        <f>+Bonus!F95</f>
        <v>12421.08</v>
      </c>
      <c r="G95" s="182">
        <f t="shared" si="86"/>
        <v>1</v>
      </c>
      <c r="H95" s="98">
        <f t="shared" si="87"/>
        <v>1012.7700000000004</v>
      </c>
      <c r="I95" s="98">
        <f t="shared" si="88"/>
        <v>13433.85</v>
      </c>
      <c r="J95" s="218">
        <f>+Bonus!J95</f>
        <v>13433.85</v>
      </c>
      <c r="K95" s="98">
        <f t="shared" si="89"/>
        <v>0</v>
      </c>
      <c r="L95" s="98">
        <f t="shared" si="90"/>
        <v>0</v>
      </c>
      <c r="M95" s="98">
        <f t="shared" si="91"/>
        <v>0</v>
      </c>
      <c r="N95" s="218">
        <f>Bonus!N95</f>
        <v>0</v>
      </c>
      <c r="O95" s="218">
        <f>Bonus!O95</f>
        <v>0</v>
      </c>
      <c r="P95" s="154">
        <f>Bonus!W95</f>
        <v>0</v>
      </c>
      <c r="Q95" s="98">
        <f t="shared" si="92"/>
        <v>12421.08</v>
      </c>
      <c r="R95" s="98">
        <f t="shared" si="93"/>
        <v>13433.85</v>
      </c>
      <c r="S95" s="129">
        <f t="shared" si="94"/>
        <v>1012.7700000000004</v>
      </c>
      <c r="T95" s="199" t="str">
        <f>+Bonus!T95</f>
        <v>2025</v>
      </c>
      <c r="U95" s="199" t="str">
        <f>+Bonus!U95</f>
        <v>2025</v>
      </c>
      <c r="V95" s="199" t="str">
        <f>+Bonus!V95</f>
        <v>&lt; 250k</v>
      </c>
      <c r="X95" s="33"/>
    </row>
    <row r="96" spans="1:24">
      <c r="A96" s="259">
        <f>+Bonus!A96</f>
        <v>52.870199999999997</v>
      </c>
      <c r="B96" s="82" t="str">
        <f>+Bonus!B96</f>
        <v>New England Sheet Metal and Mechanical Co. - FUSD Wilson Elementary T&amp;M</v>
      </c>
      <c r="C96" s="227">
        <f>+Bonus!C96</f>
        <v>5626.78</v>
      </c>
      <c r="D96" s="63">
        <f>+Bonus!D96</f>
        <v>4725.28</v>
      </c>
      <c r="E96" s="63">
        <f>+Bonus!E96</f>
        <v>901.5</v>
      </c>
      <c r="F96" s="218">
        <f>+Bonus!F96</f>
        <v>4725.28</v>
      </c>
      <c r="G96" s="182">
        <f t="shared" si="86"/>
        <v>1</v>
      </c>
      <c r="H96" s="98">
        <f t="shared" si="87"/>
        <v>901.5</v>
      </c>
      <c r="I96" s="98">
        <f t="shared" si="88"/>
        <v>5626.78</v>
      </c>
      <c r="J96" s="218">
        <f>+Bonus!J96</f>
        <v>5626.78</v>
      </c>
      <c r="K96" s="98">
        <f t="shared" si="89"/>
        <v>0</v>
      </c>
      <c r="L96" s="98">
        <f t="shared" si="90"/>
        <v>0</v>
      </c>
      <c r="M96" s="98">
        <f t="shared" si="91"/>
        <v>0</v>
      </c>
      <c r="N96" s="218">
        <f>Bonus!N96</f>
        <v>0</v>
      </c>
      <c r="O96" s="218">
        <f>Bonus!O96</f>
        <v>0</v>
      </c>
      <c r="P96" s="154">
        <f>Bonus!W96</f>
        <v>0</v>
      </c>
      <c r="Q96" s="98">
        <f t="shared" si="92"/>
        <v>4725.28</v>
      </c>
      <c r="R96" s="98">
        <f t="shared" si="93"/>
        <v>5626.78</v>
      </c>
      <c r="S96" s="129">
        <f t="shared" si="94"/>
        <v>901.5</v>
      </c>
      <c r="T96" s="199" t="str">
        <f>+Bonus!T96</f>
        <v>2025</v>
      </c>
      <c r="U96" s="199" t="str">
        <f>+Bonus!U96</f>
        <v>2025</v>
      </c>
      <c r="V96" s="199" t="str">
        <f>+Bonus!V96</f>
        <v>&lt; 250k</v>
      </c>
      <c r="X96" s="33"/>
    </row>
    <row r="97" spans="1:24">
      <c r="A97" s="259">
        <f>+Bonus!A97</f>
        <v>52.8703</v>
      </c>
      <c r="B97" s="82" t="str">
        <f>+Bonus!B97</f>
        <v>County of Fresno - CSA 47 Egret Point Water Line Repair</v>
      </c>
      <c r="C97" s="227">
        <f>+Bonus!C97</f>
        <v>14402.18</v>
      </c>
      <c r="D97" s="63">
        <f>+Bonus!D97</f>
        <v>12571.54</v>
      </c>
      <c r="E97" s="63">
        <f>+Bonus!E97</f>
        <v>1830.6399999999994</v>
      </c>
      <c r="F97" s="218">
        <f>+Bonus!F97</f>
        <v>12571.54</v>
      </c>
      <c r="G97" s="182">
        <f t="shared" si="86"/>
        <v>1</v>
      </c>
      <c r="H97" s="98">
        <f t="shared" si="87"/>
        <v>1830.6399999999994</v>
      </c>
      <c r="I97" s="98">
        <f t="shared" si="88"/>
        <v>14402.18</v>
      </c>
      <c r="J97" s="218">
        <f>+Bonus!J97</f>
        <v>14402.18</v>
      </c>
      <c r="K97" s="98">
        <f t="shared" si="89"/>
        <v>0</v>
      </c>
      <c r="L97" s="98">
        <f t="shared" si="90"/>
        <v>0</v>
      </c>
      <c r="M97" s="98">
        <f t="shared" si="91"/>
        <v>0</v>
      </c>
      <c r="N97" s="218">
        <f>Bonus!N97</f>
        <v>0</v>
      </c>
      <c r="O97" s="218">
        <f>Bonus!O97</f>
        <v>0</v>
      </c>
      <c r="P97" s="154">
        <f>Bonus!W97</f>
        <v>0</v>
      </c>
      <c r="Q97" s="98">
        <f t="shared" si="92"/>
        <v>12571.54</v>
      </c>
      <c r="R97" s="98">
        <f t="shared" si="93"/>
        <v>14402.18</v>
      </c>
      <c r="S97" s="129">
        <f t="shared" si="94"/>
        <v>1830.6399999999994</v>
      </c>
      <c r="T97" s="199" t="str">
        <f>+Bonus!T97</f>
        <v>2025</v>
      </c>
      <c r="U97" s="199" t="str">
        <f>+Bonus!U97</f>
        <v>2025</v>
      </c>
      <c r="V97" s="199" t="str">
        <f>+Bonus!V97</f>
        <v>&lt; 250k</v>
      </c>
      <c r="X97" s="33"/>
    </row>
    <row r="98" spans="1:24">
      <c r="A98" s="259">
        <f>+Bonus!A98</f>
        <v>52.870600000000003</v>
      </c>
      <c r="B98" s="82" t="str">
        <f>+Bonus!B98</f>
        <v>City of Hanford - WWTP Weld Repair T&amp;M 2</v>
      </c>
      <c r="C98" s="227">
        <f>+Bonus!C98</f>
        <v>2868.6</v>
      </c>
      <c r="D98" s="63">
        <f>+Bonus!D98</f>
        <v>2435.7800000000002</v>
      </c>
      <c r="E98" s="63">
        <f>+Bonus!E98</f>
        <v>432.81999999999971</v>
      </c>
      <c r="F98" s="218">
        <f>+Bonus!F98</f>
        <v>2435.7800000000002</v>
      </c>
      <c r="G98" s="182">
        <f t="shared" si="86"/>
        <v>1</v>
      </c>
      <c r="H98" s="98">
        <f t="shared" si="87"/>
        <v>432.81999999999971</v>
      </c>
      <c r="I98" s="98">
        <f t="shared" si="88"/>
        <v>2868.6</v>
      </c>
      <c r="J98" s="218">
        <f>+Bonus!J98</f>
        <v>2868.6</v>
      </c>
      <c r="K98" s="98">
        <f t="shared" si="89"/>
        <v>0</v>
      </c>
      <c r="L98" s="98">
        <f t="shared" si="90"/>
        <v>0</v>
      </c>
      <c r="M98" s="98">
        <f t="shared" si="91"/>
        <v>0</v>
      </c>
      <c r="N98" s="218">
        <f>Bonus!N98</f>
        <v>0</v>
      </c>
      <c r="O98" s="218">
        <f>Bonus!O98</f>
        <v>0</v>
      </c>
      <c r="P98" s="154">
        <f>Bonus!W98</f>
        <v>0</v>
      </c>
      <c r="Q98" s="98">
        <f t="shared" si="92"/>
        <v>2435.7800000000002</v>
      </c>
      <c r="R98" s="98">
        <f t="shared" si="93"/>
        <v>2868.6</v>
      </c>
      <c r="S98" s="129">
        <f t="shared" si="94"/>
        <v>432.81999999999971</v>
      </c>
      <c r="T98" s="199" t="str">
        <f>+Bonus!T98</f>
        <v>2025</v>
      </c>
      <c r="U98" s="199" t="str">
        <f>+Bonus!U98</f>
        <v>2025</v>
      </c>
      <c r="V98" s="199" t="str">
        <f>+Bonus!V98</f>
        <v>&lt; 250k</v>
      </c>
      <c r="X98" s="33"/>
    </row>
    <row r="99" spans="1:24">
      <c r="A99" s="259">
        <f>+Bonus!A99</f>
        <v>52.870899999999999</v>
      </c>
      <c r="B99" s="82" t="str">
        <f>+Bonus!B99</f>
        <v>County of Fresno - 47.1 Water</v>
      </c>
      <c r="C99" s="227">
        <f>+Bonus!C99</f>
        <v>17765.14</v>
      </c>
      <c r="D99" s="63">
        <f>+Bonus!D99</f>
        <v>14874.36</v>
      </c>
      <c r="E99" s="63">
        <f>+Bonus!E99</f>
        <v>2890.7799999999988</v>
      </c>
      <c r="F99" s="218">
        <f>+Bonus!F99</f>
        <v>14874.36</v>
      </c>
      <c r="G99" s="182">
        <f t="shared" si="86"/>
        <v>1</v>
      </c>
      <c r="H99" s="98">
        <f t="shared" si="87"/>
        <v>2890.7799999999988</v>
      </c>
      <c r="I99" s="98">
        <f t="shared" si="88"/>
        <v>17765.14</v>
      </c>
      <c r="J99" s="218">
        <f>+Bonus!J99</f>
        <v>17765.14</v>
      </c>
      <c r="K99" s="98">
        <f t="shared" si="89"/>
        <v>0</v>
      </c>
      <c r="L99" s="98">
        <f t="shared" si="90"/>
        <v>0</v>
      </c>
      <c r="M99" s="98">
        <f t="shared" si="91"/>
        <v>0</v>
      </c>
      <c r="N99" s="218">
        <f>Bonus!N99</f>
        <v>0</v>
      </c>
      <c r="O99" s="218">
        <f>Bonus!O99</f>
        <v>0</v>
      </c>
      <c r="P99" s="154">
        <f>Bonus!W99</f>
        <v>0</v>
      </c>
      <c r="Q99" s="98">
        <f t="shared" si="92"/>
        <v>14874.36</v>
      </c>
      <c r="R99" s="98">
        <f t="shared" si="93"/>
        <v>17765.14</v>
      </c>
      <c r="S99" s="129">
        <f t="shared" si="94"/>
        <v>2890.7799999999988</v>
      </c>
      <c r="T99" s="199" t="str">
        <f>+Bonus!T99</f>
        <v>2025</v>
      </c>
      <c r="U99" s="199" t="str">
        <f>+Bonus!U99</f>
        <v>2025</v>
      </c>
      <c r="V99" s="199" t="str">
        <f>+Bonus!V99</f>
        <v>&lt; 250k</v>
      </c>
      <c r="X99" s="33"/>
    </row>
    <row r="100" spans="1:24">
      <c r="A100" s="259">
        <f>+Bonus!A100</f>
        <v>52.871000000000002</v>
      </c>
      <c r="B100" s="82" t="str">
        <f>+Bonus!B100</f>
        <v>City of Dinuba - WWTP Bar Screen Motor Bracket Repair</v>
      </c>
      <c r="C100" s="227">
        <f>+Bonus!C100</f>
        <v>4064.54</v>
      </c>
      <c r="D100" s="63">
        <f>+Bonus!D100</f>
        <v>3514.84</v>
      </c>
      <c r="E100" s="63">
        <f>+Bonus!E100</f>
        <v>549.69999999999982</v>
      </c>
      <c r="F100" s="218">
        <f>+Bonus!F100</f>
        <v>3514.84</v>
      </c>
      <c r="G100" s="182">
        <f t="shared" si="86"/>
        <v>1</v>
      </c>
      <c r="H100" s="98">
        <f t="shared" si="87"/>
        <v>549.69999999999982</v>
      </c>
      <c r="I100" s="98">
        <f t="shared" si="88"/>
        <v>4064.54</v>
      </c>
      <c r="J100" s="218">
        <f>+Bonus!J100</f>
        <v>4064.54</v>
      </c>
      <c r="K100" s="98">
        <f t="shared" si="89"/>
        <v>0</v>
      </c>
      <c r="L100" s="98">
        <f t="shared" si="90"/>
        <v>0</v>
      </c>
      <c r="M100" s="98">
        <f t="shared" si="91"/>
        <v>0</v>
      </c>
      <c r="N100" s="218">
        <f>Bonus!N100</f>
        <v>0</v>
      </c>
      <c r="O100" s="218">
        <f>Bonus!O100</f>
        <v>0</v>
      </c>
      <c r="P100" s="154">
        <f>Bonus!W100</f>
        <v>0</v>
      </c>
      <c r="Q100" s="98">
        <f t="shared" si="92"/>
        <v>3514.84</v>
      </c>
      <c r="R100" s="98">
        <f t="shared" si="93"/>
        <v>4064.54</v>
      </c>
      <c r="S100" s="129">
        <f t="shared" si="94"/>
        <v>549.69999999999982</v>
      </c>
      <c r="T100" s="199" t="str">
        <f>+Bonus!T100</f>
        <v>2025</v>
      </c>
      <c r="U100" s="199" t="str">
        <f>+Bonus!U100</f>
        <v>2025</v>
      </c>
      <c r="V100" s="199" t="str">
        <f>+Bonus!V100</f>
        <v>&lt; 250k</v>
      </c>
      <c r="X100" s="33"/>
    </row>
    <row r="101" spans="1:24">
      <c r="A101" s="259">
        <f>+Bonus!A101</f>
        <v>52.871499999999997</v>
      </c>
      <c r="B101" s="82" t="str">
        <f>+Bonus!B101</f>
        <v>New England Sheet Metal and Mechanical Co. - Vitro Glass Plant Concrete Pad T&amp;M</v>
      </c>
      <c r="C101" s="227">
        <f>+Bonus!C101</f>
        <v>10001.43</v>
      </c>
      <c r="D101" s="63">
        <f>+Bonus!D101</f>
        <v>8585.44</v>
      </c>
      <c r="E101" s="63">
        <f>+Bonus!E101</f>
        <v>1415.9899999999998</v>
      </c>
      <c r="F101" s="218">
        <f>+Bonus!F101</f>
        <v>8585.44</v>
      </c>
      <c r="G101" s="182">
        <f t="shared" si="86"/>
        <v>1</v>
      </c>
      <c r="H101" s="98">
        <f t="shared" si="87"/>
        <v>1415.9899999999998</v>
      </c>
      <c r="I101" s="98">
        <f t="shared" si="88"/>
        <v>10001.43</v>
      </c>
      <c r="J101" s="218">
        <f>+Bonus!J101</f>
        <v>10001.43</v>
      </c>
      <c r="K101" s="98">
        <f t="shared" si="89"/>
        <v>0</v>
      </c>
      <c r="L101" s="98">
        <f t="shared" si="90"/>
        <v>0</v>
      </c>
      <c r="M101" s="98">
        <f t="shared" si="91"/>
        <v>0</v>
      </c>
      <c r="N101" s="218">
        <f>Bonus!N101</f>
        <v>0</v>
      </c>
      <c r="O101" s="218">
        <f>Bonus!O101</f>
        <v>0</v>
      </c>
      <c r="P101" s="154">
        <f>Bonus!W101</f>
        <v>0</v>
      </c>
      <c r="Q101" s="98">
        <f t="shared" si="92"/>
        <v>8585.44</v>
      </c>
      <c r="R101" s="98">
        <f t="shared" si="93"/>
        <v>10001.43</v>
      </c>
      <c r="S101" s="129">
        <f t="shared" si="94"/>
        <v>1415.9899999999998</v>
      </c>
      <c r="T101" s="199" t="str">
        <f>+Bonus!T101</f>
        <v>2025</v>
      </c>
      <c r="U101" s="199" t="str">
        <f>+Bonus!U101</f>
        <v>2025</v>
      </c>
      <c r="V101" s="199" t="str">
        <f>+Bonus!V101</f>
        <v>&lt; 250k</v>
      </c>
      <c r="X101" s="33"/>
    </row>
    <row r="102" spans="1:24" hidden="1">
      <c r="A102" s="259"/>
      <c r="B102" s="263"/>
      <c r="C102" s="227"/>
      <c r="D102" s="63"/>
      <c r="E102" s="63"/>
      <c r="F102" s="218"/>
      <c r="G102" s="182"/>
      <c r="H102" s="98"/>
      <c r="I102" s="98"/>
      <c r="J102" s="218"/>
      <c r="K102" s="98"/>
      <c r="L102" s="98"/>
      <c r="M102" s="98"/>
      <c r="N102" s="218"/>
      <c r="O102" s="218"/>
      <c r="Q102" s="98"/>
      <c r="R102" s="98"/>
      <c r="S102" s="129"/>
      <c r="T102" s="199"/>
      <c r="U102" s="199"/>
      <c r="V102" s="199"/>
      <c r="X102" s="33"/>
    </row>
    <row r="103" spans="1:24">
      <c r="A103" s="195" t="str">
        <f>Bonus!A103</f>
        <v>Fresno Area - Closed Jobs Totals</v>
      </c>
      <c r="B103" s="82"/>
      <c r="C103" s="193">
        <f>SUM(C68:C102)</f>
        <v>24381266.32</v>
      </c>
      <c r="D103" s="193">
        <f>SUM(D68:D102)</f>
        <v>23380699.099999998</v>
      </c>
      <c r="E103" s="193">
        <f>SUM(E68:E102)</f>
        <v>1000567.2200000002</v>
      </c>
      <c r="F103" s="193">
        <f>SUM(F68:F102)</f>
        <v>23380699.099999998</v>
      </c>
      <c r="G103" s="182"/>
      <c r="H103" s="193">
        <f t="shared" ref="H103:S103" si="104">SUM(H68:H102)</f>
        <v>1000567.2200000002</v>
      </c>
      <c r="I103" s="193">
        <f t="shared" si="104"/>
        <v>24381266.32</v>
      </c>
      <c r="J103" s="193">
        <f t="shared" si="104"/>
        <v>24381266.32</v>
      </c>
      <c r="K103" s="193">
        <f t="shared" si="104"/>
        <v>0</v>
      </c>
      <c r="L103" s="193">
        <f t="shared" si="104"/>
        <v>0</v>
      </c>
      <c r="M103" s="193">
        <f t="shared" si="104"/>
        <v>0</v>
      </c>
      <c r="N103" s="193">
        <f t="shared" si="104"/>
        <v>16400632.119999999</v>
      </c>
      <c r="O103" s="193">
        <f t="shared" si="104"/>
        <v>18011628.68</v>
      </c>
      <c r="P103" s="193">
        <f t="shared" si="104"/>
        <v>944660.12186167866</v>
      </c>
      <c r="Q103" s="193">
        <f t="shared" si="104"/>
        <v>6980066.9800000014</v>
      </c>
      <c r="R103" s="193">
        <f t="shared" si="104"/>
        <v>6369637.6399999987</v>
      </c>
      <c r="S103" s="193">
        <f t="shared" si="104"/>
        <v>55907.098138321759</v>
      </c>
      <c r="T103" s="199"/>
      <c r="U103" s="199"/>
      <c r="V103" s="199"/>
      <c r="X103" s="33"/>
    </row>
    <row r="104" spans="1:24">
      <c r="A104" s="195" t="str">
        <f>Bonus!A104</f>
        <v>Fresno Area -  Grand Totals</v>
      </c>
      <c r="B104" s="82"/>
      <c r="C104" s="193">
        <f>C65+C103</f>
        <v>144648621.31</v>
      </c>
      <c r="D104" s="193">
        <f>D65+D103</f>
        <v>135818297.28</v>
      </c>
      <c r="E104" s="193">
        <f>E65+E103</f>
        <v>8830324.0299999993</v>
      </c>
      <c r="F104" s="193">
        <f>F65+F103</f>
        <v>112433840.95</v>
      </c>
      <c r="G104" s="182"/>
      <c r="H104" s="193">
        <f t="shared" ref="H104:S104" si="105">H65+H103</f>
        <v>7921620.1085547991</v>
      </c>
      <c r="I104" s="193">
        <f t="shared" si="105"/>
        <v>120355461.05855477</v>
      </c>
      <c r="J104" s="193">
        <f t="shared" si="105"/>
        <v>120997187.97</v>
      </c>
      <c r="K104" s="193">
        <f t="shared" si="105"/>
        <v>641726.9114451959</v>
      </c>
      <c r="L104" s="193">
        <f t="shared" si="105"/>
        <v>23384456.329999991</v>
      </c>
      <c r="M104" s="193">
        <f t="shared" si="105"/>
        <v>23651433.339999996</v>
      </c>
      <c r="N104" s="193">
        <f t="shared" si="105"/>
        <v>67550704.660000011</v>
      </c>
      <c r="O104" s="193">
        <f t="shared" si="105"/>
        <v>74374686.530000001</v>
      </c>
      <c r="P104" s="193">
        <f t="shared" si="105"/>
        <v>5520803.7416194146</v>
      </c>
      <c r="Q104" s="193">
        <f t="shared" si="105"/>
        <v>44883136.290000007</v>
      </c>
      <c r="R104" s="193">
        <f t="shared" si="105"/>
        <v>46622501.439999998</v>
      </c>
      <c r="S104" s="193">
        <f t="shared" si="105"/>
        <v>2400816.3669353849</v>
      </c>
      <c r="T104" s="199"/>
      <c r="U104" s="199"/>
      <c r="V104" s="199"/>
      <c r="X104" s="33"/>
    </row>
    <row r="105" spans="1:24">
      <c r="A105" s="195"/>
      <c r="B105" s="82"/>
      <c r="C105" s="193"/>
      <c r="D105" s="193"/>
      <c r="E105" s="193"/>
      <c r="F105" s="193"/>
      <c r="G105" s="182"/>
      <c r="H105" s="193"/>
      <c r="I105" s="193"/>
      <c r="J105" s="193"/>
      <c r="K105" s="193"/>
      <c r="L105" s="193"/>
      <c r="M105" s="193"/>
      <c r="N105" s="193"/>
      <c r="O105" s="193"/>
      <c r="P105" s="193"/>
      <c r="Q105" s="193"/>
      <c r="R105" s="193"/>
      <c r="S105" s="193"/>
      <c r="T105" s="199"/>
      <c r="U105" s="199"/>
      <c r="V105" s="199"/>
      <c r="X105" s="33"/>
    </row>
    <row r="106" spans="1:24">
      <c r="A106" s="176" t="str">
        <f>+Bonus!A106</f>
        <v>East Bay Area - Open Jobs</v>
      </c>
      <c r="B106" s="82"/>
      <c r="C106" s="227"/>
      <c r="D106" s="63"/>
      <c r="E106" s="63"/>
      <c r="F106" s="218"/>
      <c r="G106" s="182"/>
      <c r="H106" s="98"/>
      <c r="I106" s="98"/>
      <c r="J106" s="218"/>
      <c r="K106" s="98"/>
      <c r="L106" s="98"/>
      <c r="M106" s="98"/>
      <c r="N106" s="218"/>
      <c r="O106" s="218"/>
      <c r="P106" s="98"/>
      <c r="Q106" s="98"/>
      <c r="R106" s="98"/>
      <c r="S106" s="129"/>
      <c r="T106" s="199"/>
      <c r="U106" s="199"/>
      <c r="V106" s="199"/>
      <c r="X106" s="33"/>
    </row>
    <row r="107" spans="1:24">
      <c r="A107" s="259">
        <f>+Bonus!A107</f>
        <v>53.200699999999998</v>
      </c>
      <c r="B107" s="82" t="str">
        <f>+Bonus!B107</f>
        <v>Union Sanitary Dist. - Phase 1B Secondary Clarifiers</v>
      </c>
      <c r="C107" s="227">
        <f>+Bonus!C107</f>
        <v>324530134</v>
      </c>
      <c r="D107" s="63">
        <f>+Bonus!D107</f>
        <v>291530134</v>
      </c>
      <c r="E107" s="63">
        <f>Bonus!E107</f>
        <v>33000000</v>
      </c>
      <c r="F107" s="218">
        <f>+Bonus!F107</f>
        <v>404852.16</v>
      </c>
      <c r="G107" s="182">
        <f t="shared" ref="G107" si="106">IF(D107&lt;&gt;0,+F107/D107,0)</f>
        <v>1.38871462255082E-3</v>
      </c>
      <c r="H107" s="98">
        <f t="shared" ref="H107" si="107">IF(E107&lt;=0,E107,IF(G107&lt;0.1,0,IF(G107&lt;=1,G107*E107,E107)))</f>
        <v>0</v>
      </c>
      <c r="I107" s="98">
        <f t="shared" ref="I107" si="108">+F107+H107</f>
        <v>404852.16</v>
      </c>
      <c r="J107" s="218">
        <f>+Bonus!J107</f>
        <v>0</v>
      </c>
      <c r="K107" s="98">
        <f t="shared" ref="K107" si="109">J107-I107</f>
        <v>-404852.16</v>
      </c>
      <c r="L107" s="98">
        <f t="shared" ref="L107" si="110">+D107-F107</f>
        <v>291125281.83999997</v>
      </c>
      <c r="M107" s="98">
        <f t="shared" ref="M107" si="111">+C107-J107</f>
        <v>324530134</v>
      </c>
      <c r="N107" s="218">
        <f>+Bonus!N107</f>
        <v>0</v>
      </c>
      <c r="O107" s="218">
        <f>+Bonus!O107</f>
        <v>0</v>
      </c>
      <c r="P107" s="98">
        <f>Bonus!W107</f>
        <v>0</v>
      </c>
      <c r="Q107" s="98">
        <f t="shared" ref="Q107" si="112">F107-N107</f>
        <v>404852.16</v>
      </c>
      <c r="R107" s="98">
        <f t="shared" ref="R107" si="113">+J107-O107</f>
        <v>0</v>
      </c>
      <c r="S107" s="129">
        <f t="shared" ref="S107" si="114">H107-P107</f>
        <v>0</v>
      </c>
      <c r="T107" s="199" t="str">
        <f>+Bonus!T107</f>
        <v>2025</v>
      </c>
      <c r="U107" s="199">
        <f>+Bonus!U107</f>
        <v>0</v>
      </c>
      <c r="V107" s="199" t="str">
        <f>+Bonus!V107</f>
        <v>.</v>
      </c>
      <c r="X107" s="33"/>
    </row>
    <row r="108" spans="1:24" hidden="1">
      <c r="A108" s="259"/>
      <c r="B108" s="82"/>
      <c r="C108" s="227">
        <f>+Bonus!C108</f>
        <v>0</v>
      </c>
      <c r="D108" s="63"/>
      <c r="E108" s="63"/>
      <c r="F108" s="218"/>
      <c r="G108" s="182"/>
      <c r="H108" s="98"/>
      <c r="I108" s="98"/>
      <c r="J108" s="218"/>
      <c r="K108" s="98"/>
      <c r="L108" s="98"/>
      <c r="M108" s="98"/>
      <c r="N108" s="218"/>
      <c r="O108" s="218"/>
      <c r="P108" s="98"/>
      <c r="Q108" s="98"/>
      <c r="R108" s="98"/>
      <c r="S108" s="129"/>
      <c r="T108" s="199"/>
      <c r="U108" s="199"/>
      <c r="V108" s="199"/>
      <c r="X108" s="33"/>
    </row>
    <row r="109" spans="1:24">
      <c r="A109" s="176" t="str">
        <f>+Bonus!A109</f>
        <v>East Bay Area - Open Jobs Totals</v>
      </c>
      <c r="B109" s="82"/>
      <c r="C109" s="193">
        <f>SUM(C$107:C$108)</f>
        <v>324530134</v>
      </c>
      <c r="D109" s="193">
        <f>SUM(D$107:D$108)</f>
        <v>291530134</v>
      </c>
      <c r="E109" s="193">
        <f>SUM(E$107:E$108)</f>
        <v>33000000</v>
      </c>
      <c r="F109" s="193">
        <f>SUM(F$107:F$108)</f>
        <v>404852.16</v>
      </c>
      <c r="G109" s="182"/>
      <c r="H109" s="193">
        <f t="shared" ref="H109:S109" si="115">SUM(H$107:H$108)</f>
        <v>0</v>
      </c>
      <c r="I109" s="193">
        <f t="shared" si="115"/>
        <v>404852.16</v>
      </c>
      <c r="J109" s="193">
        <f t="shared" si="115"/>
        <v>0</v>
      </c>
      <c r="K109" s="193">
        <f t="shared" si="115"/>
        <v>-404852.16</v>
      </c>
      <c r="L109" s="193">
        <f t="shared" si="115"/>
        <v>291125281.83999997</v>
      </c>
      <c r="M109" s="193">
        <f t="shared" si="115"/>
        <v>324530134</v>
      </c>
      <c r="N109" s="193">
        <f t="shared" si="115"/>
        <v>0</v>
      </c>
      <c r="O109" s="193">
        <f t="shared" si="115"/>
        <v>0</v>
      </c>
      <c r="P109" s="193">
        <f t="shared" si="115"/>
        <v>0</v>
      </c>
      <c r="Q109" s="193">
        <f t="shared" si="115"/>
        <v>404852.16</v>
      </c>
      <c r="R109" s="193">
        <f t="shared" si="115"/>
        <v>0</v>
      </c>
      <c r="S109" s="193">
        <f t="shared" si="115"/>
        <v>0</v>
      </c>
      <c r="T109" s="199"/>
      <c r="U109" s="199"/>
      <c r="V109" s="199"/>
      <c r="X109" s="33"/>
    </row>
    <row r="110" spans="1:24">
      <c r="A110" s="259"/>
      <c r="B110" s="82"/>
      <c r="C110" s="227"/>
      <c r="D110" s="63"/>
      <c r="E110" s="63"/>
      <c r="F110" s="218"/>
      <c r="G110" s="182"/>
      <c r="H110" s="98"/>
      <c r="I110" s="98"/>
      <c r="J110" s="218"/>
      <c r="K110" s="98"/>
      <c r="L110" s="98"/>
      <c r="M110" s="98"/>
      <c r="N110" s="218"/>
      <c r="O110" s="218"/>
      <c r="P110" s="98"/>
      <c r="Q110" s="98"/>
      <c r="R110" s="98"/>
      <c r="S110" s="129"/>
      <c r="T110" s="199"/>
      <c r="U110" s="199"/>
      <c r="V110" s="199"/>
      <c r="X110" s="33"/>
    </row>
    <row r="111" spans="1:24">
      <c r="A111" s="176" t="str">
        <f>+Bonus!A111</f>
        <v>East Bay Area - Closed Jobs</v>
      </c>
      <c r="B111" s="82"/>
      <c r="C111" s="227"/>
      <c r="D111" s="63"/>
      <c r="E111" s="63"/>
      <c r="F111" s="218"/>
      <c r="G111" s="182"/>
      <c r="H111" s="98"/>
      <c r="I111" s="98"/>
      <c r="J111" s="218"/>
      <c r="K111" s="98"/>
      <c r="L111" s="98"/>
      <c r="M111" s="98"/>
      <c r="N111" s="218"/>
      <c r="O111" s="218"/>
      <c r="P111" s="98"/>
      <c r="Q111" s="98"/>
      <c r="R111" s="98"/>
      <c r="S111" s="129"/>
      <c r="T111" s="199"/>
      <c r="U111" s="199"/>
      <c r="V111" s="199"/>
      <c r="X111" s="33"/>
    </row>
    <row r="112" spans="1:24">
      <c r="A112" s="259">
        <f>+Bonus!A112</f>
        <v>53.200400000000002</v>
      </c>
      <c r="B112" s="82" t="str">
        <f>+Bonus!B112</f>
        <v>City of Millbrae - Millbrae Sludge Thickener &amp;  Digester No. 2 Rehab Project</v>
      </c>
      <c r="C112" s="227">
        <f>+Bonus!C112</f>
        <v>1173753.47</v>
      </c>
      <c r="D112" s="63">
        <f>+Bonus!D112</f>
        <v>980791.05</v>
      </c>
      <c r="E112" s="63">
        <f>Bonus!E112</f>
        <v>192962.41999999993</v>
      </c>
      <c r="F112" s="218">
        <f>+Bonus!F112</f>
        <v>980791.05</v>
      </c>
      <c r="G112" s="182">
        <f t="shared" ref="G112" si="116">IF(D112&lt;&gt;0,+F112/D112,0)</f>
        <v>1</v>
      </c>
      <c r="H112" s="98">
        <f t="shared" ref="H112" si="117">IF(E112&lt;=0,E112,IF(G112&lt;0.1,0,IF(G112&lt;=1,G112*E112,E112)))</f>
        <v>192962.41999999993</v>
      </c>
      <c r="I112" s="98">
        <f t="shared" ref="I112" si="118">+F112+H112</f>
        <v>1173753.47</v>
      </c>
      <c r="J112" s="218">
        <f>+Bonus!J112</f>
        <v>1173753.47</v>
      </c>
      <c r="K112" s="98">
        <f t="shared" ref="K112" si="119">J112-I112</f>
        <v>0</v>
      </c>
      <c r="L112" s="98">
        <f t="shared" ref="L112" si="120">+D112-F112</f>
        <v>0</v>
      </c>
      <c r="M112" s="98">
        <f t="shared" ref="M112" si="121">+C112-J112</f>
        <v>0</v>
      </c>
      <c r="N112" s="218">
        <f>+Bonus!N112</f>
        <v>21928.48</v>
      </c>
      <c r="O112" s="218">
        <f>+Bonus!O112</f>
        <v>0</v>
      </c>
      <c r="P112" s="98">
        <f>Bonus!W112</f>
        <v>0</v>
      </c>
      <c r="Q112" s="98">
        <f t="shared" ref="Q112" si="122">F112-N112</f>
        <v>958862.57000000007</v>
      </c>
      <c r="R112" s="98">
        <f t="shared" ref="R112" si="123">+J112-O112</f>
        <v>1173753.47</v>
      </c>
      <c r="S112" s="129">
        <f t="shared" ref="S112" si="124">H112-P112</f>
        <v>192962.41999999993</v>
      </c>
      <c r="T112" s="199" t="str">
        <f>+Bonus!T112</f>
        <v>2024</v>
      </c>
      <c r="U112" s="199" t="str">
        <f>+Bonus!U112</f>
        <v>2025</v>
      </c>
      <c r="V112" s="199" t="str">
        <f>+Bonus!V112</f>
        <v>.</v>
      </c>
      <c r="X112" s="33"/>
    </row>
    <row r="113" spans="1:24">
      <c r="A113" s="259">
        <f>+Bonus!A113</f>
        <v>53.200499999999998</v>
      </c>
      <c r="B113" s="82" t="str">
        <f>+Bonus!B113</f>
        <v>East Bay Overhead 2025</v>
      </c>
      <c r="C113" s="227">
        <f>+Bonus!C113</f>
        <v>0</v>
      </c>
      <c r="D113" s="63">
        <f>+Bonus!D113</f>
        <v>279281.96000000002</v>
      </c>
      <c r="E113" s="63">
        <f>Bonus!E113</f>
        <v>-279281.96000000002</v>
      </c>
      <c r="F113" s="218">
        <f>+Bonus!F113</f>
        <v>279281.96000000002</v>
      </c>
      <c r="G113" s="182">
        <f t="shared" ref="G113:G114" si="125">IF(D113&lt;&gt;0,+F113/D113,0)</f>
        <v>1</v>
      </c>
      <c r="H113" s="98">
        <f t="shared" ref="H113:H114" si="126">IF(E113&lt;=0,E113,IF(G113&lt;0.1,0,IF(G113&lt;=1,G113*E113,E113)))</f>
        <v>-279281.96000000002</v>
      </c>
      <c r="I113" s="98">
        <f t="shared" ref="I113:I114" si="127">+F113+H113</f>
        <v>0</v>
      </c>
      <c r="J113" s="218">
        <f>+Bonus!J113</f>
        <v>0</v>
      </c>
      <c r="K113" s="98">
        <f t="shared" ref="K113:K114" si="128">J113-I113</f>
        <v>0</v>
      </c>
      <c r="L113" s="98">
        <f t="shared" ref="L113:L114" si="129">+D113-F113</f>
        <v>0</v>
      </c>
      <c r="M113" s="98">
        <f t="shared" ref="M113:M114" si="130">+C113-J113</f>
        <v>0</v>
      </c>
      <c r="N113" s="218">
        <f>+Bonus!N113</f>
        <v>0</v>
      </c>
      <c r="O113" s="218">
        <f>+Bonus!O113</f>
        <v>0</v>
      </c>
      <c r="P113" s="98">
        <f>Bonus!W113</f>
        <v>0</v>
      </c>
      <c r="Q113" s="98">
        <f t="shared" ref="Q113:Q114" si="131">F113-N113</f>
        <v>279281.96000000002</v>
      </c>
      <c r="R113" s="98">
        <f t="shared" ref="R113:R114" si="132">+J113-O113</f>
        <v>0</v>
      </c>
      <c r="S113" s="129">
        <f t="shared" ref="S113:S114" si="133">H113-P113</f>
        <v>-279281.96000000002</v>
      </c>
      <c r="T113" s="199" t="str">
        <f>+Bonus!T113</f>
        <v>2025</v>
      </c>
      <c r="U113" s="199" t="str">
        <f>+Bonus!U113</f>
        <v>2025</v>
      </c>
      <c r="V113" s="199" t="str">
        <f>+Bonus!V113</f>
        <v>OH</v>
      </c>
      <c r="X113" s="33"/>
    </row>
    <row r="114" spans="1:24">
      <c r="A114" s="259">
        <f>+Bonus!A114</f>
        <v>53.200600000000001</v>
      </c>
      <c r="B114" s="82" t="str">
        <f>+Bonus!B114</f>
        <v>East Bay Estimating 2026</v>
      </c>
      <c r="C114" s="227">
        <f>+Bonus!C114</f>
        <v>0</v>
      </c>
      <c r="D114" s="63">
        <f>+Bonus!D114</f>
        <v>304986.32</v>
      </c>
      <c r="E114" s="63">
        <f>Bonus!E114</f>
        <v>-304986.32</v>
      </c>
      <c r="F114" s="218">
        <f>+Bonus!F114</f>
        <v>304986.32</v>
      </c>
      <c r="G114" s="182">
        <f t="shared" si="125"/>
        <v>1</v>
      </c>
      <c r="H114" s="98">
        <f t="shared" si="126"/>
        <v>-304986.32</v>
      </c>
      <c r="I114" s="98">
        <f t="shared" si="127"/>
        <v>0</v>
      </c>
      <c r="J114" s="218">
        <f>+Bonus!J114</f>
        <v>0</v>
      </c>
      <c r="K114" s="98">
        <f t="shared" si="128"/>
        <v>0</v>
      </c>
      <c r="L114" s="98">
        <f t="shared" si="129"/>
        <v>0</v>
      </c>
      <c r="M114" s="98">
        <f t="shared" si="130"/>
        <v>0</v>
      </c>
      <c r="N114" s="218">
        <f>+Bonus!N114</f>
        <v>0</v>
      </c>
      <c r="O114" s="218">
        <f>+Bonus!O114</f>
        <v>0</v>
      </c>
      <c r="P114" s="98">
        <f>Bonus!W114</f>
        <v>0</v>
      </c>
      <c r="Q114" s="98">
        <f t="shared" si="131"/>
        <v>304986.32</v>
      </c>
      <c r="R114" s="98">
        <f t="shared" si="132"/>
        <v>0</v>
      </c>
      <c r="S114" s="129">
        <f t="shared" si="133"/>
        <v>-304986.32</v>
      </c>
      <c r="T114" s="199" t="str">
        <f>+Bonus!T114</f>
        <v>2025</v>
      </c>
      <c r="U114" s="199" t="str">
        <f>+Bonus!U114</f>
        <v>2025</v>
      </c>
      <c r="V114" s="199" t="str">
        <f>+Bonus!V114</f>
        <v>OH</v>
      </c>
      <c r="X114" s="33"/>
    </row>
    <row r="115" spans="1:24" hidden="1">
      <c r="A115" s="259"/>
      <c r="B115" s="82"/>
      <c r="C115" s="227"/>
      <c r="D115" s="63"/>
      <c r="E115" s="63"/>
      <c r="F115" s="218"/>
      <c r="G115" s="182"/>
      <c r="H115" s="98"/>
      <c r="I115" s="98"/>
      <c r="J115" s="218"/>
      <c r="K115" s="98"/>
      <c r="L115" s="98"/>
      <c r="M115" s="98"/>
      <c r="N115" s="218"/>
      <c r="O115" s="218"/>
      <c r="P115" s="98"/>
      <c r="Q115" s="98"/>
      <c r="R115" s="98"/>
      <c r="S115" s="129"/>
      <c r="T115" s="199"/>
      <c r="U115" s="199"/>
      <c r="V115" s="199"/>
      <c r="X115" s="33"/>
    </row>
    <row r="116" spans="1:24">
      <c r="A116" s="176" t="str">
        <f>+Bonus!A116</f>
        <v>East Bay Area - Closed Jobs Totals</v>
      </c>
      <c r="B116" s="82"/>
      <c r="C116" s="193">
        <f>SUM(C$112:C$115)</f>
        <v>1173753.47</v>
      </c>
      <c r="D116" s="193">
        <f t="shared" ref="D116:S116" si="134">SUM(D$112:D$115)</f>
        <v>1565059.33</v>
      </c>
      <c r="E116" s="193">
        <f t="shared" si="134"/>
        <v>-391305.8600000001</v>
      </c>
      <c r="F116" s="193">
        <f t="shared" si="134"/>
        <v>1565059.33</v>
      </c>
      <c r="G116" s="182"/>
      <c r="H116" s="193">
        <f t="shared" si="134"/>
        <v>-391305.8600000001</v>
      </c>
      <c r="I116" s="193">
        <f t="shared" si="134"/>
        <v>1173753.47</v>
      </c>
      <c r="J116" s="193">
        <f t="shared" si="134"/>
        <v>1173753.47</v>
      </c>
      <c r="K116" s="193">
        <f t="shared" si="134"/>
        <v>0</v>
      </c>
      <c r="L116" s="193">
        <f t="shared" si="134"/>
        <v>0</v>
      </c>
      <c r="M116" s="193">
        <f t="shared" si="134"/>
        <v>0</v>
      </c>
      <c r="N116" s="193">
        <f t="shared" si="134"/>
        <v>21928.48</v>
      </c>
      <c r="O116" s="193">
        <f t="shared" si="134"/>
        <v>0</v>
      </c>
      <c r="P116" s="193">
        <f t="shared" si="134"/>
        <v>0</v>
      </c>
      <c r="Q116" s="193">
        <f t="shared" si="134"/>
        <v>1543130.85</v>
      </c>
      <c r="R116" s="193">
        <f t="shared" si="134"/>
        <v>1173753.47</v>
      </c>
      <c r="S116" s="193">
        <f t="shared" si="134"/>
        <v>-391305.8600000001</v>
      </c>
      <c r="T116" s="199"/>
      <c r="U116" s="199"/>
      <c r="V116" s="199"/>
      <c r="X116" s="33"/>
    </row>
    <row r="117" spans="1:24">
      <c r="A117" s="176" t="str">
        <f>+Bonus!A117</f>
        <v>East Bay - Grand Totals</v>
      </c>
      <c r="B117" s="82"/>
      <c r="C117" s="193">
        <f>+C116+C109</f>
        <v>325703887.47000003</v>
      </c>
      <c r="D117" s="193">
        <f>+D116+D109</f>
        <v>293095193.32999998</v>
      </c>
      <c r="E117" s="193">
        <f>+E116+E109</f>
        <v>32608694.140000001</v>
      </c>
      <c r="F117" s="193">
        <f>+F116+F109</f>
        <v>1969911.49</v>
      </c>
      <c r="G117" s="182"/>
      <c r="H117" s="193">
        <f t="shared" ref="H117:S117" si="135">+H116+H109</f>
        <v>-391305.8600000001</v>
      </c>
      <c r="I117" s="193">
        <f t="shared" si="135"/>
        <v>1578605.63</v>
      </c>
      <c r="J117" s="193">
        <f t="shared" si="135"/>
        <v>1173753.47</v>
      </c>
      <c r="K117" s="193">
        <f t="shared" si="135"/>
        <v>-404852.16</v>
      </c>
      <c r="L117" s="193">
        <f t="shared" si="135"/>
        <v>291125281.83999997</v>
      </c>
      <c r="M117" s="193">
        <f t="shared" si="135"/>
        <v>324530134</v>
      </c>
      <c r="N117" s="193">
        <f t="shared" si="135"/>
        <v>21928.48</v>
      </c>
      <c r="O117" s="193">
        <f t="shared" si="135"/>
        <v>0</v>
      </c>
      <c r="P117" s="193">
        <f t="shared" si="135"/>
        <v>0</v>
      </c>
      <c r="Q117" s="193">
        <f t="shared" si="135"/>
        <v>1947983.01</v>
      </c>
      <c r="R117" s="193">
        <f t="shared" si="135"/>
        <v>1173753.47</v>
      </c>
      <c r="S117" s="193">
        <f t="shared" si="135"/>
        <v>-391305.8600000001</v>
      </c>
      <c r="T117" s="199"/>
      <c r="U117" s="199"/>
      <c r="V117" s="199"/>
      <c r="X117" s="33"/>
    </row>
    <row r="118" spans="1:24">
      <c r="A118" s="195"/>
      <c r="B118" s="82"/>
      <c r="C118" s="193"/>
      <c r="D118" s="193"/>
      <c r="E118" s="193"/>
      <c r="F118" s="193"/>
      <c r="G118" s="182"/>
      <c r="H118" s="193"/>
      <c r="I118" s="193"/>
      <c r="J118" s="193"/>
      <c r="K118" s="193"/>
      <c r="L118" s="193"/>
      <c r="M118" s="193"/>
      <c r="N118" s="193"/>
      <c r="O118" s="193"/>
      <c r="P118" s="193"/>
      <c r="Q118" s="193"/>
      <c r="R118" s="193"/>
      <c r="S118" s="193"/>
      <c r="T118" s="199"/>
      <c r="U118" s="199"/>
      <c r="V118" s="199"/>
      <c r="X118" s="33"/>
    </row>
    <row r="119" spans="1:24">
      <c r="A119" s="195" t="str">
        <f>+Bonus!A119</f>
        <v>Bakersfield Area - Open Jobs</v>
      </c>
      <c r="B119" s="82"/>
      <c r="C119" s="227"/>
      <c r="D119" s="63"/>
      <c r="E119" s="63"/>
      <c r="F119" s="218"/>
      <c r="G119" s="182"/>
      <c r="H119" s="98"/>
      <c r="I119" s="98"/>
      <c r="J119" s="218"/>
      <c r="K119" s="98"/>
      <c r="L119" s="98"/>
      <c r="M119" s="98"/>
      <c r="N119" s="218"/>
      <c r="O119" s="218"/>
      <c r="Q119" s="98"/>
      <c r="R119" s="98"/>
      <c r="S119" s="129"/>
      <c r="T119" s="199"/>
      <c r="U119" s="199"/>
      <c r="V119" s="199"/>
      <c r="X119" s="33"/>
    </row>
    <row r="120" spans="1:24">
      <c r="A120" s="614">
        <f>+Bonus!A120</f>
        <v>54.903300000000002</v>
      </c>
      <c r="B120" s="82" t="str">
        <f>+Bonus!B120</f>
        <v>Semitropic WSD - Stored Water Recovery Unit Phase 2A, Amendment 8</v>
      </c>
      <c r="C120" s="227">
        <f>J120</f>
        <v>118278.58</v>
      </c>
      <c r="D120" s="63">
        <f>F120</f>
        <v>104550.27</v>
      </c>
      <c r="E120" s="63">
        <f>C120-D120</f>
        <v>13728.309999999998</v>
      </c>
      <c r="F120" s="218">
        <f>+Bonus!F120</f>
        <v>104550.27</v>
      </c>
      <c r="G120" s="182">
        <f t="shared" ref="G120" si="136">IF(D120&lt;&gt;0,+F120/D120,0)</f>
        <v>1</v>
      </c>
      <c r="H120" s="98">
        <f t="shared" ref="H120" si="137">IF(E120&lt;=0,E120,IF(G120&lt;0.1,0,IF(G120&lt;=1,G120*E120,E120)))</f>
        <v>13728.309999999998</v>
      </c>
      <c r="I120" s="98">
        <f>+F120+H120</f>
        <v>118278.58</v>
      </c>
      <c r="J120" s="218">
        <f>+Bonus!J120</f>
        <v>118278.58</v>
      </c>
      <c r="K120" s="98">
        <f t="shared" ref="K120" si="138">J120-I120</f>
        <v>0</v>
      </c>
      <c r="L120" s="98">
        <f t="shared" ref="L120" si="139">+D120-F120</f>
        <v>0</v>
      </c>
      <c r="M120" s="98">
        <f t="shared" ref="M120" si="140">+C120-J120</f>
        <v>0</v>
      </c>
      <c r="N120" s="218">
        <f>Bonus!N120</f>
        <v>82942.929999999993</v>
      </c>
      <c r="O120" s="218">
        <f>Bonus!O120</f>
        <v>93909.8</v>
      </c>
      <c r="P120" s="154">
        <f>Bonus!W120</f>
        <v>10966.87000000001</v>
      </c>
      <c r="Q120" s="98">
        <f t="shared" ref="Q120" si="141">F120-N120</f>
        <v>21607.340000000011</v>
      </c>
      <c r="R120" s="98">
        <f t="shared" ref="R120" si="142">+J120-O120</f>
        <v>24368.78</v>
      </c>
      <c r="S120" s="129">
        <f t="shared" ref="S120" si="143">H120-P120</f>
        <v>2761.4399999999878</v>
      </c>
      <c r="T120" s="199" t="str">
        <f>+Bonus!T120</f>
        <v>2021</v>
      </c>
      <c r="U120" s="199">
        <f>+Bonus!U120</f>
        <v>0</v>
      </c>
      <c r="V120" s="199" t="str">
        <f>+Bonus!V120</f>
        <v>&lt; 250k</v>
      </c>
      <c r="X120" s="33"/>
    </row>
    <row r="121" spans="1:24">
      <c r="A121" s="614">
        <f>+Bonus!A121</f>
        <v>54.913499999999999</v>
      </c>
      <c r="B121" s="82" t="str">
        <f>+Bonus!B121</f>
        <v>Calif. Rail Bldrs LLC - North Kern WSD Canal 9-22 Relocation Project</v>
      </c>
      <c r="C121" s="227">
        <f>+Bonus!C121</f>
        <v>9470658.6199999992</v>
      </c>
      <c r="D121" s="63">
        <f>+Bonus!D121</f>
        <v>9050951.8599999994</v>
      </c>
      <c r="E121" s="63">
        <f>+Bonus!E121</f>
        <v>419706.75999999978</v>
      </c>
      <c r="F121" s="218">
        <f>+Bonus!F121</f>
        <v>9050951.8599999994</v>
      </c>
      <c r="G121" s="182">
        <f t="shared" ref="G121:G152" si="144">IF(D121&lt;&gt;0,+F121/D121,0)</f>
        <v>1</v>
      </c>
      <c r="H121" s="98">
        <f t="shared" ref="H121:H152" si="145">IF(E121&lt;=0,E121,IF(G121&lt;0.1,0,IF(G121&lt;=1,G121*E121,E121)))</f>
        <v>419706.75999999978</v>
      </c>
      <c r="I121" s="98">
        <f t="shared" ref="I121:I152" si="146">+F121+H121</f>
        <v>9470658.6199999992</v>
      </c>
      <c r="J121" s="218">
        <f>+Bonus!J121</f>
        <v>9470658.6199999992</v>
      </c>
      <c r="K121" s="98">
        <f t="shared" ref="K121:K152" si="147">J121-I121</f>
        <v>0</v>
      </c>
      <c r="L121" s="98">
        <f t="shared" ref="L121:L152" si="148">+D121-F121</f>
        <v>0</v>
      </c>
      <c r="M121" s="98">
        <f t="shared" ref="M121:M152" si="149">+C121-J121</f>
        <v>0</v>
      </c>
      <c r="N121" s="218">
        <f>Bonus!N121</f>
        <v>7371036.3300000001</v>
      </c>
      <c r="O121" s="218">
        <f>Bonus!O121</f>
        <v>6071589.3099999996</v>
      </c>
      <c r="P121" s="154">
        <f>Bonus!W121</f>
        <v>0</v>
      </c>
      <c r="Q121" s="98">
        <f t="shared" ref="Q121:Q152" si="150">F121-N121</f>
        <v>1679915.5299999993</v>
      </c>
      <c r="R121" s="98">
        <f t="shared" ref="R121:R152" si="151">+J121-O121</f>
        <v>3399069.3099999996</v>
      </c>
      <c r="S121" s="129">
        <f t="shared" ref="S121:S152" si="152">H121-P121</f>
        <v>419706.75999999978</v>
      </c>
      <c r="T121" s="199" t="str">
        <f>+Bonus!T121</f>
        <v>2021</v>
      </c>
      <c r="U121" s="199">
        <f>+Bonus!U121</f>
        <v>0</v>
      </c>
      <c r="V121" s="199" t="str">
        <f>+Bonus!V121</f>
        <v>.</v>
      </c>
      <c r="X121" s="33"/>
    </row>
    <row r="122" spans="1:24">
      <c r="A122" s="259">
        <f>+Bonus!A122</f>
        <v>54.925699999999999</v>
      </c>
      <c r="B122" s="82" t="str">
        <f>+Bonus!B122</f>
        <v>City of Guadalupe - Highway 1 Lift Station</v>
      </c>
      <c r="C122" s="227">
        <f>+Bonus!C122</f>
        <v>1471328</v>
      </c>
      <c r="D122" s="63">
        <f>+Bonus!D122</f>
        <v>1426328</v>
      </c>
      <c r="E122" s="63">
        <f>+Bonus!E122</f>
        <v>45000</v>
      </c>
      <c r="F122" s="218">
        <f>+Bonus!F122</f>
        <v>762211.05</v>
      </c>
      <c r="G122" s="182">
        <f t="shared" si="144"/>
        <v>0.5343869362446787</v>
      </c>
      <c r="H122" s="98">
        <f t="shared" si="145"/>
        <v>24047.41213101054</v>
      </c>
      <c r="I122" s="98">
        <f t="shared" si="146"/>
        <v>786258.4621310106</v>
      </c>
      <c r="J122" s="218">
        <f>+Bonus!J122</f>
        <v>890983</v>
      </c>
      <c r="K122" s="98">
        <f t="shared" si="147"/>
        <v>104724.5378689894</v>
      </c>
      <c r="L122" s="98">
        <f t="shared" si="148"/>
        <v>664116.94999999995</v>
      </c>
      <c r="M122" s="98">
        <f t="shared" si="149"/>
        <v>580345</v>
      </c>
      <c r="N122" s="218">
        <f>Bonus!N122</f>
        <v>14035.83</v>
      </c>
      <c r="O122" s="218">
        <f>Bonus!O122</f>
        <v>0</v>
      </c>
      <c r="P122" s="154">
        <f>Bonus!W122</f>
        <v>0</v>
      </c>
      <c r="Q122" s="98">
        <f t="shared" si="150"/>
        <v>748175.22000000009</v>
      </c>
      <c r="R122" s="98">
        <f t="shared" si="151"/>
        <v>890983</v>
      </c>
      <c r="S122" s="129">
        <f t="shared" si="152"/>
        <v>24047.41213101054</v>
      </c>
      <c r="T122" s="199" t="str">
        <f>+Bonus!T122</f>
        <v>2023</v>
      </c>
      <c r="U122" s="199">
        <f>+Bonus!U122</f>
        <v>0</v>
      </c>
      <c r="V122" s="199" t="str">
        <f>+Bonus!V122</f>
        <v>.</v>
      </c>
      <c r="X122" s="33"/>
    </row>
    <row r="123" spans="1:24">
      <c r="A123" s="259">
        <f>+Bonus!A123</f>
        <v>54.9268</v>
      </c>
      <c r="B123" s="82" t="str">
        <f>+Bonus!B123</f>
        <v>Semitropic Water Storage Dist. - Amendment No. 23 Raw Water Processing Plant Pipeline Replacement</v>
      </c>
      <c r="C123" s="227">
        <f>+Bonus!C123</f>
        <v>949567.99</v>
      </c>
      <c r="D123" s="63">
        <f>+Bonus!D123</f>
        <v>884567.99</v>
      </c>
      <c r="E123" s="63">
        <f>+Bonus!E123</f>
        <v>65000</v>
      </c>
      <c r="F123" s="218">
        <f>+Bonus!F123</f>
        <v>844648.28</v>
      </c>
      <c r="G123" s="182">
        <f t="shared" si="144"/>
        <v>0.95487095344700412</v>
      </c>
      <c r="H123" s="98">
        <f t="shared" si="145"/>
        <v>62066.611974055268</v>
      </c>
      <c r="I123" s="98">
        <f t="shared" si="146"/>
        <v>906714.89197405532</v>
      </c>
      <c r="J123" s="218">
        <f>+Bonus!J123</f>
        <v>907298</v>
      </c>
      <c r="K123" s="98">
        <f t="shared" si="147"/>
        <v>583.10802594467532</v>
      </c>
      <c r="L123" s="98">
        <f t="shared" si="148"/>
        <v>39919.709999999963</v>
      </c>
      <c r="M123" s="98">
        <f t="shared" si="149"/>
        <v>42269.989999999991</v>
      </c>
      <c r="N123" s="218">
        <f>Bonus!N123</f>
        <v>788053.77</v>
      </c>
      <c r="O123" s="218">
        <f>Bonus!O123</f>
        <v>894533</v>
      </c>
      <c r="P123" s="154">
        <f>Bonus!W123</f>
        <v>71013.066786332143</v>
      </c>
      <c r="Q123" s="98">
        <f t="shared" si="150"/>
        <v>56594.510000000009</v>
      </c>
      <c r="R123" s="98">
        <f t="shared" si="151"/>
        <v>12765</v>
      </c>
      <c r="S123" s="129">
        <f t="shared" si="152"/>
        <v>-8946.4548122768756</v>
      </c>
      <c r="T123" s="199" t="str">
        <f>+Bonus!T123</f>
        <v>2023</v>
      </c>
      <c r="U123" s="199">
        <f>+Bonus!U123</f>
        <v>0</v>
      </c>
      <c r="V123" s="199" t="str">
        <f>+Bonus!V123</f>
        <v>.</v>
      </c>
      <c r="X123" s="33"/>
    </row>
    <row r="124" spans="1:24">
      <c r="A124" s="614">
        <f>+Bonus!A124</f>
        <v>54.926900000000003</v>
      </c>
      <c r="B124" s="82" t="str">
        <f>+Bonus!B124</f>
        <v>Semitropic Water Storage Dist. - Design &amp; Construction of the Central TCP Facility-Phase 1</v>
      </c>
      <c r="C124" s="227">
        <f>J124</f>
        <v>625819.17000000004</v>
      </c>
      <c r="D124" s="63">
        <f>F124</f>
        <v>549817.74</v>
      </c>
      <c r="E124" s="63">
        <f>C124-D124</f>
        <v>76001.430000000051</v>
      </c>
      <c r="F124" s="218">
        <f>+Bonus!F124</f>
        <v>549817.74</v>
      </c>
      <c r="G124" s="182">
        <f t="shared" si="144"/>
        <v>1</v>
      </c>
      <c r="H124" s="98">
        <f t="shared" si="145"/>
        <v>76001.430000000051</v>
      </c>
      <c r="I124" s="98">
        <f t="shared" si="146"/>
        <v>625819.17000000004</v>
      </c>
      <c r="J124" s="218">
        <f>+Bonus!J124</f>
        <v>625819.17000000004</v>
      </c>
      <c r="K124" s="98">
        <f t="shared" si="147"/>
        <v>0</v>
      </c>
      <c r="L124" s="98">
        <f t="shared" si="148"/>
        <v>0</v>
      </c>
      <c r="M124" s="98">
        <f t="shared" si="149"/>
        <v>0</v>
      </c>
      <c r="N124" s="218">
        <f>Bonus!N124</f>
        <v>306021.40999999997</v>
      </c>
      <c r="O124" s="218">
        <f>Bonus!O124</f>
        <v>340270.46</v>
      </c>
      <c r="P124" s="154">
        <f>Bonus!W124</f>
        <v>34249.050000000047</v>
      </c>
      <c r="Q124" s="98">
        <f t="shared" si="150"/>
        <v>243796.33000000002</v>
      </c>
      <c r="R124" s="98">
        <f t="shared" si="151"/>
        <v>285548.71000000002</v>
      </c>
      <c r="S124" s="129">
        <f t="shared" si="152"/>
        <v>41752.380000000005</v>
      </c>
      <c r="T124" s="199" t="str">
        <f>+Bonus!T124</f>
        <v>2023</v>
      </c>
      <c r="U124" s="199">
        <f>+Bonus!U124</f>
        <v>0</v>
      </c>
      <c r="V124" s="199" t="str">
        <f>+Bonus!V124</f>
        <v>.</v>
      </c>
      <c r="X124" s="33"/>
    </row>
    <row r="125" spans="1:24">
      <c r="A125" s="259">
        <f>+Bonus!A125</f>
        <v>54.9285</v>
      </c>
      <c r="B125" s="82" t="str">
        <f>+Bonus!B125</f>
        <v>Semitropic Water Storage Dist. - Emergency Radial Arm Gate Removal and Replacement</v>
      </c>
      <c r="C125" s="227">
        <f>+Bonus!C125</f>
        <v>462022</v>
      </c>
      <c r="D125" s="63">
        <f>+Bonus!D125</f>
        <v>387022</v>
      </c>
      <c r="E125" s="63">
        <f>+Bonus!E125</f>
        <v>75000</v>
      </c>
      <c r="F125" s="218">
        <f>+Bonus!F125</f>
        <v>312939.77</v>
      </c>
      <c r="G125" s="182">
        <f t="shared" si="144"/>
        <v>0.80858393062926659</v>
      </c>
      <c r="H125" s="98">
        <f t="shared" si="145"/>
        <v>60643.794797194991</v>
      </c>
      <c r="I125" s="98">
        <f t="shared" si="146"/>
        <v>373583.56479719502</v>
      </c>
      <c r="J125" s="218">
        <f>+Bonus!J125</f>
        <v>427226</v>
      </c>
      <c r="K125" s="98">
        <f t="shared" si="147"/>
        <v>53642.435202804976</v>
      </c>
      <c r="L125" s="98">
        <f t="shared" si="148"/>
        <v>74082.229999999981</v>
      </c>
      <c r="M125" s="98">
        <f t="shared" si="149"/>
        <v>34796</v>
      </c>
      <c r="N125" s="218">
        <f>Bonus!N125</f>
        <v>186052.75</v>
      </c>
      <c r="O125" s="218">
        <f>Bonus!O125</f>
        <v>205930</v>
      </c>
      <c r="P125" s="154">
        <f>Bonus!W125</f>
        <v>35686.23784080011</v>
      </c>
      <c r="Q125" s="98">
        <f t="shared" si="150"/>
        <v>126887.02000000002</v>
      </c>
      <c r="R125" s="98">
        <f t="shared" si="151"/>
        <v>221296</v>
      </c>
      <c r="S125" s="129">
        <f t="shared" si="152"/>
        <v>24957.556956394881</v>
      </c>
      <c r="T125" s="199" t="str">
        <f>+Bonus!T125</f>
        <v>2023</v>
      </c>
      <c r="U125" s="199">
        <f>+Bonus!U125</f>
        <v>0</v>
      </c>
      <c r="V125" s="199" t="str">
        <f>+Bonus!V125</f>
        <v>.</v>
      </c>
      <c r="X125" s="33"/>
    </row>
    <row r="126" spans="1:24">
      <c r="A126" s="259">
        <f>+Bonus!A126</f>
        <v>54.9313</v>
      </c>
      <c r="B126" s="82" t="str">
        <f>+Bonus!B126</f>
        <v>Granite Construction Co. - Granite Chumash Camp 4 Infrastructure Project</v>
      </c>
      <c r="C126" s="227">
        <f>+Bonus!C126</f>
        <v>7886885.04</v>
      </c>
      <c r="D126" s="63">
        <f>+Bonus!D126</f>
        <v>6876885.04</v>
      </c>
      <c r="E126" s="63">
        <f>+Bonus!E126</f>
        <v>1010000</v>
      </c>
      <c r="F126" s="218">
        <f>+Bonus!F126</f>
        <v>6449205.2199999997</v>
      </c>
      <c r="G126" s="182">
        <f t="shared" si="144"/>
        <v>0.93780907816367975</v>
      </c>
      <c r="H126" s="98">
        <f t="shared" si="145"/>
        <v>947187.16894531657</v>
      </c>
      <c r="I126" s="98">
        <f t="shared" si="146"/>
        <v>7396392.388945316</v>
      </c>
      <c r="J126" s="218">
        <f>+Bonus!J126</f>
        <v>7886885</v>
      </c>
      <c r="K126" s="98">
        <f t="shared" si="147"/>
        <v>490492.61105468404</v>
      </c>
      <c r="L126" s="98">
        <f t="shared" si="148"/>
        <v>427679.8200000003</v>
      </c>
      <c r="M126" s="98">
        <f t="shared" si="149"/>
        <v>4.0000000037252903E-2</v>
      </c>
      <c r="N126" s="218">
        <f>Bonus!N126</f>
        <v>1921139.11</v>
      </c>
      <c r="O126" s="218">
        <f>Bonus!O126</f>
        <v>2129585.8199999998</v>
      </c>
      <c r="P126" s="154">
        <f>Bonus!W126</f>
        <v>197714.51112450095</v>
      </c>
      <c r="Q126" s="98">
        <f t="shared" si="150"/>
        <v>4528066.1099999994</v>
      </c>
      <c r="R126" s="98">
        <f t="shared" si="151"/>
        <v>5757299.1799999997</v>
      </c>
      <c r="S126" s="129">
        <f t="shared" si="152"/>
        <v>749472.65782081569</v>
      </c>
      <c r="T126" s="199" t="str">
        <f>+Bonus!T126</f>
        <v>2024</v>
      </c>
      <c r="U126" s="199">
        <f>+Bonus!U126</f>
        <v>0</v>
      </c>
      <c r="V126" s="199" t="str">
        <f>+Bonus!V126</f>
        <v>.</v>
      </c>
      <c r="X126" s="33"/>
    </row>
    <row r="127" spans="1:24">
      <c r="A127" s="614">
        <f>+Bonus!A127</f>
        <v>54.933</v>
      </c>
      <c r="B127" s="82" t="str">
        <f>+Bonus!B127</f>
        <v>City of Bakersfield Public Works - Wastewater Treatment Plant No. 3 Septage Processing Unit Rep</v>
      </c>
      <c r="C127" s="227">
        <f>+Bonus!C127</f>
        <v>324900</v>
      </c>
      <c r="D127" s="63">
        <f>+Bonus!D127</f>
        <v>307641</v>
      </c>
      <c r="E127" s="63">
        <f>+Bonus!E127</f>
        <v>17259</v>
      </c>
      <c r="F127" s="218">
        <f>+Bonus!F127</f>
        <v>306221.40999999997</v>
      </c>
      <c r="G127" s="182">
        <f t="shared" si="144"/>
        <v>0.99538556304263726</v>
      </c>
      <c r="H127" s="98">
        <f t="shared" si="145"/>
        <v>17179.359432552876</v>
      </c>
      <c r="I127" s="98">
        <f t="shared" si="146"/>
        <v>323400.76943255286</v>
      </c>
      <c r="J127" s="218">
        <f>+Bonus!J127</f>
        <v>324900</v>
      </c>
      <c r="K127" s="98">
        <f t="shared" si="147"/>
        <v>1499.2305674471427</v>
      </c>
      <c r="L127" s="98">
        <f t="shared" si="148"/>
        <v>1419.5900000000256</v>
      </c>
      <c r="M127" s="98">
        <f t="shared" si="149"/>
        <v>0</v>
      </c>
      <c r="N127" s="218">
        <f>Bonus!N127</f>
        <v>181448.27</v>
      </c>
      <c r="O127" s="218">
        <f>Bonus!O127</f>
        <v>237460</v>
      </c>
      <c r="P127" s="154">
        <f>Bonus!W127</f>
        <v>10642.127272727274</v>
      </c>
      <c r="Q127" s="98">
        <f t="shared" si="150"/>
        <v>124773.13999999998</v>
      </c>
      <c r="R127" s="98">
        <f t="shared" si="151"/>
        <v>87440</v>
      </c>
      <c r="S127" s="129">
        <f t="shared" si="152"/>
        <v>6537.2321598256021</v>
      </c>
      <c r="T127" s="199" t="str">
        <f>+Bonus!T127</f>
        <v>2024</v>
      </c>
      <c r="U127" s="199">
        <f>+Bonus!U127</f>
        <v>0</v>
      </c>
      <c r="V127" s="199" t="str">
        <f>+Bonus!V127</f>
        <v>.</v>
      </c>
      <c r="X127" s="33"/>
    </row>
    <row r="128" spans="1:24">
      <c r="A128" s="259">
        <f>+Bonus!A128</f>
        <v>54.933599999999998</v>
      </c>
      <c r="B128" s="82" t="str">
        <f>+Bonus!B128</f>
        <v>Palmdale Water Dist. - Pure Water AV - Demonstration Facility</v>
      </c>
      <c r="C128" s="227">
        <f>+Bonus!C128</f>
        <v>25191176.640000001</v>
      </c>
      <c r="D128" s="63">
        <f>+Bonus!D128</f>
        <v>23271176.640000001</v>
      </c>
      <c r="E128" s="63">
        <f>+Bonus!E128</f>
        <v>1920000</v>
      </c>
      <c r="F128" s="218">
        <f>+Bonus!F128</f>
        <v>12340864.27</v>
      </c>
      <c r="G128" s="182">
        <f t="shared" si="144"/>
        <v>0.53030684528378014</v>
      </c>
      <c r="H128" s="98">
        <f t="shared" si="145"/>
        <v>1018189.1429448578</v>
      </c>
      <c r="I128" s="98">
        <f t="shared" si="146"/>
        <v>13359053.412944857</v>
      </c>
      <c r="J128" s="218">
        <f>+Bonus!J128</f>
        <v>14176592.91</v>
      </c>
      <c r="K128" s="98">
        <f t="shared" si="147"/>
        <v>817539.49705514312</v>
      </c>
      <c r="L128" s="98">
        <f t="shared" si="148"/>
        <v>10930312.370000001</v>
      </c>
      <c r="M128" s="98">
        <f t="shared" si="149"/>
        <v>11014583.73</v>
      </c>
      <c r="N128" s="218">
        <f>Bonus!N128</f>
        <v>2120057.5499999998</v>
      </c>
      <c r="O128" s="218">
        <f>Bonus!O128</f>
        <v>2584469.7000000002</v>
      </c>
      <c r="P128" s="154">
        <f>Bonus!W128</f>
        <v>0</v>
      </c>
      <c r="Q128" s="98">
        <f t="shared" si="150"/>
        <v>10220806.719999999</v>
      </c>
      <c r="R128" s="98">
        <f t="shared" si="151"/>
        <v>11592123.210000001</v>
      </c>
      <c r="S128" s="129">
        <f t="shared" si="152"/>
        <v>1018189.1429448578</v>
      </c>
      <c r="T128" s="199" t="str">
        <f>+Bonus!T128</f>
        <v>2024</v>
      </c>
      <c r="U128" s="199">
        <f>+Bonus!U128</f>
        <v>0</v>
      </c>
      <c r="V128" s="199" t="str">
        <f>+Bonus!V128</f>
        <v>.</v>
      </c>
      <c r="X128" s="33"/>
    </row>
    <row r="129" spans="1:24">
      <c r="A129" s="259">
        <f>+Bonus!A129</f>
        <v>54.933700000000002</v>
      </c>
      <c r="B129" s="82" t="str">
        <f>+Bonus!B129</f>
        <v>City of Bakersfield Public Works - WWTP 3 Digester Gas Booster Blower Replacement Project</v>
      </c>
      <c r="C129" s="227">
        <f>+Bonus!C129</f>
        <v>4104848</v>
      </c>
      <c r="D129" s="63">
        <f>+Bonus!D129</f>
        <v>3944848</v>
      </c>
      <c r="E129" s="63">
        <f>+Bonus!E129</f>
        <v>160000</v>
      </c>
      <c r="F129" s="218">
        <f>+Bonus!F129</f>
        <v>1509066.73</v>
      </c>
      <c r="G129" s="182">
        <f t="shared" si="144"/>
        <v>0.38254116001427685</v>
      </c>
      <c r="H129" s="98">
        <f t="shared" si="145"/>
        <v>61206.585602284293</v>
      </c>
      <c r="I129" s="98">
        <f t="shared" si="146"/>
        <v>1570273.3156022844</v>
      </c>
      <c r="J129" s="218">
        <f>+Bonus!J129</f>
        <v>520441.66</v>
      </c>
      <c r="K129" s="98">
        <f t="shared" si="147"/>
        <v>-1049831.6556022845</v>
      </c>
      <c r="L129" s="98">
        <f t="shared" si="148"/>
        <v>2435781.27</v>
      </c>
      <c r="M129" s="98">
        <f t="shared" si="149"/>
        <v>3584406.34</v>
      </c>
      <c r="N129" s="218">
        <f>Bonus!N129</f>
        <v>153011.71</v>
      </c>
      <c r="O129" s="218">
        <f>Bonus!O129</f>
        <v>0</v>
      </c>
      <c r="P129" s="154">
        <f>Bonus!W129</f>
        <v>0</v>
      </c>
      <c r="Q129" s="98">
        <f t="shared" si="150"/>
        <v>1356055.02</v>
      </c>
      <c r="R129" s="98">
        <f t="shared" si="151"/>
        <v>520441.66</v>
      </c>
      <c r="S129" s="129">
        <f t="shared" si="152"/>
        <v>61206.585602284293</v>
      </c>
      <c r="T129" s="199" t="str">
        <f>+Bonus!T129</f>
        <v>2024</v>
      </c>
      <c r="U129" s="199">
        <f>+Bonus!U129</f>
        <v>0</v>
      </c>
      <c r="V129" s="199" t="str">
        <f>+Bonus!V129</f>
        <v>.</v>
      </c>
      <c r="X129" s="33"/>
    </row>
    <row r="130" spans="1:24">
      <c r="A130" s="259">
        <f>+Bonus!A130</f>
        <v>54.9343</v>
      </c>
      <c r="B130" s="82" t="str">
        <f>+Bonus!B130</f>
        <v>Tehachapi-Cummings County  Water District - DB – Replace Diesel Engines PP2 and PP3</v>
      </c>
      <c r="C130" s="227">
        <f>+Bonus!C130</f>
        <v>6881300</v>
      </c>
      <c r="D130" s="63">
        <f>+Bonus!D130</f>
        <v>5981300</v>
      </c>
      <c r="E130" s="63">
        <f>+Bonus!E130</f>
        <v>900000</v>
      </c>
      <c r="F130" s="218">
        <f>+Bonus!F130</f>
        <v>3415344.08</v>
      </c>
      <c r="G130" s="182">
        <f t="shared" si="144"/>
        <v>0.57100364134887061</v>
      </c>
      <c r="H130" s="98">
        <f t="shared" si="145"/>
        <v>513903.27721398353</v>
      </c>
      <c r="I130" s="98">
        <f t="shared" si="146"/>
        <v>3929247.3572139838</v>
      </c>
      <c r="J130" s="218">
        <f>+Bonus!J130</f>
        <v>3954560</v>
      </c>
      <c r="K130" s="98">
        <f t="shared" si="147"/>
        <v>25312.642786016222</v>
      </c>
      <c r="L130" s="98">
        <f t="shared" si="148"/>
        <v>2565955.92</v>
      </c>
      <c r="M130" s="98">
        <f t="shared" si="149"/>
        <v>2926740</v>
      </c>
      <c r="N130" s="218">
        <f>Bonus!N130</f>
        <v>600191.79</v>
      </c>
      <c r="O130" s="218">
        <f>Bonus!O130</f>
        <v>737745</v>
      </c>
      <c r="P130" s="154">
        <f>Bonus!W130</f>
        <v>0</v>
      </c>
      <c r="Q130" s="98">
        <f t="shared" si="150"/>
        <v>2815152.29</v>
      </c>
      <c r="R130" s="98">
        <f t="shared" si="151"/>
        <v>3216815</v>
      </c>
      <c r="S130" s="129">
        <f t="shared" si="152"/>
        <v>513903.27721398353</v>
      </c>
      <c r="T130" s="199" t="str">
        <f>+Bonus!T130</f>
        <v>2024</v>
      </c>
      <c r="U130" s="199">
        <f>+Bonus!U130</f>
        <v>0</v>
      </c>
      <c r="V130" s="199" t="str">
        <f>+Bonus!V130</f>
        <v>.</v>
      </c>
      <c r="X130" s="33"/>
    </row>
    <row r="131" spans="1:24">
      <c r="A131" s="259">
        <f>+Bonus!A131</f>
        <v>54.935600000000001</v>
      </c>
      <c r="B131" s="82" t="str">
        <f>+Bonus!B131</f>
        <v>North of River Sanitary Dist. No. 1 - WWTP Digester Gas Scrubber Vessel and Effluent Storage Pond</v>
      </c>
      <c r="C131" s="227">
        <f>+Bonus!C131</f>
        <v>1298330</v>
      </c>
      <c r="D131" s="63">
        <f>+Bonus!D131</f>
        <v>913330</v>
      </c>
      <c r="E131" s="63">
        <f>+Bonus!E131</f>
        <v>385000</v>
      </c>
      <c r="F131" s="218">
        <f>+Bonus!F131</f>
        <v>775780.75</v>
      </c>
      <c r="G131" s="182">
        <f t="shared" si="144"/>
        <v>0.8493980817448239</v>
      </c>
      <c r="H131" s="98">
        <f t="shared" si="145"/>
        <v>327018.2614717572</v>
      </c>
      <c r="I131" s="98">
        <f t="shared" si="146"/>
        <v>1102799.0114717572</v>
      </c>
      <c r="J131" s="218">
        <f>+Bonus!J131</f>
        <v>685017</v>
      </c>
      <c r="K131" s="98">
        <f t="shared" si="147"/>
        <v>-417782.0114717572</v>
      </c>
      <c r="L131" s="98">
        <f t="shared" si="148"/>
        <v>137549.25</v>
      </c>
      <c r="M131" s="98">
        <f t="shared" si="149"/>
        <v>613313</v>
      </c>
      <c r="N131" s="218">
        <f>Bonus!N131</f>
        <v>62884.76</v>
      </c>
      <c r="O131" s="218">
        <f>Bonus!O131</f>
        <v>63200</v>
      </c>
      <c r="P131" s="154">
        <f>Bonus!W131</f>
        <v>0</v>
      </c>
      <c r="Q131" s="98">
        <f t="shared" si="150"/>
        <v>712895.99</v>
      </c>
      <c r="R131" s="98">
        <f t="shared" si="151"/>
        <v>621817</v>
      </c>
      <c r="S131" s="129">
        <f t="shared" si="152"/>
        <v>327018.2614717572</v>
      </c>
      <c r="T131" s="199" t="str">
        <f>+Bonus!T131</f>
        <v>2024</v>
      </c>
      <c r="U131" s="199">
        <f>+Bonus!U131</f>
        <v>0</v>
      </c>
      <c r="V131" s="199" t="str">
        <f>+Bonus!V131</f>
        <v>.</v>
      </c>
      <c r="X131" s="33"/>
    </row>
    <row r="132" spans="1:24">
      <c r="A132" s="259">
        <f>+Bonus!A132</f>
        <v>54.936599999999999</v>
      </c>
      <c r="B132" s="82" t="str">
        <f>+Bonus!B132</f>
        <v>City of Pismo Beach Community Development Dept. - WWTP Clarifier Equipment Replacement</v>
      </c>
      <c r="C132" s="227">
        <f>+Bonus!C132</f>
        <v>1230131</v>
      </c>
      <c r="D132" s="63">
        <f>+Bonus!D132</f>
        <v>1080131</v>
      </c>
      <c r="E132" s="63">
        <f>+Bonus!E132</f>
        <v>150000</v>
      </c>
      <c r="F132" s="218">
        <f>+Bonus!F132</f>
        <v>923220.5</v>
      </c>
      <c r="G132" s="182">
        <f t="shared" si="144"/>
        <v>0.85473012069832266</v>
      </c>
      <c r="H132" s="98">
        <f t="shared" si="145"/>
        <v>128209.51810474839</v>
      </c>
      <c r="I132" s="98">
        <f t="shared" si="146"/>
        <v>1051430.0181047483</v>
      </c>
      <c r="J132" s="218">
        <f>+Bonus!J132</f>
        <v>1160831</v>
      </c>
      <c r="K132" s="98">
        <f t="shared" si="147"/>
        <v>109400.98189525167</v>
      </c>
      <c r="L132" s="98">
        <f t="shared" si="148"/>
        <v>156910.5</v>
      </c>
      <c r="M132" s="98">
        <f t="shared" si="149"/>
        <v>69300</v>
      </c>
      <c r="N132" s="218">
        <f>Bonus!N132</f>
        <v>5513.06</v>
      </c>
      <c r="O132" s="218">
        <f>Bonus!O132</f>
        <v>0</v>
      </c>
      <c r="P132" s="154">
        <f>Bonus!W132</f>
        <v>0</v>
      </c>
      <c r="Q132" s="98">
        <f t="shared" si="150"/>
        <v>917707.44</v>
      </c>
      <c r="R132" s="98">
        <f t="shared" si="151"/>
        <v>1160831</v>
      </c>
      <c r="S132" s="129">
        <f t="shared" si="152"/>
        <v>128209.51810474839</v>
      </c>
      <c r="T132" s="199" t="str">
        <f>+Bonus!T132</f>
        <v>2024</v>
      </c>
      <c r="U132" s="199">
        <f>+Bonus!U132</f>
        <v>0</v>
      </c>
      <c r="V132" s="199" t="str">
        <f>+Bonus!V132</f>
        <v>.</v>
      </c>
      <c r="X132" s="33"/>
    </row>
    <row r="133" spans="1:24">
      <c r="A133" s="259">
        <f>+Bonus!A133</f>
        <v>54.936900000000001</v>
      </c>
      <c r="B133" s="82" t="str">
        <f>+Bonus!B133</f>
        <v>California Water Service Co. - PFAS Treatment Program Project</v>
      </c>
      <c r="C133" s="227">
        <f>+Bonus!C133</f>
        <v>28550624.699999999</v>
      </c>
      <c r="D133" s="63">
        <f>+Bonus!D133</f>
        <v>26179781.699999999</v>
      </c>
      <c r="E133" s="63">
        <f>+Bonus!E133</f>
        <v>2370843</v>
      </c>
      <c r="F133" s="218">
        <f>+Bonus!F133</f>
        <v>2787466.66</v>
      </c>
      <c r="G133" s="182">
        <f t="shared" si="144"/>
        <v>0.106474022279567</v>
      </c>
      <c r="H133" s="98">
        <f t="shared" si="145"/>
        <v>252433.19040335546</v>
      </c>
      <c r="I133" s="98">
        <f t="shared" si="146"/>
        <v>3039899.8504033554</v>
      </c>
      <c r="J133" s="218">
        <f>+Bonus!J133</f>
        <v>2927422.95</v>
      </c>
      <c r="K133" s="98">
        <f t="shared" si="147"/>
        <v>-112476.90040335525</v>
      </c>
      <c r="L133" s="98">
        <f t="shared" si="148"/>
        <v>23392315.039999999</v>
      </c>
      <c r="M133" s="98">
        <f t="shared" si="149"/>
        <v>25623201.75</v>
      </c>
      <c r="N133" s="218">
        <f>Bonus!N133</f>
        <v>1242.45</v>
      </c>
      <c r="O133" s="218">
        <f>Bonus!O133</f>
        <v>0</v>
      </c>
      <c r="P133" s="154">
        <f>Bonus!W133</f>
        <v>0</v>
      </c>
      <c r="Q133" s="98">
        <f t="shared" si="150"/>
        <v>2786224.21</v>
      </c>
      <c r="R133" s="98">
        <f t="shared" si="151"/>
        <v>2927422.95</v>
      </c>
      <c r="S133" s="129">
        <f t="shared" si="152"/>
        <v>252433.19040335546</v>
      </c>
      <c r="T133" s="199" t="str">
        <f>+Bonus!T133</f>
        <v>2024</v>
      </c>
      <c r="U133" s="199">
        <f>+Bonus!U133</f>
        <v>0</v>
      </c>
      <c r="V133" s="199" t="str">
        <f>+Bonus!V133</f>
        <v>.</v>
      </c>
      <c r="X133" s="33"/>
    </row>
    <row r="134" spans="1:24">
      <c r="A134" s="259">
        <f>+Bonus!A134</f>
        <v>54.9373</v>
      </c>
      <c r="B134" s="82" t="str">
        <f>+Bonus!B134</f>
        <v>City of Guadalupe - Guadalupe Pioneer Lift Station Replacement</v>
      </c>
      <c r="C134" s="227">
        <f>+Bonus!C134</f>
        <v>1524766</v>
      </c>
      <c r="D134" s="63">
        <f>+Bonus!D134</f>
        <v>1393326</v>
      </c>
      <c r="E134" s="63">
        <f>+Bonus!E134</f>
        <v>131440</v>
      </c>
      <c r="F134" s="218">
        <f>+Bonus!F134</f>
        <v>50303.97</v>
      </c>
      <c r="G134" s="182">
        <f t="shared" si="144"/>
        <v>3.6103517769710748E-2</v>
      </c>
      <c r="H134" s="98">
        <f t="shared" si="145"/>
        <v>0</v>
      </c>
      <c r="I134" s="98">
        <f t="shared" si="146"/>
        <v>50303.97</v>
      </c>
      <c r="J134" s="218">
        <f>+Bonus!J134</f>
        <v>0</v>
      </c>
      <c r="K134" s="98">
        <f t="shared" si="147"/>
        <v>-50303.97</v>
      </c>
      <c r="L134" s="98">
        <f t="shared" si="148"/>
        <v>1343022.03</v>
      </c>
      <c r="M134" s="98">
        <f t="shared" si="149"/>
        <v>1524766</v>
      </c>
      <c r="N134" s="218">
        <f>Bonus!N134</f>
        <v>0</v>
      </c>
      <c r="O134" s="218">
        <f>Bonus!O134</f>
        <v>0</v>
      </c>
      <c r="P134" s="154">
        <f>Bonus!W134</f>
        <v>0</v>
      </c>
      <c r="Q134" s="98">
        <f t="shared" si="150"/>
        <v>50303.97</v>
      </c>
      <c r="R134" s="98">
        <f t="shared" si="151"/>
        <v>0</v>
      </c>
      <c r="S134" s="129">
        <f t="shared" si="152"/>
        <v>0</v>
      </c>
      <c r="T134" s="199" t="str">
        <f>+Bonus!T134</f>
        <v>2025</v>
      </c>
      <c r="U134" s="199">
        <f>+Bonus!U134</f>
        <v>0</v>
      </c>
      <c r="V134" s="199" t="str">
        <f>+Bonus!V134</f>
        <v>.</v>
      </c>
      <c r="X134" s="33"/>
    </row>
    <row r="135" spans="1:24">
      <c r="A135" s="614">
        <f>+Bonus!A135</f>
        <v>54.938899999999997</v>
      </c>
      <c r="B135" s="82" t="str">
        <f>+Bonus!B135</f>
        <v>City of Atascadero - Atascadero Lift Stations 4 &amp; 11 Rehab Project</v>
      </c>
      <c r="C135" s="227">
        <f>+Bonus!C135</f>
        <v>299780</v>
      </c>
      <c r="D135" s="63">
        <f>+Bonus!D135</f>
        <v>314780</v>
      </c>
      <c r="E135" s="63">
        <f>+Bonus!E135</f>
        <v>-15000</v>
      </c>
      <c r="F135" s="218">
        <f>+Bonus!F135</f>
        <v>311891.84999999998</v>
      </c>
      <c r="G135" s="182">
        <f t="shared" si="144"/>
        <v>0.99082486180824692</v>
      </c>
      <c r="H135" s="98">
        <f t="shared" si="145"/>
        <v>-15000</v>
      </c>
      <c r="I135" s="98">
        <f t="shared" si="146"/>
        <v>296891.84999999998</v>
      </c>
      <c r="J135" s="218">
        <f>+Bonus!J135</f>
        <v>291620</v>
      </c>
      <c r="K135" s="98">
        <f t="shared" si="147"/>
        <v>-5271.8499999999767</v>
      </c>
      <c r="L135" s="98">
        <f t="shared" si="148"/>
        <v>2888.1500000000233</v>
      </c>
      <c r="M135" s="98">
        <f t="shared" si="149"/>
        <v>8160</v>
      </c>
      <c r="N135" s="218">
        <f>Bonus!N135</f>
        <v>0</v>
      </c>
      <c r="O135" s="218">
        <f>Bonus!O135</f>
        <v>0</v>
      </c>
      <c r="P135" s="154">
        <f>Bonus!W135</f>
        <v>0</v>
      </c>
      <c r="Q135" s="98">
        <f t="shared" si="150"/>
        <v>311891.84999999998</v>
      </c>
      <c r="R135" s="98">
        <f t="shared" si="151"/>
        <v>291620</v>
      </c>
      <c r="S135" s="129">
        <f t="shared" si="152"/>
        <v>-15000</v>
      </c>
      <c r="T135" s="199" t="str">
        <f>+Bonus!T135</f>
        <v>2025</v>
      </c>
      <c r="U135" s="199">
        <f>+Bonus!U135</f>
        <v>0</v>
      </c>
      <c r="V135" s="199" t="str">
        <f>+Bonus!V135</f>
        <v>.</v>
      </c>
      <c r="X135" s="33"/>
    </row>
    <row r="136" spans="1:24">
      <c r="A136" s="614">
        <f>+Bonus!A136</f>
        <v>54.939100000000003</v>
      </c>
      <c r="B136" s="82" t="str">
        <f>+Bonus!B136</f>
        <v>Arvin Edison Water Storage Dist. - HQ Concrete R&amp;R</v>
      </c>
      <c r="C136" s="227">
        <f>J136</f>
        <v>532604.56999999995</v>
      </c>
      <c r="D136" s="63">
        <f>F136</f>
        <v>512057.34</v>
      </c>
      <c r="E136" s="63">
        <f>C136-D136</f>
        <v>20547.229999999923</v>
      </c>
      <c r="F136" s="218">
        <f>+Bonus!F136</f>
        <v>512057.34</v>
      </c>
      <c r="G136" s="182">
        <f t="shared" si="144"/>
        <v>1</v>
      </c>
      <c r="H136" s="98">
        <f t="shared" si="145"/>
        <v>20547.229999999923</v>
      </c>
      <c r="I136" s="98">
        <f t="shared" si="146"/>
        <v>532604.56999999995</v>
      </c>
      <c r="J136" s="218">
        <f>+Bonus!J136</f>
        <v>532604.56999999995</v>
      </c>
      <c r="K136" s="98">
        <f t="shared" si="147"/>
        <v>0</v>
      </c>
      <c r="L136" s="98">
        <f t="shared" si="148"/>
        <v>0</v>
      </c>
      <c r="M136" s="98">
        <f t="shared" si="149"/>
        <v>0</v>
      </c>
      <c r="N136" s="218">
        <f>Bonus!N136</f>
        <v>0</v>
      </c>
      <c r="O136" s="218">
        <f>Bonus!O136</f>
        <v>0</v>
      </c>
      <c r="P136" s="154">
        <f>Bonus!W136</f>
        <v>0</v>
      </c>
      <c r="Q136" s="98">
        <f t="shared" si="150"/>
        <v>512057.34</v>
      </c>
      <c r="R136" s="98">
        <f t="shared" si="151"/>
        <v>532604.56999999995</v>
      </c>
      <c r="S136" s="129">
        <f t="shared" si="152"/>
        <v>20547.229999999923</v>
      </c>
      <c r="T136" s="199" t="str">
        <f>+Bonus!T136</f>
        <v>2025</v>
      </c>
      <c r="U136" s="199">
        <f>+Bonus!U136</f>
        <v>0</v>
      </c>
      <c r="V136" s="199" t="str">
        <f>+Bonus!V136</f>
        <v>.</v>
      </c>
      <c r="X136" s="33"/>
    </row>
    <row r="137" spans="1:24">
      <c r="A137" s="259">
        <f>+Bonus!A137</f>
        <v>54.939500000000002</v>
      </c>
      <c r="B137" s="82" t="str">
        <f>+Bonus!B137</f>
        <v>Semitropic Water Storage Dist. - Pond Poso Pumping Plant Siphon Pipe Replacement Project</v>
      </c>
      <c r="C137" s="227">
        <f>+Bonus!C137</f>
        <v>1795652.66</v>
      </c>
      <c r="D137" s="63">
        <f>+Bonus!D137</f>
        <v>1693652.66</v>
      </c>
      <c r="E137" s="63">
        <f>+Bonus!E137</f>
        <v>102000</v>
      </c>
      <c r="F137" s="218">
        <f>+Bonus!F137</f>
        <v>1349601.92</v>
      </c>
      <c r="G137" s="182">
        <f t="shared" si="144"/>
        <v>0.79685873725726031</v>
      </c>
      <c r="H137" s="98">
        <f t="shared" si="145"/>
        <v>81279.591200240553</v>
      </c>
      <c r="I137" s="98">
        <f t="shared" si="146"/>
        <v>1430881.5112002406</v>
      </c>
      <c r="J137" s="218">
        <f>+Bonus!J137</f>
        <v>1374448.17</v>
      </c>
      <c r="K137" s="98">
        <f t="shared" si="147"/>
        <v>-56433.341200240655</v>
      </c>
      <c r="L137" s="98">
        <f t="shared" si="148"/>
        <v>344050.74</v>
      </c>
      <c r="M137" s="98">
        <f t="shared" si="149"/>
        <v>421204.49</v>
      </c>
      <c r="N137" s="218">
        <f>Bonus!N137</f>
        <v>0</v>
      </c>
      <c r="O137" s="218">
        <f>Bonus!O137</f>
        <v>0</v>
      </c>
      <c r="P137" s="154">
        <f>Bonus!W137</f>
        <v>0</v>
      </c>
      <c r="Q137" s="98">
        <f t="shared" si="150"/>
        <v>1349601.92</v>
      </c>
      <c r="R137" s="98">
        <f t="shared" si="151"/>
        <v>1374448.17</v>
      </c>
      <c r="S137" s="129">
        <f t="shared" si="152"/>
        <v>81279.591200240553</v>
      </c>
      <c r="T137" s="199" t="str">
        <f>+Bonus!T137</f>
        <v>2025</v>
      </c>
      <c r="U137" s="199">
        <f>+Bonus!U137</f>
        <v>0</v>
      </c>
      <c r="V137" s="199" t="str">
        <f>+Bonus!V137</f>
        <v>.</v>
      </c>
      <c r="X137" s="33"/>
    </row>
    <row r="138" spans="1:24">
      <c r="A138" s="614">
        <f>+Bonus!A138</f>
        <v>54.939599999999999</v>
      </c>
      <c r="B138" s="82" t="str">
        <f>+Bonus!B138</f>
        <v>Mojave Groundwater Storage LLC - Mojave Water Bank Northern Pipeline Facilities Construction</v>
      </c>
      <c r="C138" s="227">
        <f>F138</f>
        <v>157746.09</v>
      </c>
      <c r="D138" s="63">
        <f>F138</f>
        <v>157746.09</v>
      </c>
      <c r="E138" s="63">
        <f>C138-D138</f>
        <v>0</v>
      </c>
      <c r="F138" s="218">
        <f>+Bonus!F138</f>
        <v>157746.09</v>
      </c>
      <c r="G138" s="182">
        <f t="shared" si="144"/>
        <v>1</v>
      </c>
      <c r="H138" s="98">
        <f t="shared" si="145"/>
        <v>0</v>
      </c>
      <c r="I138" s="98">
        <f t="shared" si="146"/>
        <v>157746.09</v>
      </c>
      <c r="J138" s="218">
        <f>+Bonus!J138</f>
        <v>0</v>
      </c>
      <c r="K138" s="98">
        <f t="shared" si="147"/>
        <v>-157746.09</v>
      </c>
      <c r="L138" s="98">
        <f t="shared" si="148"/>
        <v>0</v>
      </c>
      <c r="M138" s="98">
        <f t="shared" si="149"/>
        <v>157746.09</v>
      </c>
      <c r="N138" s="218">
        <f>Bonus!N138</f>
        <v>0</v>
      </c>
      <c r="O138" s="218">
        <f>Bonus!O138</f>
        <v>0</v>
      </c>
      <c r="P138" s="154">
        <f>Bonus!W138</f>
        <v>0</v>
      </c>
      <c r="Q138" s="98">
        <f t="shared" si="150"/>
        <v>157746.09</v>
      </c>
      <c r="R138" s="98">
        <f t="shared" si="151"/>
        <v>0</v>
      </c>
      <c r="S138" s="129">
        <f t="shared" si="152"/>
        <v>0</v>
      </c>
      <c r="T138" s="199" t="str">
        <f>+Bonus!T138</f>
        <v>2025</v>
      </c>
      <c r="U138" s="199">
        <f>+Bonus!U138</f>
        <v>0</v>
      </c>
      <c r="V138" s="199" t="str">
        <f>+Bonus!V138</f>
        <v>&lt; 250k</v>
      </c>
      <c r="X138" s="33"/>
    </row>
    <row r="139" spans="1:24">
      <c r="A139" s="259">
        <f>+Bonus!A139</f>
        <v>54.939700000000002</v>
      </c>
      <c r="B139" s="82" t="str">
        <f>+Bonus!B139</f>
        <v>Cawelo Water Dist. - Friant-Kern Canal Pump Station</v>
      </c>
      <c r="C139" s="227">
        <f>+Bonus!C139</f>
        <v>3690645</v>
      </c>
      <c r="D139" s="63">
        <f>+Bonus!D139</f>
        <v>3390645</v>
      </c>
      <c r="E139" s="63">
        <f>+Bonus!E139</f>
        <v>300000</v>
      </c>
      <c r="F139" s="218">
        <f>+Bonus!F139</f>
        <v>1035065.41</v>
      </c>
      <c r="G139" s="182">
        <f t="shared" si="144"/>
        <v>0.305270946973216</v>
      </c>
      <c r="H139" s="98">
        <f t="shared" si="145"/>
        <v>91581.284091964801</v>
      </c>
      <c r="I139" s="98">
        <f t="shared" si="146"/>
        <v>1126646.6940919647</v>
      </c>
      <c r="J139" s="218">
        <f>+Bonus!J139</f>
        <v>1033150.21</v>
      </c>
      <c r="K139" s="98">
        <f t="shared" si="147"/>
        <v>-93496.484091964783</v>
      </c>
      <c r="L139" s="98">
        <f t="shared" si="148"/>
        <v>2355579.59</v>
      </c>
      <c r="M139" s="98">
        <f t="shared" si="149"/>
        <v>2657494.79</v>
      </c>
      <c r="N139" s="218">
        <f>Bonus!N139</f>
        <v>0</v>
      </c>
      <c r="O139" s="218">
        <f>Bonus!O139</f>
        <v>0</v>
      </c>
      <c r="P139" s="154">
        <f>Bonus!W139</f>
        <v>0</v>
      </c>
      <c r="Q139" s="98">
        <f t="shared" si="150"/>
        <v>1035065.41</v>
      </c>
      <c r="R139" s="98">
        <f t="shared" si="151"/>
        <v>1033150.21</v>
      </c>
      <c r="S139" s="129">
        <f t="shared" si="152"/>
        <v>91581.284091964801</v>
      </c>
      <c r="T139" s="199" t="str">
        <f>+Bonus!T139</f>
        <v>2025</v>
      </c>
      <c r="U139" s="199">
        <f>+Bonus!U139</f>
        <v>0</v>
      </c>
      <c r="V139" s="199" t="str">
        <f>+Bonus!V139</f>
        <v>.</v>
      </c>
      <c r="X139" s="33"/>
    </row>
    <row r="140" spans="1:24">
      <c r="A140" s="259">
        <f>+Bonus!A140</f>
        <v>54.940300000000001</v>
      </c>
      <c r="B140" s="82" t="str">
        <f>+Bonus!B140</f>
        <v>Lost Hills Utility Dist. - WTP Improvements</v>
      </c>
      <c r="C140" s="227">
        <f>+Bonus!C140</f>
        <v>381600</v>
      </c>
      <c r="D140" s="63">
        <f>+Bonus!D140</f>
        <v>338101</v>
      </c>
      <c r="E140" s="63">
        <f>+Bonus!E140</f>
        <v>43499</v>
      </c>
      <c r="F140" s="218">
        <f>+Bonus!F140</f>
        <v>129004.89</v>
      </c>
      <c r="G140" s="182">
        <f t="shared" si="144"/>
        <v>0.38155725655943046</v>
      </c>
      <c r="H140" s="98">
        <f t="shared" si="145"/>
        <v>16597.359103078667</v>
      </c>
      <c r="I140" s="98">
        <f t="shared" si="146"/>
        <v>145602.24910307868</v>
      </c>
      <c r="J140" s="218">
        <f>+Bonus!J140</f>
        <v>140100</v>
      </c>
      <c r="K140" s="98">
        <f t="shared" si="147"/>
        <v>-5502.2491030786769</v>
      </c>
      <c r="L140" s="98">
        <f t="shared" si="148"/>
        <v>209096.11</v>
      </c>
      <c r="M140" s="98">
        <f t="shared" si="149"/>
        <v>241500</v>
      </c>
      <c r="N140" s="218">
        <f>Bonus!N140</f>
        <v>0</v>
      </c>
      <c r="O140" s="218">
        <f>Bonus!O140</f>
        <v>0</v>
      </c>
      <c r="P140" s="154">
        <f>Bonus!W140</f>
        <v>0</v>
      </c>
      <c r="Q140" s="98">
        <f t="shared" si="150"/>
        <v>129004.89</v>
      </c>
      <c r="R140" s="98">
        <f t="shared" si="151"/>
        <v>140100</v>
      </c>
      <c r="S140" s="129">
        <f t="shared" si="152"/>
        <v>16597.359103078667</v>
      </c>
      <c r="T140" s="199" t="str">
        <f>+Bonus!T140</f>
        <v>2025</v>
      </c>
      <c r="U140" s="199">
        <f>+Bonus!U140</f>
        <v>0</v>
      </c>
      <c r="V140" s="199" t="str">
        <f>+Bonus!V140</f>
        <v>.</v>
      </c>
      <c r="X140" s="33"/>
    </row>
    <row r="141" spans="1:24">
      <c r="A141" s="259">
        <f>+Bonus!A141</f>
        <v>54.940399999999997</v>
      </c>
      <c r="B141" s="82" t="str">
        <f>+Bonus!B141</f>
        <v>Cawelo Water Dist. - Reuse of Produced Water</v>
      </c>
      <c r="C141" s="227">
        <f>+Bonus!C141</f>
        <v>3720000</v>
      </c>
      <c r="D141" s="63">
        <f>+Bonus!D141</f>
        <v>3585392</v>
      </c>
      <c r="E141" s="63">
        <f>+Bonus!E141</f>
        <v>134608</v>
      </c>
      <c r="F141" s="218">
        <f>+Bonus!F141</f>
        <v>1939024.63</v>
      </c>
      <c r="G141" s="182">
        <f t="shared" si="144"/>
        <v>0.54081244951737495</v>
      </c>
      <c r="H141" s="98">
        <f t="shared" si="145"/>
        <v>72797.68220463481</v>
      </c>
      <c r="I141" s="98">
        <f t="shared" si="146"/>
        <v>2011822.3122046348</v>
      </c>
      <c r="J141" s="218">
        <f>+Bonus!J141</f>
        <v>1746890</v>
      </c>
      <c r="K141" s="98">
        <f t="shared" si="147"/>
        <v>-264932.31220463477</v>
      </c>
      <c r="L141" s="98">
        <f t="shared" si="148"/>
        <v>1646367.37</v>
      </c>
      <c r="M141" s="98">
        <f t="shared" si="149"/>
        <v>1973110</v>
      </c>
      <c r="N141" s="218">
        <f>Bonus!N141</f>
        <v>0</v>
      </c>
      <c r="O141" s="218">
        <f>Bonus!O141</f>
        <v>0</v>
      </c>
      <c r="P141" s="154">
        <f>Bonus!W141</f>
        <v>0</v>
      </c>
      <c r="Q141" s="98">
        <f t="shared" si="150"/>
        <v>1939024.63</v>
      </c>
      <c r="R141" s="98">
        <f t="shared" si="151"/>
        <v>1746890</v>
      </c>
      <c r="S141" s="129">
        <f t="shared" si="152"/>
        <v>72797.68220463481</v>
      </c>
      <c r="T141" s="199" t="str">
        <f>+Bonus!T141</f>
        <v>2025</v>
      </c>
      <c r="U141" s="199">
        <f>+Bonus!U141</f>
        <v>0</v>
      </c>
      <c r="V141" s="199" t="str">
        <f>+Bonus!V141</f>
        <v>.</v>
      </c>
      <c r="X141" s="33"/>
    </row>
    <row r="142" spans="1:24">
      <c r="A142" s="259">
        <f>+Bonus!A142</f>
        <v>54.9405</v>
      </c>
      <c r="B142" s="82" t="str">
        <f>+Bonus!B142</f>
        <v>Semitropic Water Storage Dist. - Pump Platform Replacement Project</v>
      </c>
      <c r="C142" s="227">
        <f>+Bonus!C142</f>
        <v>942000</v>
      </c>
      <c r="D142" s="63">
        <f>+Bonus!D142</f>
        <v>812000</v>
      </c>
      <c r="E142" s="63">
        <f>+Bonus!E142</f>
        <v>130000</v>
      </c>
      <c r="F142" s="218">
        <f>+Bonus!F142</f>
        <v>577796.16</v>
      </c>
      <c r="G142" s="182">
        <f t="shared" si="144"/>
        <v>0.71157162561576359</v>
      </c>
      <c r="H142" s="98">
        <f t="shared" si="145"/>
        <v>92504.31133004927</v>
      </c>
      <c r="I142" s="98">
        <f t="shared" si="146"/>
        <v>670300.47133004933</v>
      </c>
      <c r="J142" s="218">
        <f>+Bonus!J142</f>
        <v>746125</v>
      </c>
      <c r="K142" s="98">
        <f t="shared" si="147"/>
        <v>75824.528669950669</v>
      </c>
      <c r="L142" s="98">
        <f t="shared" si="148"/>
        <v>234203.83999999997</v>
      </c>
      <c r="M142" s="98">
        <f t="shared" si="149"/>
        <v>195875</v>
      </c>
      <c r="N142" s="218">
        <f>Bonus!N142</f>
        <v>0</v>
      </c>
      <c r="O142" s="218">
        <f>Bonus!O142</f>
        <v>0</v>
      </c>
      <c r="P142" s="154">
        <f>Bonus!W142</f>
        <v>0</v>
      </c>
      <c r="Q142" s="98">
        <f t="shared" si="150"/>
        <v>577796.16</v>
      </c>
      <c r="R142" s="98">
        <f t="shared" si="151"/>
        <v>746125</v>
      </c>
      <c r="S142" s="129">
        <f t="shared" si="152"/>
        <v>92504.31133004927</v>
      </c>
      <c r="T142" s="199" t="str">
        <f>+Bonus!T142</f>
        <v>2025</v>
      </c>
      <c r="U142" s="199">
        <f>+Bonus!U142</f>
        <v>0</v>
      </c>
      <c r="V142" s="199" t="str">
        <f>+Bonus!V142</f>
        <v>.</v>
      </c>
      <c r="X142" s="33"/>
    </row>
    <row r="143" spans="1:24">
      <c r="A143" s="614">
        <f>+Bonus!A143</f>
        <v>54.940600000000003</v>
      </c>
      <c r="B143" s="82" t="str">
        <f>+Bonus!B143</f>
        <v>California Water Service Co. - Emergency PACL leak repair</v>
      </c>
      <c r="C143" s="227">
        <f>F143</f>
        <v>1120.6500000000001</v>
      </c>
      <c r="D143" s="63">
        <f>F143</f>
        <v>1120.6500000000001</v>
      </c>
      <c r="E143" s="63">
        <f>C143-D143</f>
        <v>0</v>
      </c>
      <c r="F143" s="218">
        <f>+Bonus!F143</f>
        <v>1120.6500000000001</v>
      </c>
      <c r="G143" s="182">
        <f t="shared" si="144"/>
        <v>1</v>
      </c>
      <c r="H143" s="98">
        <f t="shared" si="145"/>
        <v>0</v>
      </c>
      <c r="I143" s="98">
        <f t="shared" si="146"/>
        <v>1120.6500000000001</v>
      </c>
      <c r="J143" s="218">
        <f>+Bonus!J143</f>
        <v>0</v>
      </c>
      <c r="K143" s="98">
        <f t="shared" si="147"/>
        <v>-1120.6500000000001</v>
      </c>
      <c r="L143" s="98">
        <f t="shared" si="148"/>
        <v>0</v>
      </c>
      <c r="M143" s="98">
        <f t="shared" si="149"/>
        <v>1120.6500000000001</v>
      </c>
      <c r="N143" s="218">
        <f>Bonus!N143</f>
        <v>0</v>
      </c>
      <c r="O143" s="218">
        <f>Bonus!O143</f>
        <v>0</v>
      </c>
      <c r="P143" s="154">
        <f>Bonus!W143</f>
        <v>0</v>
      </c>
      <c r="Q143" s="98">
        <f t="shared" si="150"/>
        <v>1120.6500000000001</v>
      </c>
      <c r="R143" s="98">
        <f t="shared" si="151"/>
        <v>0</v>
      </c>
      <c r="S143" s="129">
        <f t="shared" si="152"/>
        <v>0</v>
      </c>
      <c r="T143" s="199" t="str">
        <f>+Bonus!T143</f>
        <v>2025</v>
      </c>
      <c r="U143" s="199">
        <f>+Bonus!U143</f>
        <v>0</v>
      </c>
      <c r="V143" s="199" t="str">
        <f>+Bonus!V143</f>
        <v>&lt; 250k</v>
      </c>
      <c r="X143" s="33"/>
    </row>
    <row r="144" spans="1:24">
      <c r="A144" s="259">
        <f>+Bonus!A144</f>
        <v>54.940800000000003</v>
      </c>
      <c r="B144" s="82" t="str">
        <f>+Bonus!B144</f>
        <v>Nipomo Community Service Dist. - Frontage Road Sewer Trunk Line</v>
      </c>
      <c r="C144" s="227">
        <f>+Bonus!C144</f>
        <v>3777777</v>
      </c>
      <c r="D144" s="63">
        <f>+Bonus!D144</f>
        <v>3537185</v>
      </c>
      <c r="E144" s="63">
        <f>+Bonus!E144</f>
        <v>240592</v>
      </c>
      <c r="F144" s="218">
        <f>+Bonus!F144</f>
        <v>41652.43</v>
      </c>
      <c r="G144" s="182">
        <f t="shared" si="144"/>
        <v>1.1775587084079572E-2</v>
      </c>
      <c r="H144" s="98">
        <f t="shared" si="145"/>
        <v>0</v>
      </c>
      <c r="I144" s="98">
        <f t="shared" si="146"/>
        <v>41652.43</v>
      </c>
      <c r="J144" s="218">
        <f>+Bonus!J144</f>
        <v>0</v>
      </c>
      <c r="K144" s="98">
        <f t="shared" si="147"/>
        <v>-41652.43</v>
      </c>
      <c r="L144" s="98">
        <f t="shared" si="148"/>
        <v>3495532.57</v>
      </c>
      <c r="M144" s="98">
        <f t="shared" si="149"/>
        <v>3777777</v>
      </c>
      <c r="N144" s="218">
        <f>Bonus!N144</f>
        <v>0</v>
      </c>
      <c r="O144" s="218">
        <f>Bonus!O144</f>
        <v>0</v>
      </c>
      <c r="P144" s="154">
        <f>Bonus!W144</f>
        <v>0</v>
      </c>
      <c r="Q144" s="98">
        <f t="shared" si="150"/>
        <v>41652.43</v>
      </c>
      <c r="R144" s="98">
        <f t="shared" si="151"/>
        <v>0</v>
      </c>
      <c r="S144" s="129">
        <f t="shared" si="152"/>
        <v>0</v>
      </c>
      <c r="T144" s="199" t="str">
        <f>+Bonus!T144</f>
        <v>2025</v>
      </c>
      <c r="U144" s="199">
        <f>+Bonus!U144</f>
        <v>0</v>
      </c>
      <c r="V144" s="199" t="str">
        <f>+Bonus!V144</f>
        <v>.</v>
      </c>
      <c r="X144" s="33"/>
    </row>
    <row r="145" spans="1:29">
      <c r="A145" s="259">
        <f>+Bonus!A145</f>
        <v>54.941099999999999</v>
      </c>
      <c r="B145" s="82" t="str">
        <f>+Bonus!B145</f>
        <v>Moorefield Construction Inc. - Hard Rock Tejon AEWSD Line Relocation</v>
      </c>
      <c r="C145" s="227">
        <f>+Bonus!C145</f>
        <v>103300</v>
      </c>
      <c r="D145" s="63">
        <f>+Bonus!D145</f>
        <v>78300</v>
      </c>
      <c r="E145" s="63">
        <f>+Bonus!E145</f>
        <v>25000</v>
      </c>
      <c r="F145" s="218">
        <f>+Bonus!F145</f>
        <v>71370.850000000006</v>
      </c>
      <c r="G145" s="182">
        <f t="shared" si="144"/>
        <v>0.91150510855683275</v>
      </c>
      <c r="H145" s="98">
        <f t="shared" si="145"/>
        <v>22787.627713920818</v>
      </c>
      <c r="I145" s="98">
        <f t="shared" si="146"/>
        <v>94158.477713920816</v>
      </c>
      <c r="J145" s="218">
        <f>+Bonus!J145</f>
        <v>103000</v>
      </c>
      <c r="K145" s="98">
        <f t="shared" si="147"/>
        <v>8841.5222860791837</v>
      </c>
      <c r="L145" s="98">
        <f t="shared" si="148"/>
        <v>6929.1499999999942</v>
      </c>
      <c r="M145" s="98">
        <f t="shared" si="149"/>
        <v>300</v>
      </c>
      <c r="N145" s="218">
        <f>Bonus!N145</f>
        <v>0</v>
      </c>
      <c r="O145" s="218">
        <f>Bonus!O145</f>
        <v>0</v>
      </c>
      <c r="P145" s="154">
        <f>Bonus!W145</f>
        <v>0</v>
      </c>
      <c r="Q145" s="98">
        <f t="shared" si="150"/>
        <v>71370.850000000006</v>
      </c>
      <c r="R145" s="98">
        <f t="shared" si="151"/>
        <v>103000</v>
      </c>
      <c r="S145" s="129">
        <f t="shared" si="152"/>
        <v>22787.627713920818</v>
      </c>
      <c r="T145" s="199" t="str">
        <f>+Bonus!T145</f>
        <v>2025</v>
      </c>
      <c r="U145" s="199">
        <f>+Bonus!U145</f>
        <v>0</v>
      </c>
      <c r="V145" s="199" t="str">
        <f>+Bonus!V145</f>
        <v>&lt; 250k</v>
      </c>
      <c r="X145" s="33"/>
    </row>
    <row r="146" spans="1:29">
      <c r="A146" s="614">
        <f>+Bonus!A146</f>
        <v>54.941200000000002</v>
      </c>
      <c r="B146" s="82" t="str">
        <f>+Bonus!B146</f>
        <v>Arvin Edison Water Storage Dist. - Sycamore Well 39 Earthwork</v>
      </c>
      <c r="C146" s="227">
        <f t="shared" ref="C146:C147" si="153">J146</f>
        <v>116752.04</v>
      </c>
      <c r="D146" s="63">
        <f t="shared" ref="D146:D147" si="154">F146</f>
        <v>115708.88</v>
      </c>
      <c r="E146" s="63">
        <f>C146-D146</f>
        <v>1043.1599999999889</v>
      </c>
      <c r="F146" s="218">
        <f>+Bonus!F146</f>
        <v>115708.88</v>
      </c>
      <c r="G146" s="182">
        <f t="shared" si="144"/>
        <v>1</v>
      </c>
      <c r="H146" s="98">
        <f t="shared" si="145"/>
        <v>1043.1599999999889</v>
      </c>
      <c r="I146" s="98">
        <f t="shared" si="146"/>
        <v>116752.04</v>
      </c>
      <c r="J146" s="218">
        <f>+Bonus!J146</f>
        <v>116752.04</v>
      </c>
      <c r="K146" s="98">
        <f t="shared" si="147"/>
        <v>0</v>
      </c>
      <c r="L146" s="98">
        <f t="shared" si="148"/>
        <v>0</v>
      </c>
      <c r="M146" s="98">
        <f t="shared" si="149"/>
        <v>0</v>
      </c>
      <c r="N146" s="218">
        <f>Bonus!N146</f>
        <v>0</v>
      </c>
      <c r="O146" s="218">
        <f>Bonus!O146</f>
        <v>0</v>
      </c>
      <c r="P146" s="154">
        <f>Bonus!W146</f>
        <v>0</v>
      </c>
      <c r="Q146" s="98">
        <f t="shared" si="150"/>
        <v>115708.88</v>
      </c>
      <c r="R146" s="98">
        <f t="shared" si="151"/>
        <v>116752.04</v>
      </c>
      <c r="S146" s="129">
        <f t="shared" si="152"/>
        <v>1043.1599999999889</v>
      </c>
      <c r="T146" s="199" t="str">
        <f>+Bonus!T146</f>
        <v>2025</v>
      </c>
      <c r="U146" s="199">
        <f>+Bonus!U146</f>
        <v>0</v>
      </c>
      <c r="V146" s="199" t="str">
        <f>+Bonus!V146</f>
        <v>&lt; 250k</v>
      </c>
      <c r="X146" s="33"/>
    </row>
    <row r="147" spans="1:29">
      <c r="A147" s="614">
        <f>+Bonus!A147</f>
        <v>54.941299999999998</v>
      </c>
      <c r="B147" s="82" t="str">
        <f>+Bonus!B147</f>
        <v>Arvin Edison Water Storage Dist. - Tejon Well 102 Earthwork</v>
      </c>
      <c r="C147" s="227">
        <f t="shared" si="153"/>
        <v>149366.82999999999</v>
      </c>
      <c r="D147" s="63">
        <f t="shared" si="154"/>
        <v>132138.74</v>
      </c>
      <c r="E147" s="63">
        <f t="shared" ref="E147" si="155">C147-D147</f>
        <v>17228.089999999997</v>
      </c>
      <c r="F147" s="218">
        <f>+Bonus!F147</f>
        <v>132138.74</v>
      </c>
      <c r="G147" s="182">
        <f t="shared" si="144"/>
        <v>1</v>
      </c>
      <c r="H147" s="98">
        <f t="shared" si="145"/>
        <v>17228.089999999997</v>
      </c>
      <c r="I147" s="98">
        <f t="shared" si="146"/>
        <v>149366.82999999999</v>
      </c>
      <c r="J147" s="218">
        <f>+Bonus!J147</f>
        <v>149366.82999999999</v>
      </c>
      <c r="K147" s="98">
        <f t="shared" si="147"/>
        <v>0</v>
      </c>
      <c r="L147" s="98">
        <f t="shared" si="148"/>
        <v>0</v>
      </c>
      <c r="M147" s="98">
        <f t="shared" si="149"/>
        <v>0</v>
      </c>
      <c r="N147" s="218">
        <f>Bonus!N147</f>
        <v>0</v>
      </c>
      <c r="O147" s="218">
        <f>Bonus!O147</f>
        <v>0</v>
      </c>
      <c r="P147" s="154">
        <f>Bonus!W147</f>
        <v>0</v>
      </c>
      <c r="Q147" s="98">
        <f t="shared" si="150"/>
        <v>132138.74</v>
      </c>
      <c r="R147" s="98">
        <f t="shared" si="151"/>
        <v>149366.82999999999</v>
      </c>
      <c r="S147" s="129">
        <f t="shared" si="152"/>
        <v>17228.089999999997</v>
      </c>
      <c r="T147" s="199" t="str">
        <f>+Bonus!T147</f>
        <v>2025</v>
      </c>
      <c r="U147" s="199">
        <f>+Bonus!U147</f>
        <v>0</v>
      </c>
      <c r="V147" s="199" t="str">
        <f>+Bonus!V147</f>
        <v>&lt; 250k</v>
      </c>
      <c r="X147" s="33"/>
    </row>
    <row r="148" spans="1:29">
      <c r="A148" s="614">
        <f>+Bonus!A148</f>
        <v>54.941400000000002</v>
      </c>
      <c r="B148" s="82" t="str">
        <f>+Bonus!B148</f>
        <v>Cawelo Water Dist. - Cawelo Diversion Structure Rehab</v>
      </c>
      <c r="C148" s="227">
        <f>F148</f>
        <v>337485.68</v>
      </c>
      <c r="D148" s="63">
        <f>F148</f>
        <v>337485.68</v>
      </c>
      <c r="E148" s="63">
        <f>C148-D148</f>
        <v>0</v>
      </c>
      <c r="F148" s="218">
        <f>+Bonus!F148</f>
        <v>337485.68</v>
      </c>
      <c r="G148" s="182">
        <f t="shared" si="144"/>
        <v>1</v>
      </c>
      <c r="H148" s="98">
        <f t="shared" si="145"/>
        <v>0</v>
      </c>
      <c r="I148" s="98">
        <f t="shared" si="146"/>
        <v>337485.68</v>
      </c>
      <c r="J148" s="218">
        <f>+Bonus!J148</f>
        <v>0</v>
      </c>
      <c r="K148" s="98">
        <f t="shared" si="147"/>
        <v>-337485.68</v>
      </c>
      <c r="L148" s="98">
        <f t="shared" si="148"/>
        <v>0</v>
      </c>
      <c r="M148" s="98">
        <f t="shared" si="149"/>
        <v>337485.68</v>
      </c>
      <c r="N148" s="218">
        <f>Bonus!N148</f>
        <v>0</v>
      </c>
      <c r="O148" s="218">
        <f>Bonus!O148</f>
        <v>0</v>
      </c>
      <c r="P148" s="154">
        <f>Bonus!W148</f>
        <v>0</v>
      </c>
      <c r="Q148" s="98">
        <f t="shared" si="150"/>
        <v>337485.68</v>
      </c>
      <c r="R148" s="98">
        <f t="shared" si="151"/>
        <v>0</v>
      </c>
      <c r="S148" s="129">
        <f t="shared" si="152"/>
        <v>0</v>
      </c>
      <c r="T148" s="199" t="str">
        <f>+Bonus!T148</f>
        <v>2025</v>
      </c>
      <c r="U148" s="199">
        <f>+Bonus!U148</f>
        <v>0</v>
      </c>
      <c r="V148" s="199" t="str">
        <f>+Bonus!V148</f>
        <v>.</v>
      </c>
      <c r="X148" s="33"/>
    </row>
    <row r="149" spans="1:29">
      <c r="A149" s="259">
        <f>+Bonus!A149</f>
        <v>54.941600000000001</v>
      </c>
      <c r="B149" s="82" t="str">
        <f>+Bonus!B149</f>
        <v>California Water Service Co. - BK 147 Station Improvements</v>
      </c>
      <c r="C149" s="227">
        <f>+Bonus!C149</f>
        <v>1260000</v>
      </c>
      <c r="D149" s="63">
        <f>+Bonus!D149</f>
        <v>1132398</v>
      </c>
      <c r="E149" s="63">
        <f>+Bonus!E149</f>
        <v>127602</v>
      </c>
      <c r="F149" s="218">
        <f>+Bonus!F149</f>
        <v>7257.82</v>
      </c>
      <c r="G149" s="182">
        <f t="shared" si="144"/>
        <v>6.4092483384816995E-3</v>
      </c>
      <c r="H149" s="98">
        <f t="shared" si="145"/>
        <v>0</v>
      </c>
      <c r="I149" s="98">
        <f t="shared" si="146"/>
        <v>7257.82</v>
      </c>
      <c r="J149" s="218">
        <f>+Bonus!J149</f>
        <v>0</v>
      </c>
      <c r="K149" s="98">
        <f t="shared" si="147"/>
        <v>-7257.82</v>
      </c>
      <c r="L149" s="98">
        <f t="shared" si="148"/>
        <v>1125140.18</v>
      </c>
      <c r="M149" s="98">
        <f t="shared" si="149"/>
        <v>1260000</v>
      </c>
      <c r="N149" s="218">
        <f>Bonus!N149</f>
        <v>0</v>
      </c>
      <c r="O149" s="218">
        <f>Bonus!O149</f>
        <v>0</v>
      </c>
      <c r="P149" s="154">
        <f>Bonus!W149</f>
        <v>0</v>
      </c>
      <c r="Q149" s="98">
        <f t="shared" si="150"/>
        <v>7257.82</v>
      </c>
      <c r="R149" s="98">
        <f t="shared" si="151"/>
        <v>0</v>
      </c>
      <c r="S149" s="129">
        <f t="shared" si="152"/>
        <v>0</v>
      </c>
      <c r="T149" s="199" t="str">
        <f>+Bonus!T149</f>
        <v>2025</v>
      </c>
      <c r="U149" s="199">
        <f>+Bonus!U149</f>
        <v>0</v>
      </c>
      <c r="V149" s="199" t="str">
        <f>+Bonus!V149</f>
        <v>.</v>
      </c>
      <c r="X149" s="33"/>
    </row>
    <row r="150" spans="1:29">
      <c r="A150" s="259">
        <f>+Bonus!A150</f>
        <v>54.941699999999997</v>
      </c>
      <c r="B150" s="82" t="str">
        <f>+Bonus!B150</f>
        <v>County of Santa Barbara-Public Works - Laguna WWTP WAS Pipe Modifications</v>
      </c>
      <c r="C150" s="227">
        <f>+Bonus!C150</f>
        <v>48439</v>
      </c>
      <c r="D150" s="63">
        <f>+Bonus!D150</f>
        <v>42893</v>
      </c>
      <c r="E150" s="63">
        <f>+Bonus!E150</f>
        <v>5546</v>
      </c>
      <c r="F150" s="218">
        <f>+Bonus!F150</f>
        <v>2299.41</v>
      </c>
      <c r="G150" s="182">
        <f t="shared" si="144"/>
        <v>5.3608047933229194E-2</v>
      </c>
      <c r="H150" s="98">
        <f t="shared" si="145"/>
        <v>0</v>
      </c>
      <c r="I150" s="98">
        <f t="shared" si="146"/>
        <v>2299.41</v>
      </c>
      <c r="J150" s="218">
        <f>+Bonus!J150</f>
        <v>0</v>
      </c>
      <c r="K150" s="98">
        <f t="shared" si="147"/>
        <v>-2299.41</v>
      </c>
      <c r="L150" s="98">
        <f t="shared" si="148"/>
        <v>40593.589999999997</v>
      </c>
      <c r="M150" s="98">
        <f t="shared" si="149"/>
        <v>48439</v>
      </c>
      <c r="N150" s="218">
        <f>Bonus!N150</f>
        <v>0</v>
      </c>
      <c r="O150" s="218">
        <f>Bonus!O150</f>
        <v>0</v>
      </c>
      <c r="P150" s="154">
        <f>Bonus!W150</f>
        <v>0</v>
      </c>
      <c r="Q150" s="98">
        <f t="shared" si="150"/>
        <v>2299.41</v>
      </c>
      <c r="R150" s="98">
        <f t="shared" si="151"/>
        <v>0</v>
      </c>
      <c r="S150" s="129">
        <f t="shared" si="152"/>
        <v>0</v>
      </c>
      <c r="T150" s="199" t="str">
        <f>+Bonus!T150</f>
        <v>2025</v>
      </c>
      <c r="U150" s="199">
        <f>+Bonus!U150</f>
        <v>0</v>
      </c>
      <c r="V150" s="199" t="str">
        <f>+Bonus!V150</f>
        <v>&lt; 250k</v>
      </c>
      <c r="X150" s="33"/>
    </row>
    <row r="151" spans="1:29">
      <c r="A151" s="614">
        <f>+Bonus!A151</f>
        <v>54.941800000000001</v>
      </c>
      <c r="B151" s="82" t="str">
        <f>+Bonus!B151</f>
        <v>GenerateUpcycle - Organics Waste Processing Facility</v>
      </c>
      <c r="C151" s="227">
        <f>F151</f>
        <v>15739</v>
      </c>
      <c r="D151" s="63">
        <f>F151</f>
        <v>15739</v>
      </c>
      <c r="E151" s="63">
        <f>C151-D151</f>
        <v>0</v>
      </c>
      <c r="F151" s="218">
        <f>+Bonus!F151</f>
        <v>15739</v>
      </c>
      <c r="G151" s="182">
        <f t="shared" si="144"/>
        <v>1</v>
      </c>
      <c r="H151" s="98">
        <f t="shared" si="145"/>
        <v>0</v>
      </c>
      <c r="I151" s="98">
        <f t="shared" si="146"/>
        <v>15739</v>
      </c>
      <c r="J151" s="218">
        <f>+Bonus!J151</f>
        <v>0</v>
      </c>
      <c r="K151" s="98">
        <f t="shared" si="147"/>
        <v>-15739</v>
      </c>
      <c r="L151" s="98">
        <f t="shared" si="148"/>
        <v>0</v>
      </c>
      <c r="M151" s="98">
        <f t="shared" si="149"/>
        <v>15739</v>
      </c>
      <c r="N151" s="218">
        <f>Bonus!N151</f>
        <v>0</v>
      </c>
      <c r="O151" s="218">
        <f>Bonus!O151</f>
        <v>0</v>
      </c>
      <c r="P151" s="154">
        <f>Bonus!W151</f>
        <v>0</v>
      </c>
      <c r="Q151" s="98">
        <f t="shared" si="150"/>
        <v>15739</v>
      </c>
      <c r="R151" s="98">
        <f t="shared" si="151"/>
        <v>0</v>
      </c>
      <c r="S151" s="129">
        <f t="shared" si="152"/>
        <v>0</v>
      </c>
      <c r="T151" s="199" t="str">
        <f>+Bonus!T151</f>
        <v>2025</v>
      </c>
      <c r="U151" s="199">
        <f>+Bonus!U151</f>
        <v>0</v>
      </c>
      <c r="V151" s="199" t="str">
        <f>+Bonus!V151</f>
        <v>&lt; 250k</v>
      </c>
      <c r="X151" s="33"/>
    </row>
    <row r="152" spans="1:29">
      <c r="A152" s="614">
        <f>+Bonus!A152</f>
        <v>54.942100000000003</v>
      </c>
      <c r="B152" s="82" t="str">
        <f>+Bonus!B152</f>
        <v>Nipomo Community Service Dist. - Tefft Emergency Pipe Repair</v>
      </c>
      <c r="C152" s="227">
        <f>F152</f>
        <v>3703.18</v>
      </c>
      <c r="D152" s="63">
        <f>F152</f>
        <v>3703.18</v>
      </c>
      <c r="E152" s="63">
        <f>C152-D152</f>
        <v>0</v>
      </c>
      <c r="F152" s="218">
        <f>+Bonus!F152</f>
        <v>3703.18</v>
      </c>
      <c r="G152" s="182">
        <f t="shared" si="144"/>
        <v>1</v>
      </c>
      <c r="H152" s="98">
        <f t="shared" si="145"/>
        <v>0</v>
      </c>
      <c r="I152" s="98">
        <f t="shared" si="146"/>
        <v>3703.18</v>
      </c>
      <c r="J152" s="218">
        <f>+Bonus!J152</f>
        <v>0</v>
      </c>
      <c r="K152" s="98">
        <f t="shared" si="147"/>
        <v>-3703.18</v>
      </c>
      <c r="L152" s="98">
        <f t="shared" si="148"/>
        <v>0</v>
      </c>
      <c r="M152" s="98">
        <f t="shared" si="149"/>
        <v>3703.18</v>
      </c>
      <c r="N152" s="218">
        <f>Bonus!N152</f>
        <v>0</v>
      </c>
      <c r="O152" s="218">
        <f>Bonus!O152</f>
        <v>0</v>
      </c>
      <c r="P152" s="154">
        <f>Bonus!W152</f>
        <v>0</v>
      </c>
      <c r="Q152" s="98">
        <f t="shared" si="150"/>
        <v>3703.18</v>
      </c>
      <c r="R152" s="98">
        <f t="shared" si="151"/>
        <v>0</v>
      </c>
      <c r="S152" s="129">
        <f t="shared" si="152"/>
        <v>0</v>
      </c>
      <c r="T152" s="199" t="str">
        <f>+Bonus!T152</f>
        <v>2025</v>
      </c>
      <c r="U152" s="199">
        <f>+Bonus!U152</f>
        <v>0</v>
      </c>
      <c r="V152" s="199" t="str">
        <f>+Bonus!V152</f>
        <v>&lt; 250k</v>
      </c>
      <c r="X152" s="33"/>
    </row>
    <row r="153" spans="1:29" hidden="1">
      <c r="A153" s="259"/>
      <c r="B153" s="82"/>
      <c r="C153" s="227"/>
      <c r="D153" s="63"/>
      <c r="E153" s="63"/>
      <c r="F153" s="218"/>
      <c r="G153" s="182"/>
      <c r="H153" s="98"/>
      <c r="I153" s="98"/>
      <c r="J153" s="218"/>
      <c r="K153" s="98"/>
      <c r="L153" s="98"/>
      <c r="M153" s="98"/>
      <c r="N153" s="218"/>
      <c r="O153" s="218"/>
      <c r="Q153" s="98"/>
      <c r="R153" s="98"/>
      <c r="S153" s="129"/>
      <c r="T153" s="199"/>
      <c r="U153" s="199"/>
      <c r="V153" s="199"/>
      <c r="X153" s="33"/>
    </row>
    <row r="154" spans="1:29" s="81" customFormat="1" ht="13.5" customHeight="1">
      <c r="A154" s="176" t="str">
        <f>+Bonus!A154</f>
        <v>Bakersfield Area - Open Jobs Totals</v>
      </c>
      <c r="B154" s="85"/>
      <c r="C154" s="193">
        <f>SUM(C$120:C$153)</f>
        <v>107424347.44000001</v>
      </c>
      <c r="D154" s="193">
        <f>SUM(D$120:D$153)</f>
        <v>98552703.460000008</v>
      </c>
      <c r="E154" s="193">
        <f>SUM(E$120:E$153)</f>
        <v>8871643.9800000004</v>
      </c>
      <c r="F154" s="193">
        <f>SUM(F$120:F$153)</f>
        <v>46923257.49000001</v>
      </c>
      <c r="G154" s="86"/>
      <c r="H154" s="193">
        <f t="shared" ref="H154:S154" si="156">SUM(H$120:H$153)</f>
        <v>4322887.1586650051</v>
      </c>
      <c r="I154" s="193">
        <f t="shared" si="156"/>
        <v>51246144.648664996</v>
      </c>
      <c r="J154" s="193">
        <f t="shared" si="156"/>
        <v>50310970.710000001</v>
      </c>
      <c r="K154" s="193">
        <f t="shared" si="156"/>
        <v>-935173.9386650048</v>
      </c>
      <c r="L154" s="193">
        <f t="shared" si="156"/>
        <v>51629445.969999999</v>
      </c>
      <c r="M154" s="193">
        <f t="shared" si="156"/>
        <v>57113376.730000004</v>
      </c>
      <c r="N154" s="193">
        <f t="shared" si="156"/>
        <v>13793631.719999999</v>
      </c>
      <c r="O154" s="193">
        <f t="shared" si="156"/>
        <v>13358693.09</v>
      </c>
      <c r="P154" s="193">
        <f t="shared" si="156"/>
        <v>360271.8630243605</v>
      </c>
      <c r="Q154" s="193">
        <f t="shared" si="156"/>
        <v>33129625.769999992</v>
      </c>
      <c r="R154" s="193">
        <f t="shared" si="156"/>
        <v>36952277.619999997</v>
      </c>
      <c r="S154" s="193">
        <f t="shared" si="156"/>
        <v>3962615.2956406451</v>
      </c>
      <c r="T154" s="199"/>
      <c r="U154" s="359"/>
      <c r="V154" s="199"/>
      <c r="W154" s="198"/>
      <c r="X154" s="33"/>
      <c r="Y154" s="197"/>
      <c r="Z154" s="198"/>
      <c r="AA154" s="196"/>
      <c r="AB154" s="196"/>
      <c r="AC154" s="194"/>
    </row>
    <row r="155" spans="1:29" s="57" customFormat="1" ht="13.5" customHeight="1">
      <c r="A155" s="531"/>
      <c r="B155" s="82"/>
      <c r="C155" s="227"/>
      <c r="D155" s="63"/>
      <c r="E155" s="63"/>
      <c r="F155" s="218"/>
      <c r="G155" s="182"/>
      <c r="H155" s="98"/>
      <c r="I155" s="98"/>
      <c r="J155" s="218"/>
      <c r="K155" s="98"/>
      <c r="L155" s="98"/>
      <c r="M155" s="98"/>
      <c r="N155" s="218"/>
      <c r="O155" s="218"/>
      <c r="P155" s="98"/>
      <c r="Q155" s="98"/>
      <c r="R155" s="98"/>
      <c r="S155" s="129"/>
      <c r="T155" s="199"/>
      <c r="U155" s="199"/>
      <c r="V155" s="199"/>
      <c r="W155" s="98"/>
      <c r="X155" s="33"/>
      <c r="Y155" s="180"/>
      <c r="Z155" s="98"/>
      <c r="AA155" s="214"/>
      <c r="AB155" s="214"/>
      <c r="AC155" s="64"/>
    </row>
    <row r="156" spans="1:29" s="57" customFormat="1" ht="13.5" customHeight="1">
      <c r="A156" s="176" t="str">
        <f>+Bonus!A156</f>
        <v>Bakersfield Area - Closed Jobs</v>
      </c>
      <c r="B156" s="82"/>
      <c r="C156" s="227"/>
      <c r="D156" s="63"/>
      <c r="E156" s="63"/>
      <c r="F156" s="218"/>
      <c r="G156" s="182"/>
      <c r="H156" s="98"/>
      <c r="I156" s="98"/>
      <c r="J156" s="218"/>
      <c r="K156" s="98"/>
      <c r="L156" s="98"/>
      <c r="M156" s="98"/>
      <c r="N156" s="218"/>
      <c r="O156" s="218"/>
      <c r="P156" s="98"/>
      <c r="Q156" s="98"/>
      <c r="R156" s="98"/>
      <c r="S156" s="129"/>
      <c r="T156" s="199"/>
      <c r="U156" s="199"/>
      <c r="V156" s="199"/>
      <c r="W156" s="98"/>
      <c r="X156" s="33"/>
      <c r="Y156" s="180"/>
      <c r="Z156" s="98"/>
      <c r="AA156" s="214"/>
      <c r="AB156" s="214"/>
      <c r="AC156" s="64"/>
    </row>
    <row r="157" spans="1:29" s="57" customFormat="1" ht="13.5" customHeight="1">
      <c r="A157" s="259">
        <f>+Bonus!A157</f>
        <v>54.9099</v>
      </c>
      <c r="B157" s="82" t="str">
        <f>+Bonus!B157</f>
        <v>Laguna County Sanitation Dist. - Phase 1 Plant Upgrade</v>
      </c>
      <c r="C157" s="227">
        <f>+Bonus!C157</f>
        <v>55712110</v>
      </c>
      <c r="D157" s="63">
        <f>+Bonus!D157</f>
        <v>45328892.68</v>
      </c>
      <c r="E157" s="63">
        <f>+Bonus!E157</f>
        <v>10383217.32</v>
      </c>
      <c r="F157" s="218">
        <f>+Bonus!F157</f>
        <v>45328892.68</v>
      </c>
      <c r="G157" s="182">
        <f t="shared" ref="G157" si="157">IF(D157&lt;&gt;0,+F157/D157,0)</f>
        <v>1</v>
      </c>
      <c r="H157" s="98">
        <f t="shared" ref="H157" si="158">IF(E157&lt;=0,E157,IF(G157&lt;0.1,0,IF(G157&lt;=1,G157*E157,E157)))</f>
        <v>10383217.32</v>
      </c>
      <c r="I157" s="98">
        <f t="shared" ref="I157" si="159">+F157+H157</f>
        <v>55712110</v>
      </c>
      <c r="J157" s="218">
        <f>+Bonus!J157</f>
        <v>55712110</v>
      </c>
      <c r="K157" s="98">
        <f t="shared" ref="K157" si="160">J157-I157</f>
        <v>0</v>
      </c>
      <c r="L157" s="98">
        <f t="shared" ref="L157" si="161">+D157-F157</f>
        <v>0</v>
      </c>
      <c r="M157" s="98">
        <f t="shared" ref="M157" si="162">+C157-J157</f>
        <v>0</v>
      </c>
      <c r="N157" s="218">
        <f>Bonus!N157</f>
        <v>45063061.289999999</v>
      </c>
      <c r="O157" s="218">
        <f>Bonus!O157</f>
        <v>55369229</v>
      </c>
      <c r="P157" s="154">
        <f>Bonus!W157</f>
        <v>10372751.581458578</v>
      </c>
      <c r="Q157" s="98">
        <f t="shared" ref="Q157" si="163">F157-N157</f>
        <v>265831.3900000006</v>
      </c>
      <c r="R157" s="98">
        <f t="shared" ref="R157" si="164">+J157-O157</f>
        <v>342881</v>
      </c>
      <c r="S157" s="129">
        <f t="shared" ref="S157" si="165">H157-P157</f>
        <v>10465.738541422412</v>
      </c>
      <c r="T157" s="199" t="str">
        <f>+Bonus!T157</f>
        <v>2020</v>
      </c>
      <c r="U157" s="199" t="str">
        <f>+Bonus!U157</f>
        <v>2025</v>
      </c>
      <c r="V157" s="199" t="str">
        <f>+Bonus!V157</f>
        <v>.</v>
      </c>
      <c r="W157" s="98"/>
      <c r="X157" s="33"/>
      <c r="Y157" s="180"/>
      <c r="Z157" s="98"/>
      <c r="AA157" s="214"/>
      <c r="AB157" s="214"/>
      <c r="AC157" s="64"/>
    </row>
    <row r="158" spans="1:29" s="57" customFormat="1" ht="13.5" customHeight="1">
      <c r="A158" s="259">
        <f>+Bonus!A158</f>
        <v>54.917200000000001</v>
      </c>
      <c r="B158" s="82" t="str">
        <f>+Bonus!B158</f>
        <v>Calif. Rail Bldrs LLC - SWSD Distribution System Conflict</v>
      </c>
      <c r="C158" s="227">
        <f>+Bonus!C158</f>
        <v>24160002.440000001</v>
      </c>
      <c r="D158" s="63">
        <f>+Bonus!D158</f>
        <v>21018432.220000003</v>
      </c>
      <c r="E158" s="63">
        <f>+Bonus!E158</f>
        <v>3141570.2199999988</v>
      </c>
      <c r="F158" s="218">
        <f>+Bonus!F158</f>
        <v>21018432.220000003</v>
      </c>
      <c r="G158" s="182">
        <f t="shared" ref="G158" si="166">IF(D158&lt;&gt;0,+F158/D158,0)</f>
        <v>1</v>
      </c>
      <c r="H158" s="98">
        <f t="shared" ref="H158" si="167">IF(E158&lt;=0,E158,IF(G158&lt;0.1,0,IF(G158&lt;=1,G158*E158,E158)))</f>
        <v>3141570.2199999988</v>
      </c>
      <c r="I158" s="98">
        <f t="shared" ref="I158" si="168">+F158+H158</f>
        <v>24160002.440000001</v>
      </c>
      <c r="J158" s="218">
        <f>+Bonus!J158</f>
        <v>24160002.440000001</v>
      </c>
      <c r="K158" s="98">
        <f t="shared" ref="K158" si="169">J158-I158</f>
        <v>0</v>
      </c>
      <c r="L158" s="98">
        <f t="shared" ref="L158" si="170">+D158-F158</f>
        <v>0</v>
      </c>
      <c r="M158" s="98">
        <f t="shared" ref="M158" si="171">+C158-J158</f>
        <v>0</v>
      </c>
      <c r="N158" s="218">
        <f>Bonus!N158</f>
        <v>21046229.25</v>
      </c>
      <c r="O158" s="218">
        <f>Bonus!O158</f>
        <v>24154131.07</v>
      </c>
      <c r="P158" s="154">
        <f>Bonus!W158</f>
        <v>3107901.8200000003</v>
      </c>
      <c r="Q158" s="98">
        <f t="shared" ref="Q158" si="172">F158-N158</f>
        <v>-27797.029999997467</v>
      </c>
      <c r="R158" s="98">
        <f t="shared" ref="R158" si="173">+J158-O158</f>
        <v>5871.3700000010431</v>
      </c>
      <c r="S158" s="129">
        <f t="shared" ref="S158" si="174">H158-P158</f>
        <v>33668.39999999851</v>
      </c>
      <c r="T158" s="199" t="str">
        <f>+Bonus!T158</f>
        <v>2021</v>
      </c>
      <c r="U158" s="199" t="str">
        <f>+Bonus!U158</f>
        <v>2025</v>
      </c>
      <c r="V158" s="199" t="str">
        <f>+Bonus!V158</f>
        <v>.</v>
      </c>
      <c r="W158" s="98"/>
      <c r="X158" s="33"/>
      <c r="Y158" s="180"/>
      <c r="Z158" s="98"/>
      <c r="AA158" s="214"/>
      <c r="AB158" s="214"/>
      <c r="AC158" s="64"/>
    </row>
    <row r="159" spans="1:29" s="57" customFormat="1" ht="13.5" customHeight="1">
      <c r="A159" s="259">
        <f>+Bonus!A159</f>
        <v>54.921599999999998</v>
      </c>
      <c r="B159" s="82" t="str">
        <f>+Bonus!B159</f>
        <v>CA Dept. of Corr. - Water Treatment Improvements</v>
      </c>
      <c r="C159" s="227">
        <f>+Bonus!C159</f>
        <v>2472164.0499999998</v>
      </c>
      <c r="D159" s="63">
        <f>+Bonus!D159</f>
        <v>2286264.4300000002</v>
      </c>
      <c r="E159" s="63">
        <f>+Bonus!E159</f>
        <v>185899.61999999965</v>
      </c>
      <c r="F159" s="218">
        <f>+Bonus!F159</f>
        <v>2286264.4300000002</v>
      </c>
      <c r="G159" s="182">
        <f t="shared" ref="G159:G213" si="175">IF(D159&lt;&gt;0,+F159/D159,0)</f>
        <v>1</v>
      </c>
      <c r="H159" s="98">
        <f t="shared" ref="H159:H213" si="176">IF(E159&lt;=0,E159,IF(G159&lt;0.1,0,IF(G159&lt;=1,G159*E159,E159)))</f>
        <v>185899.61999999965</v>
      </c>
      <c r="I159" s="98">
        <f t="shared" ref="I159:I213" si="177">+F159+H159</f>
        <v>2472164.0499999998</v>
      </c>
      <c r="J159" s="218">
        <f>+Bonus!J159</f>
        <v>2472164.0499999998</v>
      </c>
      <c r="K159" s="98">
        <f t="shared" ref="K159:K213" si="178">J159-I159</f>
        <v>0</v>
      </c>
      <c r="L159" s="98">
        <f t="shared" ref="L159:L213" si="179">+D159-F159</f>
        <v>0</v>
      </c>
      <c r="M159" s="98">
        <f t="shared" ref="M159:M213" si="180">+C159-J159</f>
        <v>0</v>
      </c>
      <c r="N159" s="218">
        <f>Bonus!N159</f>
        <v>2054298.05</v>
      </c>
      <c r="O159" s="218">
        <f>Bonus!O159</f>
        <v>2312435</v>
      </c>
      <c r="P159" s="154">
        <f>Bonus!W159</f>
        <v>140849.75354732186</v>
      </c>
      <c r="Q159" s="98">
        <f t="shared" ref="Q159:Q213" si="181">F159-N159</f>
        <v>231966.38000000012</v>
      </c>
      <c r="R159" s="98">
        <f t="shared" ref="R159:R213" si="182">+J159-O159</f>
        <v>159729.04999999981</v>
      </c>
      <c r="S159" s="129">
        <f t="shared" ref="S159:S213" si="183">H159-P159</f>
        <v>45049.866452677787</v>
      </c>
      <c r="T159" s="199" t="str">
        <f>+Bonus!T159</f>
        <v>2022</v>
      </c>
      <c r="U159" s="199" t="str">
        <f>+Bonus!U159</f>
        <v>2025</v>
      </c>
      <c r="V159" s="199" t="str">
        <f>+Bonus!V159</f>
        <v>.</v>
      </c>
      <c r="W159" s="98"/>
      <c r="X159" s="33"/>
      <c r="Y159" s="180"/>
      <c r="Z159" s="98"/>
      <c r="AA159" s="214"/>
      <c r="AB159" s="214"/>
      <c r="AC159" s="64"/>
    </row>
    <row r="160" spans="1:29" s="57" customFormat="1" ht="13.5" customHeight="1">
      <c r="A160" s="259">
        <f>+Bonus!A160</f>
        <v>54.924599999999998</v>
      </c>
      <c r="B160" s="82" t="str">
        <f>+Bonus!B160</f>
        <v>Kern County Water Agency - Well 38 &amp; 39 Well Equiping Project</v>
      </c>
      <c r="C160" s="227">
        <f>+Bonus!C160</f>
        <v>1777852</v>
      </c>
      <c r="D160" s="63">
        <f>+Bonus!D160</f>
        <v>1708475.32</v>
      </c>
      <c r="E160" s="63">
        <f>+Bonus!E160</f>
        <v>69376.679999999935</v>
      </c>
      <c r="F160" s="218">
        <f>+Bonus!F160</f>
        <v>1708475.32</v>
      </c>
      <c r="G160" s="182">
        <f t="shared" si="175"/>
        <v>1</v>
      </c>
      <c r="H160" s="98">
        <f t="shared" si="176"/>
        <v>69376.679999999935</v>
      </c>
      <c r="I160" s="98">
        <f t="shared" si="177"/>
        <v>1777852</v>
      </c>
      <c r="J160" s="218">
        <f>+Bonus!J160</f>
        <v>1777852</v>
      </c>
      <c r="K160" s="98">
        <f t="shared" si="178"/>
        <v>0</v>
      </c>
      <c r="L160" s="98">
        <f t="shared" si="179"/>
        <v>0</v>
      </c>
      <c r="M160" s="98">
        <f t="shared" si="180"/>
        <v>0</v>
      </c>
      <c r="N160" s="218">
        <f>Bonus!N160</f>
        <v>1350527.55</v>
      </c>
      <c r="O160" s="218">
        <f>Bonus!O160</f>
        <v>1389025.21</v>
      </c>
      <c r="P160" s="154">
        <f>Bonus!W160</f>
        <v>69196.454275845856</v>
      </c>
      <c r="Q160" s="98">
        <f t="shared" si="181"/>
        <v>357947.77</v>
      </c>
      <c r="R160" s="98">
        <f t="shared" si="182"/>
        <v>388826.79000000004</v>
      </c>
      <c r="S160" s="129">
        <f t="shared" si="183"/>
        <v>180.22572415407922</v>
      </c>
      <c r="T160" s="199" t="str">
        <f>+Bonus!T160</f>
        <v>2022</v>
      </c>
      <c r="U160" s="199" t="str">
        <f>+Bonus!U160</f>
        <v>2025</v>
      </c>
      <c r="V160" s="199" t="str">
        <f>+Bonus!V160</f>
        <v>.</v>
      </c>
      <c r="W160" s="98"/>
      <c r="X160" s="33"/>
      <c r="Y160" s="180"/>
      <c r="Z160" s="98"/>
      <c r="AA160" s="214"/>
      <c r="AB160" s="214"/>
      <c r="AC160" s="64"/>
    </row>
    <row r="161" spans="1:29" s="57" customFormat="1" ht="13.5" customHeight="1">
      <c r="A161" s="259">
        <f>+Bonus!A161</f>
        <v>54.926499999999997</v>
      </c>
      <c r="B161" s="82" t="str">
        <f>+Bonus!B161</f>
        <v>Semitropic Water Storage Dist. - Amendment No. 22 JPP Valve Control Modification</v>
      </c>
      <c r="C161" s="227">
        <f>+Bonus!C161</f>
        <v>223896.47</v>
      </c>
      <c r="D161" s="63">
        <f>+Bonus!D161</f>
        <v>220754.51</v>
      </c>
      <c r="E161" s="63">
        <f>+Bonus!E161</f>
        <v>3141.9599999999919</v>
      </c>
      <c r="F161" s="218">
        <f>+Bonus!F161</f>
        <v>220754.51</v>
      </c>
      <c r="G161" s="182">
        <f t="shared" si="175"/>
        <v>1</v>
      </c>
      <c r="H161" s="98">
        <f t="shared" si="176"/>
        <v>3141.9599999999919</v>
      </c>
      <c r="I161" s="98">
        <f t="shared" si="177"/>
        <v>223896.47</v>
      </c>
      <c r="J161" s="218">
        <f>+Bonus!J161</f>
        <v>223896.47</v>
      </c>
      <c r="K161" s="98">
        <f t="shared" si="178"/>
        <v>0</v>
      </c>
      <c r="L161" s="98">
        <f t="shared" si="179"/>
        <v>0</v>
      </c>
      <c r="M161" s="98">
        <f t="shared" si="180"/>
        <v>0</v>
      </c>
      <c r="N161" s="218">
        <f>Bonus!N161</f>
        <v>203244.51</v>
      </c>
      <c r="O161" s="218">
        <f>Bonus!O161</f>
        <v>191463.66</v>
      </c>
      <c r="P161" s="154">
        <f>Bonus!W161</f>
        <v>0</v>
      </c>
      <c r="Q161" s="98">
        <f t="shared" si="181"/>
        <v>17510</v>
      </c>
      <c r="R161" s="98">
        <f t="shared" si="182"/>
        <v>32432.809999999998</v>
      </c>
      <c r="S161" s="129">
        <f t="shared" si="183"/>
        <v>3141.9599999999919</v>
      </c>
      <c r="T161" s="199" t="str">
        <f>+Bonus!T161</f>
        <v>2023</v>
      </c>
      <c r="U161" s="199" t="str">
        <f>+Bonus!U161</f>
        <v>2025</v>
      </c>
      <c r="V161" s="199" t="str">
        <f>+Bonus!V161</f>
        <v>&lt; 250k</v>
      </c>
      <c r="W161" s="98"/>
      <c r="X161" s="33"/>
      <c r="Y161" s="180"/>
      <c r="Z161" s="98"/>
      <c r="AA161" s="214"/>
      <c r="AB161" s="214"/>
      <c r="AC161" s="64"/>
    </row>
    <row r="162" spans="1:29" s="57" customFormat="1" ht="13.5" customHeight="1">
      <c r="A162" s="259">
        <f>+Bonus!A162</f>
        <v>54.927900000000001</v>
      </c>
      <c r="B162" s="82" t="str">
        <f>+Bonus!B162</f>
        <v>City of Bakersfield Public Works - Sewer Lift Station Rehabilitation</v>
      </c>
      <c r="C162" s="227">
        <f>+Bonus!C162</f>
        <v>3216240.01</v>
      </c>
      <c r="D162" s="63">
        <f>+Bonus!D162</f>
        <v>3153237.4</v>
      </c>
      <c r="E162" s="63">
        <f>+Bonus!E162</f>
        <v>63002.60999999987</v>
      </c>
      <c r="F162" s="218">
        <f>+Bonus!F162</f>
        <v>3153237.4</v>
      </c>
      <c r="G162" s="182">
        <f t="shared" si="175"/>
        <v>1</v>
      </c>
      <c r="H162" s="98">
        <f t="shared" si="176"/>
        <v>63002.60999999987</v>
      </c>
      <c r="I162" s="98">
        <f t="shared" si="177"/>
        <v>3216240.01</v>
      </c>
      <c r="J162" s="218">
        <f>+Bonus!J162</f>
        <v>3216240.01</v>
      </c>
      <c r="K162" s="98">
        <f t="shared" si="178"/>
        <v>0</v>
      </c>
      <c r="L162" s="98">
        <f t="shared" si="179"/>
        <v>0</v>
      </c>
      <c r="M162" s="98">
        <f t="shared" si="180"/>
        <v>0</v>
      </c>
      <c r="N162" s="218">
        <f>Bonus!N162</f>
        <v>2754167.5</v>
      </c>
      <c r="O162" s="218">
        <f>Bonus!O162</f>
        <v>2243686.3999999999</v>
      </c>
      <c r="P162" s="154">
        <f>Bonus!W162</f>
        <v>-15000</v>
      </c>
      <c r="Q162" s="98">
        <f t="shared" si="181"/>
        <v>399069.89999999991</v>
      </c>
      <c r="R162" s="98">
        <f t="shared" si="182"/>
        <v>972553.60999999987</v>
      </c>
      <c r="S162" s="129">
        <f t="shared" si="183"/>
        <v>78002.60999999987</v>
      </c>
      <c r="T162" s="199" t="str">
        <f>+Bonus!T162</f>
        <v>2023</v>
      </c>
      <c r="U162" s="199" t="str">
        <f>+Bonus!U162</f>
        <v>2025</v>
      </c>
      <c r="V162" s="199" t="str">
        <f>+Bonus!V162</f>
        <v>.</v>
      </c>
      <c r="W162" s="98"/>
      <c r="X162" s="33"/>
      <c r="Y162" s="180"/>
      <c r="Z162" s="98"/>
      <c r="AA162" s="214"/>
      <c r="AB162" s="214"/>
      <c r="AC162" s="64"/>
    </row>
    <row r="163" spans="1:29" s="57" customFormat="1" ht="13.5" customHeight="1">
      <c r="A163" s="259">
        <f>+Bonus!A163</f>
        <v>54.928899999999999</v>
      </c>
      <c r="B163" s="82" t="str">
        <f>+Bonus!B163</f>
        <v>Michael K. Nunley &amp; Assoc., Inc. - AMWC Sycamore &amp; NWT Budgeting</v>
      </c>
      <c r="C163" s="227">
        <f>+Bonus!C163</f>
        <v>44560</v>
      </c>
      <c r="D163" s="63">
        <f>+Bonus!D163</f>
        <v>25097.25</v>
      </c>
      <c r="E163" s="63">
        <f>+Bonus!E163</f>
        <v>19462.75</v>
      </c>
      <c r="F163" s="218">
        <f>+Bonus!F163</f>
        <v>25097.25</v>
      </c>
      <c r="G163" s="182">
        <f t="shared" si="175"/>
        <v>1</v>
      </c>
      <c r="H163" s="98">
        <f t="shared" si="176"/>
        <v>19462.75</v>
      </c>
      <c r="I163" s="98">
        <f t="shared" si="177"/>
        <v>44560</v>
      </c>
      <c r="J163" s="218">
        <f>+Bonus!J163</f>
        <v>44560</v>
      </c>
      <c r="K163" s="98">
        <f t="shared" si="178"/>
        <v>0</v>
      </c>
      <c r="L163" s="98">
        <f t="shared" si="179"/>
        <v>0</v>
      </c>
      <c r="M163" s="98">
        <f t="shared" si="180"/>
        <v>0</v>
      </c>
      <c r="N163" s="218">
        <f>Bonus!N163</f>
        <v>13506.19</v>
      </c>
      <c r="O163" s="218">
        <f>Bonus!O163</f>
        <v>14176</v>
      </c>
      <c r="P163" s="154">
        <f>Bonus!W163</f>
        <v>669.80999999999949</v>
      </c>
      <c r="Q163" s="98">
        <f t="shared" si="181"/>
        <v>11591.06</v>
      </c>
      <c r="R163" s="98">
        <f t="shared" si="182"/>
        <v>30384</v>
      </c>
      <c r="S163" s="129">
        <f t="shared" si="183"/>
        <v>18792.940000000002</v>
      </c>
      <c r="T163" s="199" t="str">
        <f>+Bonus!T163</f>
        <v>2023</v>
      </c>
      <c r="U163" s="199" t="str">
        <f>+Bonus!U163</f>
        <v>2025</v>
      </c>
      <c r="V163" s="199" t="str">
        <f>+Bonus!V163</f>
        <v>&lt; 250k</v>
      </c>
      <c r="W163" s="98"/>
      <c r="X163" s="33"/>
      <c r="Y163" s="180"/>
      <c r="Z163" s="98"/>
      <c r="AA163" s="214"/>
      <c r="AB163" s="214"/>
      <c r="AC163" s="64"/>
    </row>
    <row r="164" spans="1:29" s="57" customFormat="1" ht="13.5" customHeight="1">
      <c r="A164" s="259">
        <f>+Bonus!A164</f>
        <v>54.929200000000002</v>
      </c>
      <c r="B164" s="82" t="str">
        <f>+Bonus!B164</f>
        <v>Michael K. Nunley &amp; Assoc., Inc. - Waterton WTP Budgeting</v>
      </c>
      <c r="C164" s="227">
        <f>+Bonus!C164</f>
        <v>4300</v>
      </c>
      <c r="D164" s="63">
        <f>+Bonus!D164</f>
        <v>1313.4499999999998</v>
      </c>
      <c r="E164" s="63">
        <f>+Bonus!E164</f>
        <v>2986.55</v>
      </c>
      <c r="F164" s="218">
        <f>+Bonus!F164</f>
        <v>1313.45</v>
      </c>
      <c r="G164" s="182">
        <f t="shared" si="175"/>
        <v>1.0000000000000002</v>
      </c>
      <c r="H164" s="98">
        <f t="shared" si="176"/>
        <v>2986.5500000000006</v>
      </c>
      <c r="I164" s="98">
        <f t="shared" si="177"/>
        <v>4300.0000000000009</v>
      </c>
      <c r="J164" s="218">
        <f>+Bonus!J164</f>
        <v>4300</v>
      </c>
      <c r="K164" s="98">
        <f t="shared" si="178"/>
        <v>0</v>
      </c>
      <c r="L164" s="98">
        <f t="shared" si="179"/>
        <v>0</v>
      </c>
      <c r="M164" s="98">
        <f t="shared" si="180"/>
        <v>0</v>
      </c>
      <c r="N164" s="218">
        <f>Bonus!N164</f>
        <v>1313.45</v>
      </c>
      <c r="O164" s="218">
        <f>Bonus!O164</f>
        <v>4300</v>
      </c>
      <c r="P164" s="154">
        <f>Bonus!W164</f>
        <v>2986.55</v>
      </c>
      <c r="Q164" s="98">
        <f t="shared" si="181"/>
        <v>0</v>
      </c>
      <c r="R164" s="98">
        <f t="shared" si="182"/>
        <v>0</v>
      </c>
      <c r="S164" s="129">
        <f t="shared" si="183"/>
        <v>0</v>
      </c>
      <c r="T164" s="199" t="str">
        <f>+Bonus!T164</f>
        <v>2023</v>
      </c>
      <c r="U164" s="199" t="str">
        <f>+Bonus!U164</f>
        <v>2025</v>
      </c>
      <c r="V164" s="199" t="str">
        <f>+Bonus!V164</f>
        <v>&lt; 250k</v>
      </c>
      <c r="W164" s="98"/>
      <c r="X164" s="33"/>
      <c r="Y164" s="180"/>
      <c r="Z164" s="98"/>
      <c r="AA164" s="214"/>
      <c r="AB164" s="214"/>
      <c r="AC164" s="64"/>
    </row>
    <row r="165" spans="1:29" s="57" customFormat="1" ht="13.5" customHeight="1">
      <c r="A165" s="259">
        <f>+Bonus!A165</f>
        <v>54.930900000000001</v>
      </c>
      <c r="B165" s="82" t="str">
        <f>+Bonus!B165</f>
        <v>Teviston Community Services Dist. - Teviston Drought Resilience Water System Impr</v>
      </c>
      <c r="C165" s="227">
        <f>+Bonus!C165</f>
        <v>3968668.9</v>
      </c>
      <c r="D165" s="63">
        <f>+Bonus!D165</f>
        <v>3790858.34</v>
      </c>
      <c r="E165" s="63">
        <f>+Bonus!E165</f>
        <v>177810.56000000006</v>
      </c>
      <c r="F165" s="218">
        <f>+Bonus!F165</f>
        <v>3790858.34</v>
      </c>
      <c r="G165" s="182">
        <f t="shared" si="175"/>
        <v>1</v>
      </c>
      <c r="H165" s="98">
        <f t="shared" si="176"/>
        <v>177810.56000000006</v>
      </c>
      <c r="I165" s="98">
        <f t="shared" si="177"/>
        <v>3968668.9</v>
      </c>
      <c r="J165" s="218">
        <f>+Bonus!J165</f>
        <v>3968668.9</v>
      </c>
      <c r="K165" s="98">
        <f t="shared" si="178"/>
        <v>0</v>
      </c>
      <c r="L165" s="98">
        <f t="shared" si="179"/>
        <v>0</v>
      </c>
      <c r="M165" s="98">
        <f t="shared" si="180"/>
        <v>0</v>
      </c>
      <c r="N165" s="218">
        <f>Bonus!N165</f>
        <v>1941399.17</v>
      </c>
      <c r="O165" s="218">
        <f>Bonus!O165</f>
        <v>2378548.71</v>
      </c>
      <c r="P165" s="154">
        <f>Bonus!W165</f>
        <v>62853.415841272123</v>
      </c>
      <c r="Q165" s="98">
        <f t="shared" si="181"/>
        <v>1849459.17</v>
      </c>
      <c r="R165" s="98">
        <f t="shared" si="182"/>
        <v>1590120.19</v>
      </c>
      <c r="S165" s="129">
        <f t="shared" si="183"/>
        <v>114957.14415872793</v>
      </c>
      <c r="T165" s="199" t="str">
        <f>+Bonus!T165</f>
        <v>2024</v>
      </c>
      <c r="U165" s="199" t="str">
        <f>+Bonus!U165</f>
        <v>2025</v>
      </c>
      <c r="V165" s="199" t="str">
        <f>+Bonus!V165</f>
        <v>.</v>
      </c>
      <c r="W165" s="98"/>
      <c r="X165" s="33"/>
      <c r="Y165" s="180"/>
      <c r="Z165" s="98"/>
      <c r="AA165" s="214"/>
      <c r="AB165" s="214"/>
      <c r="AC165" s="64"/>
    </row>
    <row r="166" spans="1:29" s="57" customFormat="1" ht="13.5" customHeight="1">
      <c r="A166" s="259">
        <f>+Bonus!A166</f>
        <v>54.932299999999998</v>
      </c>
      <c r="B166" s="82" t="str">
        <f>+Bonus!B166</f>
        <v>Semitropic Water Storage Dist. - Buena Vista Water Storage District Turnout Valve Repair</v>
      </c>
      <c r="C166" s="227">
        <f>+Bonus!C166</f>
        <v>110661.47</v>
      </c>
      <c r="D166" s="63">
        <f>+Bonus!D166</f>
        <v>94483.21</v>
      </c>
      <c r="E166" s="63">
        <f>+Bonus!E166</f>
        <v>16178.259999999995</v>
      </c>
      <c r="F166" s="218">
        <f>+Bonus!F166</f>
        <v>94483.21</v>
      </c>
      <c r="G166" s="182">
        <f t="shared" si="175"/>
        <v>1</v>
      </c>
      <c r="H166" s="98">
        <f t="shared" si="176"/>
        <v>16178.259999999995</v>
      </c>
      <c r="I166" s="98">
        <f t="shared" si="177"/>
        <v>110661.47</v>
      </c>
      <c r="J166" s="218">
        <f>+Bonus!J166</f>
        <v>110661.47</v>
      </c>
      <c r="K166" s="98">
        <f t="shared" si="178"/>
        <v>0</v>
      </c>
      <c r="L166" s="98">
        <f t="shared" si="179"/>
        <v>0</v>
      </c>
      <c r="M166" s="98">
        <f t="shared" si="180"/>
        <v>0</v>
      </c>
      <c r="N166" s="218">
        <f>Bonus!N166</f>
        <v>85064.63</v>
      </c>
      <c r="O166" s="218">
        <f>Bonus!O166</f>
        <v>16235.09</v>
      </c>
      <c r="P166" s="154">
        <f>Bonus!W166</f>
        <v>0</v>
      </c>
      <c r="Q166" s="98">
        <f t="shared" si="181"/>
        <v>9418.5800000000017</v>
      </c>
      <c r="R166" s="98">
        <f t="shared" si="182"/>
        <v>94426.38</v>
      </c>
      <c r="S166" s="129">
        <f t="shared" si="183"/>
        <v>16178.259999999995</v>
      </c>
      <c r="T166" s="199" t="str">
        <f>+Bonus!T166</f>
        <v>2024</v>
      </c>
      <c r="U166" s="199" t="str">
        <f>+Bonus!U166</f>
        <v>2025</v>
      </c>
      <c r="V166" s="199" t="str">
        <f>+Bonus!V166</f>
        <v>&lt; 250k</v>
      </c>
      <c r="W166" s="98"/>
      <c r="X166" s="33"/>
      <c r="Y166" s="180"/>
      <c r="Z166" s="98"/>
      <c r="AA166" s="214"/>
      <c r="AB166" s="214"/>
      <c r="AC166" s="64"/>
    </row>
    <row r="167" spans="1:29" s="57" customFormat="1" ht="13.5" customHeight="1">
      <c r="A167" s="259">
        <f>+Bonus!A167</f>
        <v>54.932899999999997</v>
      </c>
      <c r="B167" s="82" t="str">
        <f>+Bonus!B167</f>
        <v>Kern Water Bank Authority - Valve Replacement Parts</v>
      </c>
      <c r="C167" s="227">
        <f>+Bonus!C167</f>
        <v>18201.12</v>
      </c>
      <c r="D167" s="63">
        <f>+Bonus!D167</f>
        <v>16466.72</v>
      </c>
      <c r="E167" s="63">
        <f>+Bonus!E167</f>
        <v>1734.3999999999978</v>
      </c>
      <c r="F167" s="218">
        <f>+Bonus!F167</f>
        <v>16466.72</v>
      </c>
      <c r="G167" s="182">
        <f t="shared" si="175"/>
        <v>1</v>
      </c>
      <c r="H167" s="98">
        <f t="shared" si="176"/>
        <v>1734.3999999999978</v>
      </c>
      <c r="I167" s="98">
        <f t="shared" si="177"/>
        <v>18201.12</v>
      </c>
      <c r="J167" s="218">
        <f>+Bonus!J167</f>
        <v>18201.12</v>
      </c>
      <c r="K167" s="98">
        <f t="shared" si="178"/>
        <v>0</v>
      </c>
      <c r="L167" s="98">
        <f t="shared" si="179"/>
        <v>0</v>
      </c>
      <c r="M167" s="98">
        <f t="shared" si="180"/>
        <v>0</v>
      </c>
      <c r="N167" s="218">
        <f>Bonus!N167</f>
        <v>0</v>
      </c>
      <c r="O167" s="218">
        <f>Bonus!O167</f>
        <v>0</v>
      </c>
      <c r="P167" s="154">
        <f>Bonus!W167</f>
        <v>0</v>
      </c>
      <c r="Q167" s="98">
        <f t="shared" si="181"/>
        <v>16466.72</v>
      </c>
      <c r="R167" s="98">
        <f t="shared" si="182"/>
        <v>18201.12</v>
      </c>
      <c r="S167" s="129">
        <f t="shared" si="183"/>
        <v>1734.3999999999978</v>
      </c>
      <c r="T167" s="199" t="str">
        <f>+Bonus!T167</f>
        <v>2025</v>
      </c>
      <c r="U167" s="199" t="str">
        <f>+Bonus!U167</f>
        <v>2025</v>
      </c>
      <c r="V167" s="199" t="str">
        <f>+Bonus!V167</f>
        <v>&lt; 250k</v>
      </c>
      <c r="W167" s="98"/>
      <c r="X167" s="33"/>
      <c r="Y167" s="180"/>
      <c r="Z167" s="98"/>
      <c r="AA167" s="214"/>
      <c r="AB167" s="214"/>
      <c r="AC167" s="64"/>
    </row>
    <row r="168" spans="1:29" s="57" customFormat="1" ht="13.5" customHeight="1">
      <c r="A168" s="259">
        <f>+Bonus!A168</f>
        <v>54.933300000000003</v>
      </c>
      <c r="B168" s="82" t="str">
        <f>+Bonus!B168</f>
        <v>Semitropic Water Storage Dist. - SWSD 2 Hydro Turbine Repair Project</v>
      </c>
      <c r="C168" s="227">
        <f>+Bonus!C168</f>
        <v>427464.77</v>
      </c>
      <c r="D168" s="63">
        <f>+Bonus!D168</f>
        <v>371915.25999999995</v>
      </c>
      <c r="E168" s="63">
        <f>+Bonus!E168</f>
        <v>55549.510000000068</v>
      </c>
      <c r="F168" s="218">
        <f>+Bonus!F168</f>
        <v>371915.25999999995</v>
      </c>
      <c r="G168" s="182">
        <f t="shared" si="175"/>
        <v>1</v>
      </c>
      <c r="H168" s="98">
        <f t="shared" si="176"/>
        <v>55549.510000000068</v>
      </c>
      <c r="I168" s="98">
        <f t="shared" si="177"/>
        <v>427464.77</v>
      </c>
      <c r="J168" s="218">
        <f>+Bonus!J168</f>
        <v>427464.77</v>
      </c>
      <c r="K168" s="98">
        <f t="shared" si="178"/>
        <v>0</v>
      </c>
      <c r="L168" s="98">
        <f t="shared" si="179"/>
        <v>0</v>
      </c>
      <c r="M168" s="98">
        <f t="shared" si="180"/>
        <v>0</v>
      </c>
      <c r="N168" s="218">
        <f>Bonus!N168</f>
        <v>152091.76</v>
      </c>
      <c r="O168" s="218">
        <f>Bonus!O168</f>
        <v>166980.44</v>
      </c>
      <c r="P168" s="154">
        <f>Bonus!W168</f>
        <v>14888.679999999993</v>
      </c>
      <c r="Q168" s="98">
        <f t="shared" si="181"/>
        <v>219823.49999999994</v>
      </c>
      <c r="R168" s="98">
        <f t="shared" si="182"/>
        <v>260484.33000000002</v>
      </c>
      <c r="S168" s="129">
        <f t="shared" si="183"/>
        <v>40660.830000000075</v>
      </c>
      <c r="T168" s="199" t="str">
        <f>+Bonus!T168</f>
        <v>2024</v>
      </c>
      <c r="U168" s="199" t="str">
        <f>+Bonus!U168</f>
        <v>2025</v>
      </c>
      <c r="V168" s="199" t="str">
        <f>+Bonus!V168</f>
        <v>.</v>
      </c>
      <c r="W168" s="98"/>
      <c r="X168" s="33"/>
      <c r="Y168" s="180"/>
      <c r="Z168" s="98"/>
      <c r="AA168" s="214"/>
      <c r="AB168" s="214"/>
      <c r="AC168" s="64"/>
    </row>
    <row r="169" spans="1:29" s="57" customFormat="1" ht="13.5" customHeight="1">
      <c r="A169" s="259">
        <f>+Bonus!A169</f>
        <v>54.933799999999998</v>
      </c>
      <c r="B169" s="82" t="str">
        <f>+Bonus!B169</f>
        <v>Laguna County Sanitation Dist. - WWTP Storage Pond Slide Gates Replacement</v>
      </c>
      <c r="C169" s="227">
        <f>+Bonus!C169</f>
        <v>175884.64</v>
      </c>
      <c r="D169" s="63">
        <f>+Bonus!D169</f>
        <v>119186.11</v>
      </c>
      <c r="E169" s="63">
        <f>+Bonus!E169</f>
        <v>56698.530000000013</v>
      </c>
      <c r="F169" s="218">
        <f>+Bonus!F169</f>
        <v>119186.11</v>
      </c>
      <c r="G169" s="182">
        <f t="shared" si="175"/>
        <v>1</v>
      </c>
      <c r="H169" s="98">
        <f t="shared" si="176"/>
        <v>56698.530000000013</v>
      </c>
      <c r="I169" s="98">
        <f t="shared" si="177"/>
        <v>175884.64</v>
      </c>
      <c r="J169" s="218">
        <f>+Bonus!J169</f>
        <v>175884.64</v>
      </c>
      <c r="K169" s="98">
        <f t="shared" si="178"/>
        <v>0</v>
      </c>
      <c r="L169" s="98">
        <f t="shared" si="179"/>
        <v>0</v>
      </c>
      <c r="M169" s="98">
        <f t="shared" si="180"/>
        <v>0</v>
      </c>
      <c r="N169" s="218">
        <f>Bonus!N169</f>
        <v>105814.13</v>
      </c>
      <c r="O169" s="218">
        <f>Bonus!O169</f>
        <v>162416</v>
      </c>
      <c r="P169" s="154">
        <f>Bonus!W169</f>
        <v>54179.797702390708</v>
      </c>
      <c r="Q169" s="98">
        <f t="shared" si="181"/>
        <v>13371.979999999996</v>
      </c>
      <c r="R169" s="98">
        <f t="shared" si="182"/>
        <v>13468.640000000014</v>
      </c>
      <c r="S169" s="129">
        <f t="shared" si="183"/>
        <v>2518.7322976093055</v>
      </c>
      <c r="T169" s="199" t="str">
        <f>+Bonus!T169</f>
        <v>2024</v>
      </c>
      <c r="U169" s="199" t="str">
        <f>+Bonus!U169</f>
        <v>2025</v>
      </c>
      <c r="V169" s="199" t="str">
        <f>+Bonus!V169</f>
        <v>&lt; 250k</v>
      </c>
      <c r="W169" s="98"/>
      <c r="X169" s="33"/>
      <c r="Y169" s="180"/>
      <c r="Z169" s="98"/>
      <c r="AA169" s="214"/>
      <c r="AB169" s="214"/>
      <c r="AC169" s="64"/>
    </row>
    <row r="170" spans="1:29" s="57" customFormat="1" ht="13.5" customHeight="1">
      <c r="A170" s="259">
        <f>+Bonus!A170</f>
        <v>54.934100000000001</v>
      </c>
      <c r="B170" s="82" t="str">
        <f>+Bonus!B170</f>
        <v>Nipomo Community Service Dist. - Water Project Interconnection Improvements</v>
      </c>
      <c r="C170" s="227">
        <f>+Bonus!C170</f>
        <v>1251279</v>
      </c>
      <c r="D170" s="63">
        <f>+Bonus!D170</f>
        <v>1063532.3999999999</v>
      </c>
      <c r="E170" s="63">
        <f>+Bonus!E170</f>
        <v>187746.60000000009</v>
      </c>
      <c r="F170" s="218">
        <f>+Bonus!F170</f>
        <v>1063532.3999999999</v>
      </c>
      <c r="G170" s="182">
        <f t="shared" si="175"/>
        <v>1</v>
      </c>
      <c r="H170" s="98">
        <f t="shared" si="176"/>
        <v>187746.60000000009</v>
      </c>
      <c r="I170" s="98">
        <f t="shared" si="177"/>
        <v>1251279</v>
      </c>
      <c r="J170" s="218">
        <f>+Bonus!J170</f>
        <v>1251279</v>
      </c>
      <c r="K170" s="98">
        <f t="shared" si="178"/>
        <v>0</v>
      </c>
      <c r="L170" s="98">
        <f t="shared" si="179"/>
        <v>0</v>
      </c>
      <c r="M170" s="98">
        <f t="shared" si="180"/>
        <v>0</v>
      </c>
      <c r="N170" s="218">
        <f>Bonus!N170</f>
        <v>197572.74</v>
      </c>
      <c r="O170" s="218">
        <f>Bonus!O170</f>
        <v>180080</v>
      </c>
      <c r="P170" s="154">
        <f>Bonus!W170</f>
        <v>9297.3859483269152</v>
      </c>
      <c r="Q170" s="98">
        <f t="shared" si="181"/>
        <v>865959.65999999992</v>
      </c>
      <c r="R170" s="98">
        <f t="shared" si="182"/>
        <v>1071199</v>
      </c>
      <c r="S170" s="129">
        <f t="shared" si="183"/>
        <v>178449.21405167319</v>
      </c>
      <c r="T170" s="199" t="str">
        <f>+Bonus!T170</f>
        <v>2024</v>
      </c>
      <c r="U170" s="199" t="str">
        <f>+Bonus!U170</f>
        <v>2025</v>
      </c>
      <c r="V170" s="199" t="str">
        <f>+Bonus!V170</f>
        <v>.</v>
      </c>
      <c r="W170" s="98"/>
      <c r="X170" s="33"/>
      <c r="Y170" s="180"/>
      <c r="Z170" s="98"/>
      <c r="AA170" s="214"/>
      <c r="AB170" s="214"/>
      <c r="AC170" s="64"/>
    </row>
    <row r="171" spans="1:29" s="57" customFormat="1" ht="13.5" customHeight="1">
      <c r="A171" s="259">
        <f>+Bonus!A171</f>
        <v>54.934199999999997</v>
      </c>
      <c r="B171" s="82" t="str">
        <f>+Bonus!B171</f>
        <v>North of River Sanitary Dist. No. 1 - Sanitary Sewer Rehab Package 21 Remove and Replace</v>
      </c>
      <c r="C171" s="227">
        <f>+Bonus!C171</f>
        <v>199161.5</v>
      </c>
      <c r="D171" s="63">
        <f>+Bonus!D171</f>
        <v>124146.3</v>
      </c>
      <c r="E171" s="63">
        <f>+Bonus!E171</f>
        <v>75015.199999999997</v>
      </c>
      <c r="F171" s="218">
        <f>+Bonus!F171</f>
        <v>124146.3</v>
      </c>
      <c r="G171" s="182">
        <f t="shared" si="175"/>
        <v>1</v>
      </c>
      <c r="H171" s="98">
        <f t="shared" si="176"/>
        <v>75015.199999999997</v>
      </c>
      <c r="I171" s="98">
        <f t="shared" si="177"/>
        <v>199161.5</v>
      </c>
      <c r="J171" s="218">
        <f>+Bonus!J171</f>
        <v>199161.5</v>
      </c>
      <c r="K171" s="98">
        <f t="shared" si="178"/>
        <v>0</v>
      </c>
      <c r="L171" s="98">
        <f t="shared" si="179"/>
        <v>0</v>
      </c>
      <c r="M171" s="98">
        <f t="shared" si="180"/>
        <v>0</v>
      </c>
      <c r="N171" s="218">
        <f>Bonus!N171</f>
        <v>119458.81</v>
      </c>
      <c r="O171" s="218">
        <f>Bonus!O171</f>
        <v>174865</v>
      </c>
      <c r="P171" s="154">
        <f>Bonus!W171</f>
        <v>41394.11273245293</v>
      </c>
      <c r="Q171" s="98">
        <f t="shared" si="181"/>
        <v>4687.4900000000052</v>
      </c>
      <c r="R171" s="98">
        <f t="shared" si="182"/>
        <v>24296.5</v>
      </c>
      <c r="S171" s="129">
        <f t="shared" si="183"/>
        <v>33621.087267547067</v>
      </c>
      <c r="T171" s="199" t="str">
        <f>+Bonus!T171</f>
        <v>2024</v>
      </c>
      <c r="U171" s="199" t="str">
        <f>+Bonus!U171</f>
        <v>2025</v>
      </c>
      <c r="V171" s="199" t="str">
        <f>+Bonus!V171</f>
        <v>&lt; 250k</v>
      </c>
      <c r="W171" s="98"/>
      <c r="X171" s="33"/>
      <c r="Y171" s="180"/>
      <c r="Z171" s="98"/>
      <c r="AA171" s="214"/>
      <c r="AB171" s="214"/>
      <c r="AC171" s="64"/>
    </row>
    <row r="172" spans="1:29" s="57" customFormat="1" ht="13.5" customHeight="1">
      <c r="A172" s="259">
        <f>+Bonus!A172</f>
        <v>54.934699999999999</v>
      </c>
      <c r="B172" s="82" t="str">
        <f>+Bonus!B172</f>
        <v>City of Guadalupe - Effluent Pump Station Flow Meter Installation</v>
      </c>
      <c r="C172" s="227">
        <f>+Bonus!C172</f>
        <v>7100</v>
      </c>
      <c r="D172" s="63">
        <f>+Bonus!D172</f>
        <v>3227.7</v>
      </c>
      <c r="E172" s="63">
        <f>+Bonus!E172</f>
        <v>3872.3</v>
      </c>
      <c r="F172" s="218">
        <f>+Bonus!F172</f>
        <v>3227.7</v>
      </c>
      <c r="G172" s="182">
        <f t="shared" si="175"/>
        <v>1</v>
      </c>
      <c r="H172" s="98">
        <f t="shared" si="176"/>
        <v>3872.3</v>
      </c>
      <c r="I172" s="98">
        <f t="shared" si="177"/>
        <v>7100</v>
      </c>
      <c r="J172" s="218">
        <f>+Bonus!J172</f>
        <v>7100</v>
      </c>
      <c r="K172" s="98">
        <f t="shared" si="178"/>
        <v>0</v>
      </c>
      <c r="L172" s="98">
        <f t="shared" si="179"/>
        <v>0</v>
      </c>
      <c r="M172" s="98">
        <f t="shared" si="180"/>
        <v>0</v>
      </c>
      <c r="N172" s="218">
        <f>Bonus!N172</f>
        <v>0</v>
      </c>
      <c r="O172" s="218">
        <f>Bonus!O172</f>
        <v>0</v>
      </c>
      <c r="P172" s="154">
        <f>Bonus!W172</f>
        <v>0</v>
      </c>
      <c r="Q172" s="98">
        <f t="shared" si="181"/>
        <v>3227.7</v>
      </c>
      <c r="R172" s="98">
        <f t="shared" si="182"/>
        <v>7100</v>
      </c>
      <c r="S172" s="129">
        <f t="shared" si="183"/>
        <v>3872.3</v>
      </c>
      <c r="T172" s="199" t="str">
        <f>+Bonus!T172</f>
        <v>2025</v>
      </c>
      <c r="U172" s="199" t="str">
        <f>+Bonus!U172</f>
        <v>2025</v>
      </c>
      <c r="V172" s="199" t="str">
        <f>+Bonus!V172</f>
        <v>&lt; 250k</v>
      </c>
      <c r="W172" s="98"/>
      <c r="X172" s="33"/>
      <c r="Y172" s="180"/>
      <c r="Z172" s="98"/>
      <c r="AA172" s="214"/>
      <c r="AB172" s="214"/>
      <c r="AC172" s="64"/>
    </row>
    <row r="173" spans="1:29" s="57" customFormat="1" ht="13.5" customHeight="1">
      <c r="A173" s="259">
        <f>+Bonus!A173</f>
        <v>54.934899999999999</v>
      </c>
      <c r="B173" s="82" t="str">
        <f>+Bonus!B173</f>
        <v>North of River Sanitary Dist. No. 1 - Sanitary Sewer Rehabilitation Package A</v>
      </c>
      <c r="C173" s="227">
        <f>+Bonus!C173</f>
        <v>290129</v>
      </c>
      <c r="D173" s="63">
        <f>+Bonus!D173</f>
        <v>197889.31</v>
      </c>
      <c r="E173" s="63">
        <f>+Bonus!E173</f>
        <v>92239.69</v>
      </c>
      <c r="F173" s="218">
        <f>+Bonus!F173</f>
        <v>197889.31</v>
      </c>
      <c r="G173" s="182">
        <f t="shared" si="175"/>
        <v>1</v>
      </c>
      <c r="H173" s="98">
        <f t="shared" si="176"/>
        <v>92239.69</v>
      </c>
      <c r="I173" s="98">
        <f t="shared" si="177"/>
        <v>290129</v>
      </c>
      <c r="J173" s="218">
        <f>+Bonus!J173</f>
        <v>290129</v>
      </c>
      <c r="K173" s="98">
        <f t="shared" si="178"/>
        <v>0</v>
      </c>
      <c r="L173" s="98">
        <f t="shared" si="179"/>
        <v>0</v>
      </c>
      <c r="M173" s="98">
        <f t="shared" si="180"/>
        <v>0</v>
      </c>
      <c r="N173" s="218">
        <f>Bonus!N173</f>
        <v>106438.55</v>
      </c>
      <c r="O173" s="218">
        <f>Bonus!O173</f>
        <v>156414.25</v>
      </c>
      <c r="P173" s="154">
        <f>Bonus!W173</f>
        <v>4519.6836518046712</v>
      </c>
      <c r="Q173" s="98">
        <f t="shared" si="181"/>
        <v>91450.76</v>
      </c>
      <c r="R173" s="98">
        <f t="shared" si="182"/>
        <v>133714.75</v>
      </c>
      <c r="S173" s="129">
        <f t="shared" si="183"/>
        <v>87720.006348195326</v>
      </c>
      <c r="T173" s="199" t="str">
        <f>+Bonus!T173</f>
        <v>2024</v>
      </c>
      <c r="U173" s="199" t="str">
        <f>+Bonus!U173</f>
        <v>2025</v>
      </c>
      <c r="V173" s="199" t="str">
        <f>+Bonus!V173</f>
        <v>.</v>
      </c>
      <c r="W173" s="98"/>
      <c r="X173" s="33"/>
      <c r="Y173" s="180"/>
      <c r="Z173" s="98"/>
      <c r="AA173" s="214"/>
      <c r="AB173" s="214"/>
      <c r="AC173" s="64"/>
    </row>
    <row r="174" spans="1:29" s="57" customFormat="1" ht="13.5" customHeight="1">
      <c r="A174" s="259">
        <f>+Bonus!A174</f>
        <v>54.935000000000002</v>
      </c>
      <c r="B174" s="82" t="str">
        <f>+Bonus!B174</f>
        <v>Kern Water Bank Authority - Construct New Well 18P01</v>
      </c>
      <c r="C174" s="227">
        <f>+Bonus!C174</f>
        <v>129965.06</v>
      </c>
      <c r="D174" s="63">
        <f>+Bonus!D174</f>
        <v>120318.68</v>
      </c>
      <c r="E174" s="63">
        <f>+Bonus!E174</f>
        <v>9646.3800000000047</v>
      </c>
      <c r="F174" s="218">
        <f>+Bonus!F174</f>
        <v>120318.68</v>
      </c>
      <c r="G174" s="182">
        <f t="shared" si="175"/>
        <v>1</v>
      </c>
      <c r="H174" s="98">
        <f t="shared" si="176"/>
        <v>9646.3800000000047</v>
      </c>
      <c r="I174" s="98">
        <f t="shared" si="177"/>
        <v>129965.06</v>
      </c>
      <c r="J174" s="218">
        <f>+Bonus!J174</f>
        <v>129965.06</v>
      </c>
      <c r="K174" s="98">
        <f t="shared" si="178"/>
        <v>0</v>
      </c>
      <c r="L174" s="98">
        <f t="shared" si="179"/>
        <v>0</v>
      </c>
      <c r="M174" s="98">
        <f t="shared" si="180"/>
        <v>0</v>
      </c>
      <c r="N174" s="218">
        <f>Bonus!N174</f>
        <v>10110.6</v>
      </c>
      <c r="O174" s="218">
        <f>Bonus!O174</f>
        <v>0</v>
      </c>
      <c r="P174" s="154">
        <f>Bonus!W174</f>
        <v>0</v>
      </c>
      <c r="Q174" s="98">
        <f t="shared" si="181"/>
        <v>110208.07999999999</v>
      </c>
      <c r="R174" s="98">
        <f t="shared" si="182"/>
        <v>129965.06</v>
      </c>
      <c r="S174" s="129">
        <f t="shared" si="183"/>
        <v>9646.3800000000047</v>
      </c>
      <c r="T174" s="199" t="str">
        <f>+Bonus!T174</f>
        <v>2024</v>
      </c>
      <c r="U174" s="199" t="str">
        <f>+Bonus!U174</f>
        <v>2025</v>
      </c>
      <c r="V174" s="199" t="str">
        <f>+Bonus!V174</f>
        <v>&lt; 250k</v>
      </c>
      <c r="W174" s="98"/>
      <c r="X174" s="33"/>
      <c r="Y174" s="180"/>
      <c r="Z174" s="98"/>
      <c r="AA174" s="214"/>
      <c r="AB174" s="214"/>
      <c r="AC174" s="64"/>
    </row>
    <row r="175" spans="1:29" s="57" customFormat="1" ht="13.5" customHeight="1">
      <c r="A175" s="259">
        <f>+Bonus!A175</f>
        <v>54.935099999999998</v>
      </c>
      <c r="B175" s="82" t="str">
        <f>+Bonus!B175</f>
        <v>Arvin Edison Water Storage Dist. - Forrest Frick Valve Replacement</v>
      </c>
      <c r="C175" s="227">
        <f>+Bonus!C175</f>
        <v>153298.79</v>
      </c>
      <c r="D175" s="63">
        <f>+Bonus!D175</f>
        <v>136808.29999999999</v>
      </c>
      <c r="E175" s="63">
        <f>+Bonus!E175</f>
        <v>16490.49000000002</v>
      </c>
      <c r="F175" s="218">
        <f>+Bonus!F175</f>
        <v>136808.29999999999</v>
      </c>
      <c r="G175" s="182">
        <f t="shared" si="175"/>
        <v>1</v>
      </c>
      <c r="H175" s="98">
        <f t="shared" si="176"/>
        <v>16490.49000000002</v>
      </c>
      <c r="I175" s="98">
        <f t="shared" si="177"/>
        <v>153298.79</v>
      </c>
      <c r="J175" s="218">
        <f>+Bonus!J175</f>
        <v>153298.79</v>
      </c>
      <c r="K175" s="98">
        <f t="shared" si="178"/>
        <v>0</v>
      </c>
      <c r="L175" s="98">
        <f t="shared" si="179"/>
        <v>0</v>
      </c>
      <c r="M175" s="98">
        <f t="shared" si="180"/>
        <v>0</v>
      </c>
      <c r="N175" s="218">
        <f>Bonus!N175</f>
        <v>136808.29999999999</v>
      </c>
      <c r="O175" s="218">
        <f>Bonus!O175</f>
        <v>105656.18</v>
      </c>
      <c r="P175" s="154">
        <f>Bonus!W175</f>
        <v>0</v>
      </c>
      <c r="Q175" s="98">
        <f t="shared" si="181"/>
        <v>0</v>
      </c>
      <c r="R175" s="98">
        <f t="shared" si="182"/>
        <v>47642.610000000015</v>
      </c>
      <c r="S175" s="129">
        <f t="shared" si="183"/>
        <v>16490.49000000002</v>
      </c>
      <c r="T175" s="199" t="str">
        <f>+Bonus!T175</f>
        <v>2024</v>
      </c>
      <c r="U175" s="199" t="str">
        <f>+Bonus!U175</f>
        <v>2025</v>
      </c>
      <c r="V175" s="199" t="str">
        <f>+Bonus!V175</f>
        <v>&lt; 250k</v>
      </c>
      <c r="W175" s="98"/>
      <c r="X175" s="33"/>
      <c r="Y175" s="180"/>
      <c r="Z175" s="98"/>
      <c r="AA175" s="214"/>
      <c r="AB175" s="214"/>
      <c r="AC175" s="64"/>
    </row>
    <row r="176" spans="1:29" s="57" customFormat="1" ht="13.5" customHeight="1">
      <c r="A176" s="259">
        <f>+Bonus!A176</f>
        <v>54.935299999999998</v>
      </c>
      <c r="B176" s="82" t="str">
        <f>+Bonus!B176</f>
        <v>Kern Water Bank Authority - Cut In Valve at Well 18R01</v>
      </c>
      <c r="C176" s="227">
        <f>+Bonus!C176</f>
        <v>2008.42</v>
      </c>
      <c r="D176" s="63">
        <f>+Bonus!D176</f>
        <v>1117.5</v>
      </c>
      <c r="E176" s="63">
        <f>+Bonus!E176</f>
        <v>890.92000000000007</v>
      </c>
      <c r="F176" s="218">
        <f>+Bonus!F176</f>
        <v>1117.5</v>
      </c>
      <c r="G176" s="182">
        <f t="shared" si="175"/>
        <v>1</v>
      </c>
      <c r="H176" s="98">
        <f t="shared" si="176"/>
        <v>890.92000000000007</v>
      </c>
      <c r="I176" s="98">
        <f t="shared" si="177"/>
        <v>2008.42</v>
      </c>
      <c r="J176" s="218">
        <f>+Bonus!J176</f>
        <v>2008.42</v>
      </c>
      <c r="K176" s="98">
        <f t="shared" si="178"/>
        <v>0</v>
      </c>
      <c r="L176" s="98">
        <f t="shared" si="179"/>
        <v>0</v>
      </c>
      <c r="M176" s="98">
        <f t="shared" si="180"/>
        <v>0</v>
      </c>
      <c r="N176" s="218">
        <f>Bonus!N176</f>
        <v>1117.5</v>
      </c>
      <c r="O176" s="218">
        <f>Bonus!O176</f>
        <v>0</v>
      </c>
      <c r="P176" s="154">
        <f>Bonus!W176</f>
        <v>0</v>
      </c>
      <c r="Q176" s="98">
        <f t="shared" si="181"/>
        <v>0</v>
      </c>
      <c r="R176" s="98">
        <f t="shared" si="182"/>
        <v>2008.42</v>
      </c>
      <c r="S176" s="129">
        <f t="shared" si="183"/>
        <v>890.92000000000007</v>
      </c>
      <c r="T176" s="199" t="str">
        <f>+Bonus!T176</f>
        <v>2024</v>
      </c>
      <c r="U176" s="199" t="str">
        <f>+Bonus!U176</f>
        <v>2025</v>
      </c>
      <c r="V176" s="199" t="str">
        <f>+Bonus!V176</f>
        <v>&lt; 250k</v>
      </c>
      <c r="W176" s="98"/>
      <c r="X176" s="33"/>
      <c r="Y176" s="180"/>
      <c r="Z176" s="98"/>
      <c r="AA176" s="214"/>
      <c r="AB176" s="214"/>
      <c r="AC176" s="64"/>
    </row>
    <row r="177" spans="1:29" s="57" customFormat="1" ht="13.5" customHeight="1">
      <c r="A177" s="259">
        <f>+Bonus!A177</f>
        <v>54.935400000000001</v>
      </c>
      <c r="B177" s="82" t="str">
        <f>+Bonus!B177</f>
        <v>California Water Service Co. - Northeast Plant Lift Station Pipe Repair</v>
      </c>
      <c r="C177" s="227">
        <f>+Bonus!C177</f>
        <v>9571.2000000000007</v>
      </c>
      <c r="D177" s="63">
        <f>+Bonus!D177</f>
        <v>8230.8300000000017</v>
      </c>
      <c r="E177" s="63">
        <f>+Bonus!E177</f>
        <v>1340.369999999999</v>
      </c>
      <c r="F177" s="218">
        <f>+Bonus!F177</f>
        <v>8230.8300000000017</v>
      </c>
      <c r="G177" s="182">
        <f t="shared" si="175"/>
        <v>1</v>
      </c>
      <c r="H177" s="98">
        <f t="shared" si="176"/>
        <v>1340.369999999999</v>
      </c>
      <c r="I177" s="98">
        <f t="shared" si="177"/>
        <v>9571.2000000000007</v>
      </c>
      <c r="J177" s="218">
        <f>+Bonus!J177</f>
        <v>9571.2000000000007</v>
      </c>
      <c r="K177" s="98">
        <f t="shared" si="178"/>
        <v>0</v>
      </c>
      <c r="L177" s="98">
        <f t="shared" si="179"/>
        <v>0</v>
      </c>
      <c r="M177" s="98">
        <f t="shared" si="180"/>
        <v>0</v>
      </c>
      <c r="N177" s="218">
        <f>Bonus!N177</f>
        <v>12351.11</v>
      </c>
      <c r="O177" s="218">
        <f>Bonus!O177</f>
        <v>14274.54</v>
      </c>
      <c r="P177" s="154">
        <f>Bonus!W177</f>
        <v>1923.4300000000003</v>
      </c>
      <c r="Q177" s="98">
        <f t="shared" si="181"/>
        <v>-4120.2799999999988</v>
      </c>
      <c r="R177" s="98">
        <f t="shared" si="182"/>
        <v>-4703.34</v>
      </c>
      <c r="S177" s="129">
        <f t="shared" si="183"/>
        <v>-583.06000000000131</v>
      </c>
      <c r="T177" s="199" t="str">
        <f>+Bonus!T177</f>
        <v>2024</v>
      </c>
      <c r="U177" s="199" t="str">
        <f>+Bonus!U177</f>
        <v>2025</v>
      </c>
      <c r="V177" s="199" t="str">
        <f>+Bonus!V177</f>
        <v>&lt; 250k</v>
      </c>
      <c r="W177" s="98"/>
      <c r="X177" s="33"/>
      <c r="Y177" s="180"/>
      <c r="Z177" s="98"/>
      <c r="AA177" s="214"/>
      <c r="AB177" s="214"/>
      <c r="AC177" s="64"/>
    </row>
    <row r="178" spans="1:29" s="57" customFormat="1" ht="13.5" customHeight="1">
      <c r="A178" s="259">
        <f>+Bonus!A178</f>
        <v>54.935499999999998</v>
      </c>
      <c r="B178" s="82" t="str">
        <f>+Bonus!B178</f>
        <v>Kern Water Bank Authority - Install Canal Valve at Well 17P01</v>
      </c>
      <c r="C178" s="227">
        <f>+Bonus!C178</f>
        <v>2806.42</v>
      </c>
      <c r="D178" s="63">
        <f>+Bonus!D178</f>
        <v>1815.23</v>
      </c>
      <c r="E178" s="63">
        <f>+Bonus!E178</f>
        <v>991.19</v>
      </c>
      <c r="F178" s="218">
        <f>+Bonus!F178</f>
        <v>1815.23</v>
      </c>
      <c r="G178" s="182">
        <f t="shared" si="175"/>
        <v>1</v>
      </c>
      <c r="H178" s="98">
        <f t="shared" si="176"/>
        <v>991.19</v>
      </c>
      <c r="I178" s="98">
        <f t="shared" si="177"/>
        <v>2806.42</v>
      </c>
      <c r="J178" s="218">
        <f>+Bonus!J178</f>
        <v>2806.42</v>
      </c>
      <c r="K178" s="98">
        <f t="shared" si="178"/>
        <v>0</v>
      </c>
      <c r="L178" s="98">
        <f t="shared" si="179"/>
        <v>0</v>
      </c>
      <c r="M178" s="98">
        <f t="shared" si="180"/>
        <v>0</v>
      </c>
      <c r="N178" s="218">
        <f>Bonus!N178</f>
        <v>1815.23</v>
      </c>
      <c r="O178" s="218">
        <f>Bonus!O178</f>
        <v>0</v>
      </c>
      <c r="P178" s="154">
        <f>Bonus!W178</f>
        <v>0</v>
      </c>
      <c r="Q178" s="98">
        <f t="shared" si="181"/>
        <v>0</v>
      </c>
      <c r="R178" s="98">
        <f t="shared" si="182"/>
        <v>2806.42</v>
      </c>
      <c r="S178" s="129">
        <f t="shared" si="183"/>
        <v>991.19</v>
      </c>
      <c r="T178" s="199" t="str">
        <f>+Bonus!T178</f>
        <v>2024</v>
      </c>
      <c r="U178" s="199" t="str">
        <f>+Bonus!U178</f>
        <v>2025</v>
      </c>
      <c r="V178" s="199" t="str">
        <f>+Bonus!V178</f>
        <v>&lt; 250k</v>
      </c>
      <c r="W178" s="98"/>
      <c r="X178" s="33"/>
      <c r="Y178" s="180"/>
      <c r="Z178" s="98"/>
      <c r="AA178" s="214"/>
      <c r="AB178" s="214"/>
      <c r="AC178" s="64"/>
    </row>
    <row r="179" spans="1:29" s="57" customFormat="1" ht="13.5" customHeight="1">
      <c r="A179" s="259">
        <f>+Bonus!A179</f>
        <v>54.935699999999997</v>
      </c>
      <c r="B179" s="82" t="str">
        <f>+Bonus!B179</f>
        <v>Kern Water Bank Authority - Install Canal Valve at Well 20A01</v>
      </c>
      <c r="C179" s="227">
        <f>+Bonus!C179</f>
        <v>1760.42</v>
      </c>
      <c r="D179" s="63">
        <f>+Bonus!D179</f>
        <v>889.66</v>
      </c>
      <c r="E179" s="63">
        <f>+Bonus!E179</f>
        <v>870.7600000000001</v>
      </c>
      <c r="F179" s="218">
        <f>+Bonus!F179</f>
        <v>889.66</v>
      </c>
      <c r="G179" s="182">
        <f t="shared" si="175"/>
        <v>1</v>
      </c>
      <c r="H179" s="98">
        <f t="shared" si="176"/>
        <v>870.7600000000001</v>
      </c>
      <c r="I179" s="98">
        <f t="shared" si="177"/>
        <v>1760.42</v>
      </c>
      <c r="J179" s="218">
        <f>+Bonus!J179</f>
        <v>1760.42</v>
      </c>
      <c r="K179" s="98">
        <f t="shared" si="178"/>
        <v>0</v>
      </c>
      <c r="L179" s="98">
        <f t="shared" si="179"/>
        <v>0</v>
      </c>
      <c r="M179" s="98">
        <f t="shared" si="180"/>
        <v>0</v>
      </c>
      <c r="N179" s="218">
        <f>Bonus!N179</f>
        <v>889.66</v>
      </c>
      <c r="O179" s="218">
        <f>Bonus!O179</f>
        <v>0</v>
      </c>
      <c r="P179" s="154">
        <f>Bonus!W179</f>
        <v>0</v>
      </c>
      <c r="Q179" s="98">
        <f t="shared" si="181"/>
        <v>0</v>
      </c>
      <c r="R179" s="98">
        <f t="shared" si="182"/>
        <v>1760.42</v>
      </c>
      <c r="S179" s="129">
        <f t="shared" si="183"/>
        <v>870.7600000000001</v>
      </c>
      <c r="T179" s="199" t="str">
        <f>+Bonus!T179</f>
        <v>2024</v>
      </c>
      <c r="U179" s="199" t="str">
        <f>+Bonus!U179</f>
        <v>2025</v>
      </c>
      <c r="V179" s="199" t="str">
        <f>+Bonus!V179</f>
        <v>&lt; 250k</v>
      </c>
      <c r="W179" s="98"/>
      <c r="X179" s="33"/>
      <c r="Y179" s="180"/>
      <c r="Z179" s="98"/>
      <c r="AA179" s="214"/>
      <c r="AB179" s="214"/>
      <c r="AC179" s="64"/>
    </row>
    <row r="180" spans="1:29" s="57" customFormat="1" ht="13.5" customHeight="1">
      <c r="A180" s="259">
        <f>+Bonus!A180</f>
        <v>54.9358</v>
      </c>
      <c r="B180" s="82" t="str">
        <f>+Bonus!B180</f>
        <v>Arvin Edison Water Storage Dist. - Frick Unit - Phase I Turnout</v>
      </c>
      <c r="C180" s="227">
        <f>+Bonus!C180</f>
        <v>1147640</v>
      </c>
      <c r="D180" s="63">
        <f>+Bonus!D180</f>
        <v>1125399.83</v>
      </c>
      <c r="E180" s="63">
        <f>+Bonus!E180</f>
        <v>22240.169999999925</v>
      </c>
      <c r="F180" s="218">
        <f>+Bonus!F180</f>
        <v>1125399.83</v>
      </c>
      <c r="G180" s="182">
        <f t="shared" si="175"/>
        <v>1</v>
      </c>
      <c r="H180" s="98">
        <f t="shared" si="176"/>
        <v>22240.169999999925</v>
      </c>
      <c r="I180" s="98">
        <f t="shared" si="177"/>
        <v>1147640</v>
      </c>
      <c r="J180" s="218">
        <f>+Bonus!J180</f>
        <v>1147640</v>
      </c>
      <c r="K180" s="98">
        <f t="shared" si="178"/>
        <v>0</v>
      </c>
      <c r="L180" s="98">
        <f t="shared" si="179"/>
        <v>0</v>
      </c>
      <c r="M180" s="98">
        <f t="shared" si="180"/>
        <v>0</v>
      </c>
      <c r="N180" s="218">
        <f>Bonus!N180</f>
        <v>320292.15000000002</v>
      </c>
      <c r="O180" s="218">
        <f>Bonus!O180</f>
        <v>268994</v>
      </c>
      <c r="P180" s="154">
        <f>Bonus!W180</f>
        <v>15917.550693127087</v>
      </c>
      <c r="Q180" s="98">
        <f t="shared" si="181"/>
        <v>805107.68</v>
      </c>
      <c r="R180" s="98">
        <f t="shared" si="182"/>
        <v>878646</v>
      </c>
      <c r="S180" s="129">
        <f t="shared" si="183"/>
        <v>6322.6193068728389</v>
      </c>
      <c r="T180" s="199" t="str">
        <f>+Bonus!T180</f>
        <v>2024</v>
      </c>
      <c r="U180" s="199" t="str">
        <f>+Bonus!U180</f>
        <v>2025</v>
      </c>
      <c r="V180" s="199" t="str">
        <f>+Bonus!V180</f>
        <v>.</v>
      </c>
      <c r="W180" s="98"/>
      <c r="X180" s="33"/>
      <c r="Y180" s="180"/>
      <c r="Z180" s="98"/>
      <c r="AA180" s="214"/>
      <c r="AB180" s="214"/>
      <c r="AC180" s="64"/>
    </row>
    <row r="181" spans="1:29" s="57" customFormat="1" ht="13.5" customHeight="1">
      <c r="A181" s="259">
        <f>+Bonus!A181</f>
        <v>54.936</v>
      </c>
      <c r="B181" s="82" t="str">
        <f>+Bonus!B181</f>
        <v>Kern Water Bank Authority - Install Canal Valve at Well 20C01</v>
      </c>
      <c r="C181" s="227">
        <f>+Bonus!C181</f>
        <v>1855.92</v>
      </c>
      <c r="D181" s="63">
        <f>+Bonus!D181</f>
        <v>1144.8800000000001</v>
      </c>
      <c r="E181" s="63">
        <f>+Bonus!E181</f>
        <v>711.04</v>
      </c>
      <c r="F181" s="218">
        <f>+Bonus!F181</f>
        <v>1144.8800000000001</v>
      </c>
      <c r="G181" s="182">
        <f t="shared" si="175"/>
        <v>1</v>
      </c>
      <c r="H181" s="98">
        <f t="shared" si="176"/>
        <v>711.04</v>
      </c>
      <c r="I181" s="98">
        <f t="shared" si="177"/>
        <v>1855.92</v>
      </c>
      <c r="J181" s="218">
        <f>+Bonus!J181</f>
        <v>1855.92</v>
      </c>
      <c r="K181" s="98">
        <f t="shared" si="178"/>
        <v>0</v>
      </c>
      <c r="L181" s="98">
        <f t="shared" si="179"/>
        <v>0</v>
      </c>
      <c r="M181" s="98">
        <f t="shared" si="180"/>
        <v>0</v>
      </c>
      <c r="N181" s="218">
        <f>Bonus!N181</f>
        <v>1144.8800000000001</v>
      </c>
      <c r="O181" s="218">
        <f>Bonus!O181</f>
        <v>0</v>
      </c>
      <c r="P181" s="154">
        <f>Bonus!W181</f>
        <v>0</v>
      </c>
      <c r="Q181" s="98">
        <f t="shared" si="181"/>
        <v>0</v>
      </c>
      <c r="R181" s="98">
        <f t="shared" si="182"/>
        <v>1855.92</v>
      </c>
      <c r="S181" s="129">
        <f t="shared" si="183"/>
        <v>711.04</v>
      </c>
      <c r="T181" s="199" t="str">
        <f>+Bonus!T181</f>
        <v>2024</v>
      </c>
      <c r="U181" s="199" t="str">
        <f>+Bonus!U181</f>
        <v>2025</v>
      </c>
      <c r="V181" s="199" t="str">
        <f>+Bonus!V181</f>
        <v>&lt; 250k</v>
      </c>
      <c r="W181" s="98"/>
      <c r="X181" s="33"/>
      <c r="Y181" s="180"/>
      <c r="Z181" s="98"/>
      <c r="AA181" s="214"/>
      <c r="AB181" s="214"/>
      <c r="AC181" s="64"/>
    </row>
    <row r="182" spans="1:29" s="57" customFormat="1" ht="13.5" customHeight="1">
      <c r="A182" s="259">
        <f>+Bonus!A182</f>
        <v>54.936100000000003</v>
      </c>
      <c r="B182" s="82" t="str">
        <f>+Bonus!B182</f>
        <v>Semitropic Water Storage Dist. - Pond Poso Pumping Plant Pipe Repair</v>
      </c>
      <c r="C182" s="227">
        <f>+Bonus!C182</f>
        <v>108668.35</v>
      </c>
      <c r="D182" s="63">
        <f>+Bonus!D182</f>
        <v>107074.87000000001</v>
      </c>
      <c r="E182" s="63">
        <f>+Bonus!E182</f>
        <v>1593.4799999999959</v>
      </c>
      <c r="F182" s="218">
        <f>+Bonus!F182</f>
        <v>107074.87000000001</v>
      </c>
      <c r="G182" s="182">
        <f t="shared" si="175"/>
        <v>1</v>
      </c>
      <c r="H182" s="98">
        <f t="shared" si="176"/>
        <v>1593.4799999999959</v>
      </c>
      <c r="I182" s="98">
        <f t="shared" si="177"/>
        <v>108668.35</v>
      </c>
      <c r="J182" s="218">
        <f>+Bonus!J182</f>
        <v>108668.35</v>
      </c>
      <c r="K182" s="98">
        <f t="shared" si="178"/>
        <v>0</v>
      </c>
      <c r="L182" s="98">
        <f t="shared" si="179"/>
        <v>0</v>
      </c>
      <c r="M182" s="98">
        <f t="shared" si="180"/>
        <v>0</v>
      </c>
      <c r="N182" s="218">
        <f>Bonus!N182</f>
        <v>0</v>
      </c>
      <c r="O182" s="218">
        <f>Bonus!O182</f>
        <v>0</v>
      </c>
      <c r="P182" s="154">
        <f>Bonus!W182</f>
        <v>0</v>
      </c>
      <c r="Q182" s="98">
        <f t="shared" si="181"/>
        <v>107074.87000000001</v>
      </c>
      <c r="R182" s="98">
        <f t="shared" si="182"/>
        <v>108668.35</v>
      </c>
      <c r="S182" s="129">
        <f t="shared" si="183"/>
        <v>1593.4799999999959</v>
      </c>
      <c r="T182" s="199" t="str">
        <f>+Bonus!T182</f>
        <v>2025</v>
      </c>
      <c r="U182" s="199" t="str">
        <f>+Bonus!U182</f>
        <v>2025</v>
      </c>
      <c r="V182" s="199" t="str">
        <f>+Bonus!V182</f>
        <v>&lt; 250k</v>
      </c>
      <c r="W182" s="98"/>
      <c r="X182" s="33"/>
      <c r="Y182" s="180"/>
      <c r="Z182" s="98"/>
      <c r="AA182" s="214"/>
      <c r="AB182" s="214"/>
      <c r="AC182" s="64"/>
    </row>
    <row r="183" spans="1:29" s="57" customFormat="1" ht="13.5" customHeight="1">
      <c r="A183" s="259">
        <f>+Bonus!A183</f>
        <v>54.936199999999999</v>
      </c>
      <c r="B183" s="82" t="str">
        <f>+Bonus!B183</f>
        <v>Cawelo Water Dist. - Remove and Replace 24” and 18” Well Line</v>
      </c>
      <c r="C183" s="227">
        <f>+Bonus!C183</f>
        <v>425035.04</v>
      </c>
      <c r="D183" s="63">
        <f>+Bonus!D183</f>
        <v>375601.24</v>
      </c>
      <c r="E183" s="63">
        <f>+Bonus!E183</f>
        <v>49433.799999999988</v>
      </c>
      <c r="F183" s="218">
        <f>+Bonus!F183</f>
        <v>375601.24</v>
      </c>
      <c r="G183" s="182">
        <f t="shared" si="175"/>
        <v>1</v>
      </c>
      <c r="H183" s="98">
        <f t="shared" si="176"/>
        <v>49433.799999999988</v>
      </c>
      <c r="I183" s="98">
        <f t="shared" si="177"/>
        <v>425035.04</v>
      </c>
      <c r="J183" s="218">
        <f>+Bonus!J183</f>
        <v>425035.04</v>
      </c>
      <c r="K183" s="98">
        <f t="shared" si="178"/>
        <v>0</v>
      </c>
      <c r="L183" s="98">
        <f t="shared" si="179"/>
        <v>0</v>
      </c>
      <c r="M183" s="98">
        <f t="shared" si="180"/>
        <v>0</v>
      </c>
      <c r="N183" s="218">
        <f>Bonus!N183</f>
        <v>162458.93</v>
      </c>
      <c r="O183" s="218">
        <f>Bonus!O183</f>
        <v>0</v>
      </c>
      <c r="P183" s="154">
        <f>Bonus!W183</f>
        <v>0</v>
      </c>
      <c r="Q183" s="98">
        <f t="shared" si="181"/>
        <v>213142.31</v>
      </c>
      <c r="R183" s="98">
        <f t="shared" si="182"/>
        <v>425035.04</v>
      </c>
      <c r="S183" s="129">
        <f t="shared" si="183"/>
        <v>49433.799999999988</v>
      </c>
      <c r="T183" s="199" t="str">
        <f>+Bonus!T183</f>
        <v>2024</v>
      </c>
      <c r="U183" s="199" t="str">
        <f>+Bonus!U183</f>
        <v>2025</v>
      </c>
      <c r="V183" s="199" t="str">
        <f>+Bonus!V183</f>
        <v>.</v>
      </c>
      <c r="W183" s="98"/>
      <c r="X183" s="33"/>
      <c r="Y183" s="180"/>
      <c r="Z183" s="98"/>
      <c r="AA183" s="214"/>
      <c r="AB183" s="214"/>
      <c r="AC183" s="64"/>
    </row>
    <row r="184" spans="1:29" s="57" customFormat="1" ht="13.5" customHeight="1">
      <c r="A184" s="259">
        <f>+Bonus!A184</f>
        <v>54.936300000000003</v>
      </c>
      <c r="B184" s="82" t="str">
        <f>+Bonus!B184</f>
        <v>Kern Water Bank Authority - Install Canal Valve at Well 21A02</v>
      </c>
      <c r="C184" s="227">
        <f>+Bonus!C184</f>
        <v>1855.92</v>
      </c>
      <c r="D184" s="63">
        <f>+Bonus!D184</f>
        <v>777.55</v>
      </c>
      <c r="E184" s="63">
        <f>+Bonus!E184</f>
        <v>1078.3700000000001</v>
      </c>
      <c r="F184" s="218">
        <f>+Bonus!F184</f>
        <v>777.55</v>
      </c>
      <c r="G184" s="182">
        <f t="shared" si="175"/>
        <v>1</v>
      </c>
      <c r="H184" s="98">
        <f t="shared" si="176"/>
        <v>1078.3700000000001</v>
      </c>
      <c r="I184" s="98">
        <f t="shared" si="177"/>
        <v>1855.92</v>
      </c>
      <c r="J184" s="218">
        <f>+Bonus!J184</f>
        <v>1855.92</v>
      </c>
      <c r="K184" s="98">
        <f t="shared" si="178"/>
        <v>0</v>
      </c>
      <c r="L184" s="98">
        <f t="shared" si="179"/>
        <v>0</v>
      </c>
      <c r="M184" s="98">
        <f t="shared" si="180"/>
        <v>0</v>
      </c>
      <c r="N184" s="218">
        <f>Bonus!N184</f>
        <v>777.55</v>
      </c>
      <c r="O184" s="218">
        <f>Bonus!O184</f>
        <v>0</v>
      </c>
      <c r="P184" s="154">
        <f>Bonus!W184</f>
        <v>0</v>
      </c>
      <c r="Q184" s="98">
        <f t="shared" si="181"/>
        <v>0</v>
      </c>
      <c r="R184" s="98">
        <f t="shared" si="182"/>
        <v>1855.92</v>
      </c>
      <c r="S184" s="129">
        <f t="shared" si="183"/>
        <v>1078.3700000000001</v>
      </c>
      <c r="T184" s="199" t="str">
        <f>+Bonus!T184</f>
        <v>2024</v>
      </c>
      <c r="U184" s="199" t="str">
        <f>+Bonus!U184</f>
        <v>2025</v>
      </c>
      <c r="V184" s="199" t="str">
        <f>+Bonus!V184</f>
        <v>&lt; 250k</v>
      </c>
      <c r="W184" s="98"/>
      <c r="X184" s="33"/>
      <c r="Y184" s="180"/>
      <c r="Z184" s="98"/>
      <c r="AA184" s="214"/>
      <c r="AB184" s="214"/>
      <c r="AC184" s="64"/>
    </row>
    <row r="185" spans="1:29" s="57" customFormat="1" ht="13.5" customHeight="1">
      <c r="A185" s="259">
        <f>+Bonus!A185</f>
        <v>54.936500000000002</v>
      </c>
      <c r="B185" s="82" t="str">
        <f>+Bonus!B185</f>
        <v>Kern Water Bank Authority - Install Canal Valve at Well 16J01</v>
      </c>
      <c r="C185" s="227">
        <f>+Bonus!C185</f>
        <v>2216.42</v>
      </c>
      <c r="D185" s="63">
        <f>+Bonus!D185</f>
        <v>1263.33</v>
      </c>
      <c r="E185" s="63">
        <f>+Bonus!E185</f>
        <v>953.09000000000015</v>
      </c>
      <c r="F185" s="218">
        <f>+Bonus!F185</f>
        <v>1263.33</v>
      </c>
      <c r="G185" s="182">
        <f t="shared" si="175"/>
        <v>1</v>
      </c>
      <c r="H185" s="98">
        <f t="shared" si="176"/>
        <v>953.09000000000015</v>
      </c>
      <c r="I185" s="98">
        <f t="shared" si="177"/>
        <v>2216.42</v>
      </c>
      <c r="J185" s="218">
        <f>+Bonus!J185</f>
        <v>2216.42</v>
      </c>
      <c r="K185" s="98">
        <f t="shared" si="178"/>
        <v>0</v>
      </c>
      <c r="L185" s="98">
        <f t="shared" si="179"/>
        <v>0</v>
      </c>
      <c r="M185" s="98">
        <f t="shared" si="180"/>
        <v>0</v>
      </c>
      <c r="N185" s="218">
        <f>Bonus!N185</f>
        <v>1263.33</v>
      </c>
      <c r="O185" s="218">
        <f>Bonus!O185</f>
        <v>0</v>
      </c>
      <c r="P185" s="154">
        <f>Bonus!W185</f>
        <v>0</v>
      </c>
      <c r="Q185" s="98">
        <f t="shared" si="181"/>
        <v>0</v>
      </c>
      <c r="R185" s="98">
        <f t="shared" si="182"/>
        <v>2216.42</v>
      </c>
      <c r="S185" s="129">
        <f t="shared" si="183"/>
        <v>953.09000000000015</v>
      </c>
      <c r="T185" s="199" t="str">
        <f>+Bonus!T185</f>
        <v>2024</v>
      </c>
      <c r="U185" s="199" t="str">
        <f>+Bonus!U185</f>
        <v>2025</v>
      </c>
      <c r="V185" s="199" t="str">
        <f>+Bonus!V185</f>
        <v>&lt; 250k</v>
      </c>
      <c r="W185" s="98"/>
      <c r="X185" s="33"/>
      <c r="Y185" s="180"/>
      <c r="Z185" s="98"/>
      <c r="AA185" s="214"/>
      <c r="AB185" s="214"/>
      <c r="AC185" s="64"/>
    </row>
    <row r="186" spans="1:29" s="57" customFormat="1" ht="13.5" customHeight="1">
      <c r="A186" s="259">
        <f>+Bonus!A186</f>
        <v>54.936700000000002</v>
      </c>
      <c r="B186" s="82" t="str">
        <f>+Bonus!B186</f>
        <v>Kern Water Bank Authority - Install Canal Valve at Well 15N01</v>
      </c>
      <c r="C186" s="227">
        <f>+Bonus!C186</f>
        <v>2540.42</v>
      </c>
      <c r="D186" s="63">
        <f>+Bonus!D186</f>
        <v>1602.33</v>
      </c>
      <c r="E186" s="63">
        <f>+Bonus!E186</f>
        <v>938.09000000000015</v>
      </c>
      <c r="F186" s="218">
        <f>+Bonus!F186</f>
        <v>1602.33</v>
      </c>
      <c r="G186" s="182">
        <f t="shared" si="175"/>
        <v>1</v>
      </c>
      <c r="H186" s="98">
        <f t="shared" si="176"/>
        <v>938.09000000000015</v>
      </c>
      <c r="I186" s="98">
        <f t="shared" si="177"/>
        <v>2540.42</v>
      </c>
      <c r="J186" s="218">
        <f>+Bonus!J186</f>
        <v>2540.42</v>
      </c>
      <c r="K186" s="98">
        <f t="shared" si="178"/>
        <v>0</v>
      </c>
      <c r="L186" s="98">
        <f t="shared" si="179"/>
        <v>0</v>
      </c>
      <c r="M186" s="98">
        <f t="shared" si="180"/>
        <v>0</v>
      </c>
      <c r="N186" s="218">
        <f>Bonus!N186</f>
        <v>1602.33</v>
      </c>
      <c r="O186" s="218">
        <f>Bonus!O186</f>
        <v>0</v>
      </c>
      <c r="P186" s="154">
        <f>Bonus!W186</f>
        <v>0</v>
      </c>
      <c r="Q186" s="98">
        <f t="shared" si="181"/>
        <v>0</v>
      </c>
      <c r="R186" s="98">
        <f t="shared" si="182"/>
        <v>2540.42</v>
      </c>
      <c r="S186" s="129">
        <f t="shared" si="183"/>
        <v>938.09000000000015</v>
      </c>
      <c r="T186" s="199" t="str">
        <f>+Bonus!T186</f>
        <v>2024</v>
      </c>
      <c r="U186" s="199" t="str">
        <f>+Bonus!U186</f>
        <v>2025</v>
      </c>
      <c r="V186" s="199" t="str">
        <f>+Bonus!V186</f>
        <v>&lt; 250k</v>
      </c>
      <c r="W186" s="98"/>
      <c r="X186" s="33"/>
      <c r="Y186" s="180"/>
      <c r="Z186" s="98"/>
      <c r="AA186" s="214"/>
      <c r="AB186" s="214"/>
      <c r="AC186" s="64"/>
    </row>
    <row r="187" spans="1:29" s="57" customFormat="1" ht="13.5" customHeight="1">
      <c r="A187" s="259">
        <f>+Bonus!A187</f>
        <v>54.936799999999998</v>
      </c>
      <c r="B187" s="82" t="str">
        <f>+Bonus!B187</f>
        <v>North of River Sanitary Dist. No. 1 - Wilson Ave Sewer Repair</v>
      </c>
      <c r="C187" s="227">
        <f>+Bonus!C187</f>
        <v>15697.91</v>
      </c>
      <c r="D187" s="63">
        <f>+Bonus!D187</f>
        <v>13653.62</v>
      </c>
      <c r="E187" s="63">
        <f>+Bonus!E187</f>
        <v>2044.2899999999991</v>
      </c>
      <c r="F187" s="218">
        <f>+Bonus!F187</f>
        <v>13653.62</v>
      </c>
      <c r="G187" s="182">
        <f t="shared" si="175"/>
        <v>1</v>
      </c>
      <c r="H187" s="98">
        <f t="shared" si="176"/>
        <v>2044.2899999999991</v>
      </c>
      <c r="I187" s="98">
        <f t="shared" si="177"/>
        <v>15697.91</v>
      </c>
      <c r="J187" s="218">
        <f>+Bonus!J187</f>
        <v>15697.91</v>
      </c>
      <c r="K187" s="98">
        <f t="shared" si="178"/>
        <v>0</v>
      </c>
      <c r="L187" s="98">
        <f t="shared" si="179"/>
        <v>0</v>
      </c>
      <c r="M187" s="98">
        <f t="shared" si="180"/>
        <v>0</v>
      </c>
      <c r="N187" s="218">
        <f>Bonus!N187</f>
        <v>13653.62</v>
      </c>
      <c r="O187" s="218">
        <f>Bonus!O187</f>
        <v>15697.91</v>
      </c>
      <c r="P187" s="154">
        <f>Bonus!W187</f>
        <v>2044.2899999999991</v>
      </c>
      <c r="Q187" s="98">
        <f t="shared" si="181"/>
        <v>0</v>
      </c>
      <c r="R187" s="98">
        <f t="shared" si="182"/>
        <v>0</v>
      </c>
      <c r="S187" s="129">
        <f t="shared" si="183"/>
        <v>0</v>
      </c>
      <c r="T187" s="199" t="str">
        <f>+Bonus!T187</f>
        <v>2024</v>
      </c>
      <c r="U187" s="199" t="str">
        <f>+Bonus!U187</f>
        <v>2025</v>
      </c>
      <c r="V187" s="199" t="str">
        <f>+Bonus!V187</f>
        <v>&lt; 250k</v>
      </c>
      <c r="W187" s="98"/>
      <c r="X187" s="33"/>
      <c r="Y187" s="180"/>
      <c r="Z187" s="98"/>
      <c r="AA187" s="214"/>
      <c r="AB187" s="214"/>
      <c r="AC187" s="64"/>
    </row>
    <row r="188" spans="1:29" s="57" customFormat="1" ht="13.5" customHeight="1">
      <c r="A188" s="259">
        <f>+Bonus!A188</f>
        <v>54.936999999999998</v>
      </c>
      <c r="B188" s="82" t="str">
        <f>+Bonus!B188</f>
        <v>Kern Water Bank Authority - Install Canal Valve at Well 20L01</v>
      </c>
      <c r="C188" s="227">
        <f>+Bonus!C188</f>
        <v>1760.42</v>
      </c>
      <c r="D188" s="63">
        <f>+Bonus!D188</f>
        <v>889.64</v>
      </c>
      <c r="E188" s="63">
        <f>+Bonus!E188</f>
        <v>870.78000000000009</v>
      </c>
      <c r="F188" s="218">
        <f>+Bonus!F188</f>
        <v>889.64</v>
      </c>
      <c r="G188" s="182">
        <f t="shared" si="175"/>
        <v>1</v>
      </c>
      <c r="H188" s="98">
        <f t="shared" si="176"/>
        <v>870.78000000000009</v>
      </c>
      <c r="I188" s="98">
        <f t="shared" si="177"/>
        <v>1760.42</v>
      </c>
      <c r="J188" s="218">
        <f>+Bonus!J188</f>
        <v>1760.42</v>
      </c>
      <c r="K188" s="98">
        <f t="shared" si="178"/>
        <v>0</v>
      </c>
      <c r="L188" s="98">
        <f t="shared" si="179"/>
        <v>0</v>
      </c>
      <c r="M188" s="98">
        <f t="shared" si="180"/>
        <v>0</v>
      </c>
      <c r="N188" s="218">
        <f>Bonus!N188</f>
        <v>889.64</v>
      </c>
      <c r="O188" s="218">
        <f>Bonus!O188</f>
        <v>0</v>
      </c>
      <c r="P188" s="154">
        <f>Bonus!W188</f>
        <v>0</v>
      </c>
      <c r="Q188" s="98">
        <f t="shared" si="181"/>
        <v>0</v>
      </c>
      <c r="R188" s="98">
        <f t="shared" si="182"/>
        <v>1760.42</v>
      </c>
      <c r="S188" s="129">
        <f t="shared" si="183"/>
        <v>870.78000000000009</v>
      </c>
      <c r="T188" s="199" t="str">
        <f>+Bonus!T188</f>
        <v>2024</v>
      </c>
      <c r="U188" s="199" t="str">
        <f>+Bonus!U188</f>
        <v>2025</v>
      </c>
      <c r="V188" s="199" t="str">
        <f>+Bonus!V188</f>
        <v>&lt; 250k</v>
      </c>
      <c r="W188" s="98"/>
      <c r="X188" s="33"/>
      <c r="Y188" s="180"/>
      <c r="Z188" s="98"/>
      <c r="AA188" s="214"/>
      <c r="AB188" s="214"/>
      <c r="AC188" s="64"/>
    </row>
    <row r="189" spans="1:29" s="57" customFormat="1" ht="13.5" customHeight="1">
      <c r="A189" s="259">
        <f>+Bonus!A189</f>
        <v>54.937100000000001</v>
      </c>
      <c r="B189" s="82" t="str">
        <f>+Bonus!B189</f>
        <v>Bakersfield Overhead 2025</v>
      </c>
      <c r="C189" s="227">
        <f>+Bonus!C189</f>
        <v>0</v>
      </c>
      <c r="D189" s="63">
        <f>+Bonus!D189</f>
        <v>1267652.77</v>
      </c>
      <c r="E189" s="63">
        <f>+Bonus!E189</f>
        <v>-1267652.77</v>
      </c>
      <c r="F189" s="218">
        <f>+Bonus!F189</f>
        <v>1267652.77</v>
      </c>
      <c r="G189" s="182">
        <f t="shared" ref="G189:G190" si="184">IF(D189&lt;&gt;0,+F189/D189,0)</f>
        <v>1</v>
      </c>
      <c r="H189" s="98">
        <f t="shared" ref="H189:H190" si="185">IF(E189&lt;=0,E189,IF(G189&lt;0.1,0,IF(G189&lt;=1,G189*E189,E189)))</f>
        <v>-1267652.77</v>
      </c>
      <c r="I189" s="98">
        <f t="shared" ref="I189:I190" si="186">+F189+H189</f>
        <v>0</v>
      </c>
      <c r="J189" s="218">
        <f>+Bonus!J189</f>
        <v>0</v>
      </c>
      <c r="K189" s="98">
        <f t="shared" ref="K189:K190" si="187">J189-I189</f>
        <v>0</v>
      </c>
      <c r="L189" s="98">
        <f t="shared" ref="L189:L190" si="188">+D189-F189</f>
        <v>0</v>
      </c>
      <c r="M189" s="98">
        <f t="shared" ref="M189:M190" si="189">+C189-J189</f>
        <v>0</v>
      </c>
      <c r="N189" s="218">
        <f>Bonus!N189</f>
        <v>0</v>
      </c>
      <c r="O189" s="218">
        <f>Bonus!O189</f>
        <v>0</v>
      </c>
      <c r="P189" s="154">
        <f>Bonus!W189</f>
        <v>0</v>
      </c>
      <c r="Q189" s="98">
        <f t="shared" ref="Q189:Q190" si="190">F189-N189</f>
        <v>1267652.77</v>
      </c>
      <c r="R189" s="98">
        <f t="shared" ref="R189:R190" si="191">+J189-O189</f>
        <v>0</v>
      </c>
      <c r="S189" s="129">
        <f t="shared" ref="S189:S190" si="192">H189-P189</f>
        <v>-1267652.77</v>
      </c>
      <c r="T189" s="199" t="str">
        <f>+Bonus!T189</f>
        <v>2025</v>
      </c>
      <c r="U189" s="199" t="str">
        <f>+Bonus!U189</f>
        <v>2025</v>
      </c>
      <c r="V189" s="199" t="str">
        <f>+Bonus!V189</f>
        <v>OH</v>
      </c>
      <c r="W189" s="98"/>
      <c r="X189" s="33"/>
      <c r="Y189" s="180"/>
      <c r="Z189" s="98"/>
      <c r="AA189" s="214"/>
      <c r="AB189" s="214"/>
      <c r="AC189" s="64"/>
    </row>
    <row r="190" spans="1:29" s="57" customFormat="1" ht="13.5" customHeight="1">
      <c r="A190" s="259">
        <f>+Bonus!A190</f>
        <v>54.937199999999997</v>
      </c>
      <c r="B190" s="82" t="str">
        <f>+Bonus!B190</f>
        <v>Bakersfield Estimating 2025</v>
      </c>
      <c r="C190" s="227">
        <f>+Bonus!C190</f>
        <v>0</v>
      </c>
      <c r="D190" s="63">
        <f>+Bonus!D190</f>
        <v>588792.6</v>
      </c>
      <c r="E190" s="63">
        <f>+Bonus!E190</f>
        <v>-588792.6</v>
      </c>
      <c r="F190" s="218">
        <f>+Bonus!F190</f>
        <v>588792.6</v>
      </c>
      <c r="G190" s="182">
        <f t="shared" si="184"/>
        <v>1</v>
      </c>
      <c r="H190" s="98">
        <f t="shared" si="185"/>
        <v>-588792.6</v>
      </c>
      <c r="I190" s="98">
        <f t="shared" si="186"/>
        <v>0</v>
      </c>
      <c r="J190" s="218">
        <f>+Bonus!J190</f>
        <v>0</v>
      </c>
      <c r="K190" s="98">
        <f t="shared" si="187"/>
        <v>0</v>
      </c>
      <c r="L190" s="98">
        <f t="shared" si="188"/>
        <v>0</v>
      </c>
      <c r="M190" s="98">
        <f t="shared" si="189"/>
        <v>0</v>
      </c>
      <c r="N190" s="218">
        <f>Bonus!N190</f>
        <v>0</v>
      </c>
      <c r="O190" s="218">
        <f>Bonus!O190</f>
        <v>0</v>
      </c>
      <c r="P190" s="154">
        <f>Bonus!W190</f>
        <v>0</v>
      </c>
      <c r="Q190" s="98">
        <f t="shared" si="190"/>
        <v>588792.6</v>
      </c>
      <c r="R190" s="98">
        <f t="shared" si="191"/>
        <v>0</v>
      </c>
      <c r="S190" s="129">
        <f t="shared" si="192"/>
        <v>-588792.6</v>
      </c>
      <c r="T190" s="199" t="str">
        <f>+Bonus!T190</f>
        <v>2025</v>
      </c>
      <c r="U190" s="199" t="str">
        <f>+Bonus!U190</f>
        <v>2025</v>
      </c>
      <c r="V190" s="199" t="str">
        <f>+Bonus!V190</f>
        <v>OH</v>
      </c>
      <c r="W190" s="98"/>
      <c r="X190" s="33"/>
      <c r="Y190" s="180"/>
      <c r="Z190" s="98"/>
      <c r="AA190" s="214"/>
      <c r="AB190" s="214"/>
      <c r="AC190" s="64"/>
    </row>
    <row r="191" spans="1:29" s="57" customFormat="1" ht="13.5" customHeight="1">
      <c r="A191" s="259">
        <f>+Bonus!A191</f>
        <v>54.937399999999997</v>
      </c>
      <c r="B191" s="82" t="str">
        <f>+Bonus!B191</f>
        <v>City of Santa Maria - WWTP Trickling Filter Repairs</v>
      </c>
      <c r="C191" s="227">
        <f>+Bonus!C191</f>
        <v>32962</v>
      </c>
      <c r="D191" s="63">
        <f>+Bonus!D191</f>
        <v>19986.45</v>
      </c>
      <c r="E191" s="63">
        <f>+Bonus!E191</f>
        <v>12975.55</v>
      </c>
      <c r="F191" s="218">
        <f>+Bonus!F191</f>
        <v>19986.45</v>
      </c>
      <c r="G191" s="182">
        <f t="shared" si="175"/>
        <v>1</v>
      </c>
      <c r="H191" s="98">
        <f t="shared" si="176"/>
        <v>12975.55</v>
      </c>
      <c r="I191" s="98">
        <f t="shared" si="177"/>
        <v>32962</v>
      </c>
      <c r="J191" s="218">
        <f>+Bonus!J191</f>
        <v>32962</v>
      </c>
      <c r="K191" s="98">
        <f t="shared" si="178"/>
        <v>0</v>
      </c>
      <c r="L191" s="98">
        <f t="shared" si="179"/>
        <v>0</v>
      </c>
      <c r="M191" s="98">
        <f t="shared" si="180"/>
        <v>0</v>
      </c>
      <c r="N191" s="218">
        <f>Bonus!N191</f>
        <v>0</v>
      </c>
      <c r="O191" s="218">
        <f>Bonus!O191</f>
        <v>0</v>
      </c>
      <c r="P191" s="154">
        <f>Bonus!W191</f>
        <v>0</v>
      </c>
      <c r="Q191" s="98">
        <f t="shared" si="181"/>
        <v>19986.45</v>
      </c>
      <c r="R191" s="98">
        <f t="shared" si="182"/>
        <v>32962</v>
      </c>
      <c r="S191" s="129">
        <f t="shared" si="183"/>
        <v>12975.55</v>
      </c>
      <c r="T191" s="199" t="str">
        <f>+Bonus!T191</f>
        <v>2025</v>
      </c>
      <c r="U191" s="199" t="str">
        <f>+Bonus!U191</f>
        <v>2025</v>
      </c>
      <c r="V191" s="199" t="str">
        <f>+Bonus!V191</f>
        <v>&lt; 250k</v>
      </c>
      <c r="W191" s="98"/>
      <c r="X191" s="33"/>
      <c r="Y191" s="180"/>
      <c r="Z191" s="98"/>
      <c r="AA191" s="214"/>
      <c r="AB191" s="214"/>
      <c r="AC191" s="64"/>
    </row>
    <row r="192" spans="1:29" s="57" customFormat="1" ht="13.5" customHeight="1">
      <c r="A192" s="259">
        <f>+Bonus!A192</f>
        <v>54.9375</v>
      </c>
      <c r="B192" s="82" t="str">
        <f>+Bonus!B192</f>
        <v>City of Santa Maria - WWTP Clarifier Repairs</v>
      </c>
      <c r="C192" s="227">
        <f>+Bonus!C192</f>
        <v>8232.73</v>
      </c>
      <c r="D192" s="63">
        <f>+Bonus!D192</f>
        <v>4545.4799999999996</v>
      </c>
      <c r="E192" s="63">
        <f>+Bonus!E192</f>
        <v>3687.25</v>
      </c>
      <c r="F192" s="218">
        <f>+Bonus!F192</f>
        <v>4545.4799999999996</v>
      </c>
      <c r="G192" s="182">
        <f t="shared" si="175"/>
        <v>1</v>
      </c>
      <c r="H192" s="98">
        <f t="shared" si="176"/>
        <v>3687.25</v>
      </c>
      <c r="I192" s="98">
        <f t="shared" si="177"/>
        <v>8232.73</v>
      </c>
      <c r="J192" s="218">
        <f>+Bonus!J192</f>
        <v>8232.73</v>
      </c>
      <c r="K192" s="98">
        <f t="shared" si="178"/>
        <v>0</v>
      </c>
      <c r="L192" s="98">
        <f t="shared" si="179"/>
        <v>0</v>
      </c>
      <c r="M192" s="98">
        <f t="shared" si="180"/>
        <v>0</v>
      </c>
      <c r="N192" s="218">
        <f>Bonus!N192</f>
        <v>0</v>
      </c>
      <c r="O192" s="218">
        <f>Bonus!O192</f>
        <v>0</v>
      </c>
      <c r="P192" s="154">
        <f>Bonus!W192</f>
        <v>0</v>
      </c>
      <c r="Q192" s="98">
        <f t="shared" si="181"/>
        <v>4545.4799999999996</v>
      </c>
      <c r="R192" s="98">
        <f t="shared" si="182"/>
        <v>8232.73</v>
      </c>
      <c r="S192" s="129">
        <f t="shared" si="183"/>
        <v>3687.25</v>
      </c>
      <c r="T192" s="199" t="str">
        <f>+Bonus!T192</f>
        <v>2025</v>
      </c>
      <c r="U192" s="199" t="str">
        <f>+Bonus!U192</f>
        <v>2025</v>
      </c>
      <c r="V192" s="199" t="str">
        <f>+Bonus!V192</f>
        <v>&lt; 250k</v>
      </c>
      <c r="W192" s="98"/>
      <c r="X192" s="33"/>
      <c r="Y192" s="180"/>
      <c r="Z192" s="98"/>
      <c r="AA192" s="214"/>
      <c r="AB192" s="214"/>
      <c r="AC192" s="64"/>
    </row>
    <row r="193" spans="1:29" s="57" customFormat="1" ht="13.5" customHeight="1">
      <c r="A193" s="259">
        <f>+Bonus!A193</f>
        <v>54.937899999999999</v>
      </c>
      <c r="B193" s="82" t="str">
        <f>+Bonus!B193</f>
        <v>Semitropic Water Storage Dist. - Delta System Pipe Repair</v>
      </c>
      <c r="C193" s="227">
        <f>+Bonus!C193</f>
        <v>41679.769999999997</v>
      </c>
      <c r="D193" s="63">
        <f>+Bonus!D193</f>
        <v>36111.949999999997</v>
      </c>
      <c r="E193" s="63">
        <f>+Bonus!E193</f>
        <v>5567.82</v>
      </c>
      <c r="F193" s="218">
        <f>+Bonus!F193</f>
        <v>36111.949999999997</v>
      </c>
      <c r="G193" s="182">
        <f t="shared" si="175"/>
        <v>1</v>
      </c>
      <c r="H193" s="98">
        <f t="shared" si="176"/>
        <v>5567.82</v>
      </c>
      <c r="I193" s="98">
        <f t="shared" si="177"/>
        <v>41679.769999999997</v>
      </c>
      <c r="J193" s="218">
        <f>+Bonus!J193</f>
        <v>41679.769999999997</v>
      </c>
      <c r="K193" s="98">
        <f t="shared" si="178"/>
        <v>0</v>
      </c>
      <c r="L193" s="98">
        <f t="shared" si="179"/>
        <v>0</v>
      </c>
      <c r="M193" s="98">
        <f t="shared" si="180"/>
        <v>0</v>
      </c>
      <c r="N193" s="218">
        <f>Bonus!N193</f>
        <v>0</v>
      </c>
      <c r="O193" s="218">
        <f>Bonus!O193</f>
        <v>0</v>
      </c>
      <c r="P193" s="154">
        <f>Bonus!W193</f>
        <v>0</v>
      </c>
      <c r="Q193" s="98">
        <f t="shared" si="181"/>
        <v>36111.949999999997</v>
      </c>
      <c r="R193" s="98">
        <f t="shared" si="182"/>
        <v>41679.769999999997</v>
      </c>
      <c r="S193" s="129">
        <f t="shared" si="183"/>
        <v>5567.82</v>
      </c>
      <c r="T193" s="199" t="str">
        <f>+Bonus!T193</f>
        <v>2025</v>
      </c>
      <c r="U193" s="199" t="str">
        <f>+Bonus!U193</f>
        <v>2025</v>
      </c>
      <c r="V193" s="199" t="str">
        <f>+Bonus!V193</f>
        <v>&lt; 250k</v>
      </c>
      <c r="W193" s="98"/>
      <c r="X193" s="33"/>
      <c r="Y193" s="180"/>
      <c r="Z193" s="98"/>
      <c r="AA193" s="214"/>
      <c r="AB193" s="214"/>
      <c r="AC193" s="64"/>
    </row>
    <row r="194" spans="1:29" s="57" customFormat="1" ht="13.5" customHeight="1">
      <c r="A194" s="259">
        <f>+Bonus!A194</f>
        <v>54.938000000000002</v>
      </c>
      <c r="B194" s="82" t="str">
        <f>+Bonus!B194</f>
        <v>Cawelo Water Dist. - CWD Pump Station Pipe Repair</v>
      </c>
      <c r="C194" s="227">
        <f>+Bonus!C194</f>
        <v>22446.19</v>
      </c>
      <c r="D194" s="63">
        <f>+Bonus!D194</f>
        <v>18064.72</v>
      </c>
      <c r="E194" s="63">
        <f>+Bonus!E194</f>
        <v>4381.4699999999975</v>
      </c>
      <c r="F194" s="218">
        <f>+Bonus!F194</f>
        <v>18064.72</v>
      </c>
      <c r="G194" s="182">
        <f t="shared" si="175"/>
        <v>1</v>
      </c>
      <c r="H194" s="98">
        <f t="shared" si="176"/>
        <v>4381.4699999999975</v>
      </c>
      <c r="I194" s="98">
        <f t="shared" si="177"/>
        <v>22446.19</v>
      </c>
      <c r="J194" s="218">
        <f>+Bonus!J194</f>
        <v>22446.19</v>
      </c>
      <c r="K194" s="98">
        <f t="shared" si="178"/>
        <v>0</v>
      </c>
      <c r="L194" s="98">
        <f t="shared" si="179"/>
        <v>0</v>
      </c>
      <c r="M194" s="98">
        <f t="shared" si="180"/>
        <v>0</v>
      </c>
      <c r="N194" s="218">
        <f>Bonus!N194</f>
        <v>0</v>
      </c>
      <c r="O194" s="218">
        <f>Bonus!O194</f>
        <v>0</v>
      </c>
      <c r="P194" s="154">
        <f>Bonus!W194</f>
        <v>0</v>
      </c>
      <c r="Q194" s="98">
        <f t="shared" si="181"/>
        <v>18064.72</v>
      </c>
      <c r="R194" s="98">
        <f t="shared" si="182"/>
        <v>22446.19</v>
      </c>
      <c r="S194" s="129">
        <f t="shared" si="183"/>
        <v>4381.4699999999975</v>
      </c>
      <c r="T194" s="199" t="str">
        <f>+Bonus!T194</f>
        <v>2025</v>
      </c>
      <c r="U194" s="199" t="str">
        <f>+Bonus!U194</f>
        <v>2025</v>
      </c>
      <c r="V194" s="199" t="str">
        <f>+Bonus!V194</f>
        <v>&lt; 250k</v>
      </c>
      <c r="W194" s="98"/>
      <c r="X194" s="33"/>
      <c r="Y194" s="180"/>
      <c r="Z194" s="98"/>
      <c r="AA194" s="214"/>
      <c r="AB194" s="214"/>
      <c r="AC194" s="64"/>
    </row>
    <row r="195" spans="1:29" s="57" customFormat="1" ht="13.5" customHeight="1">
      <c r="A195" s="259">
        <f>+Bonus!A195</f>
        <v>54.938099999999999</v>
      </c>
      <c r="B195" s="82" t="str">
        <f>+Bonus!B195</f>
        <v>Kern Sanitation Authority - KSA Trickling Filter Bracket Replacement</v>
      </c>
      <c r="C195" s="227">
        <f>+Bonus!C195</f>
        <v>58900</v>
      </c>
      <c r="D195" s="63">
        <f>+Bonus!D195</f>
        <v>28875.38</v>
      </c>
      <c r="E195" s="63">
        <f>+Bonus!E195</f>
        <v>30024.62</v>
      </c>
      <c r="F195" s="218">
        <f>+Bonus!F195</f>
        <v>28875.38</v>
      </c>
      <c r="G195" s="182">
        <f t="shared" si="175"/>
        <v>1</v>
      </c>
      <c r="H195" s="98">
        <f t="shared" si="176"/>
        <v>30024.62</v>
      </c>
      <c r="I195" s="98">
        <f t="shared" si="177"/>
        <v>58900</v>
      </c>
      <c r="J195" s="218">
        <f>+Bonus!J195</f>
        <v>58900</v>
      </c>
      <c r="K195" s="98">
        <f t="shared" si="178"/>
        <v>0</v>
      </c>
      <c r="L195" s="98">
        <f t="shared" si="179"/>
        <v>0</v>
      </c>
      <c r="M195" s="98">
        <f t="shared" si="180"/>
        <v>0</v>
      </c>
      <c r="N195" s="218">
        <f>Bonus!N195</f>
        <v>0</v>
      </c>
      <c r="O195" s="218">
        <f>Bonus!O195</f>
        <v>0</v>
      </c>
      <c r="P195" s="154">
        <f>Bonus!W195</f>
        <v>0</v>
      </c>
      <c r="Q195" s="98">
        <f t="shared" si="181"/>
        <v>28875.38</v>
      </c>
      <c r="R195" s="98">
        <f t="shared" si="182"/>
        <v>58900</v>
      </c>
      <c r="S195" s="129">
        <f t="shared" si="183"/>
        <v>30024.62</v>
      </c>
      <c r="T195" s="199" t="str">
        <f>+Bonus!T195</f>
        <v>2025</v>
      </c>
      <c r="U195" s="199" t="str">
        <f>+Bonus!U195</f>
        <v>2025</v>
      </c>
      <c r="V195" s="199" t="str">
        <f>+Bonus!V195</f>
        <v>&lt; 250k</v>
      </c>
      <c r="W195" s="98"/>
      <c r="X195" s="33"/>
      <c r="Y195" s="180"/>
      <c r="Z195" s="98"/>
      <c r="AA195" s="214"/>
      <c r="AB195" s="214"/>
      <c r="AC195" s="64"/>
    </row>
    <row r="196" spans="1:29" s="57" customFormat="1" ht="13.5" customHeight="1">
      <c r="A196" s="259">
        <f>+Bonus!A196</f>
        <v>54.938200000000002</v>
      </c>
      <c r="B196" s="82" t="str">
        <f>+Bonus!B196</f>
        <v>Laguna County Sanitation Dist. - Laguna WWTP Flow Meter FIT-7000 Replacement</v>
      </c>
      <c r="C196" s="227">
        <f>+Bonus!C196</f>
        <v>143799</v>
      </c>
      <c r="D196" s="63">
        <f>+Bonus!D196</f>
        <v>108690.45</v>
      </c>
      <c r="E196" s="63">
        <f>+Bonus!E196</f>
        <v>35108.550000000003</v>
      </c>
      <c r="F196" s="218">
        <f>+Bonus!F196</f>
        <v>108690.45</v>
      </c>
      <c r="G196" s="182">
        <f t="shared" si="175"/>
        <v>1</v>
      </c>
      <c r="H196" s="98">
        <f t="shared" si="176"/>
        <v>35108.550000000003</v>
      </c>
      <c r="I196" s="98">
        <f t="shared" si="177"/>
        <v>143799</v>
      </c>
      <c r="J196" s="218">
        <f>+Bonus!J196</f>
        <v>143799</v>
      </c>
      <c r="K196" s="98">
        <f t="shared" si="178"/>
        <v>0</v>
      </c>
      <c r="L196" s="98">
        <f t="shared" si="179"/>
        <v>0</v>
      </c>
      <c r="M196" s="98">
        <f t="shared" si="180"/>
        <v>0</v>
      </c>
      <c r="N196" s="218">
        <f>Bonus!N196</f>
        <v>0</v>
      </c>
      <c r="O196" s="218">
        <f>Bonus!O196</f>
        <v>0</v>
      </c>
      <c r="P196" s="154">
        <f>Bonus!W196</f>
        <v>0</v>
      </c>
      <c r="Q196" s="98">
        <f t="shared" si="181"/>
        <v>108690.45</v>
      </c>
      <c r="R196" s="98">
        <f t="shared" si="182"/>
        <v>143799</v>
      </c>
      <c r="S196" s="129">
        <f t="shared" si="183"/>
        <v>35108.550000000003</v>
      </c>
      <c r="T196" s="199" t="str">
        <f>+Bonus!T196</f>
        <v>2025</v>
      </c>
      <c r="U196" s="199" t="str">
        <f>+Bonus!U196</f>
        <v>2025</v>
      </c>
      <c r="V196" s="199" t="str">
        <f>+Bonus!V196</f>
        <v>&lt; 250k</v>
      </c>
      <c r="W196" s="98"/>
      <c r="X196" s="33"/>
      <c r="Y196" s="180"/>
      <c r="Z196" s="98"/>
      <c r="AA196" s="214"/>
      <c r="AB196" s="214"/>
      <c r="AC196" s="64"/>
    </row>
    <row r="197" spans="1:29" s="57" customFormat="1" ht="13.5" customHeight="1">
      <c r="A197" s="259">
        <f>+Bonus!A197</f>
        <v>54.938299999999998</v>
      </c>
      <c r="B197" s="82" t="str">
        <f>+Bonus!B197</f>
        <v>Semitropic Water Storage Dist. - Amendment No. 19 Operate 300 CFS RWPP 2025</v>
      </c>
      <c r="C197" s="227">
        <f>+Bonus!C197</f>
        <v>17542.439999999999</v>
      </c>
      <c r="D197" s="63">
        <f>+Bonus!D197</f>
        <v>15759.76</v>
      </c>
      <c r="E197" s="63">
        <f>+Bonus!E197</f>
        <v>1782.6799999999985</v>
      </c>
      <c r="F197" s="218">
        <f>+Bonus!F197</f>
        <v>15759.76</v>
      </c>
      <c r="G197" s="182">
        <f t="shared" si="175"/>
        <v>1</v>
      </c>
      <c r="H197" s="98">
        <f t="shared" si="176"/>
        <v>1782.6799999999985</v>
      </c>
      <c r="I197" s="98">
        <f t="shared" si="177"/>
        <v>17542.439999999999</v>
      </c>
      <c r="J197" s="218">
        <f>+Bonus!J197</f>
        <v>17542.439999999999</v>
      </c>
      <c r="K197" s="98">
        <f t="shared" si="178"/>
        <v>0</v>
      </c>
      <c r="L197" s="98">
        <f t="shared" si="179"/>
        <v>0</v>
      </c>
      <c r="M197" s="98">
        <f t="shared" si="180"/>
        <v>0</v>
      </c>
      <c r="N197" s="218">
        <f>Bonus!N197</f>
        <v>0</v>
      </c>
      <c r="O197" s="218">
        <f>Bonus!O197</f>
        <v>0</v>
      </c>
      <c r="P197" s="154">
        <f>Bonus!W197</f>
        <v>0</v>
      </c>
      <c r="Q197" s="98">
        <f t="shared" si="181"/>
        <v>15759.76</v>
      </c>
      <c r="R197" s="98">
        <f t="shared" si="182"/>
        <v>17542.439999999999</v>
      </c>
      <c r="S197" s="129">
        <f t="shared" si="183"/>
        <v>1782.6799999999985</v>
      </c>
      <c r="T197" s="199" t="str">
        <f>+Bonus!T197</f>
        <v>2025</v>
      </c>
      <c r="U197" s="199" t="str">
        <f>+Bonus!U197</f>
        <v>2025</v>
      </c>
      <c r="V197" s="199" t="str">
        <f>+Bonus!V197</f>
        <v>&lt; 250k</v>
      </c>
      <c r="W197" s="98"/>
      <c r="X197" s="33"/>
      <c r="Y197" s="180"/>
      <c r="Z197" s="98"/>
      <c r="AA197" s="214"/>
      <c r="AB197" s="214"/>
      <c r="AC197" s="64"/>
    </row>
    <row r="198" spans="1:29" s="57" customFormat="1" ht="13.5" customHeight="1">
      <c r="A198" s="259">
        <f>+Bonus!A198</f>
        <v>54.938400000000001</v>
      </c>
      <c r="B198" s="82" t="str">
        <f>+Bonus!B198</f>
        <v>Shafter-Wasco Irrigation Dist. - 7th Street Pipe Repair</v>
      </c>
      <c r="C198" s="227">
        <f>+Bonus!C198</f>
        <v>79531.98</v>
      </c>
      <c r="D198" s="63">
        <f>+Bonus!D198</f>
        <v>70340.570000000007</v>
      </c>
      <c r="E198" s="63">
        <f>+Bonus!E198</f>
        <v>9191.4099999999889</v>
      </c>
      <c r="F198" s="218">
        <f>+Bonus!F198</f>
        <v>70340.570000000007</v>
      </c>
      <c r="G198" s="182">
        <f t="shared" si="175"/>
        <v>1</v>
      </c>
      <c r="H198" s="98">
        <f t="shared" si="176"/>
        <v>9191.4099999999889</v>
      </c>
      <c r="I198" s="98">
        <f t="shared" si="177"/>
        <v>79531.98</v>
      </c>
      <c r="J198" s="218">
        <f>+Bonus!J198</f>
        <v>79531.98</v>
      </c>
      <c r="K198" s="98">
        <f t="shared" si="178"/>
        <v>0</v>
      </c>
      <c r="L198" s="98">
        <f t="shared" si="179"/>
        <v>0</v>
      </c>
      <c r="M198" s="98">
        <f t="shared" si="180"/>
        <v>0</v>
      </c>
      <c r="N198" s="218">
        <f>Bonus!N198</f>
        <v>0</v>
      </c>
      <c r="O198" s="218">
        <f>Bonus!O198</f>
        <v>0</v>
      </c>
      <c r="P198" s="154">
        <f>Bonus!W198</f>
        <v>0</v>
      </c>
      <c r="Q198" s="98">
        <f t="shared" si="181"/>
        <v>70340.570000000007</v>
      </c>
      <c r="R198" s="98">
        <f t="shared" si="182"/>
        <v>79531.98</v>
      </c>
      <c r="S198" s="129">
        <f t="shared" si="183"/>
        <v>9191.4099999999889</v>
      </c>
      <c r="T198" s="199" t="str">
        <f>+Bonus!T198</f>
        <v>2025</v>
      </c>
      <c r="U198" s="199" t="str">
        <f>+Bonus!U198</f>
        <v>2025</v>
      </c>
      <c r="V198" s="199" t="str">
        <f>+Bonus!V198</f>
        <v>&lt; 250k</v>
      </c>
      <c r="W198" s="98"/>
      <c r="X198" s="33"/>
      <c r="Y198" s="180"/>
      <c r="Z198" s="98"/>
      <c r="AA198" s="214"/>
      <c r="AB198" s="214"/>
      <c r="AC198" s="64"/>
    </row>
    <row r="199" spans="1:29" s="57" customFormat="1" ht="13.5" customHeight="1">
      <c r="A199" s="259">
        <f>+Bonus!A199</f>
        <v>54.938499999999998</v>
      </c>
      <c r="B199" s="82" t="str">
        <f>+Bonus!B199</f>
        <v>Westside Water Authority - Pump Station A - Electrical Controls and Civil</v>
      </c>
      <c r="C199" s="227">
        <f>+Bonus!C199</f>
        <v>102913.84</v>
      </c>
      <c r="D199" s="63">
        <f>+Bonus!D199</f>
        <v>98598.77</v>
      </c>
      <c r="E199" s="63">
        <f>+Bonus!E199</f>
        <v>4315.0699999999924</v>
      </c>
      <c r="F199" s="218">
        <f>+Bonus!F199</f>
        <v>98598.77</v>
      </c>
      <c r="G199" s="182">
        <f t="shared" si="175"/>
        <v>1</v>
      </c>
      <c r="H199" s="98">
        <f t="shared" si="176"/>
        <v>4315.0699999999924</v>
      </c>
      <c r="I199" s="98">
        <f t="shared" si="177"/>
        <v>102913.84</v>
      </c>
      <c r="J199" s="218">
        <f>+Bonus!J199</f>
        <v>102913.84</v>
      </c>
      <c r="K199" s="98">
        <f t="shared" si="178"/>
        <v>0</v>
      </c>
      <c r="L199" s="98">
        <f t="shared" si="179"/>
        <v>0</v>
      </c>
      <c r="M199" s="98">
        <f t="shared" si="180"/>
        <v>0</v>
      </c>
      <c r="N199" s="218">
        <f>Bonus!N199</f>
        <v>0</v>
      </c>
      <c r="O199" s="218">
        <f>Bonus!O199</f>
        <v>0</v>
      </c>
      <c r="P199" s="154">
        <f>Bonus!W199</f>
        <v>0</v>
      </c>
      <c r="Q199" s="98">
        <f t="shared" si="181"/>
        <v>98598.77</v>
      </c>
      <c r="R199" s="98">
        <f t="shared" si="182"/>
        <v>102913.84</v>
      </c>
      <c r="S199" s="129">
        <f t="shared" si="183"/>
        <v>4315.0699999999924</v>
      </c>
      <c r="T199" s="199" t="str">
        <f>+Bonus!T199</f>
        <v>2025</v>
      </c>
      <c r="U199" s="199" t="str">
        <f>+Bonus!U199</f>
        <v>2025</v>
      </c>
      <c r="V199" s="199" t="str">
        <f>+Bonus!V199</f>
        <v>&lt; 250k</v>
      </c>
      <c r="W199" s="98"/>
      <c r="X199" s="33"/>
      <c r="Y199" s="180"/>
      <c r="Z199" s="98"/>
      <c r="AA199" s="214"/>
      <c r="AB199" s="214"/>
      <c r="AC199" s="64"/>
    </row>
    <row r="200" spans="1:29" s="57" customFormat="1" ht="13.5" customHeight="1">
      <c r="A200" s="259">
        <f>+Bonus!A200</f>
        <v>54.938600000000001</v>
      </c>
      <c r="B200" s="82" t="str">
        <f>+Bonus!B200</f>
        <v>Kern Valley State Prison - Arsenic Pipe Leak Repair</v>
      </c>
      <c r="C200" s="227">
        <f>+Bonus!C200</f>
        <v>96086</v>
      </c>
      <c r="D200" s="63">
        <f>+Bonus!D200</f>
        <v>75784.739999999991</v>
      </c>
      <c r="E200" s="63">
        <f>+Bonus!E200</f>
        <v>20301.260000000009</v>
      </c>
      <c r="F200" s="218">
        <f>+Bonus!F200</f>
        <v>75784.739999999991</v>
      </c>
      <c r="G200" s="182">
        <f t="shared" si="175"/>
        <v>1</v>
      </c>
      <c r="H200" s="98">
        <f t="shared" si="176"/>
        <v>20301.260000000009</v>
      </c>
      <c r="I200" s="98">
        <f t="shared" si="177"/>
        <v>96086</v>
      </c>
      <c r="J200" s="218">
        <f>+Bonus!J200</f>
        <v>96086</v>
      </c>
      <c r="K200" s="98">
        <f t="shared" si="178"/>
        <v>0</v>
      </c>
      <c r="L200" s="98">
        <f t="shared" si="179"/>
        <v>0</v>
      </c>
      <c r="M200" s="98">
        <f t="shared" si="180"/>
        <v>0</v>
      </c>
      <c r="N200" s="218">
        <f>Bonus!N200</f>
        <v>0</v>
      </c>
      <c r="O200" s="218">
        <f>Bonus!O200</f>
        <v>0</v>
      </c>
      <c r="P200" s="154">
        <f>Bonus!W200</f>
        <v>0</v>
      </c>
      <c r="Q200" s="98">
        <f t="shared" si="181"/>
        <v>75784.739999999991</v>
      </c>
      <c r="R200" s="98">
        <f t="shared" si="182"/>
        <v>96086</v>
      </c>
      <c r="S200" s="129">
        <f t="shared" si="183"/>
        <v>20301.260000000009</v>
      </c>
      <c r="T200" s="199" t="str">
        <f>+Bonus!T200</f>
        <v>2025</v>
      </c>
      <c r="U200" s="199" t="str">
        <f>+Bonus!U200</f>
        <v>2025</v>
      </c>
      <c r="V200" s="199" t="str">
        <f>+Bonus!V200</f>
        <v>&lt; 250k</v>
      </c>
      <c r="W200" s="98"/>
      <c r="X200" s="33"/>
      <c r="Y200" s="180"/>
      <c r="Z200" s="98"/>
      <c r="AA200" s="214"/>
      <c r="AB200" s="214"/>
      <c r="AC200" s="64"/>
    </row>
    <row r="201" spans="1:29" s="57" customFormat="1" ht="13.5" customHeight="1">
      <c r="A201" s="259">
        <f>+Bonus!A201</f>
        <v>54.938699999999997</v>
      </c>
      <c r="B201" s="82" t="str">
        <f>+Bonus!B201</f>
        <v>City of Santa Maria - Santa Maria WWTP Digester Pipe Modifications</v>
      </c>
      <c r="C201" s="227">
        <f>+Bonus!C201</f>
        <v>22619.54</v>
      </c>
      <c r="D201" s="63">
        <f>+Bonus!D201</f>
        <v>19011.650000000001</v>
      </c>
      <c r="E201" s="63">
        <f>+Bonus!E201</f>
        <v>3607.8899999999994</v>
      </c>
      <c r="F201" s="218">
        <f>+Bonus!F201</f>
        <v>19011.650000000001</v>
      </c>
      <c r="G201" s="182">
        <f t="shared" si="175"/>
        <v>1</v>
      </c>
      <c r="H201" s="98">
        <f t="shared" si="176"/>
        <v>3607.8899999999994</v>
      </c>
      <c r="I201" s="98">
        <f t="shared" si="177"/>
        <v>22619.54</v>
      </c>
      <c r="J201" s="218">
        <f>+Bonus!J201</f>
        <v>22619.54</v>
      </c>
      <c r="K201" s="98">
        <f t="shared" si="178"/>
        <v>0</v>
      </c>
      <c r="L201" s="98">
        <f t="shared" si="179"/>
        <v>0</v>
      </c>
      <c r="M201" s="98">
        <f t="shared" si="180"/>
        <v>0</v>
      </c>
      <c r="N201" s="218">
        <f>Bonus!N201</f>
        <v>0</v>
      </c>
      <c r="O201" s="218">
        <f>Bonus!O201</f>
        <v>0</v>
      </c>
      <c r="P201" s="154">
        <f>Bonus!W201</f>
        <v>0</v>
      </c>
      <c r="Q201" s="98">
        <f t="shared" si="181"/>
        <v>19011.650000000001</v>
      </c>
      <c r="R201" s="98">
        <f t="shared" si="182"/>
        <v>22619.54</v>
      </c>
      <c r="S201" s="129">
        <f t="shared" si="183"/>
        <v>3607.8899999999994</v>
      </c>
      <c r="T201" s="199" t="str">
        <f>+Bonus!T201</f>
        <v>2025</v>
      </c>
      <c r="U201" s="199" t="str">
        <f>+Bonus!U201</f>
        <v>2025</v>
      </c>
      <c r="V201" s="199" t="str">
        <f>+Bonus!V201</f>
        <v>&lt; 250k</v>
      </c>
      <c r="W201" s="98"/>
      <c r="X201" s="33"/>
      <c r="Y201" s="180"/>
      <c r="Z201" s="98"/>
      <c r="AA201" s="214"/>
      <c r="AB201" s="214"/>
      <c r="AC201" s="64"/>
    </row>
    <row r="202" spans="1:29" s="57" customFormat="1" ht="13.5" customHeight="1">
      <c r="A202" s="259">
        <f>+Bonus!A202</f>
        <v>54.938800000000001</v>
      </c>
      <c r="B202" s="82" t="str">
        <f>+Bonus!B202</f>
        <v>Arvin Edison Water Storage Dist. - Tejon Spreading Ground Pipe Installation</v>
      </c>
      <c r="C202" s="227">
        <f>+Bonus!C202</f>
        <v>7454.07</v>
      </c>
      <c r="D202" s="63">
        <f>+Bonus!D202</f>
        <v>6535.41</v>
      </c>
      <c r="E202" s="63">
        <f>+Bonus!E202</f>
        <v>918.65999999999985</v>
      </c>
      <c r="F202" s="218">
        <f>+Bonus!F202</f>
        <v>6535.41</v>
      </c>
      <c r="G202" s="182">
        <f t="shared" si="175"/>
        <v>1</v>
      </c>
      <c r="H202" s="98">
        <f t="shared" si="176"/>
        <v>918.65999999999985</v>
      </c>
      <c r="I202" s="98">
        <f t="shared" si="177"/>
        <v>7454.07</v>
      </c>
      <c r="J202" s="218">
        <f>+Bonus!J202</f>
        <v>7454.07</v>
      </c>
      <c r="K202" s="98">
        <f t="shared" si="178"/>
        <v>0</v>
      </c>
      <c r="L202" s="98">
        <f t="shared" si="179"/>
        <v>0</v>
      </c>
      <c r="M202" s="98">
        <f t="shared" si="180"/>
        <v>0</v>
      </c>
      <c r="N202" s="218">
        <f>Bonus!N202</f>
        <v>0</v>
      </c>
      <c r="O202" s="218">
        <f>Bonus!O202</f>
        <v>0</v>
      </c>
      <c r="P202" s="154">
        <f>Bonus!W202</f>
        <v>0</v>
      </c>
      <c r="Q202" s="98">
        <f t="shared" si="181"/>
        <v>6535.41</v>
      </c>
      <c r="R202" s="98">
        <f t="shared" si="182"/>
        <v>7454.07</v>
      </c>
      <c r="S202" s="129">
        <f t="shared" si="183"/>
        <v>918.65999999999985</v>
      </c>
      <c r="T202" s="199" t="str">
        <f>+Bonus!T202</f>
        <v>2025</v>
      </c>
      <c r="U202" s="199" t="str">
        <f>+Bonus!U202</f>
        <v>2025</v>
      </c>
      <c r="V202" s="199" t="str">
        <f>+Bonus!V202</f>
        <v>&lt; 250k</v>
      </c>
      <c r="W202" s="98"/>
      <c r="X202" s="33"/>
      <c r="Y202" s="180"/>
      <c r="Z202" s="98"/>
      <c r="AA202" s="214"/>
      <c r="AB202" s="214"/>
      <c r="AC202" s="64"/>
    </row>
    <row r="203" spans="1:29" s="57" customFormat="1" ht="13.5" customHeight="1">
      <c r="A203" s="259">
        <f>+Bonus!A203</f>
        <v>54.939</v>
      </c>
      <c r="B203" s="82" t="str">
        <f>+Bonus!B203</f>
        <v>Arvin Edison Water Storage Dist. - Bar Screen Concrete Collection Pads</v>
      </c>
      <c r="C203" s="227">
        <f>+Bonus!C203</f>
        <v>101491.67</v>
      </c>
      <c r="D203" s="63">
        <f>+Bonus!D203</f>
        <v>96329.49</v>
      </c>
      <c r="E203" s="63">
        <f>+Bonus!E203</f>
        <v>5162.179999999993</v>
      </c>
      <c r="F203" s="218">
        <f>+Bonus!F203</f>
        <v>96329.49</v>
      </c>
      <c r="G203" s="182">
        <f t="shared" si="175"/>
        <v>1</v>
      </c>
      <c r="H203" s="98">
        <f t="shared" si="176"/>
        <v>5162.179999999993</v>
      </c>
      <c r="I203" s="98">
        <f t="shared" si="177"/>
        <v>101491.67</v>
      </c>
      <c r="J203" s="218">
        <f>+Bonus!J203</f>
        <v>101491.67</v>
      </c>
      <c r="K203" s="98">
        <f t="shared" si="178"/>
        <v>0</v>
      </c>
      <c r="L203" s="98">
        <f t="shared" si="179"/>
        <v>0</v>
      </c>
      <c r="M203" s="98">
        <f t="shared" si="180"/>
        <v>0</v>
      </c>
      <c r="N203" s="218">
        <f>Bonus!N203</f>
        <v>0</v>
      </c>
      <c r="O203" s="218">
        <f>Bonus!O203</f>
        <v>0</v>
      </c>
      <c r="P203" s="154">
        <f>Bonus!W203</f>
        <v>0</v>
      </c>
      <c r="Q203" s="98">
        <f t="shared" si="181"/>
        <v>96329.49</v>
      </c>
      <c r="R203" s="98">
        <f t="shared" si="182"/>
        <v>101491.67</v>
      </c>
      <c r="S203" s="129">
        <f t="shared" si="183"/>
        <v>5162.179999999993</v>
      </c>
      <c r="T203" s="199" t="str">
        <f>+Bonus!T203</f>
        <v>2025</v>
      </c>
      <c r="U203" s="199" t="str">
        <f>+Bonus!U203</f>
        <v>2025</v>
      </c>
      <c r="V203" s="199" t="str">
        <f>+Bonus!V203</f>
        <v>&lt; 250k</v>
      </c>
      <c r="W203" s="98"/>
      <c r="X203" s="33"/>
      <c r="Y203" s="180"/>
      <c r="Z203" s="98"/>
      <c r="AA203" s="214"/>
      <c r="AB203" s="214"/>
      <c r="AC203" s="64"/>
    </row>
    <row r="204" spans="1:29" s="57" customFormat="1" ht="13.5" customHeight="1">
      <c r="A204" s="259">
        <f>+Bonus!A204</f>
        <v>54.9392</v>
      </c>
      <c r="B204" s="82" t="str">
        <f>+Bonus!B204</f>
        <v>Arvin Edison Water Storage Dist. - Tejon Spreading Grounds Basin Repairs</v>
      </c>
      <c r="C204" s="227">
        <f>+Bonus!C204</f>
        <v>217648.89</v>
      </c>
      <c r="D204" s="63">
        <f>+Bonus!D204</f>
        <v>208346.69</v>
      </c>
      <c r="E204" s="63">
        <f>+Bonus!E204</f>
        <v>9302.2000000000116</v>
      </c>
      <c r="F204" s="218">
        <f>+Bonus!F204</f>
        <v>208346.69</v>
      </c>
      <c r="G204" s="182">
        <f t="shared" si="175"/>
        <v>1</v>
      </c>
      <c r="H204" s="98">
        <f t="shared" si="176"/>
        <v>9302.2000000000116</v>
      </c>
      <c r="I204" s="98">
        <f t="shared" si="177"/>
        <v>217648.89</v>
      </c>
      <c r="J204" s="218">
        <f>+Bonus!J204</f>
        <v>217648.89</v>
      </c>
      <c r="K204" s="98">
        <f t="shared" si="178"/>
        <v>0</v>
      </c>
      <c r="L204" s="98">
        <f t="shared" si="179"/>
        <v>0</v>
      </c>
      <c r="M204" s="98">
        <f t="shared" si="180"/>
        <v>0</v>
      </c>
      <c r="N204" s="218">
        <f>Bonus!N204</f>
        <v>0</v>
      </c>
      <c r="O204" s="218">
        <f>Bonus!O204</f>
        <v>0</v>
      </c>
      <c r="P204" s="154">
        <f>Bonus!W204</f>
        <v>0</v>
      </c>
      <c r="Q204" s="98">
        <f t="shared" si="181"/>
        <v>208346.69</v>
      </c>
      <c r="R204" s="98">
        <f t="shared" si="182"/>
        <v>217648.89</v>
      </c>
      <c r="S204" s="129">
        <f t="shared" si="183"/>
        <v>9302.2000000000116</v>
      </c>
      <c r="T204" s="199" t="str">
        <f>+Bonus!T204</f>
        <v>2025</v>
      </c>
      <c r="U204" s="199" t="str">
        <f>+Bonus!U204</f>
        <v>2025</v>
      </c>
      <c r="V204" s="199" t="str">
        <f>+Bonus!V204</f>
        <v>&lt; 250k</v>
      </c>
      <c r="W204" s="98"/>
      <c r="X204" s="33"/>
      <c r="Y204" s="180"/>
      <c r="Z204" s="98"/>
      <c r="AA204" s="214"/>
      <c r="AB204" s="214"/>
      <c r="AC204" s="64"/>
    </row>
    <row r="205" spans="1:29" s="57" customFormat="1" ht="13.5" customHeight="1">
      <c r="A205" s="259">
        <f>+Bonus!A205</f>
        <v>54.939300000000003</v>
      </c>
      <c r="B205" s="82" t="str">
        <f>+Bonus!B205</f>
        <v>East Niles Community Service Dist. - Freeway Tank and College Ave Repairs</v>
      </c>
      <c r="C205" s="227">
        <f>+Bonus!C205</f>
        <v>31523.02</v>
      </c>
      <c r="D205" s="63">
        <f>+Bonus!D205</f>
        <v>27539.820000000003</v>
      </c>
      <c r="E205" s="63">
        <f>+Bonus!E205</f>
        <v>3983.1999999999971</v>
      </c>
      <c r="F205" s="218">
        <f>+Bonus!F205</f>
        <v>27539.820000000003</v>
      </c>
      <c r="G205" s="182">
        <f t="shared" si="175"/>
        <v>1</v>
      </c>
      <c r="H205" s="98">
        <f t="shared" si="176"/>
        <v>3983.1999999999971</v>
      </c>
      <c r="I205" s="98">
        <f t="shared" si="177"/>
        <v>31523.02</v>
      </c>
      <c r="J205" s="218">
        <f>+Bonus!J205</f>
        <v>31523.02</v>
      </c>
      <c r="K205" s="98">
        <f t="shared" si="178"/>
        <v>0</v>
      </c>
      <c r="L205" s="98">
        <f t="shared" si="179"/>
        <v>0</v>
      </c>
      <c r="M205" s="98">
        <f t="shared" si="180"/>
        <v>0</v>
      </c>
      <c r="N205" s="218">
        <f>Bonus!N205</f>
        <v>0</v>
      </c>
      <c r="O205" s="218">
        <f>Bonus!O205</f>
        <v>0</v>
      </c>
      <c r="P205" s="154">
        <f>Bonus!W205</f>
        <v>0</v>
      </c>
      <c r="Q205" s="98">
        <f t="shared" si="181"/>
        <v>27539.820000000003</v>
      </c>
      <c r="R205" s="98">
        <f t="shared" si="182"/>
        <v>31523.02</v>
      </c>
      <c r="S205" s="129">
        <f t="shared" si="183"/>
        <v>3983.1999999999971</v>
      </c>
      <c r="T205" s="199" t="str">
        <f>+Bonus!T205</f>
        <v>2025</v>
      </c>
      <c r="U205" s="199" t="str">
        <f>+Bonus!U205</f>
        <v>2025</v>
      </c>
      <c r="V205" s="199" t="str">
        <f>+Bonus!V205</f>
        <v>&lt; 250k</v>
      </c>
      <c r="W205" s="98"/>
      <c r="X205" s="33"/>
      <c r="Y205" s="180"/>
      <c r="Z205" s="98"/>
      <c r="AA205" s="214"/>
      <c r="AB205" s="214"/>
      <c r="AC205" s="64"/>
    </row>
    <row r="206" spans="1:29" s="57" customFormat="1" ht="13.5" customHeight="1">
      <c r="A206" s="259">
        <f>+Bonus!A206</f>
        <v>54.939399999999999</v>
      </c>
      <c r="B206" s="82" t="str">
        <f>+Bonus!B206</f>
        <v>City of Arvin - Haven Drive Lateral Repair</v>
      </c>
      <c r="C206" s="227">
        <f>+Bonus!C206</f>
        <v>15966.99</v>
      </c>
      <c r="D206" s="63">
        <f>+Bonus!D206</f>
        <v>14039.55</v>
      </c>
      <c r="E206" s="63">
        <f>+Bonus!E206</f>
        <v>1927.4400000000005</v>
      </c>
      <c r="F206" s="218">
        <f>+Bonus!F206</f>
        <v>14039.55</v>
      </c>
      <c r="G206" s="182">
        <f t="shared" si="175"/>
        <v>1</v>
      </c>
      <c r="H206" s="98">
        <f t="shared" si="176"/>
        <v>1927.4400000000005</v>
      </c>
      <c r="I206" s="98">
        <f t="shared" si="177"/>
        <v>15966.99</v>
      </c>
      <c r="J206" s="218">
        <f>+Bonus!J206</f>
        <v>15966.99</v>
      </c>
      <c r="K206" s="98">
        <f t="shared" si="178"/>
        <v>0</v>
      </c>
      <c r="L206" s="98">
        <f t="shared" si="179"/>
        <v>0</v>
      </c>
      <c r="M206" s="98">
        <f t="shared" si="180"/>
        <v>0</v>
      </c>
      <c r="N206" s="218">
        <f>Bonus!N206</f>
        <v>0</v>
      </c>
      <c r="O206" s="218">
        <f>Bonus!O206</f>
        <v>0</v>
      </c>
      <c r="P206" s="154">
        <f>Bonus!W206</f>
        <v>0</v>
      </c>
      <c r="Q206" s="98">
        <f t="shared" si="181"/>
        <v>14039.55</v>
      </c>
      <c r="R206" s="98">
        <f t="shared" si="182"/>
        <v>15966.99</v>
      </c>
      <c r="S206" s="129">
        <f t="shared" si="183"/>
        <v>1927.4400000000005</v>
      </c>
      <c r="T206" s="199" t="str">
        <f>+Bonus!T206</f>
        <v>2025</v>
      </c>
      <c r="U206" s="199" t="str">
        <f>+Bonus!U206</f>
        <v>2025</v>
      </c>
      <c r="V206" s="199" t="str">
        <f>+Bonus!V206</f>
        <v>&lt; 250k</v>
      </c>
      <c r="W206" s="98"/>
      <c r="X206" s="33"/>
      <c r="Y206" s="180"/>
      <c r="Z206" s="98"/>
      <c r="AA206" s="214"/>
      <c r="AB206" s="214"/>
      <c r="AC206" s="64"/>
    </row>
    <row r="207" spans="1:29" s="57" customFormat="1" ht="13.5" customHeight="1">
      <c r="A207" s="259">
        <f>+Bonus!A207</f>
        <v>54.939799999999998</v>
      </c>
      <c r="B207" s="82" t="str">
        <f>+Bonus!B207</f>
        <v>County of Santa Barbara Public Works - Laguna CSD  - C-Channel Installation</v>
      </c>
      <c r="C207" s="227">
        <f>+Bonus!C207</f>
        <v>14300</v>
      </c>
      <c r="D207" s="63">
        <f>+Bonus!D207</f>
        <v>8192.7900000000009</v>
      </c>
      <c r="E207" s="63">
        <f>+Bonus!E207</f>
        <v>6107.2099999999991</v>
      </c>
      <c r="F207" s="218">
        <f>+Bonus!F207</f>
        <v>8192.7900000000009</v>
      </c>
      <c r="G207" s="182">
        <f t="shared" si="175"/>
        <v>1</v>
      </c>
      <c r="H207" s="98">
        <f t="shared" si="176"/>
        <v>6107.2099999999991</v>
      </c>
      <c r="I207" s="98">
        <f t="shared" si="177"/>
        <v>14300</v>
      </c>
      <c r="J207" s="218">
        <f>+Bonus!J207</f>
        <v>14300</v>
      </c>
      <c r="K207" s="98">
        <f t="shared" si="178"/>
        <v>0</v>
      </c>
      <c r="L207" s="98">
        <f t="shared" si="179"/>
        <v>0</v>
      </c>
      <c r="M207" s="98">
        <f t="shared" si="180"/>
        <v>0</v>
      </c>
      <c r="N207" s="218">
        <f>Bonus!N207</f>
        <v>0</v>
      </c>
      <c r="O207" s="218">
        <f>Bonus!O207</f>
        <v>0</v>
      </c>
      <c r="P207" s="154">
        <f>Bonus!W207</f>
        <v>0</v>
      </c>
      <c r="Q207" s="98">
        <f t="shared" si="181"/>
        <v>8192.7900000000009</v>
      </c>
      <c r="R207" s="98">
        <f t="shared" si="182"/>
        <v>14300</v>
      </c>
      <c r="S207" s="129">
        <f t="shared" si="183"/>
        <v>6107.2099999999991</v>
      </c>
      <c r="T207" s="199" t="str">
        <f>+Bonus!T207</f>
        <v>2025</v>
      </c>
      <c r="U207" s="199" t="str">
        <f>+Bonus!U207</f>
        <v>2025</v>
      </c>
      <c r="V207" s="199" t="str">
        <f>+Bonus!V207</f>
        <v>&lt; 250k</v>
      </c>
      <c r="W207" s="98"/>
      <c r="X207" s="33"/>
      <c r="Y207" s="180"/>
      <c r="Z207" s="98"/>
      <c r="AA207" s="214"/>
      <c r="AB207" s="214"/>
      <c r="AC207" s="64"/>
    </row>
    <row r="208" spans="1:29" s="57" customFormat="1" ht="13.5" customHeight="1">
      <c r="A208" s="259">
        <f>+Bonus!A208</f>
        <v>54.939900000000002</v>
      </c>
      <c r="B208" s="82" t="str">
        <f>+Bonus!B208</f>
        <v>City of Atascadero - Atascadero Lift Station 6 Pipe Replacement</v>
      </c>
      <c r="C208" s="227">
        <f>+Bonus!C208</f>
        <v>24775</v>
      </c>
      <c r="D208" s="63">
        <f>+Bonus!D208</f>
        <v>11291.59</v>
      </c>
      <c r="E208" s="63">
        <f>+Bonus!E208</f>
        <v>13483.41</v>
      </c>
      <c r="F208" s="218">
        <f>+Bonus!F208</f>
        <v>11291.59</v>
      </c>
      <c r="G208" s="182">
        <f t="shared" si="175"/>
        <v>1</v>
      </c>
      <c r="H208" s="98">
        <f t="shared" si="176"/>
        <v>13483.41</v>
      </c>
      <c r="I208" s="98">
        <f t="shared" si="177"/>
        <v>24775</v>
      </c>
      <c r="J208" s="218">
        <f>+Bonus!J208</f>
        <v>24775</v>
      </c>
      <c r="K208" s="98">
        <f t="shared" si="178"/>
        <v>0</v>
      </c>
      <c r="L208" s="98">
        <f t="shared" si="179"/>
        <v>0</v>
      </c>
      <c r="M208" s="98">
        <f t="shared" si="180"/>
        <v>0</v>
      </c>
      <c r="N208" s="218">
        <f>Bonus!N208</f>
        <v>0</v>
      </c>
      <c r="O208" s="218">
        <f>Bonus!O208</f>
        <v>0</v>
      </c>
      <c r="P208" s="154">
        <f>Bonus!W208</f>
        <v>0</v>
      </c>
      <c r="Q208" s="98">
        <f t="shared" si="181"/>
        <v>11291.59</v>
      </c>
      <c r="R208" s="98">
        <f t="shared" si="182"/>
        <v>24775</v>
      </c>
      <c r="S208" s="129">
        <f t="shared" si="183"/>
        <v>13483.41</v>
      </c>
      <c r="T208" s="199" t="str">
        <f>+Bonus!T208</f>
        <v>2025</v>
      </c>
      <c r="U208" s="199" t="str">
        <f>+Bonus!U208</f>
        <v>2025</v>
      </c>
      <c r="V208" s="199" t="str">
        <f>+Bonus!V208</f>
        <v>&lt; 250k</v>
      </c>
      <c r="W208" s="98"/>
      <c r="X208" s="33"/>
      <c r="Y208" s="180"/>
      <c r="Z208" s="98"/>
      <c r="AA208" s="214"/>
      <c r="AB208" s="214"/>
      <c r="AC208" s="64"/>
    </row>
    <row r="209" spans="1:29" s="57" customFormat="1" ht="13.5" customHeight="1">
      <c r="A209" s="259">
        <f>+Bonus!A209</f>
        <v>54.94</v>
      </c>
      <c r="B209" s="82" t="str">
        <f>+Bonus!B209</f>
        <v>Arvin Edison Water Storage Dist. - FFPP Core Drilling</v>
      </c>
      <c r="C209" s="227">
        <f>+Bonus!C209</f>
        <v>800.69</v>
      </c>
      <c r="D209" s="63">
        <f>+Bonus!D209</f>
        <v>771.32</v>
      </c>
      <c r="E209" s="63">
        <f>+Bonus!E209</f>
        <v>29.370000000000005</v>
      </c>
      <c r="F209" s="218">
        <f>+Bonus!F209</f>
        <v>771.32</v>
      </c>
      <c r="G209" s="182">
        <f t="shared" si="175"/>
        <v>1</v>
      </c>
      <c r="H209" s="98">
        <f t="shared" si="176"/>
        <v>29.370000000000005</v>
      </c>
      <c r="I209" s="98">
        <f t="shared" si="177"/>
        <v>800.69</v>
      </c>
      <c r="J209" s="218">
        <f>+Bonus!J209</f>
        <v>800.69</v>
      </c>
      <c r="K209" s="98">
        <f t="shared" si="178"/>
        <v>0</v>
      </c>
      <c r="L209" s="98">
        <f t="shared" si="179"/>
        <v>0</v>
      </c>
      <c r="M209" s="98">
        <f t="shared" si="180"/>
        <v>0</v>
      </c>
      <c r="N209" s="218">
        <f>Bonus!N209</f>
        <v>0</v>
      </c>
      <c r="O209" s="218">
        <f>Bonus!O209</f>
        <v>0</v>
      </c>
      <c r="P209" s="154">
        <f>Bonus!W209</f>
        <v>0</v>
      </c>
      <c r="Q209" s="98">
        <f t="shared" si="181"/>
        <v>771.32</v>
      </c>
      <c r="R209" s="98">
        <f t="shared" si="182"/>
        <v>800.69</v>
      </c>
      <c r="S209" s="129">
        <f t="shared" si="183"/>
        <v>29.370000000000005</v>
      </c>
      <c r="T209" s="199" t="str">
        <f>+Bonus!T209</f>
        <v>2025</v>
      </c>
      <c r="U209" s="199" t="str">
        <f>+Bonus!U209</f>
        <v>2025</v>
      </c>
      <c r="V209" s="199" t="str">
        <f>+Bonus!V209</f>
        <v>&lt; 250k</v>
      </c>
      <c r="W209" s="98"/>
      <c r="X209" s="33"/>
      <c r="Y209" s="180"/>
      <c r="Z209" s="98"/>
      <c r="AA209" s="214"/>
      <c r="AB209" s="214"/>
      <c r="AC209" s="64"/>
    </row>
    <row r="210" spans="1:29" s="57" customFormat="1" ht="13.5" customHeight="1">
      <c r="A210" s="259">
        <f>+Bonus!A210</f>
        <v>54.940100000000001</v>
      </c>
      <c r="B210" s="82" t="str">
        <f>+Bonus!B210</f>
        <v>Arvin Edison Water Storage Dist. - FFPP Modernization Concrete R&amp;R</v>
      </c>
      <c r="C210" s="227">
        <f>+Bonus!C210</f>
        <v>247539.61</v>
      </c>
      <c r="D210" s="63">
        <f>+Bonus!D210</f>
        <v>236312.57</v>
      </c>
      <c r="E210" s="63">
        <f>+Bonus!E210</f>
        <v>11227.039999999979</v>
      </c>
      <c r="F210" s="218">
        <f>+Bonus!F210</f>
        <v>236312.57</v>
      </c>
      <c r="G210" s="182">
        <f t="shared" si="175"/>
        <v>1</v>
      </c>
      <c r="H210" s="98">
        <f t="shared" si="176"/>
        <v>11227.039999999979</v>
      </c>
      <c r="I210" s="98">
        <f t="shared" si="177"/>
        <v>247539.61</v>
      </c>
      <c r="J210" s="218">
        <f>+Bonus!J210</f>
        <v>247539.61</v>
      </c>
      <c r="K210" s="98">
        <f t="shared" si="178"/>
        <v>0</v>
      </c>
      <c r="L210" s="98">
        <f t="shared" si="179"/>
        <v>0</v>
      </c>
      <c r="M210" s="98">
        <f t="shared" si="180"/>
        <v>0</v>
      </c>
      <c r="N210" s="218">
        <f>Bonus!N210</f>
        <v>0</v>
      </c>
      <c r="O210" s="218">
        <f>Bonus!O210</f>
        <v>0</v>
      </c>
      <c r="P210" s="154">
        <f>Bonus!W210</f>
        <v>0</v>
      </c>
      <c r="Q210" s="98">
        <f t="shared" si="181"/>
        <v>236312.57</v>
      </c>
      <c r="R210" s="98">
        <f t="shared" si="182"/>
        <v>247539.61</v>
      </c>
      <c r="S210" s="129">
        <f t="shared" si="183"/>
        <v>11227.039999999979</v>
      </c>
      <c r="T210" s="199" t="str">
        <f>+Bonus!T210</f>
        <v>2025</v>
      </c>
      <c r="U210" s="199" t="str">
        <f>+Bonus!U210</f>
        <v>2025</v>
      </c>
      <c r="V210" s="199" t="str">
        <f>+Bonus!V210</f>
        <v>&lt; 250k</v>
      </c>
      <c r="W210" s="98"/>
      <c r="X210" s="33"/>
      <c r="Y210" s="180"/>
      <c r="Z210" s="98"/>
      <c r="AA210" s="214"/>
      <c r="AB210" s="214"/>
      <c r="AC210" s="64"/>
    </row>
    <row r="211" spans="1:29" s="57" customFormat="1" ht="13.5" customHeight="1">
      <c r="A211" s="259">
        <f>+Bonus!A211</f>
        <v>54.9407</v>
      </c>
      <c r="B211" s="82" t="str">
        <f>+Bonus!B211</f>
        <v>Semitropic Water Storage Dist. - North Plant Emergency Repair</v>
      </c>
      <c r="C211" s="227">
        <f>+Bonus!C211</f>
        <v>31296.85</v>
      </c>
      <c r="D211" s="63">
        <f>+Bonus!D211</f>
        <v>25667.34</v>
      </c>
      <c r="E211" s="63">
        <f>+Bonus!E211</f>
        <v>5629.5099999999984</v>
      </c>
      <c r="F211" s="218">
        <f>+Bonus!F211</f>
        <v>25667.34</v>
      </c>
      <c r="G211" s="182">
        <f t="shared" si="175"/>
        <v>1</v>
      </c>
      <c r="H211" s="98">
        <f t="shared" si="176"/>
        <v>5629.5099999999984</v>
      </c>
      <c r="I211" s="98">
        <f t="shared" si="177"/>
        <v>31296.85</v>
      </c>
      <c r="J211" s="218">
        <f>+Bonus!J211</f>
        <v>31296.85</v>
      </c>
      <c r="K211" s="98">
        <f t="shared" si="178"/>
        <v>0</v>
      </c>
      <c r="L211" s="98">
        <f t="shared" si="179"/>
        <v>0</v>
      </c>
      <c r="M211" s="98">
        <f t="shared" si="180"/>
        <v>0</v>
      </c>
      <c r="N211" s="218">
        <f>Bonus!N211</f>
        <v>0</v>
      </c>
      <c r="O211" s="218">
        <f>Bonus!O211</f>
        <v>0</v>
      </c>
      <c r="P211" s="154">
        <f>Bonus!W211</f>
        <v>0</v>
      </c>
      <c r="Q211" s="98">
        <f t="shared" si="181"/>
        <v>25667.34</v>
      </c>
      <c r="R211" s="98">
        <f t="shared" si="182"/>
        <v>31296.85</v>
      </c>
      <c r="S211" s="129">
        <f t="shared" si="183"/>
        <v>5629.5099999999984</v>
      </c>
      <c r="T211" s="199" t="str">
        <f>+Bonus!T211</f>
        <v>2025</v>
      </c>
      <c r="U211" s="199" t="str">
        <f>+Bonus!U211</f>
        <v>2025</v>
      </c>
      <c r="V211" s="199" t="str">
        <f>+Bonus!V211</f>
        <v>&lt; 250k</v>
      </c>
      <c r="W211" s="98"/>
      <c r="X211" s="33"/>
      <c r="Y211" s="180"/>
      <c r="Z211" s="98"/>
      <c r="AA211" s="214"/>
      <c r="AB211" s="214"/>
      <c r="AC211" s="64"/>
    </row>
    <row r="212" spans="1:29" s="57" customFormat="1" ht="13.5" customHeight="1">
      <c r="A212" s="259">
        <f>+Bonus!A212</f>
        <v>54.940899999999999</v>
      </c>
      <c r="B212" s="82" t="str">
        <f>+Bonus!B212</f>
        <v xml:space="preserve">Nipomo CSD Osage Emergency Waterline Repair </v>
      </c>
      <c r="C212" s="227">
        <f>+Bonus!C212</f>
        <v>20123.71</v>
      </c>
      <c r="D212" s="63">
        <f>+Bonus!D212</f>
        <v>17411.71</v>
      </c>
      <c r="E212" s="63">
        <f>+Bonus!E212</f>
        <v>2712</v>
      </c>
      <c r="F212" s="218">
        <f>+Bonus!F212</f>
        <v>17411.71</v>
      </c>
      <c r="G212" s="182">
        <f t="shared" si="175"/>
        <v>1</v>
      </c>
      <c r="H212" s="98">
        <f t="shared" si="176"/>
        <v>2712</v>
      </c>
      <c r="I212" s="98">
        <f t="shared" si="177"/>
        <v>20123.71</v>
      </c>
      <c r="J212" s="218">
        <f>+Bonus!J212</f>
        <v>20123.71</v>
      </c>
      <c r="K212" s="98">
        <f t="shared" si="178"/>
        <v>0</v>
      </c>
      <c r="L212" s="98">
        <f t="shared" si="179"/>
        <v>0</v>
      </c>
      <c r="M212" s="98">
        <f t="shared" si="180"/>
        <v>0</v>
      </c>
      <c r="N212" s="218">
        <f>Bonus!N212</f>
        <v>0</v>
      </c>
      <c r="O212" s="218">
        <f>Bonus!O212</f>
        <v>0</v>
      </c>
      <c r="P212" s="154">
        <f>Bonus!W212</f>
        <v>0</v>
      </c>
      <c r="Q212" s="98">
        <f t="shared" si="181"/>
        <v>17411.71</v>
      </c>
      <c r="R212" s="98">
        <f t="shared" si="182"/>
        <v>20123.71</v>
      </c>
      <c r="S212" s="129">
        <f t="shared" si="183"/>
        <v>2712</v>
      </c>
      <c r="T212" s="199" t="str">
        <f>+Bonus!T212</f>
        <v>2025</v>
      </c>
      <c r="U212" s="199" t="str">
        <f>+Bonus!U212</f>
        <v>2025</v>
      </c>
      <c r="V212" s="199" t="str">
        <f>+Bonus!V212</f>
        <v>&lt; 250k</v>
      </c>
      <c r="W212" s="98"/>
      <c r="X212" s="33"/>
      <c r="Y212" s="180"/>
      <c r="Z212" s="98"/>
      <c r="AA212" s="214"/>
      <c r="AB212" s="214"/>
      <c r="AC212" s="64"/>
    </row>
    <row r="213" spans="1:29" s="57" customFormat="1" ht="13.5" customHeight="1">
      <c r="A213" s="259">
        <f>+Bonus!A213</f>
        <v>54.941000000000003</v>
      </c>
      <c r="B213" s="82" t="str">
        <f>+Bonus!B213</f>
        <v>SWID - Burbank St. Repair</v>
      </c>
      <c r="C213" s="227">
        <f>+Bonus!C213</f>
        <v>8241.5499999999993</v>
      </c>
      <c r="D213" s="63">
        <f>+Bonus!D213</f>
        <v>6965.65</v>
      </c>
      <c r="E213" s="63">
        <f>+Bonus!E213</f>
        <v>1275.8999999999996</v>
      </c>
      <c r="F213" s="218">
        <f>+Bonus!F213</f>
        <v>6965.65</v>
      </c>
      <c r="G213" s="182">
        <f t="shared" si="175"/>
        <v>1</v>
      </c>
      <c r="H213" s="98">
        <f t="shared" si="176"/>
        <v>1275.8999999999996</v>
      </c>
      <c r="I213" s="98">
        <f t="shared" si="177"/>
        <v>8241.5499999999993</v>
      </c>
      <c r="J213" s="218">
        <f>+Bonus!J213</f>
        <v>8241.5499999999993</v>
      </c>
      <c r="K213" s="98">
        <f t="shared" si="178"/>
        <v>0</v>
      </c>
      <c r="L213" s="98">
        <f t="shared" si="179"/>
        <v>0</v>
      </c>
      <c r="M213" s="98">
        <f t="shared" si="180"/>
        <v>0</v>
      </c>
      <c r="N213" s="218">
        <f>Bonus!N213</f>
        <v>0</v>
      </c>
      <c r="O213" s="218">
        <f>Bonus!O213</f>
        <v>0</v>
      </c>
      <c r="P213" s="154">
        <f>Bonus!W213</f>
        <v>0</v>
      </c>
      <c r="Q213" s="98">
        <f t="shared" si="181"/>
        <v>6965.65</v>
      </c>
      <c r="R213" s="98">
        <f t="shared" si="182"/>
        <v>8241.5499999999993</v>
      </c>
      <c r="S213" s="129">
        <f t="shared" si="183"/>
        <v>1275.8999999999996</v>
      </c>
      <c r="T213" s="199" t="str">
        <f>+Bonus!T213</f>
        <v>2025</v>
      </c>
      <c r="U213" s="199" t="str">
        <f>+Bonus!U213</f>
        <v>2025</v>
      </c>
      <c r="V213" s="199" t="str">
        <f>+Bonus!V213</f>
        <v>&lt; 250k</v>
      </c>
      <c r="W213" s="98"/>
      <c r="X213" s="33"/>
      <c r="Y213" s="180"/>
      <c r="Z213" s="98"/>
      <c r="AA213" s="214"/>
      <c r="AB213" s="214"/>
      <c r="AC213" s="64"/>
    </row>
    <row r="214" spans="1:29" s="57" customFormat="1" ht="13.5" hidden="1" customHeight="1">
      <c r="A214" s="259"/>
      <c r="B214" s="82"/>
      <c r="C214" s="227"/>
      <c r="D214" s="63"/>
      <c r="E214" s="63"/>
      <c r="F214" s="218"/>
      <c r="G214" s="182"/>
      <c r="H214" s="98"/>
      <c r="I214" s="98"/>
      <c r="J214" s="218"/>
      <c r="K214" s="98"/>
      <c r="L214" s="98"/>
      <c r="M214" s="98"/>
      <c r="N214" s="218"/>
      <c r="O214" s="218"/>
      <c r="P214" s="154"/>
      <c r="Q214" s="98"/>
      <c r="R214" s="98"/>
      <c r="S214" s="129"/>
      <c r="T214" s="199"/>
      <c r="U214" s="199"/>
      <c r="V214" s="199"/>
      <c r="W214" s="98"/>
      <c r="X214" s="33"/>
      <c r="Y214" s="180"/>
      <c r="Z214" s="98"/>
      <c r="AA214" s="214"/>
      <c r="AB214" s="214"/>
      <c r="AC214" s="64"/>
    </row>
    <row r="215" spans="1:29" s="81" customFormat="1" ht="13.5" customHeight="1">
      <c r="A215" s="176" t="str">
        <f>+Bonus!A215</f>
        <v>Bakersfield Area - Closed Jobs Totals</v>
      </c>
      <c r="B215" s="85"/>
      <c r="C215" s="193">
        <f>SUM(C157:C214)</f>
        <v>97414231.620000005</v>
      </c>
      <c r="D215" s="193">
        <f t="shared" ref="D215:F215" si="193">SUM(D157:D214)</f>
        <v>84432379.319999993</v>
      </c>
      <c r="E215" s="193">
        <f t="shared" si="193"/>
        <v>12981852.299999995</v>
      </c>
      <c r="F215" s="193">
        <f t="shared" si="193"/>
        <v>84432379.319999993</v>
      </c>
      <c r="G215" s="86"/>
      <c r="H215" s="193">
        <f t="shared" ref="H215:S215" si="194">SUM(H157:H214)</f>
        <v>12981852.299999995</v>
      </c>
      <c r="I215" s="193">
        <f t="shared" si="194"/>
        <v>97414231.620000005</v>
      </c>
      <c r="J215" s="193">
        <f t="shared" si="194"/>
        <v>97414231.620000005</v>
      </c>
      <c r="K215" s="193">
        <f t="shared" si="194"/>
        <v>0</v>
      </c>
      <c r="L215" s="193">
        <f t="shared" si="194"/>
        <v>0</v>
      </c>
      <c r="M215" s="193">
        <f t="shared" si="194"/>
        <v>0</v>
      </c>
      <c r="N215" s="193">
        <f t="shared" si="194"/>
        <v>75859362.409999996</v>
      </c>
      <c r="O215" s="193">
        <f t="shared" si="194"/>
        <v>89318608.459999993</v>
      </c>
      <c r="P215" s="193">
        <f t="shared" si="194"/>
        <v>13886374.31585112</v>
      </c>
      <c r="Q215" s="193">
        <f t="shared" si="194"/>
        <v>8573016.9100000057</v>
      </c>
      <c r="R215" s="193">
        <f t="shared" si="194"/>
        <v>8095623.1600000011</v>
      </c>
      <c r="S215" s="193">
        <f t="shared" si="194"/>
        <v>-904522.01585112151</v>
      </c>
      <c r="T215" s="86"/>
      <c r="U215" s="359"/>
      <c r="V215" s="199"/>
      <c r="W215" s="198"/>
      <c r="X215" s="33"/>
      <c r="Y215" s="197"/>
      <c r="Z215" s="198"/>
      <c r="AA215" s="196"/>
      <c r="AB215" s="196"/>
      <c r="AC215" s="194"/>
    </row>
    <row r="216" spans="1:29" s="81" customFormat="1" ht="13.5" customHeight="1">
      <c r="A216" s="176" t="str">
        <f>+Bonus!A216</f>
        <v>Bakersfield Area -  Grand Totals</v>
      </c>
      <c r="B216" s="85"/>
      <c r="C216" s="193">
        <f>+C215+C154</f>
        <v>204838579.06</v>
      </c>
      <c r="D216" s="193">
        <f>+D215+D154</f>
        <v>182985082.78</v>
      </c>
      <c r="E216" s="193">
        <f>+E215+E154</f>
        <v>21853496.279999994</v>
      </c>
      <c r="F216" s="86">
        <f>+F215+F154</f>
        <v>131355636.81</v>
      </c>
      <c r="G216" s="86"/>
      <c r="H216" s="86">
        <f t="shared" ref="H216:S216" si="195">+H215+H154</f>
        <v>17304739.458664998</v>
      </c>
      <c r="I216" s="86">
        <f t="shared" si="195"/>
        <v>148660376.26866502</v>
      </c>
      <c r="J216" s="86">
        <f t="shared" si="195"/>
        <v>147725202.33000001</v>
      </c>
      <c r="K216" s="86">
        <f t="shared" si="195"/>
        <v>-935173.9386650048</v>
      </c>
      <c r="L216" s="86">
        <f t="shared" si="195"/>
        <v>51629445.969999999</v>
      </c>
      <c r="M216" s="86">
        <f t="shared" si="195"/>
        <v>57113376.730000004</v>
      </c>
      <c r="N216" s="86">
        <f t="shared" si="195"/>
        <v>89652994.129999995</v>
      </c>
      <c r="O216" s="86">
        <f t="shared" si="195"/>
        <v>102677301.55</v>
      </c>
      <c r="P216" s="86">
        <f t="shared" si="195"/>
        <v>14246646.17887548</v>
      </c>
      <c r="Q216" s="86">
        <f t="shared" si="195"/>
        <v>41702642.68</v>
      </c>
      <c r="R216" s="86">
        <f t="shared" si="195"/>
        <v>45047900.780000001</v>
      </c>
      <c r="S216" s="86">
        <f t="shared" si="195"/>
        <v>3058093.2797895237</v>
      </c>
      <c r="T216" s="359"/>
      <c r="U216" s="359"/>
      <c r="V216" s="199"/>
      <c r="W216" s="198"/>
      <c r="X216" s="33"/>
      <c r="Y216" s="197"/>
      <c r="Z216" s="198"/>
      <c r="AA216" s="196"/>
      <c r="AB216" s="196"/>
      <c r="AC216" s="194"/>
    </row>
    <row r="217" spans="1:29" s="81" customFormat="1" ht="13.5" customHeight="1">
      <c r="A217" s="176"/>
      <c r="B217" s="85"/>
      <c r="C217" s="193"/>
      <c r="D217" s="193"/>
      <c r="E217" s="193"/>
      <c r="F217" s="86"/>
      <c r="G217" s="86"/>
      <c r="H217" s="86"/>
      <c r="I217" s="86"/>
      <c r="J217" s="86"/>
      <c r="K217" s="86"/>
      <c r="L217" s="86"/>
      <c r="M217" s="86"/>
      <c r="N217" s="86"/>
      <c r="O217" s="86"/>
      <c r="P217" s="86"/>
      <c r="Q217" s="86"/>
      <c r="R217" s="86"/>
      <c r="S217" s="86"/>
      <c r="T217" s="359"/>
      <c r="U217" s="359"/>
      <c r="V217" s="199"/>
      <c r="W217" s="198"/>
      <c r="X217" s="33"/>
      <c r="Y217" s="197"/>
      <c r="Z217" s="198"/>
      <c r="AA217" s="196"/>
      <c r="AB217" s="196"/>
      <c r="AC217" s="194"/>
    </row>
    <row r="218" spans="1:29" s="81" customFormat="1" ht="13.5" hidden="1" customHeight="1">
      <c r="A218" s="176"/>
      <c r="B218" s="85"/>
      <c r="C218" s="193"/>
      <c r="D218" s="193"/>
      <c r="E218" s="193"/>
      <c r="F218" s="86"/>
      <c r="G218" s="86"/>
      <c r="H218" s="86"/>
      <c r="I218" s="86"/>
      <c r="J218" s="86"/>
      <c r="K218" s="86"/>
      <c r="L218" s="86"/>
      <c r="M218" s="86"/>
      <c r="N218" s="86"/>
      <c r="O218" s="86"/>
      <c r="P218" s="86"/>
      <c r="Q218" s="86"/>
      <c r="R218" s="86"/>
      <c r="S218" s="86"/>
      <c r="T218" s="359"/>
      <c r="U218" s="359"/>
      <c r="V218" s="199"/>
      <c r="W218" s="198"/>
      <c r="X218" s="33"/>
      <c r="Y218" s="197"/>
      <c r="Z218" s="198"/>
      <c r="AA218" s="196"/>
      <c r="AB218" s="196"/>
      <c r="AC218" s="194"/>
    </row>
    <row r="219" spans="1:29" s="81" customFormat="1" ht="13.5" hidden="1" customHeight="1">
      <c r="A219" s="176"/>
      <c r="B219" s="85"/>
      <c r="C219" s="193"/>
      <c r="D219" s="193"/>
      <c r="E219" s="193"/>
      <c r="F219" s="86"/>
      <c r="G219" s="86"/>
      <c r="H219" s="86"/>
      <c r="I219" s="86"/>
      <c r="J219" s="86"/>
      <c r="K219" s="86"/>
      <c r="L219" s="86"/>
      <c r="M219" s="86"/>
      <c r="N219" s="86"/>
      <c r="O219" s="86"/>
      <c r="P219" s="86"/>
      <c r="Q219" s="86"/>
      <c r="R219" s="86"/>
      <c r="S219" s="86"/>
      <c r="T219" s="359"/>
      <c r="U219" s="359"/>
      <c r="V219" s="199"/>
      <c r="W219" s="198"/>
      <c r="X219" s="33"/>
      <c r="Y219" s="197"/>
      <c r="Z219" s="198"/>
      <c r="AA219" s="196"/>
      <c r="AB219" s="196"/>
      <c r="AC219" s="194"/>
    </row>
    <row r="220" spans="1:29" s="81" customFormat="1" ht="13.5" hidden="1" customHeight="1">
      <c r="A220" s="176"/>
      <c r="B220" s="85"/>
      <c r="C220" s="193"/>
      <c r="D220" s="193"/>
      <c r="E220" s="193"/>
      <c r="F220" s="86"/>
      <c r="G220" s="86"/>
      <c r="H220" s="86"/>
      <c r="I220" s="86"/>
      <c r="J220" s="86"/>
      <c r="K220" s="86"/>
      <c r="L220" s="86"/>
      <c r="M220" s="86"/>
      <c r="N220" s="86"/>
      <c r="O220" s="86"/>
      <c r="P220" s="86"/>
      <c r="Q220" s="86"/>
      <c r="R220" s="86"/>
      <c r="S220" s="86"/>
      <c r="T220" s="359"/>
      <c r="U220" s="359"/>
      <c r="V220" s="199"/>
      <c r="W220" s="198"/>
      <c r="X220" s="33"/>
      <c r="Y220" s="197"/>
      <c r="Z220" s="198"/>
      <c r="AA220" s="196"/>
      <c r="AB220" s="196"/>
      <c r="AC220" s="194"/>
    </row>
    <row r="221" spans="1:29" s="57" customFormat="1" ht="13.5" hidden="1" customHeight="1">
      <c r="A221" s="176"/>
      <c r="B221" s="82"/>
      <c r="C221" s="227"/>
      <c r="D221" s="63"/>
      <c r="E221" s="63"/>
      <c r="F221" s="218"/>
      <c r="G221" s="182"/>
      <c r="H221" s="98"/>
      <c r="I221" s="98"/>
      <c r="J221" s="218"/>
      <c r="K221" s="98"/>
      <c r="L221" s="98"/>
      <c r="M221" s="98"/>
      <c r="N221" s="218"/>
      <c r="O221" s="218"/>
      <c r="P221" s="98"/>
      <c r="Q221" s="98"/>
      <c r="R221" s="98"/>
      <c r="S221" s="129"/>
      <c r="T221" s="199"/>
      <c r="U221" s="199"/>
      <c r="V221" s="199"/>
      <c r="W221" s="98"/>
      <c r="X221" s="33"/>
      <c r="Y221" s="180"/>
      <c r="Z221" s="98"/>
      <c r="AA221" s="214"/>
      <c r="AB221" s="214"/>
      <c r="AC221" s="64"/>
    </row>
    <row r="222" spans="1:29" s="81" customFormat="1" ht="13.5" customHeight="1">
      <c r="A222" s="176" t="str">
        <f>+Bonus!A222</f>
        <v>Murrieta Area - Open Jobs</v>
      </c>
      <c r="B222" s="82"/>
      <c r="C222" s="227"/>
      <c r="D222" s="63"/>
      <c r="E222" s="63"/>
      <c r="F222" s="218"/>
      <c r="G222" s="182"/>
      <c r="H222" s="98"/>
      <c r="I222" s="98"/>
      <c r="J222" s="218"/>
      <c r="K222" s="98"/>
      <c r="L222" s="98"/>
      <c r="M222" s="98"/>
      <c r="N222" s="218"/>
      <c r="O222" s="218"/>
      <c r="P222" s="98"/>
      <c r="Q222" s="98"/>
      <c r="R222" s="98"/>
      <c r="S222" s="129"/>
      <c r="T222" s="199"/>
      <c r="U222" s="199"/>
      <c r="V222" s="199"/>
      <c r="W222" s="98"/>
      <c r="X222" s="33"/>
      <c r="Y222" s="197"/>
      <c r="Z222" s="198"/>
      <c r="AA222" s="196"/>
      <c r="AB222" s="196"/>
      <c r="AC222" s="194"/>
    </row>
    <row r="223" spans="1:29" s="81" customFormat="1" ht="13.5" customHeight="1">
      <c r="A223" s="617">
        <f>+Bonus!A223</f>
        <v>55.109000000000002</v>
      </c>
      <c r="B223" s="82" t="str">
        <f>+Bonus!B223</f>
        <v>LA Dept of Water and Power - Silverlake</v>
      </c>
      <c r="C223" s="227">
        <f>J223</f>
        <v>5235272.3600000003</v>
      </c>
      <c r="D223" s="63">
        <f>F223</f>
        <v>3834064.05</v>
      </c>
      <c r="E223" s="63">
        <f>C223-D223</f>
        <v>1401208.3100000005</v>
      </c>
      <c r="F223" s="218">
        <f>+Bonus!F223</f>
        <v>3834064.05</v>
      </c>
      <c r="G223" s="182">
        <f t="shared" ref="G223" si="196">IF(D223&lt;&gt;0,+F223/D223,0)</f>
        <v>1</v>
      </c>
      <c r="H223" s="98">
        <f t="shared" ref="H223" si="197">IF(E223&lt;=0,E223,IF(G223&lt;0.1,0,IF(G223&lt;=1,G223*E223,E223)))</f>
        <v>1401208.3100000005</v>
      </c>
      <c r="I223" s="98">
        <f t="shared" ref="I223" si="198">+F223+H223</f>
        <v>5235272.3600000003</v>
      </c>
      <c r="J223" s="218">
        <f>+Bonus!J223</f>
        <v>5235272.3600000003</v>
      </c>
      <c r="K223" s="98">
        <f t="shared" ref="K223" si="199">J223-I223</f>
        <v>0</v>
      </c>
      <c r="L223" s="98">
        <f t="shared" ref="L223" si="200">+D223-F223</f>
        <v>0</v>
      </c>
      <c r="M223" s="98">
        <f t="shared" ref="M223" si="201">+C223-J223</f>
        <v>0</v>
      </c>
      <c r="N223" s="218">
        <f>+Bonus!N223</f>
        <v>3617796.45</v>
      </c>
      <c r="O223" s="218">
        <f>+Bonus!O223</f>
        <v>4974161.54</v>
      </c>
      <c r="P223" s="98">
        <f>Bonus!W223</f>
        <v>1356365.0899999999</v>
      </c>
      <c r="Q223" s="98">
        <f t="shared" ref="Q223" si="202">F223-N223</f>
        <v>216267.59999999963</v>
      </c>
      <c r="R223" s="98">
        <f t="shared" ref="R223" si="203">+J223-O223</f>
        <v>261110.8200000003</v>
      </c>
      <c r="S223" s="129">
        <f t="shared" ref="S223" si="204">H223-P223</f>
        <v>44843.220000000671</v>
      </c>
      <c r="T223" s="199" t="str">
        <f>+Bonus!T223</f>
        <v>2012</v>
      </c>
      <c r="U223" s="199">
        <f>+Bonus!U223</f>
        <v>0</v>
      </c>
      <c r="V223" s="199" t="str">
        <f>Bonus!V223</f>
        <v>.</v>
      </c>
      <c r="W223" s="98"/>
      <c r="X223" s="33"/>
      <c r="Y223" s="197"/>
      <c r="Z223" s="198"/>
      <c r="AA223" s="196"/>
      <c r="AB223" s="196"/>
      <c r="AC223" s="194"/>
    </row>
    <row r="224" spans="1:29" s="81" customFormat="1" ht="13.5" customHeight="1">
      <c r="A224" s="259">
        <f>+Bonus!A224</f>
        <v>55.119100000000003</v>
      </c>
      <c r="B224" s="82" t="str">
        <f>+Bonus!B224</f>
        <v>Inland Empire Utilities - IEUA RP-5 Liquids Exp. &amp; Solids Treat. Facility</v>
      </c>
      <c r="C224" s="227">
        <f>Bonus!C224</f>
        <v>341443133.70999998</v>
      </c>
      <c r="D224" s="63">
        <f>Bonus!D224</f>
        <v>337732635.70999998</v>
      </c>
      <c r="E224" s="63">
        <f>Bonus!E224</f>
        <v>3710498</v>
      </c>
      <c r="F224" s="218">
        <f>+Bonus!F224</f>
        <v>299179624.83999997</v>
      </c>
      <c r="G224" s="182">
        <f t="shared" ref="G224:G229" si="205">IF(D224&lt;&gt;0,+F224/D224,0)</f>
        <v>0.88584754094329154</v>
      </c>
      <c r="H224" s="98">
        <f t="shared" ref="H224:H229" si="206">IF(E224&lt;=0,E224,IF(G224&lt;0.1,0,IF(G224&lt;=1,G224*E224,E224)))</f>
        <v>3286935.5289750015</v>
      </c>
      <c r="I224" s="98">
        <f t="shared" ref="I224:I229" si="207">+F224+H224</f>
        <v>302466560.36897498</v>
      </c>
      <c r="J224" s="218">
        <f>+Bonus!J224</f>
        <v>296634984.50999999</v>
      </c>
      <c r="K224" s="98">
        <f t="shared" ref="K224:K229" si="208">J224-I224</f>
        <v>-5831575.8589749932</v>
      </c>
      <c r="L224" s="98">
        <f t="shared" ref="L224:L229" si="209">+D224-F224</f>
        <v>38553010.870000005</v>
      </c>
      <c r="M224" s="98">
        <f t="shared" ref="M224:M229" si="210">+C224-J224</f>
        <v>44808149.199999988</v>
      </c>
      <c r="N224" s="218">
        <f>+Bonus!N224</f>
        <v>282667835.01999998</v>
      </c>
      <c r="O224" s="218">
        <f>+Bonus!O224</f>
        <v>285899505.27999997</v>
      </c>
      <c r="P224" s="98">
        <f>Bonus!W224</f>
        <v>6702671.5016121669</v>
      </c>
      <c r="Q224" s="98">
        <f t="shared" ref="Q224:Q229" si="211">F224-N224</f>
        <v>16511789.819999993</v>
      </c>
      <c r="R224" s="98">
        <f t="shared" ref="R224:R229" si="212">+J224-O224</f>
        <v>10735479.230000019</v>
      </c>
      <c r="S224" s="129">
        <f t="shared" ref="S224:S229" si="213">H224-P224</f>
        <v>-3415735.9726371653</v>
      </c>
      <c r="T224" s="199" t="str">
        <f>+Bonus!T224</f>
        <v>2020</v>
      </c>
      <c r="U224" s="199">
        <f>+Bonus!U224</f>
        <v>0</v>
      </c>
      <c r="V224" s="199" t="str">
        <f>Bonus!V224</f>
        <v>.</v>
      </c>
      <c r="W224" s="98"/>
      <c r="X224" s="33"/>
      <c r="Y224" s="197"/>
      <c r="Z224" s="198"/>
      <c r="AA224" s="196"/>
      <c r="AB224" s="196"/>
      <c r="AC224" s="194"/>
    </row>
    <row r="225" spans="1:29" s="81" customFormat="1" ht="13.5" customHeight="1">
      <c r="A225" s="614">
        <f>+Bonus!A225</f>
        <v>55.119199999999999</v>
      </c>
      <c r="B225" s="82" t="str">
        <f>+Bonus!B225</f>
        <v>Inland Empire Utilities - IEUA RP-1 Flare Improvements</v>
      </c>
      <c r="C225" s="227">
        <f>Bonus!C225</f>
        <v>6651803.5300000003</v>
      </c>
      <c r="D225" s="63">
        <f>Bonus!D225</f>
        <v>6401803.5300000003</v>
      </c>
      <c r="E225" s="63">
        <f>Bonus!E225</f>
        <v>250000</v>
      </c>
      <c r="F225" s="218">
        <f>+Bonus!F225</f>
        <v>6393992.6900000004</v>
      </c>
      <c r="G225" s="182">
        <f t="shared" si="205"/>
        <v>0.99877990007606499</v>
      </c>
      <c r="H225" s="98">
        <f t="shared" si="206"/>
        <v>249694.97501901624</v>
      </c>
      <c r="I225" s="98">
        <f t="shared" si="207"/>
        <v>6643687.6650190167</v>
      </c>
      <c r="J225" s="218">
        <f>+Bonus!J225</f>
        <v>6645760.5099999998</v>
      </c>
      <c r="K225" s="98">
        <f t="shared" si="208"/>
        <v>2072.8449809830636</v>
      </c>
      <c r="L225" s="98">
        <f t="shared" si="209"/>
        <v>7810.839999999851</v>
      </c>
      <c r="M225" s="98">
        <f t="shared" si="210"/>
        <v>6043.0200000004843</v>
      </c>
      <c r="N225" s="218">
        <f>+Bonus!N225</f>
        <v>5962693.7300000004</v>
      </c>
      <c r="O225" s="218">
        <f>+Bonus!O225</f>
        <v>6385785.7599999998</v>
      </c>
      <c r="P225" s="98">
        <f>Bonus!W225</f>
        <v>334963.83959833492</v>
      </c>
      <c r="Q225" s="98">
        <f t="shared" si="211"/>
        <v>431298.95999999996</v>
      </c>
      <c r="R225" s="98">
        <f t="shared" si="212"/>
        <v>259974.75</v>
      </c>
      <c r="S225" s="129">
        <f t="shared" si="213"/>
        <v>-85268.864579318673</v>
      </c>
      <c r="T225" s="199" t="str">
        <f>+Bonus!T225</f>
        <v>2020</v>
      </c>
      <c r="U225" s="199">
        <f>+Bonus!U225</f>
        <v>0</v>
      </c>
      <c r="V225" s="199" t="str">
        <f>Bonus!V225</f>
        <v>.</v>
      </c>
      <c r="W225" s="98"/>
      <c r="X225" s="33"/>
      <c r="Y225" s="197"/>
      <c r="Z225" s="198"/>
      <c r="AA225" s="196"/>
      <c r="AB225" s="196"/>
      <c r="AC225" s="194"/>
    </row>
    <row r="226" spans="1:29" s="81" customFormat="1" ht="13.5" customHeight="1">
      <c r="A226" s="617">
        <f>+Bonus!A226</f>
        <v>55.12</v>
      </c>
      <c r="B226" s="82" t="str">
        <f>+Bonus!B226</f>
        <v>East County Advanced Water Purification Project - Package 1</v>
      </c>
      <c r="C226" s="227">
        <f t="shared" ref="C226:C228" si="214">J226</f>
        <v>197175877</v>
      </c>
      <c r="D226" s="63">
        <f t="shared" ref="D226:D228" si="215">F226</f>
        <v>189971137.49000001</v>
      </c>
      <c r="E226" s="63">
        <f t="shared" ref="E226:E228" si="216">C226-D226</f>
        <v>7204739.5099999905</v>
      </c>
      <c r="F226" s="218">
        <f>+Bonus!F226</f>
        <v>189971137.49000001</v>
      </c>
      <c r="G226" s="182">
        <f t="shared" si="205"/>
        <v>1</v>
      </c>
      <c r="H226" s="98">
        <f t="shared" si="206"/>
        <v>7204739.5099999905</v>
      </c>
      <c r="I226" s="98">
        <f t="shared" si="207"/>
        <v>197175877</v>
      </c>
      <c r="J226" s="218">
        <f>+Bonus!J226</f>
        <v>197175877</v>
      </c>
      <c r="K226" s="98">
        <f t="shared" si="208"/>
        <v>0</v>
      </c>
      <c r="L226" s="98">
        <f t="shared" si="209"/>
        <v>0</v>
      </c>
      <c r="M226" s="98">
        <f t="shared" si="210"/>
        <v>0</v>
      </c>
      <c r="N226" s="218">
        <f>+Bonus!N226</f>
        <v>136204938.09</v>
      </c>
      <c r="O226" s="218">
        <f>+Bonus!O226</f>
        <v>140379771</v>
      </c>
      <c r="P226" s="98">
        <f>Bonus!W226</f>
        <v>4174832.9099999964</v>
      </c>
      <c r="Q226" s="98">
        <f t="shared" si="211"/>
        <v>53766199.400000006</v>
      </c>
      <c r="R226" s="98">
        <f t="shared" si="212"/>
        <v>56796106</v>
      </c>
      <c r="S226" s="129">
        <f t="shared" si="213"/>
        <v>3029906.599999994</v>
      </c>
      <c r="T226" s="199" t="str">
        <f>+Bonus!T226</f>
        <v>2020</v>
      </c>
      <c r="U226" s="199">
        <f>+Bonus!U226</f>
        <v>0</v>
      </c>
      <c r="V226" s="199" t="str">
        <f>Bonus!V226</f>
        <v>.</v>
      </c>
      <c r="W226" s="98"/>
      <c r="X226" s="33"/>
      <c r="Y226" s="197"/>
      <c r="Z226" s="198"/>
      <c r="AA226" s="196"/>
      <c r="AB226" s="196"/>
      <c r="AC226" s="194"/>
    </row>
    <row r="227" spans="1:29" s="81" customFormat="1" ht="13.5" customHeight="1">
      <c r="A227" s="259">
        <f>+Bonus!A227</f>
        <v>55.120199999999997</v>
      </c>
      <c r="B227" s="82" t="str">
        <f>+Bonus!B227</f>
        <v>LA County Sanitation District - Oxygen Generation Project</v>
      </c>
      <c r="C227" s="227">
        <f>Bonus!C227</f>
        <v>16396051.58</v>
      </c>
      <c r="D227" s="227">
        <f>Bonus!D227</f>
        <v>15220642.58</v>
      </c>
      <c r="E227" s="227">
        <f>Bonus!E227</f>
        <v>1175409</v>
      </c>
      <c r="F227" s="218">
        <f>+Bonus!F227</f>
        <v>9590124.3499999996</v>
      </c>
      <c r="G227" s="182">
        <f t="shared" si="205"/>
        <v>0.63007355304443391</v>
      </c>
      <c r="H227" s="98">
        <f t="shared" si="206"/>
        <v>740594.12491040502</v>
      </c>
      <c r="I227" s="98">
        <f t="shared" si="207"/>
        <v>10330718.474910405</v>
      </c>
      <c r="J227" s="218">
        <f>+Bonus!J227</f>
        <v>10912272.58</v>
      </c>
      <c r="K227" s="98">
        <f t="shared" si="208"/>
        <v>581554.10508959554</v>
      </c>
      <c r="L227" s="98">
        <f t="shared" si="209"/>
        <v>5630518.2300000004</v>
      </c>
      <c r="M227" s="98">
        <f t="shared" si="210"/>
        <v>5483779</v>
      </c>
      <c r="N227" s="218">
        <f>+Bonus!N227</f>
        <v>8229572.1299999999</v>
      </c>
      <c r="O227" s="218">
        <f>+Bonus!O227</f>
        <v>10369938.279999999</v>
      </c>
      <c r="P227" s="98">
        <f>Bonus!W227</f>
        <v>647450.70626823581</v>
      </c>
      <c r="Q227" s="98">
        <f t="shared" si="211"/>
        <v>1360552.2199999997</v>
      </c>
      <c r="R227" s="98">
        <f t="shared" si="212"/>
        <v>542334.30000000075</v>
      </c>
      <c r="S227" s="129">
        <f t="shared" si="213"/>
        <v>93143.418642169214</v>
      </c>
      <c r="T227" s="199" t="str">
        <f>+Bonus!T227</f>
        <v>2020</v>
      </c>
      <c r="U227" s="199">
        <f>+Bonus!U227</f>
        <v>0</v>
      </c>
      <c r="V227" s="199" t="str">
        <f>Bonus!V227</f>
        <v>.</v>
      </c>
      <c r="W227" s="98"/>
      <c r="X227" s="33"/>
      <c r="Y227" s="197"/>
      <c r="Z227" s="198"/>
      <c r="AA227" s="196"/>
      <c r="AB227" s="196"/>
      <c r="AC227" s="194"/>
    </row>
    <row r="228" spans="1:29">
      <c r="A228" s="617">
        <f>+Bonus!A228</f>
        <v>55.120399999999997</v>
      </c>
      <c r="B228" s="82" t="str">
        <f>+Bonus!B228</f>
        <v xml:space="preserve">East County Advanced Water Purification Project - Package 3 </v>
      </c>
      <c r="C228" s="227">
        <f t="shared" si="214"/>
        <v>57142227</v>
      </c>
      <c r="D228" s="63">
        <f t="shared" si="215"/>
        <v>55213329.210000001</v>
      </c>
      <c r="E228" s="63">
        <f t="shared" si="216"/>
        <v>1928897.7899999991</v>
      </c>
      <c r="F228" s="218">
        <f>+Bonus!F228</f>
        <v>55213329.210000001</v>
      </c>
      <c r="G228" s="182">
        <f t="shared" si="205"/>
        <v>1</v>
      </c>
      <c r="H228" s="98">
        <f t="shared" si="206"/>
        <v>1928897.7899999991</v>
      </c>
      <c r="I228" s="98">
        <f t="shared" si="207"/>
        <v>57142227</v>
      </c>
      <c r="J228" s="218">
        <f>+Bonus!J228</f>
        <v>57142227</v>
      </c>
      <c r="K228" s="98">
        <f t="shared" si="208"/>
        <v>0</v>
      </c>
      <c r="L228" s="98">
        <f t="shared" si="209"/>
        <v>0</v>
      </c>
      <c r="M228" s="98">
        <f t="shared" si="210"/>
        <v>0</v>
      </c>
      <c r="N228" s="218">
        <f>+Bonus!N228</f>
        <v>38160537.219999999</v>
      </c>
      <c r="O228" s="218">
        <f>+Bonus!O228</f>
        <v>39787580</v>
      </c>
      <c r="P228" s="98">
        <f>Bonus!W228</f>
        <v>1627042.7800000012</v>
      </c>
      <c r="Q228" s="98">
        <f t="shared" si="211"/>
        <v>17052791.990000002</v>
      </c>
      <c r="R228" s="98">
        <f t="shared" si="212"/>
        <v>17354647</v>
      </c>
      <c r="S228" s="129">
        <f t="shared" si="213"/>
        <v>301855.00999999791</v>
      </c>
      <c r="T228" s="199" t="str">
        <f>+Bonus!T228</f>
        <v>2020</v>
      </c>
      <c r="U228" s="199">
        <f>+Bonus!U228</f>
        <v>0</v>
      </c>
      <c r="V228" s="199" t="str">
        <f>Bonus!V228</f>
        <v>.</v>
      </c>
      <c r="X228" s="33"/>
    </row>
    <row r="229" spans="1:29">
      <c r="A229" s="614">
        <f>+Bonus!A229</f>
        <v>55.122700000000002</v>
      </c>
      <c r="B229" s="82" t="str">
        <f>+Bonus!B229</f>
        <v>Eastern Municipal Water District - MVRWRF Plant 2B Equipping and Flow Diversion Project</v>
      </c>
      <c r="C229" s="227">
        <f>Bonus!C229</f>
        <v>41504206.390000001</v>
      </c>
      <c r="D229" s="227">
        <f>Bonus!D229</f>
        <v>37154206.390000001</v>
      </c>
      <c r="E229" s="227">
        <f>Bonus!E229</f>
        <v>4350000</v>
      </c>
      <c r="F229" s="218">
        <f>+Bonus!F229</f>
        <v>36953022.960000001</v>
      </c>
      <c r="G229" s="182">
        <f t="shared" si="205"/>
        <v>0.99458517757348341</v>
      </c>
      <c r="H229" s="98">
        <f t="shared" si="206"/>
        <v>4326445.5224446524</v>
      </c>
      <c r="I229" s="98">
        <f t="shared" si="207"/>
        <v>41279468.482444651</v>
      </c>
      <c r="J229" s="218">
        <f>+Bonus!J229</f>
        <v>41483406.390000001</v>
      </c>
      <c r="K229" s="98">
        <f t="shared" si="208"/>
        <v>203937.90755534917</v>
      </c>
      <c r="L229" s="98">
        <f t="shared" si="209"/>
        <v>201183.4299999997</v>
      </c>
      <c r="M229" s="98">
        <f t="shared" si="210"/>
        <v>20800</v>
      </c>
      <c r="N229" s="218">
        <f>+Bonus!N229</f>
        <v>29332771.27</v>
      </c>
      <c r="O229" s="218">
        <f>+Bonus!O229</f>
        <v>34411945.600000001</v>
      </c>
      <c r="P229" s="98">
        <f>Bonus!W229</f>
        <v>3409470.3387520085</v>
      </c>
      <c r="Q229" s="98">
        <f t="shared" si="211"/>
        <v>7620251.6900000013</v>
      </c>
      <c r="R229" s="98">
        <f t="shared" si="212"/>
        <v>7071460.7899999991</v>
      </c>
      <c r="S229" s="129">
        <f t="shared" si="213"/>
        <v>916975.18369264388</v>
      </c>
      <c r="T229" s="199" t="str">
        <f>+Bonus!T229</f>
        <v>2022</v>
      </c>
      <c r="U229" s="199">
        <f>+Bonus!U229</f>
        <v>0</v>
      </c>
      <c r="V229" s="199" t="str">
        <f>Bonus!V229</f>
        <v>.</v>
      </c>
      <c r="X229" s="33"/>
    </row>
    <row r="230" spans="1:29">
      <c r="A230" s="617">
        <f>+Bonus!A230</f>
        <v>55.1233</v>
      </c>
      <c r="B230" s="82" t="str">
        <f>+Bonus!B230</f>
        <v>Veolia Water West Operating Services, Inc. - Rialto Solids Handling Design-Build Project (Design Phase)</v>
      </c>
      <c r="C230" s="227">
        <f>F230</f>
        <v>126077.16</v>
      </c>
      <c r="D230" s="63">
        <f>F230</f>
        <v>126077.16</v>
      </c>
      <c r="E230" s="63">
        <f>C230-D230</f>
        <v>0</v>
      </c>
      <c r="F230" s="218">
        <f>+Bonus!F230</f>
        <v>126077.16</v>
      </c>
      <c r="G230" s="182">
        <f t="shared" ref="G230:G235" si="217">IF(D230&lt;&gt;0,+F230/D230,0)</f>
        <v>1</v>
      </c>
      <c r="H230" s="98">
        <f t="shared" ref="H230:H235" si="218">IF(E230&lt;=0,E230,IF(G230&lt;0.1,0,IF(G230&lt;=1,G230*E230,E230)))</f>
        <v>0</v>
      </c>
      <c r="I230" s="98">
        <f t="shared" ref="I230:I235" si="219">+F230+H230</f>
        <v>126077.16</v>
      </c>
      <c r="J230" s="218">
        <f>+Bonus!J230</f>
        <v>123617</v>
      </c>
      <c r="K230" s="98">
        <f t="shared" ref="K230:K235" si="220">J230-I230</f>
        <v>-2460.1600000000035</v>
      </c>
      <c r="L230" s="98">
        <f t="shared" ref="L230:L235" si="221">+D230-F230</f>
        <v>0</v>
      </c>
      <c r="M230" s="98">
        <f t="shared" ref="M230:M235" si="222">+C230-J230</f>
        <v>2460.1600000000035</v>
      </c>
      <c r="N230" s="218">
        <f>+Bonus!N230</f>
        <v>76329.8</v>
      </c>
      <c r="O230" s="218">
        <f>+Bonus!O230</f>
        <v>84758.64</v>
      </c>
      <c r="P230" s="98">
        <f>Bonus!W230</f>
        <v>8428.8399999999965</v>
      </c>
      <c r="Q230" s="98">
        <f t="shared" ref="Q230:Q235" si="223">F230-N230</f>
        <v>49747.360000000001</v>
      </c>
      <c r="R230" s="98">
        <f t="shared" ref="R230:R235" si="224">+J230-O230</f>
        <v>38858.36</v>
      </c>
      <c r="S230" s="129">
        <f t="shared" ref="S230:S235" si="225">H230-P230</f>
        <v>-8428.8399999999965</v>
      </c>
      <c r="T230" s="199" t="str">
        <f>+Bonus!T230</f>
        <v>2024</v>
      </c>
      <c r="U230" s="199">
        <f>+Bonus!U230</f>
        <v>0</v>
      </c>
      <c r="V230" s="199" t="str">
        <f>Bonus!V230</f>
        <v>.</v>
      </c>
      <c r="X230" s="33"/>
    </row>
    <row r="231" spans="1:29">
      <c r="A231" s="259">
        <f>+Bonus!A231</f>
        <v>55.1248</v>
      </c>
      <c r="B231" s="82" t="str">
        <f>+Bonus!B231</f>
        <v>Anaergia Technologies LLC - City of Riverside - Digester 5 Rehabilitation</v>
      </c>
      <c r="C231" s="227">
        <f>Bonus!C231</f>
        <v>5759301.8099999996</v>
      </c>
      <c r="D231" s="227">
        <f>Bonus!D231</f>
        <v>4934301.8099999996</v>
      </c>
      <c r="E231" s="227">
        <f>Bonus!E231</f>
        <v>825000</v>
      </c>
      <c r="F231" s="218">
        <f>+Bonus!F231</f>
        <v>3621770.22</v>
      </c>
      <c r="G231" s="182">
        <f t="shared" si="217"/>
        <v>0.73399851882996203</v>
      </c>
      <c r="H231" s="98">
        <f t="shared" si="218"/>
        <v>605548.77803471871</v>
      </c>
      <c r="I231" s="98">
        <f t="shared" si="219"/>
        <v>4227318.9980347194</v>
      </c>
      <c r="J231" s="218">
        <f>+Bonus!J231</f>
        <v>4861991.8099999996</v>
      </c>
      <c r="K231" s="98">
        <f t="shared" si="220"/>
        <v>634672.81196528021</v>
      </c>
      <c r="L231" s="98">
        <f t="shared" si="221"/>
        <v>1312531.5899999994</v>
      </c>
      <c r="M231" s="98">
        <f t="shared" si="222"/>
        <v>897310</v>
      </c>
      <c r="N231" s="218">
        <f>+Bonus!N231</f>
        <v>314753.09000000003</v>
      </c>
      <c r="O231" s="218">
        <f>+Bonus!O231</f>
        <v>711429.5</v>
      </c>
      <c r="P231" s="98">
        <f>Bonus!W231</f>
        <v>0</v>
      </c>
      <c r="Q231" s="98">
        <f t="shared" si="223"/>
        <v>3307017.1300000004</v>
      </c>
      <c r="R231" s="98">
        <f t="shared" si="224"/>
        <v>4150562.3099999996</v>
      </c>
      <c r="S231" s="129">
        <f t="shared" si="225"/>
        <v>605548.77803471871</v>
      </c>
      <c r="T231" s="199" t="str">
        <f>+Bonus!T231</f>
        <v>2024</v>
      </c>
      <c r="U231" s="199">
        <f>+Bonus!U231</f>
        <v>0</v>
      </c>
      <c r="V231" s="199" t="str">
        <f>Bonus!V231</f>
        <v>.</v>
      </c>
      <c r="X231" s="33"/>
    </row>
    <row r="232" spans="1:29">
      <c r="A232" s="259">
        <f>+Bonus!A232</f>
        <v>55.124899999999997</v>
      </c>
      <c r="B232" s="82" t="str">
        <f>+Bonus!B232</f>
        <v>Inland Empire Utilities - IEUA - RP-1 Solids Thickening Project - EN22044</v>
      </c>
      <c r="C232" s="227">
        <f>Bonus!C232</f>
        <v>147525113</v>
      </c>
      <c r="D232" s="227">
        <f>Bonus!D232</f>
        <v>139703905</v>
      </c>
      <c r="E232" s="227">
        <f>Bonus!E232</f>
        <v>7821208</v>
      </c>
      <c r="F232" s="218">
        <f>+Bonus!F232</f>
        <v>15046313.77</v>
      </c>
      <c r="G232" s="182">
        <f t="shared" si="217"/>
        <v>0.10770145451553412</v>
      </c>
      <c r="H232" s="98">
        <f t="shared" si="218"/>
        <v>842355.47766853159</v>
      </c>
      <c r="I232" s="98">
        <f t="shared" si="219"/>
        <v>15888669.247668531</v>
      </c>
      <c r="J232" s="218">
        <f>+Bonus!J232</f>
        <v>15047042.84</v>
      </c>
      <c r="K232" s="98">
        <f t="shared" si="220"/>
        <v>-841626.40766853094</v>
      </c>
      <c r="L232" s="98">
        <f t="shared" si="221"/>
        <v>124657591.23</v>
      </c>
      <c r="M232" s="98">
        <f t="shared" si="222"/>
        <v>132478070.16</v>
      </c>
      <c r="N232" s="218">
        <f>+Bonus!N232</f>
        <v>941255.62</v>
      </c>
      <c r="O232" s="218">
        <f>+Bonus!O232</f>
        <v>0</v>
      </c>
      <c r="P232" s="98">
        <f>Bonus!W232</f>
        <v>0</v>
      </c>
      <c r="Q232" s="98">
        <f t="shared" si="223"/>
        <v>14105058.15</v>
      </c>
      <c r="R232" s="98">
        <f t="shared" si="224"/>
        <v>15047042.84</v>
      </c>
      <c r="S232" s="129">
        <f t="shared" si="225"/>
        <v>842355.47766853159</v>
      </c>
      <c r="T232" s="199" t="str">
        <f>+Bonus!T232</f>
        <v>2024</v>
      </c>
      <c r="U232" s="199">
        <f>+Bonus!U232</f>
        <v>0</v>
      </c>
      <c r="V232" s="199" t="str">
        <f>Bonus!V232</f>
        <v>.</v>
      </c>
      <c r="X232" s="33"/>
    </row>
    <row r="233" spans="1:29">
      <c r="A233" s="617">
        <f>+Bonus!A233</f>
        <v>55.125399999999999</v>
      </c>
      <c r="B233" s="82" t="str">
        <f>+Bonus!B233</f>
        <v>JV w/City of Banning - Wastewater Treatment Plant Recycled Water</v>
      </c>
      <c r="C233" s="227">
        <f>J233</f>
        <v>158952.89000000001</v>
      </c>
      <c r="D233" s="63">
        <f>F233</f>
        <v>156561.66</v>
      </c>
      <c r="E233" s="63">
        <f>C233-D233</f>
        <v>2391.2300000000105</v>
      </c>
      <c r="F233" s="218">
        <f>+Bonus!F233</f>
        <v>156561.66</v>
      </c>
      <c r="G233" s="182">
        <f t="shared" si="217"/>
        <v>1</v>
      </c>
      <c r="H233" s="98">
        <f t="shared" si="218"/>
        <v>2391.2300000000105</v>
      </c>
      <c r="I233" s="98">
        <f t="shared" si="219"/>
        <v>158952.89000000001</v>
      </c>
      <c r="J233" s="218">
        <f>+Bonus!J233</f>
        <v>158952.89000000001</v>
      </c>
      <c r="K233" s="98">
        <f t="shared" si="220"/>
        <v>0</v>
      </c>
      <c r="L233" s="98">
        <f t="shared" si="221"/>
        <v>0</v>
      </c>
      <c r="M233" s="98">
        <f t="shared" si="222"/>
        <v>0</v>
      </c>
      <c r="N233" s="218">
        <f>+Bonus!N233</f>
        <v>0</v>
      </c>
      <c r="O233" s="218">
        <f>+Bonus!O233</f>
        <v>0</v>
      </c>
      <c r="P233" s="98">
        <f>Bonus!W233</f>
        <v>0</v>
      </c>
      <c r="Q233" s="98">
        <f t="shared" si="223"/>
        <v>156561.66</v>
      </c>
      <c r="R233" s="98">
        <f t="shared" si="224"/>
        <v>158952.89000000001</v>
      </c>
      <c r="S233" s="129">
        <f t="shared" si="225"/>
        <v>2391.2300000000105</v>
      </c>
      <c r="T233" s="199" t="str">
        <f>+Bonus!T233</f>
        <v>2025</v>
      </c>
      <c r="U233" s="199">
        <f>+Bonus!U233</f>
        <v>0</v>
      </c>
      <c r="V233" s="199" t="str">
        <f>Bonus!V233</f>
        <v>.</v>
      </c>
      <c r="X233" s="33"/>
    </row>
    <row r="234" spans="1:29">
      <c r="A234" s="614">
        <f>+Bonus!A234</f>
        <v>55.125500000000002</v>
      </c>
      <c r="B234" s="82" t="str">
        <f>+Bonus!B234</f>
        <v>City of Riverside - RWQCP Emergency Repair</v>
      </c>
      <c r="C234" s="227">
        <f>F234</f>
        <v>14160.81</v>
      </c>
      <c r="D234" s="63">
        <f>F234</f>
        <v>14160.81</v>
      </c>
      <c r="E234" s="63">
        <f>C234-D234</f>
        <v>0</v>
      </c>
      <c r="F234" s="218">
        <f>+Bonus!F234</f>
        <v>14160.81</v>
      </c>
      <c r="G234" s="182">
        <f t="shared" si="217"/>
        <v>1</v>
      </c>
      <c r="H234" s="98">
        <f t="shared" si="218"/>
        <v>0</v>
      </c>
      <c r="I234" s="98">
        <f t="shared" si="219"/>
        <v>14160.81</v>
      </c>
      <c r="J234" s="218">
        <f>+Bonus!J234</f>
        <v>0</v>
      </c>
      <c r="K234" s="98">
        <f t="shared" si="220"/>
        <v>-14160.81</v>
      </c>
      <c r="L234" s="98">
        <f t="shared" si="221"/>
        <v>0</v>
      </c>
      <c r="M234" s="98">
        <f t="shared" si="222"/>
        <v>14160.81</v>
      </c>
      <c r="N234" s="218">
        <f>+Bonus!N234</f>
        <v>0</v>
      </c>
      <c r="O234" s="218">
        <f>+Bonus!O234</f>
        <v>0</v>
      </c>
      <c r="P234" s="98">
        <f>Bonus!W234</f>
        <v>0</v>
      </c>
      <c r="Q234" s="98">
        <f t="shared" si="223"/>
        <v>14160.81</v>
      </c>
      <c r="R234" s="98">
        <f t="shared" si="224"/>
        <v>0</v>
      </c>
      <c r="S234" s="129">
        <f t="shared" si="225"/>
        <v>0</v>
      </c>
      <c r="T234" s="199" t="str">
        <f>+Bonus!T234</f>
        <v>2025</v>
      </c>
      <c r="U234" s="199">
        <f>+Bonus!U234</f>
        <v>0</v>
      </c>
      <c r="V234" s="199" t="str">
        <f>Bonus!V234</f>
        <v>&lt; 250k</v>
      </c>
      <c r="X234" s="33"/>
    </row>
    <row r="235" spans="1:29">
      <c r="A235" s="259">
        <f>+Bonus!A235</f>
        <v>55.125599999999999</v>
      </c>
      <c r="B235" s="82" t="str">
        <f>+Bonus!B235</f>
        <v>Anaergia Technologies LLC - City of Riverside - OPS</v>
      </c>
      <c r="C235" s="227">
        <f>Bonus!C235</f>
        <v>2888100</v>
      </c>
      <c r="D235" s="227">
        <f>Bonus!D235</f>
        <v>2713100</v>
      </c>
      <c r="E235" s="227">
        <f>Bonus!E235</f>
        <v>175000</v>
      </c>
      <c r="F235" s="218">
        <f>+Bonus!F235</f>
        <v>94989.88</v>
      </c>
      <c r="G235" s="182">
        <f t="shared" si="217"/>
        <v>3.501156610519332E-2</v>
      </c>
      <c r="H235" s="98">
        <f t="shared" si="218"/>
        <v>0</v>
      </c>
      <c r="I235" s="98">
        <f t="shared" si="219"/>
        <v>94989.88</v>
      </c>
      <c r="J235" s="218">
        <f>+Bonus!J235</f>
        <v>101150</v>
      </c>
      <c r="K235" s="98">
        <f t="shared" si="220"/>
        <v>6160.1199999999953</v>
      </c>
      <c r="L235" s="98">
        <f t="shared" si="221"/>
        <v>2618110.12</v>
      </c>
      <c r="M235" s="98">
        <f t="shared" si="222"/>
        <v>2786950</v>
      </c>
      <c r="N235" s="218">
        <f>+Bonus!N235</f>
        <v>0</v>
      </c>
      <c r="O235" s="218">
        <f>+Bonus!O235</f>
        <v>0</v>
      </c>
      <c r="P235" s="98">
        <f>Bonus!W235</f>
        <v>0</v>
      </c>
      <c r="Q235" s="98">
        <f t="shared" si="223"/>
        <v>94989.88</v>
      </c>
      <c r="R235" s="98">
        <f t="shared" si="224"/>
        <v>101150</v>
      </c>
      <c r="S235" s="129">
        <f t="shared" si="225"/>
        <v>0</v>
      </c>
      <c r="T235" s="199" t="str">
        <f>+Bonus!T235</f>
        <v>2025</v>
      </c>
      <c r="U235" s="199">
        <f>+Bonus!U235</f>
        <v>0</v>
      </c>
      <c r="V235" s="199" t="str">
        <f>Bonus!V235</f>
        <v>.</v>
      </c>
      <c r="X235" s="33"/>
    </row>
    <row r="236" spans="1:29" hidden="1">
      <c r="A236" s="259"/>
      <c r="B236" s="82"/>
      <c r="C236" s="227"/>
      <c r="D236" s="63"/>
      <c r="E236" s="63"/>
      <c r="F236" s="218"/>
      <c r="G236" s="182"/>
      <c r="H236" s="98"/>
      <c r="I236" s="98"/>
      <c r="J236" s="218"/>
      <c r="K236" s="98"/>
      <c r="L236" s="98"/>
      <c r="M236" s="98"/>
      <c r="N236" s="218"/>
      <c r="O236" s="218"/>
      <c r="P236" s="98"/>
      <c r="Q236" s="98"/>
      <c r="R236" s="98"/>
      <c r="S236" s="129"/>
      <c r="T236" s="199"/>
      <c r="U236" s="199"/>
      <c r="V236" s="199"/>
      <c r="X236" s="33"/>
    </row>
    <row r="237" spans="1:29" s="81" customFormat="1" ht="13.5" customHeight="1">
      <c r="A237" s="176" t="str">
        <f>+Bonus!A237</f>
        <v>Murrieta Area - Open Jobs Totals</v>
      </c>
      <c r="B237" s="85"/>
      <c r="C237" s="193">
        <f>SUM(C$223:C$236)</f>
        <v>822020277.23999977</v>
      </c>
      <c r="D237" s="193">
        <f>SUM(D$223:D$236)</f>
        <v>793175925.39999986</v>
      </c>
      <c r="E237" s="193">
        <f>SUM(E$223:E$236)</f>
        <v>28844351.839999992</v>
      </c>
      <c r="F237" s="86">
        <f>SUM(F$223:F$236)</f>
        <v>620195169.08999991</v>
      </c>
      <c r="G237" s="86"/>
      <c r="H237" s="86">
        <f t="shared" ref="H237:S237" si="226">SUM(H$223:H$236)</f>
        <v>20588811.247052316</v>
      </c>
      <c r="I237" s="86">
        <f t="shared" si="226"/>
        <v>640783980.33705211</v>
      </c>
      <c r="J237" s="86">
        <f t="shared" si="226"/>
        <v>635522554.88999999</v>
      </c>
      <c r="K237" s="86">
        <f t="shared" si="226"/>
        <v>-5261425.4470523158</v>
      </c>
      <c r="L237" s="86">
        <f t="shared" si="226"/>
        <v>172980756.31</v>
      </c>
      <c r="M237" s="86">
        <f t="shared" si="226"/>
        <v>186497722.34999999</v>
      </c>
      <c r="N237" s="86">
        <f t="shared" si="226"/>
        <v>505508482.41999996</v>
      </c>
      <c r="O237" s="86">
        <f t="shared" si="226"/>
        <v>523004875.59999996</v>
      </c>
      <c r="P237" s="86">
        <f t="shared" si="226"/>
        <v>18261226.006230742</v>
      </c>
      <c r="Q237" s="86">
        <f t="shared" si="226"/>
        <v>114686686.67</v>
      </c>
      <c r="R237" s="86">
        <f t="shared" si="226"/>
        <v>112517679.29000002</v>
      </c>
      <c r="S237" s="86">
        <f t="shared" si="226"/>
        <v>2327585.240821572</v>
      </c>
      <c r="T237" s="359"/>
      <c r="U237" s="359"/>
      <c r="V237" s="199"/>
      <c r="W237" s="198"/>
      <c r="X237" s="33"/>
      <c r="Y237" s="197"/>
      <c r="Z237" s="198"/>
      <c r="AA237" s="196"/>
      <c r="AB237" s="196"/>
      <c r="AC237" s="194"/>
    </row>
    <row r="238" spans="1:29" s="81" customFormat="1" ht="13.5" customHeight="1">
      <c r="A238" s="176"/>
      <c r="B238" s="82"/>
      <c r="C238" s="227"/>
      <c r="D238" s="63"/>
      <c r="E238" s="63"/>
      <c r="F238" s="218"/>
      <c r="G238" s="182"/>
      <c r="H238" s="98"/>
      <c r="I238" s="98"/>
      <c r="J238" s="218"/>
      <c r="K238" s="98"/>
      <c r="L238" s="98"/>
      <c r="M238" s="98"/>
      <c r="N238" s="218"/>
      <c r="O238" s="218"/>
      <c r="P238" s="98"/>
      <c r="Q238" s="98"/>
      <c r="R238" s="98"/>
      <c r="S238" s="129"/>
      <c r="T238" s="199"/>
      <c r="U238" s="199"/>
      <c r="V238" s="199"/>
      <c r="W238" s="198"/>
      <c r="X238" s="33"/>
      <c r="Y238" s="197"/>
      <c r="Z238" s="198"/>
      <c r="AA238" s="196"/>
      <c r="AB238" s="196"/>
      <c r="AC238" s="194"/>
    </row>
    <row r="239" spans="1:29" s="81" customFormat="1" ht="13.5" customHeight="1">
      <c r="A239" s="176" t="str">
        <f>+Bonus!A239</f>
        <v>Murrieta Area - Closed Jobs</v>
      </c>
      <c r="B239" s="82"/>
      <c r="C239" s="227"/>
      <c r="D239" s="63"/>
      <c r="E239" s="63"/>
      <c r="F239" s="218"/>
      <c r="G239" s="182"/>
      <c r="H239" s="98"/>
      <c r="I239" s="98"/>
      <c r="J239" s="218"/>
      <c r="K239" s="98"/>
      <c r="L239" s="98"/>
      <c r="M239" s="98"/>
      <c r="N239" s="218"/>
      <c r="O239" s="218"/>
      <c r="P239" s="98"/>
      <c r="Q239" s="98"/>
      <c r="R239" s="98"/>
      <c r="S239" s="129"/>
      <c r="T239" s="199"/>
      <c r="U239" s="199"/>
      <c r="V239" s="199"/>
      <c r="W239" s="98"/>
      <c r="X239" s="33"/>
      <c r="Y239" s="197"/>
      <c r="Z239" s="198"/>
      <c r="AA239" s="196"/>
      <c r="AB239" s="196"/>
      <c r="AC239" s="194"/>
    </row>
    <row r="240" spans="1:29" s="81" customFormat="1" ht="13.5" customHeight="1">
      <c r="A240" s="259">
        <f>+Bonus!A240</f>
        <v>55.122999999999998</v>
      </c>
      <c r="B240" s="82" t="str">
        <f>+Bonus!B240</f>
        <v>Anaergia Technologies - VVWRA - DAF 3 Replacement</v>
      </c>
      <c r="C240" s="227">
        <f>+Bonus!C240</f>
        <v>2273682.69</v>
      </c>
      <c r="D240" s="63">
        <f>+Bonus!D240</f>
        <v>1665145.3</v>
      </c>
      <c r="E240" s="63">
        <f>+Bonus!E240</f>
        <v>608537.3899999999</v>
      </c>
      <c r="F240" s="218">
        <f>+Bonus!F240</f>
        <v>1665145.3</v>
      </c>
      <c r="G240" s="182">
        <f t="shared" ref="G240" si="227">IF(D240&lt;&gt;0,+F240/D240,0)</f>
        <v>1</v>
      </c>
      <c r="H240" s="98">
        <f t="shared" ref="H240" si="228">IF(E240&lt;=0,E240,IF(G240&lt;0.1,0,IF(G240&lt;=1,G240*E240,E240)))</f>
        <v>608537.3899999999</v>
      </c>
      <c r="I240" s="98">
        <f t="shared" ref="I240" si="229">+F240+H240</f>
        <v>2273682.69</v>
      </c>
      <c r="J240" s="218">
        <f>+Bonus!J240</f>
        <v>2273682.69</v>
      </c>
      <c r="K240" s="98">
        <f t="shared" ref="K240" si="230">J240-I240</f>
        <v>0</v>
      </c>
      <c r="L240" s="98">
        <f t="shared" ref="L240" si="231">+D240-F240</f>
        <v>0</v>
      </c>
      <c r="M240" s="98">
        <f t="shared" ref="M240" si="232">+C240-J240</f>
        <v>0</v>
      </c>
      <c r="N240" s="218">
        <f>+Bonus!N240</f>
        <v>1665145.3</v>
      </c>
      <c r="O240" s="218">
        <f>+Bonus!O240</f>
        <v>2273682.69</v>
      </c>
      <c r="P240" s="98">
        <f>Bonus!W240</f>
        <v>480252.03351581638</v>
      </c>
      <c r="Q240" s="98">
        <f t="shared" ref="Q240" si="233">F240-N240</f>
        <v>0</v>
      </c>
      <c r="R240" s="98">
        <f t="shared" ref="R240" si="234">+J240-O240</f>
        <v>0</v>
      </c>
      <c r="S240" s="129">
        <f t="shared" ref="S240" si="235">H240-P240</f>
        <v>128285.35648418352</v>
      </c>
      <c r="T240" s="199" t="str">
        <f>+Bonus!T240</f>
        <v>2023</v>
      </c>
      <c r="U240" s="199" t="str">
        <f>+Bonus!U240</f>
        <v>2025</v>
      </c>
      <c r="V240" s="199" t="str">
        <f>Bonus!V240</f>
        <v>.</v>
      </c>
      <c r="W240" s="98"/>
      <c r="X240" s="33"/>
      <c r="Y240" s="197"/>
      <c r="Z240" s="198"/>
      <c r="AA240" s="196"/>
      <c r="AB240" s="196"/>
      <c r="AC240" s="194"/>
    </row>
    <row r="241" spans="1:29" s="81" customFormat="1" ht="13.5" customHeight="1">
      <c r="A241" s="259">
        <f>+Bonus!A241</f>
        <v>55.123100000000001</v>
      </c>
      <c r="B241" s="82" t="str">
        <f>+Bonus!B241</f>
        <v>City of Corona - WRF 1 Aeration System Improvements</v>
      </c>
      <c r="C241" s="227">
        <f>+Bonus!C241</f>
        <v>4046200</v>
      </c>
      <c r="D241" s="63">
        <f>+Bonus!D241</f>
        <v>3321856.36</v>
      </c>
      <c r="E241" s="63">
        <f>+Bonus!E241</f>
        <v>724343.64000000013</v>
      </c>
      <c r="F241" s="218">
        <f>+Bonus!F241</f>
        <v>3321856.36</v>
      </c>
      <c r="G241" s="182">
        <f t="shared" ref="G241" si="236">IF(D241&lt;&gt;0,+F241/D241,0)</f>
        <v>1</v>
      </c>
      <c r="H241" s="98">
        <f t="shared" ref="H241" si="237">IF(E241&lt;=0,E241,IF(G241&lt;0.1,0,IF(G241&lt;=1,G241*E241,E241)))</f>
        <v>724343.64000000013</v>
      </c>
      <c r="I241" s="98">
        <f t="shared" ref="I241" si="238">+F241+H241</f>
        <v>4046200</v>
      </c>
      <c r="J241" s="218">
        <f>+Bonus!J241</f>
        <v>4046200</v>
      </c>
      <c r="K241" s="98">
        <f t="shared" ref="K241" si="239">J241-I241</f>
        <v>0</v>
      </c>
      <c r="L241" s="98">
        <f t="shared" ref="L241" si="240">+D241-F241</f>
        <v>0</v>
      </c>
      <c r="M241" s="98">
        <f t="shared" ref="M241" si="241">+C241-J241</f>
        <v>0</v>
      </c>
      <c r="N241" s="218">
        <f>+Bonus!N241</f>
        <v>3306207.75</v>
      </c>
      <c r="O241" s="218">
        <f>+Bonus!O241</f>
        <v>4027535</v>
      </c>
      <c r="P241" s="98">
        <f>Bonus!W241</f>
        <v>627907.39539551828</v>
      </c>
      <c r="Q241" s="98">
        <f t="shared" ref="Q241" si="242">F241-N241</f>
        <v>15648.60999999987</v>
      </c>
      <c r="R241" s="98">
        <f t="shared" ref="R241" si="243">+J241-O241</f>
        <v>18665</v>
      </c>
      <c r="S241" s="129">
        <f t="shared" ref="S241" si="244">H241-P241</f>
        <v>96436.24460448185</v>
      </c>
      <c r="T241" s="199" t="str">
        <f>+Bonus!T241</f>
        <v>2023</v>
      </c>
      <c r="U241" s="199" t="str">
        <f>+Bonus!U241</f>
        <v>2025</v>
      </c>
      <c r="V241" s="199" t="str">
        <f>Bonus!V241</f>
        <v>.</v>
      </c>
      <c r="W241" s="98"/>
      <c r="X241" s="33"/>
      <c r="Y241" s="197"/>
      <c r="Z241" s="198"/>
      <c r="AA241" s="196"/>
      <c r="AB241" s="196"/>
      <c r="AC241" s="194"/>
    </row>
    <row r="242" spans="1:29" s="81" customFormat="1" ht="13.5" customHeight="1">
      <c r="A242" s="259">
        <f>+Bonus!A242</f>
        <v>55.123800000000003</v>
      </c>
      <c r="B242" s="82" t="str">
        <f>+Bonus!B242</f>
        <v>Anaergia Technologies LLC - East County Package 5</v>
      </c>
      <c r="C242" s="227">
        <f>+Bonus!C242</f>
        <v>34207.53</v>
      </c>
      <c r="D242" s="63">
        <f>+Bonus!D242</f>
        <v>32500.859999999997</v>
      </c>
      <c r="E242" s="63">
        <f>+Bonus!E242</f>
        <v>1706.6700000000019</v>
      </c>
      <c r="F242" s="218">
        <f>+Bonus!F242</f>
        <v>32500.859999999997</v>
      </c>
      <c r="G242" s="182">
        <f t="shared" ref="G242" si="245">IF(D242&lt;&gt;0,+F242/D242,0)</f>
        <v>1</v>
      </c>
      <c r="H242" s="98">
        <f t="shared" ref="H242" si="246">IF(E242&lt;=0,E242,IF(G242&lt;0.1,0,IF(G242&lt;=1,G242*E242,E242)))</f>
        <v>1706.6700000000019</v>
      </c>
      <c r="I242" s="98">
        <f t="shared" ref="I242" si="247">+F242+H242</f>
        <v>34207.53</v>
      </c>
      <c r="J242" s="218">
        <f>+Bonus!J242</f>
        <v>34207.53</v>
      </c>
      <c r="K242" s="98">
        <f t="shared" ref="K242" si="248">J242-I242</f>
        <v>0</v>
      </c>
      <c r="L242" s="98">
        <f t="shared" ref="L242" si="249">+D242-F242</f>
        <v>0</v>
      </c>
      <c r="M242" s="98">
        <f t="shared" ref="M242" si="250">+C242-J242</f>
        <v>0</v>
      </c>
      <c r="N242" s="218">
        <f>+Bonus!N242</f>
        <v>26100.05</v>
      </c>
      <c r="O242" s="218">
        <f>+Bonus!O242</f>
        <v>34207.53</v>
      </c>
      <c r="P242" s="98">
        <f>Bonus!W242</f>
        <v>8107.48</v>
      </c>
      <c r="Q242" s="98">
        <f t="shared" ref="Q242" si="251">F242-N242</f>
        <v>6400.8099999999977</v>
      </c>
      <c r="R242" s="98">
        <f t="shared" ref="R242" si="252">+J242-O242</f>
        <v>0</v>
      </c>
      <c r="S242" s="129">
        <f t="shared" ref="S242" si="253">H242-P242</f>
        <v>-6400.8099999999977</v>
      </c>
      <c r="T242" s="199" t="str">
        <f>+Bonus!T242</f>
        <v>2023</v>
      </c>
      <c r="U242" s="199" t="str">
        <f>+Bonus!U242</f>
        <v>2025</v>
      </c>
      <c r="V242" s="199" t="str">
        <f>Bonus!V242</f>
        <v>&lt; 250k</v>
      </c>
      <c r="W242" s="98"/>
      <c r="X242" s="33"/>
      <c r="Y242" s="197"/>
      <c r="Z242" s="198"/>
      <c r="AA242" s="196"/>
      <c r="AB242" s="196"/>
      <c r="AC242" s="194"/>
    </row>
    <row r="243" spans="1:29" s="81" customFormat="1" ht="13.5" customHeight="1">
      <c r="A243" s="259">
        <f>+Bonus!A243</f>
        <v>55.125</v>
      </c>
      <c r="B243" s="82" t="str">
        <f>+Bonus!B243</f>
        <v>Anaergia Technologies LLC - VVWRA Digester Dome No. 1 Repair</v>
      </c>
      <c r="C243" s="227">
        <f>+Bonus!C243</f>
        <v>184557.17</v>
      </c>
      <c r="D243" s="63">
        <f>+Bonus!D243</f>
        <v>48293.94</v>
      </c>
      <c r="E243" s="63">
        <f>+Bonus!E243</f>
        <v>136263.23000000001</v>
      </c>
      <c r="F243" s="218">
        <f>+Bonus!F243</f>
        <v>48293.94</v>
      </c>
      <c r="G243" s="182">
        <f t="shared" ref="G243:G244" si="254">IF(D243&lt;&gt;0,+F243/D243,0)</f>
        <v>1</v>
      </c>
      <c r="H243" s="98">
        <f t="shared" ref="H243:H244" si="255">IF(E243&lt;=0,E243,IF(G243&lt;0.1,0,IF(G243&lt;=1,G243*E243,E243)))</f>
        <v>136263.23000000001</v>
      </c>
      <c r="I243" s="98">
        <f t="shared" ref="I243:I244" si="256">+F243+H243</f>
        <v>184557.17</v>
      </c>
      <c r="J243" s="218">
        <f>+Bonus!J243</f>
        <v>184557.17</v>
      </c>
      <c r="K243" s="98">
        <f t="shared" ref="K243:K244" si="257">J243-I243</f>
        <v>0</v>
      </c>
      <c r="L243" s="98">
        <f t="shared" ref="L243:L244" si="258">+D243-F243</f>
        <v>0</v>
      </c>
      <c r="M243" s="98">
        <f t="shared" ref="M243:M244" si="259">+C243-J243</f>
        <v>0</v>
      </c>
      <c r="N243" s="218">
        <f>+Bonus!N243</f>
        <v>46539.64</v>
      </c>
      <c r="O243" s="218">
        <f>+Bonus!O243</f>
        <v>184557.17</v>
      </c>
      <c r="P243" s="98">
        <f>Bonus!W243</f>
        <v>101052.15979904546</v>
      </c>
      <c r="Q243" s="98">
        <f t="shared" ref="Q243:Q244" si="260">F243-N243</f>
        <v>1754.3000000000029</v>
      </c>
      <c r="R243" s="98">
        <f t="shared" ref="R243:R244" si="261">+J243-O243</f>
        <v>0</v>
      </c>
      <c r="S243" s="129">
        <f t="shared" ref="S243:S244" si="262">H243-P243</f>
        <v>35211.070200954549</v>
      </c>
      <c r="T243" s="199" t="str">
        <f>+Bonus!T243</f>
        <v>2024</v>
      </c>
      <c r="U243" s="199" t="str">
        <f>+Bonus!U243</f>
        <v>2025</v>
      </c>
      <c r="V243" s="199" t="str">
        <f>Bonus!V243</f>
        <v>&lt; 250k</v>
      </c>
      <c r="W243" s="98"/>
      <c r="X243" s="33"/>
      <c r="Y243" s="197"/>
      <c r="Z243" s="198"/>
      <c r="AA243" s="196"/>
      <c r="AB243" s="196"/>
      <c r="AC243" s="194"/>
    </row>
    <row r="244" spans="1:29" s="81" customFormat="1" ht="13.5" customHeight="1">
      <c r="A244" s="259">
        <f>+Bonus!A244</f>
        <v>55.125100000000003</v>
      </c>
      <c r="B244" s="82" t="str">
        <f>+Bonus!B244</f>
        <v>Woodard &amp; Curran, Inc. - VVWRA Magnesium Hydroxide Feed System Upgrade</v>
      </c>
      <c r="C244" s="227">
        <f>+Bonus!C244</f>
        <v>322982.96000000002</v>
      </c>
      <c r="D244" s="63">
        <f>+Bonus!D244</f>
        <v>284221.86</v>
      </c>
      <c r="E244" s="63">
        <f>+Bonus!E244</f>
        <v>38761.100000000035</v>
      </c>
      <c r="F244" s="218">
        <f>+Bonus!F244</f>
        <v>284221.86</v>
      </c>
      <c r="G244" s="182">
        <f t="shared" si="254"/>
        <v>1</v>
      </c>
      <c r="H244" s="98">
        <f t="shared" si="255"/>
        <v>38761.100000000035</v>
      </c>
      <c r="I244" s="98">
        <f t="shared" si="256"/>
        <v>322982.96000000002</v>
      </c>
      <c r="J244" s="218">
        <f>+Bonus!J244</f>
        <v>322982.96000000002</v>
      </c>
      <c r="K244" s="98">
        <f t="shared" si="257"/>
        <v>0</v>
      </c>
      <c r="L244" s="98">
        <f t="shared" si="258"/>
        <v>0</v>
      </c>
      <c r="M244" s="98">
        <f t="shared" si="259"/>
        <v>0</v>
      </c>
      <c r="N244" s="218">
        <f>+Bonus!N244</f>
        <v>0</v>
      </c>
      <c r="O244" s="218">
        <f>+Bonus!O244</f>
        <v>0</v>
      </c>
      <c r="P244" s="98">
        <f>Bonus!W244</f>
        <v>0</v>
      </c>
      <c r="Q244" s="98">
        <f t="shared" si="260"/>
        <v>284221.86</v>
      </c>
      <c r="R244" s="98">
        <f t="shared" si="261"/>
        <v>322982.96000000002</v>
      </c>
      <c r="S244" s="129">
        <f t="shared" si="262"/>
        <v>38761.100000000035</v>
      </c>
      <c r="T244" s="199" t="str">
        <f>+Bonus!T244</f>
        <v>2025</v>
      </c>
      <c r="U244" s="199" t="str">
        <f>+Bonus!U244</f>
        <v>2025</v>
      </c>
      <c r="V244" s="199" t="str">
        <f>Bonus!V244</f>
        <v>.</v>
      </c>
      <c r="W244" s="98"/>
      <c r="X244" s="33"/>
      <c r="Y244" s="197"/>
      <c r="Z244" s="198"/>
      <c r="AA244" s="196"/>
      <c r="AB244" s="196"/>
      <c r="AC244" s="194"/>
    </row>
    <row r="245" spans="1:29" s="81" customFormat="1" ht="13.5" customHeight="1">
      <c r="A245" s="259">
        <f>+Bonus!A245</f>
        <v>55.1252</v>
      </c>
      <c r="B245" s="82" t="str">
        <f>+Bonus!B245</f>
        <v>Murrieta Overhead 2025</v>
      </c>
      <c r="C245" s="227">
        <f>+Bonus!C245</f>
        <v>0</v>
      </c>
      <c r="D245" s="63">
        <f>+Bonus!D245</f>
        <v>1958826.45</v>
      </c>
      <c r="E245" s="63">
        <f>+Bonus!E245</f>
        <v>-1958826.45</v>
      </c>
      <c r="F245" s="218">
        <f>+Bonus!F245</f>
        <v>1958826.45</v>
      </c>
      <c r="G245" s="182">
        <f t="shared" ref="G245:G246" si="263">IF(D245&lt;&gt;0,+F245/D245,0)</f>
        <v>1</v>
      </c>
      <c r="H245" s="98">
        <f t="shared" ref="H245:H246" si="264">IF(E245&lt;=0,E245,IF(G245&lt;0.1,0,IF(G245&lt;=1,G245*E245,E245)))</f>
        <v>-1958826.45</v>
      </c>
      <c r="I245" s="98">
        <f t="shared" ref="I245:I246" si="265">+F245+H245</f>
        <v>0</v>
      </c>
      <c r="J245" s="218">
        <f>+Bonus!J245</f>
        <v>0</v>
      </c>
      <c r="K245" s="98">
        <f t="shared" ref="K245:K246" si="266">J245-I245</f>
        <v>0</v>
      </c>
      <c r="L245" s="98">
        <f t="shared" ref="L245:L246" si="267">+D245-F245</f>
        <v>0</v>
      </c>
      <c r="M245" s="98">
        <f t="shared" ref="M245:M246" si="268">+C245-J245</f>
        <v>0</v>
      </c>
      <c r="N245" s="218">
        <f>+Bonus!N245</f>
        <v>0</v>
      </c>
      <c r="O245" s="218">
        <f>+Bonus!O245</f>
        <v>0</v>
      </c>
      <c r="P245" s="98">
        <f>Bonus!W245</f>
        <v>0</v>
      </c>
      <c r="Q245" s="98">
        <f t="shared" ref="Q245:Q246" si="269">F245-N245</f>
        <v>1958826.45</v>
      </c>
      <c r="R245" s="98">
        <f t="shared" ref="R245:R246" si="270">+J245-O245</f>
        <v>0</v>
      </c>
      <c r="S245" s="129">
        <f t="shared" ref="S245:S246" si="271">H245-P245</f>
        <v>-1958826.45</v>
      </c>
      <c r="T245" s="199" t="str">
        <f>+Bonus!T245</f>
        <v>2025</v>
      </c>
      <c r="U245" s="199" t="str">
        <f>+Bonus!U245</f>
        <v>2025</v>
      </c>
      <c r="V245" s="199" t="str">
        <f>Bonus!V245</f>
        <v>OH</v>
      </c>
      <c r="W245" s="98"/>
      <c r="X245" s="33"/>
      <c r="Y245" s="197"/>
      <c r="Z245" s="198"/>
      <c r="AA245" s="196"/>
      <c r="AB245" s="196"/>
      <c r="AC245" s="194"/>
    </row>
    <row r="246" spans="1:29" s="81" customFormat="1" ht="13.5" customHeight="1">
      <c r="A246" s="259">
        <f>+Bonus!A246</f>
        <v>55.125300000000003</v>
      </c>
      <c r="B246" s="82" t="str">
        <f>+Bonus!B246</f>
        <v>Murrieta Estimating 2025</v>
      </c>
      <c r="C246" s="227">
        <f>+Bonus!C246</f>
        <v>0</v>
      </c>
      <c r="D246" s="63">
        <f>+Bonus!D246</f>
        <v>475814.03</v>
      </c>
      <c r="E246" s="63">
        <f>+Bonus!E246</f>
        <v>-475814.03</v>
      </c>
      <c r="F246" s="218">
        <f>+Bonus!F246</f>
        <v>475814.03</v>
      </c>
      <c r="G246" s="182">
        <f t="shared" si="263"/>
        <v>1</v>
      </c>
      <c r="H246" s="98">
        <f t="shared" si="264"/>
        <v>-475814.03</v>
      </c>
      <c r="I246" s="98">
        <f t="shared" si="265"/>
        <v>0</v>
      </c>
      <c r="J246" s="218">
        <f>+Bonus!J246</f>
        <v>0</v>
      </c>
      <c r="K246" s="98">
        <f t="shared" si="266"/>
        <v>0</v>
      </c>
      <c r="L246" s="98">
        <f t="shared" si="267"/>
        <v>0</v>
      </c>
      <c r="M246" s="98">
        <f t="shared" si="268"/>
        <v>0</v>
      </c>
      <c r="N246" s="218">
        <f>+Bonus!N246</f>
        <v>0</v>
      </c>
      <c r="O246" s="218">
        <f>+Bonus!O246</f>
        <v>0</v>
      </c>
      <c r="P246" s="98">
        <f>Bonus!W246</f>
        <v>0</v>
      </c>
      <c r="Q246" s="98">
        <f t="shared" si="269"/>
        <v>475814.03</v>
      </c>
      <c r="R246" s="98">
        <f t="shared" si="270"/>
        <v>0</v>
      </c>
      <c r="S246" s="129">
        <f t="shared" si="271"/>
        <v>-475814.03</v>
      </c>
      <c r="T246" s="199" t="str">
        <f>+Bonus!T246</f>
        <v>2025</v>
      </c>
      <c r="U246" s="199" t="str">
        <f>+Bonus!U246</f>
        <v>2025</v>
      </c>
      <c r="V246" s="199" t="str">
        <f>Bonus!V246</f>
        <v>OH</v>
      </c>
      <c r="W246" s="98"/>
      <c r="X246" s="33"/>
      <c r="Y246" s="197"/>
      <c r="Z246" s="198"/>
      <c r="AA246" s="196"/>
      <c r="AB246" s="196"/>
      <c r="AC246" s="194"/>
    </row>
    <row r="247" spans="1:29" s="81" customFormat="1" ht="13.5" hidden="1" customHeight="1">
      <c r="A247" s="259"/>
      <c r="B247" s="82"/>
      <c r="C247" s="227"/>
      <c r="D247" s="63"/>
      <c r="E247" s="63"/>
      <c r="F247" s="218"/>
      <c r="G247" s="182"/>
      <c r="H247" s="98"/>
      <c r="I247" s="98"/>
      <c r="J247" s="218"/>
      <c r="K247" s="98"/>
      <c r="L247" s="98"/>
      <c r="M247" s="98"/>
      <c r="N247" s="218"/>
      <c r="O247" s="218"/>
      <c r="P247" s="98"/>
      <c r="Q247" s="98"/>
      <c r="R247" s="98"/>
      <c r="S247" s="129"/>
      <c r="T247" s="199"/>
      <c r="U247" s="199"/>
      <c r="V247" s="199"/>
      <c r="W247" s="98"/>
      <c r="X247" s="33"/>
      <c r="Y247" s="197"/>
      <c r="Z247" s="198"/>
      <c r="AA247" s="196"/>
      <c r="AB247" s="196"/>
      <c r="AC247" s="194"/>
    </row>
    <row r="248" spans="1:29" s="81" customFormat="1" ht="13.5" customHeight="1">
      <c r="A248" s="176" t="str">
        <f>+Bonus!A248</f>
        <v>Murrieta Area - Closed Jobs Totals</v>
      </c>
      <c r="B248" s="85"/>
      <c r="C248" s="193">
        <f>SUM(C$240:C$247)</f>
        <v>6861630.3499999996</v>
      </c>
      <c r="D248" s="193">
        <f t="shared" ref="D248:F248" si="272">SUM(D$240:D$247)</f>
        <v>7786658.8000000017</v>
      </c>
      <c r="E248" s="193">
        <f t="shared" si="272"/>
        <v>-925028.45</v>
      </c>
      <c r="F248" s="193">
        <f t="shared" si="272"/>
        <v>7786658.8000000017</v>
      </c>
      <c r="G248" s="86"/>
      <c r="H248" s="193">
        <f t="shared" ref="H248:S248" si="273">SUM(H$240:H$247)</f>
        <v>-925028.45</v>
      </c>
      <c r="I248" s="193">
        <f t="shared" si="273"/>
        <v>6861630.3499999996</v>
      </c>
      <c r="J248" s="193">
        <f t="shared" si="273"/>
        <v>6861630.3499999996</v>
      </c>
      <c r="K248" s="193">
        <f t="shared" si="273"/>
        <v>0</v>
      </c>
      <c r="L248" s="193">
        <f t="shared" si="273"/>
        <v>0</v>
      </c>
      <c r="M248" s="193">
        <f t="shared" si="273"/>
        <v>0</v>
      </c>
      <c r="N248" s="193">
        <f t="shared" si="273"/>
        <v>5043992.7399999993</v>
      </c>
      <c r="O248" s="193">
        <f t="shared" si="273"/>
        <v>6519982.3899999997</v>
      </c>
      <c r="P248" s="193">
        <f t="shared" si="273"/>
        <v>1217319.06871038</v>
      </c>
      <c r="Q248" s="193">
        <f t="shared" si="273"/>
        <v>2742666.0599999996</v>
      </c>
      <c r="R248" s="193">
        <f t="shared" si="273"/>
        <v>341647.96</v>
      </c>
      <c r="S248" s="193">
        <f t="shared" si="273"/>
        <v>-2142347.51871038</v>
      </c>
      <c r="T248" s="359"/>
      <c r="U248" s="359"/>
      <c r="V248" s="199"/>
      <c r="W248" s="198"/>
      <c r="X248" s="33"/>
      <c r="Y248" s="197"/>
      <c r="Z248" s="198"/>
      <c r="AA248" s="196"/>
      <c r="AB248" s="196"/>
      <c r="AC248" s="194"/>
    </row>
    <row r="249" spans="1:29" s="81" customFormat="1" ht="13.5" customHeight="1">
      <c r="A249" s="176" t="str">
        <f>+Bonus!A249</f>
        <v>Murrieta Area - Grand Totals</v>
      </c>
      <c r="B249" s="85"/>
      <c r="C249" s="193">
        <f>+C248+C237</f>
        <v>828881907.58999979</v>
      </c>
      <c r="D249" s="193">
        <f>+D248+D237</f>
        <v>800962584.19999981</v>
      </c>
      <c r="E249" s="193">
        <f>+E248+E237</f>
        <v>27919323.389999993</v>
      </c>
      <c r="F249" s="86">
        <f>+F248+F237</f>
        <v>627981827.88999987</v>
      </c>
      <c r="G249" s="86"/>
      <c r="H249" s="86">
        <f t="shared" ref="H249:S249" si="274">+H248+H237</f>
        <v>19663782.797052316</v>
      </c>
      <c r="I249" s="86">
        <f t="shared" si="274"/>
        <v>647645610.68705213</v>
      </c>
      <c r="J249" s="86">
        <f t="shared" si="274"/>
        <v>642384185.24000001</v>
      </c>
      <c r="K249" s="86">
        <f t="shared" si="274"/>
        <v>-5261425.4470523158</v>
      </c>
      <c r="L249" s="86">
        <f t="shared" si="274"/>
        <v>172980756.31</v>
      </c>
      <c r="M249" s="86">
        <f t="shared" si="274"/>
        <v>186497722.34999999</v>
      </c>
      <c r="N249" s="86">
        <f t="shared" si="274"/>
        <v>510552475.15999997</v>
      </c>
      <c r="O249" s="86">
        <f t="shared" si="274"/>
        <v>529524857.98999995</v>
      </c>
      <c r="P249" s="86">
        <f t="shared" si="274"/>
        <v>19478545.074941121</v>
      </c>
      <c r="Q249" s="86">
        <f t="shared" si="274"/>
        <v>117429352.73</v>
      </c>
      <c r="R249" s="86">
        <f t="shared" si="274"/>
        <v>112859327.25000001</v>
      </c>
      <c r="S249" s="86">
        <f t="shared" si="274"/>
        <v>185237.72211119207</v>
      </c>
      <c r="T249" s="359"/>
      <c r="U249" s="199"/>
      <c r="W249" s="198"/>
      <c r="X249" s="33"/>
      <c r="Y249" s="197"/>
      <c r="Z249" s="198"/>
      <c r="AA249" s="196"/>
      <c r="AB249" s="196"/>
      <c r="AC249" s="194"/>
    </row>
    <row r="250" spans="1:29" s="81" customFormat="1" ht="13.5" customHeight="1">
      <c r="A250" s="259"/>
      <c r="B250" s="82"/>
      <c r="C250" s="227"/>
      <c r="D250" s="63"/>
      <c r="E250" s="63"/>
      <c r="F250" s="218"/>
      <c r="G250" s="182"/>
      <c r="H250" s="98"/>
      <c r="I250" s="98"/>
      <c r="J250" s="218"/>
      <c r="K250" s="98"/>
      <c r="L250" s="98"/>
      <c r="M250" s="98"/>
      <c r="N250" s="218"/>
      <c r="O250" s="218"/>
      <c r="P250" s="98"/>
      <c r="Q250" s="98"/>
      <c r="R250" s="98"/>
      <c r="S250" s="129"/>
      <c r="T250" s="199"/>
      <c r="U250" s="199"/>
      <c r="V250" s="199"/>
      <c r="W250" s="198"/>
      <c r="X250" s="33"/>
      <c r="Y250" s="197"/>
      <c r="Z250" s="198"/>
      <c r="AA250" s="196"/>
      <c r="AB250" s="196"/>
      <c r="AC250" s="194"/>
    </row>
    <row r="251" spans="1:29" s="81" customFormat="1" ht="13.5" customHeight="1">
      <c r="A251" s="176" t="str">
        <f>+Bonus!A251</f>
        <v>San Diego Area - Open Jobs</v>
      </c>
      <c r="B251" s="82"/>
      <c r="C251" s="227"/>
      <c r="D251" s="63"/>
      <c r="E251" s="63"/>
      <c r="F251" s="218"/>
      <c r="G251" s="182"/>
      <c r="H251" s="98"/>
      <c r="I251" s="98"/>
      <c r="J251" s="218"/>
      <c r="K251" s="98"/>
      <c r="L251" s="98"/>
      <c r="M251" s="98"/>
      <c r="N251" s="218"/>
      <c r="O251" s="218"/>
      <c r="P251" s="98"/>
      <c r="Q251" s="98"/>
      <c r="R251" s="98"/>
      <c r="S251" s="129"/>
      <c r="T251" s="199"/>
      <c r="U251" s="199"/>
      <c r="V251" s="199"/>
      <c r="W251" s="198"/>
      <c r="X251" s="33"/>
      <c r="Y251" s="197"/>
      <c r="Z251" s="198"/>
      <c r="AA251" s="196"/>
      <c r="AB251" s="196"/>
      <c r="AC251" s="194"/>
    </row>
    <row r="252" spans="1:29" s="81" customFormat="1" ht="13.5" customHeight="1">
      <c r="A252" s="259">
        <f>+Bonus!A252</f>
        <v>57.000300000000003</v>
      </c>
      <c r="B252" s="82" t="str">
        <f>+Bonus!B252</f>
        <v>Moulton Niguel Water Dist. - Advanced Water Treatment Facility Salinity Management System - Ph 1</v>
      </c>
      <c r="C252" s="227">
        <f>+Bonus!C252</f>
        <v>38165419.5</v>
      </c>
      <c r="D252" s="63">
        <f>+Bonus!D252</f>
        <v>35758333.5</v>
      </c>
      <c r="E252" s="63">
        <f>+Bonus!E252</f>
        <v>2407086</v>
      </c>
      <c r="F252" s="218">
        <f>+Bonus!F252</f>
        <v>6316909.1299999999</v>
      </c>
      <c r="G252" s="182">
        <f t="shared" ref="G252:G253" si="275">IF(D252&lt;&gt;0,+F252/D252,0)</f>
        <v>0.17665557960076636</v>
      </c>
      <c r="H252" s="98">
        <f t="shared" ref="H252:H253" si="276">IF(E252&lt;=0,E252,IF(G252&lt;0.1,0,IF(G252&lt;=1,G252*E252,E252)))</f>
        <v>425225.17247889028</v>
      </c>
      <c r="I252" s="98">
        <f t="shared" ref="I252:I253" si="277">+F252+H252</f>
        <v>6742134.3024788899</v>
      </c>
      <c r="J252" s="218">
        <f>+Bonus!J252</f>
        <v>6863233.25</v>
      </c>
      <c r="K252" s="98">
        <f t="shared" ref="K252:K253" si="278">J252-I252</f>
        <v>121098.94752111007</v>
      </c>
      <c r="L252" s="98">
        <f t="shared" ref="L252:L253" si="279">+D252-F252</f>
        <v>29441424.370000001</v>
      </c>
      <c r="M252" s="98">
        <f t="shared" ref="M252:M253" si="280">+C252-J252</f>
        <v>31302186.25</v>
      </c>
      <c r="N252" s="218">
        <f>+Bonus!N252</f>
        <v>901841.91</v>
      </c>
      <c r="O252" s="218">
        <f>+Bonus!O252</f>
        <v>990201.09</v>
      </c>
      <c r="P252" s="98">
        <f>Bonus!W252</f>
        <v>96385.411809887213</v>
      </c>
      <c r="Q252" s="98">
        <f t="shared" ref="Q252:Q253" si="281">F252-N252</f>
        <v>5415067.2199999997</v>
      </c>
      <c r="R252" s="98">
        <f t="shared" ref="R252:R253" si="282">+J252-O252</f>
        <v>5873032.1600000001</v>
      </c>
      <c r="S252" s="129">
        <f t="shared" ref="S252:S253" si="283">H252-P252</f>
        <v>328839.76066900307</v>
      </c>
      <c r="T252" s="199" t="str">
        <f>+Bonus!T252</f>
        <v>2024</v>
      </c>
      <c r="U252" s="199">
        <f>+Bonus!U252</f>
        <v>0</v>
      </c>
      <c r="V252" s="199" t="str">
        <f>Bonus!V252</f>
        <v>.</v>
      </c>
      <c r="W252" s="198"/>
      <c r="X252" s="33"/>
      <c r="Y252" s="197"/>
      <c r="Z252" s="198"/>
      <c r="AA252" s="196"/>
      <c r="AB252" s="196"/>
      <c r="AC252" s="194"/>
    </row>
    <row r="253" spans="1:29" s="81" customFormat="1" ht="13.5" customHeight="1">
      <c r="A253" s="259">
        <f>+Bonus!A253</f>
        <v>57.000399999999999</v>
      </c>
      <c r="B253" s="82" t="str">
        <f>+Bonus!B253</f>
        <v>Santa Margarita Water Dist. - Oso Creek Water Reclamation Plant Optimization Project</v>
      </c>
      <c r="C253" s="227">
        <f>+Bonus!C253</f>
        <v>40106224.630000003</v>
      </c>
      <c r="D253" s="63">
        <f>+Bonus!D253</f>
        <v>37896367.630000003</v>
      </c>
      <c r="E253" s="63">
        <f>+Bonus!E253</f>
        <v>2209857</v>
      </c>
      <c r="F253" s="218">
        <f>+Bonus!F253</f>
        <v>750298.86</v>
      </c>
      <c r="G253" s="182">
        <f t="shared" si="275"/>
        <v>1.9798701219217615E-2</v>
      </c>
      <c r="H253" s="98">
        <f t="shared" si="276"/>
        <v>0</v>
      </c>
      <c r="I253" s="98">
        <f t="shared" si="277"/>
        <v>750298.86</v>
      </c>
      <c r="J253" s="218">
        <f>+Bonus!J253</f>
        <v>900072.76</v>
      </c>
      <c r="K253" s="98">
        <f t="shared" si="278"/>
        <v>149773.90000000002</v>
      </c>
      <c r="L253" s="98">
        <f t="shared" si="279"/>
        <v>37146068.770000003</v>
      </c>
      <c r="M253" s="98">
        <f t="shared" si="280"/>
        <v>39206151.870000005</v>
      </c>
      <c r="N253" s="218">
        <f>+Bonus!N253</f>
        <v>686907.74</v>
      </c>
      <c r="O253" s="218">
        <f>+Bonus!O253</f>
        <v>900072.76</v>
      </c>
      <c r="P253" s="98">
        <f>Bonus!W253</f>
        <v>0</v>
      </c>
      <c r="Q253" s="98">
        <f t="shared" si="281"/>
        <v>63391.119999999995</v>
      </c>
      <c r="R253" s="98">
        <f t="shared" si="282"/>
        <v>0</v>
      </c>
      <c r="S253" s="129">
        <f t="shared" si="283"/>
        <v>0</v>
      </c>
      <c r="T253" s="199" t="str">
        <f>+Bonus!T253</f>
        <v>2024</v>
      </c>
      <c r="U253" s="199">
        <f>+Bonus!U253</f>
        <v>0</v>
      </c>
      <c r="V253" s="199" t="str">
        <f>Bonus!V253</f>
        <v>.</v>
      </c>
      <c r="W253" s="198"/>
      <c r="X253" s="33"/>
      <c r="Y253" s="197"/>
      <c r="Z253" s="198"/>
      <c r="AA253" s="196"/>
      <c r="AB253" s="196"/>
      <c r="AC253" s="194"/>
    </row>
    <row r="254" spans="1:29" s="81" customFormat="1" ht="13.5" customHeight="1">
      <c r="A254" s="614">
        <f>+Bonus!A254</f>
        <v>57.000700000000002</v>
      </c>
      <c r="B254" s="82" t="str">
        <f>+Bonus!B254</f>
        <v>Anaergia Technologies, LLC - East County Package 5 - Phase 1B</v>
      </c>
      <c r="C254" s="227">
        <f>F254</f>
        <v>196248.4</v>
      </c>
      <c r="D254" s="63">
        <f>F254</f>
        <v>196248.4</v>
      </c>
      <c r="E254" s="63">
        <f>C254-D254</f>
        <v>0</v>
      </c>
      <c r="F254" s="218">
        <f>+Bonus!F254</f>
        <v>196248.4</v>
      </c>
      <c r="G254" s="182">
        <f t="shared" ref="G254" si="284">IF(D254&lt;&gt;0,+F254/D254,0)</f>
        <v>1</v>
      </c>
      <c r="H254" s="98">
        <f t="shared" ref="H254" si="285">IF(E254&lt;=0,E254,IF(G254&lt;0.1,0,IF(G254&lt;=1,G254*E254,E254)))</f>
        <v>0</v>
      </c>
      <c r="I254" s="98">
        <f t="shared" ref="I254" si="286">+F254+H254</f>
        <v>196248.4</v>
      </c>
      <c r="J254" s="218">
        <f>+Bonus!J254</f>
        <v>153858.35999999999</v>
      </c>
      <c r="K254" s="98">
        <f t="shared" ref="K254" si="287">J254-I254</f>
        <v>-42390.040000000008</v>
      </c>
      <c r="L254" s="98">
        <f t="shared" ref="L254" si="288">+D254-F254</f>
        <v>0</v>
      </c>
      <c r="M254" s="98">
        <f t="shared" ref="M254" si="289">+C254-J254</f>
        <v>42390.040000000008</v>
      </c>
      <c r="N254" s="218">
        <f>+Bonus!N254</f>
        <v>0</v>
      </c>
      <c r="O254" s="218">
        <f>+Bonus!O254</f>
        <v>0</v>
      </c>
      <c r="P254" s="98">
        <f>Bonus!W254</f>
        <v>0</v>
      </c>
      <c r="Q254" s="98">
        <f t="shared" ref="Q254" si="290">F254-N254</f>
        <v>196248.4</v>
      </c>
      <c r="R254" s="98">
        <f t="shared" ref="R254" si="291">+J254-O254</f>
        <v>153858.35999999999</v>
      </c>
      <c r="S254" s="129">
        <f t="shared" ref="S254" si="292">H254-P254</f>
        <v>0</v>
      </c>
      <c r="T254" s="199" t="str">
        <f>+Bonus!T254</f>
        <v>2025</v>
      </c>
      <c r="U254" s="199">
        <f>+Bonus!U254</f>
        <v>0</v>
      </c>
      <c r="V254" s="199" t="str">
        <f>Bonus!V254</f>
        <v>&lt; 250k</v>
      </c>
      <c r="W254" s="198"/>
      <c r="X254" s="33"/>
      <c r="Y254" s="197"/>
      <c r="Z254" s="198"/>
      <c r="AA254" s="196"/>
      <c r="AB254" s="196"/>
      <c r="AC254" s="194"/>
    </row>
    <row r="255" spans="1:29" s="81" customFormat="1" ht="13.5" customHeight="1">
      <c r="A255" s="259">
        <f>+Bonus!A255</f>
        <v>57.000799999999998</v>
      </c>
      <c r="B255" s="82" t="str">
        <f>+Bonus!B255</f>
        <v>Imperial Irrigation Dist. - El Centro Generating Station WWTP</v>
      </c>
      <c r="C255" s="227">
        <f>+Bonus!C255</f>
        <v>2876047</v>
      </c>
      <c r="D255" s="63">
        <f>+Bonus!D255</f>
        <v>2743982</v>
      </c>
      <c r="E255" s="63">
        <f>+Bonus!E255</f>
        <v>132065</v>
      </c>
      <c r="F255" s="218">
        <f>+Bonus!F255</f>
        <v>262382.86</v>
      </c>
      <c r="G255" s="182">
        <f t="shared" ref="G255" si="293">IF(D255&lt;&gt;0,+F255/D255,0)</f>
        <v>9.5621203054538986E-2</v>
      </c>
      <c r="H255" s="98">
        <f t="shared" ref="H255" si="294">IF(E255&lt;=0,E255,IF(G255&lt;0.1,0,IF(G255&lt;=1,G255*E255,E255)))</f>
        <v>0</v>
      </c>
      <c r="I255" s="98">
        <f t="shared" ref="I255" si="295">+F255+H255</f>
        <v>262382.86</v>
      </c>
      <c r="J255" s="218">
        <f>+Bonus!J255</f>
        <v>266758</v>
      </c>
      <c r="K255" s="98">
        <f t="shared" ref="K255" si="296">J255-I255</f>
        <v>4375.140000000014</v>
      </c>
      <c r="L255" s="98">
        <f t="shared" ref="L255" si="297">+D255-F255</f>
        <v>2481599.14</v>
      </c>
      <c r="M255" s="98">
        <f t="shared" ref="M255" si="298">+C255-J255</f>
        <v>2609289</v>
      </c>
      <c r="N255" s="218">
        <f>+Bonus!N255</f>
        <v>0</v>
      </c>
      <c r="O255" s="218">
        <f>+Bonus!O255</f>
        <v>0</v>
      </c>
      <c r="P255" s="98">
        <f>Bonus!W255</f>
        <v>0</v>
      </c>
      <c r="Q255" s="98">
        <f t="shared" ref="Q255" si="299">F255-N255</f>
        <v>262382.86</v>
      </c>
      <c r="R255" s="98">
        <f t="shared" ref="R255" si="300">+J255-O255</f>
        <v>266758</v>
      </c>
      <c r="S255" s="129">
        <f t="shared" ref="S255" si="301">H255-P255</f>
        <v>0</v>
      </c>
      <c r="T255" s="199" t="str">
        <f>+Bonus!T255</f>
        <v>2025</v>
      </c>
      <c r="U255" s="199">
        <f>+Bonus!U255</f>
        <v>0</v>
      </c>
      <c r="V255" s="199" t="str">
        <f>Bonus!V255</f>
        <v>.</v>
      </c>
      <c r="W255" s="198"/>
      <c r="X255" s="33"/>
      <c r="Y255" s="197"/>
      <c r="Z255" s="198"/>
      <c r="AA255" s="196"/>
      <c r="AB255" s="196"/>
      <c r="AC255" s="194"/>
    </row>
    <row r="256" spans="1:29" s="81" customFormat="1" ht="13.5" hidden="1" customHeight="1">
      <c r="A256" s="259"/>
      <c r="B256" s="82"/>
      <c r="C256" s="227"/>
      <c r="D256" s="63"/>
      <c r="E256" s="63"/>
      <c r="F256" s="218"/>
      <c r="G256" s="182"/>
      <c r="H256" s="98"/>
      <c r="I256" s="98"/>
      <c r="J256" s="218"/>
      <c r="K256" s="98"/>
      <c r="L256" s="98"/>
      <c r="M256" s="98"/>
      <c r="N256" s="218"/>
      <c r="O256" s="218"/>
      <c r="P256" s="98"/>
      <c r="Q256" s="98"/>
      <c r="R256" s="98"/>
      <c r="S256" s="129"/>
      <c r="T256" s="199"/>
      <c r="U256" s="199"/>
      <c r="V256" s="82"/>
      <c r="W256" s="198"/>
      <c r="X256" s="33"/>
      <c r="Y256" s="197"/>
      <c r="Z256" s="198"/>
      <c r="AA256" s="196"/>
      <c r="AB256" s="196"/>
      <c r="AC256" s="194"/>
    </row>
    <row r="257" spans="1:29" s="81" customFormat="1" ht="13.5" customHeight="1">
      <c r="A257" s="176" t="str">
        <f>+Bonus!A257</f>
        <v>San Diego Area - Open Jobs Totals</v>
      </c>
      <c r="B257" s="82"/>
      <c r="C257" s="193">
        <f>SUM(C$252:C$256)</f>
        <v>81343939.530000001</v>
      </c>
      <c r="D257" s="193">
        <f>SUM(D$252:D$256)</f>
        <v>76594931.530000001</v>
      </c>
      <c r="E257" s="193">
        <f>SUM(E$252:E$256)</f>
        <v>4749008</v>
      </c>
      <c r="F257" s="193">
        <f>SUM(F$252:F$256)</f>
        <v>7525839.2500000009</v>
      </c>
      <c r="G257" s="182"/>
      <c r="H257" s="193">
        <f t="shared" ref="H257:S257" si="302">SUM(H$252:H$256)</f>
        <v>425225.17247889028</v>
      </c>
      <c r="I257" s="193">
        <f t="shared" si="302"/>
        <v>7951064.422478891</v>
      </c>
      <c r="J257" s="193">
        <f t="shared" si="302"/>
        <v>8183922.3700000001</v>
      </c>
      <c r="K257" s="193">
        <f t="shared" si="302"/>
        <v>232857.94752111009</v>
      </c>
      <c r="L257" s="193">
        <f t="shared" si="302"/>
        <v>69069092.280000001</v>
      </c>
      <c r="M257" s="193">
        <f t="shared" si="302"/>
        <v>73160017.160000011</v>
      </c>
      <c r="N257" s="193">
        <f t="shared" si="302"/>
        <v>1588749.65</v>
      </c>
      <c r="O257" s="193">
        <f t="shared" si="302"/>
        <v>1890273.85</v>
      </c>
      <c r="P257" s="193">
        <f t="shared" si="302"/>
        <v>96385.411809887213</v>
      </c>
      <c r="Q257" s="193">
        <f t="shared" si="302"/>
        <v>5937089.6000000006</v>
      </c>
      <c r="R257" s="193">
        <f t="shared" si="302"/>
        <v>6293648.5200000005</v>
      </c>
      <c r="S257" s="193">
        <f t="shared" si="302"/>
        <v>328839.76066900307</v>
      </c>
      <c r="T257" s="199"/>
      <c r="U257" s="199"/>
      <c r="V257" s="82"/>
      <c r="W257" s="198"/>
      <c r="X257" s="33"/>
      <c r="Y257" s="197"/>
      <c r="Z257" s="198"/>
      <c r="AA257" s="196"/>
      <c r="AB257" s="196"/>
      <c r="AC257" s="194"/>
    </row>
    <row r="258" spans="1:29" s="81" customFormat="1" ht="13.5" customHeight="1">
      <c r="A258" s="259"/>
      <c r="B258" s="82"/>
      <c r="C258" s="227"/>
      <c r="D258" s="63"/>
      <c r="E258" s="63"/>
      <c r="F258" s="218"/>
      <c r="G258" s="182"/>
      <c r="H258" s="98"/>
      <c r="I258" s="98"/>
      <c r="J258" s="218"/>
      <c r="K258" s="98"/>
      <c r="L258" s="98"/>
      <c r="M258" s="98"/>
      <c r="N258" s="218"/>
      <c r="O258" s="218"/>
      <c r="P258" s="98"/>
      <c r="Q258" s="98"/>
      <c r="R258" s="98"/>
      <c r="S258" s="129"/>
      <c r="T258" s="199"/>
      <c r="U258" s="199"/>
      <c r="V258" s="82"/>
      <c r="W258" s="198"/>
      <c r="X258" s="33"/>
      <c r="Y258" s="197"/>
      <c r="Z258" s="198"/>
      <c r="AA258" s="196"/>
      <c r="AB258" s="196"/>
      <c r="AC258" s="194"/>
    </row>
    <row r="259" spans="1:29" s="81" customFormat="1" ht="13.5" customHeight="1">
      <c r="A259" s="176" t="str">
        <f>+Bonus!A259</f>
        <v>San Diego Area - Closed Jobs</v>
      </c>
      <c r="B259" s="82"/>
      <c r="C259" s="227"/>
      <c r="D259" s="63"/>
      <c r="E259" s="63"/>
      <c r="F259" s="218"/>
      <c r="G259" s="182"/>
      <c r="H259" s="98"/>
      <c r="I259" s="98"/>
      <c r="J259" s="218"/>
      <c r="K259" s="98"/>
      <c r="L259" s="98"/>
      <c r="M259" s="98"/>
      <c r="N259" s="218"/>
      <c r="O259" s="218"/>
      <c r="P259" s="98"/>
      <c r="Q259" s="98"/>
      <c r="R259" s="98"/>
      <c r="S259" s="129"/>
      <c r="T259" s="199"/>
      <c r="U259" s="199"/>
      <c r="V259" s="82"/>
      <c r="W259" s="198"/>
      <c r="X259" s="33"/>
      <c r="Y259" s="197"/>
      <c r="Z259" s="198"/>
      <c r="AA259" s="196"/>
      <c r="AB259" s="196"/>
      <c r="AC259" s="194"/>
    </row>
    <row r="260" spans="1:29" s="81" customFormat="1" ht="13.5" customHeight="1">
      <c r="A260" s="259">
        <f>+Bonus!A260</f>
        <v>57.000500000000002</v>
      </c>
      <c r="B260" s="82" t="str">
        <f>+Bonus!B260</f>
        <v>San Diego Overhead 2025</v>
      </c>
      <c r="C260" s="227">
        <f>+Bonus!C260</f>
        <v>0</v>
      </c>
      <c r="D260" s="63">
        <f>+Bonus!D260</f>
        <v>92874.26</v>
      </c>
      <c r="E260" s="63">
        <f>+Bonus!E260</f>
        <v>-92874.26</v>
      </c>
      <c r="F260" s="218">
        <f>+Bonus!F260</f>
        <v>92874.26</v>
      </c>
      <c r="G260" s="182">
        <f t="shared" ref="G260:G261" si="303">IF(D260&lt;&gt;0,+F260/D260,0)</f>
        <v>1</v>
      </c>
      <c r="H260" s="98">
        <f t="shared" ref="H260:H261" si="304">IF(E260&lt;=0,E260,IF(G260&lt;0.1,0,IF(G260&lt;=1,G260*E260,E260)))</f>
        <v>-92874.26</v>
      </c>
      <c r="I260" s="98">
        <f t="shared" ref="I260:I261" si="305">+F260+H260</f>
        <v>0</v>
      </c>
      <c r="J260" s="218">
        <f>+Bonus!J260</f>
        <v>0</v>
      </c>
      <c r="K260" s="98">
        <f t="shared" ref="K260:K261" si="306">J260-I260</f>
        <v>0</v>
      </c>
      <c r="L260" s="98">
        <f t="shared" ref="L260:L261" si="307">+D260-F260</f>
        <v>0</v>
      </c>
      <c r="M260" s="98">
        <f t="shared" ref="M260:M261" si="308">+C260-J260</f>
        <v>0</v>
      </c>
      <c r="N260" s="218">
        <f>+Bonus!N260</f>
        <v>0</v>
      </c>
      <c r="O260" s="218">
        <f>+Bonus!O260</f>
        <v>0</v>
      </c>
      <c r="P260" s="98">
        <f>Bonus!W260</f>
        <v>0</v>
      </c>
      <c r="Q260" s="98">
        <f t="shared" ref="Q260:Q261" si="309">F260-N260</f>
        <v>92874.26</v>
      </c>
      <c r="R260" s="98">
        <f t="shared" ref="R260:R261" si="310">+J260-O260</f>
        <v>0</v>
      </c>
      <c r="S260" s="129">
        <f t="shared" ref="S260:S261" si="311">H260-P260</f>
        <v>-92874.26</v>
      </c>
      <c r="T260" s="199" t="str">
        <f>+Bonus!T260</f>
        <v>2025</v>
      </c>
      <c r="U260" s="199" t="str">
        <f>+Bonus!U260</f>
        <v>2025</v>
      </c>
      <c r="V260" s="199" t="str">
        <f>Bonus!V260</f>
        <v>OH</v>
      </c>
      <c r="W260" s="198"/>
      <c r="X260" s="33"/>
      <c r="Y260" s="197"/>
      <c r="Z260" s="198"/>
      <c r="AA260" s="196"/>
      <c r="AB260" s="196"/>
      <c r="AC260" s="194"/>
    </row>
    <row r="261" spans="1:29" s="81" customFormat="1" ht="13.5" customHeight="1">
      <c r="A261" s="259">
        <f>+Bonus!A261</f>
        <v>57.000599999999999</v>
      </c>
      <c r="B261" s="82" t="str">
        <f>+Bonus!B261</f>
        <v>San Diego Estimating 2025</v>
      </c>
      <c r="C261" s="227">
        <f>+Bonus!C261</f>
        <v>0</v>
      </c>
      <c r="D261" s="63">
        <f>+Bonus!D261</f>
        <v>13743.76</v>
      </c>
      <c r="E261" s="63">
        <f>+Bonus!E261</f>
        <v>-13743.76</v>
      </c>
      <c r="F261" s="218">
        <f>+Bonus!F261</f>
        <v>13743.76</v>
      </c>
      <c r="G261" s="182">
        <f t="shared" si="303"/>
        <v>1</v>
      </c>
      <c r="H261" s="98">
        <f t="shared" si="304"/>
        <v>-13743.76</v>
      </c>
      <c r="I261" s="98">
        <f t="shared" si="305"/>
        <v>0</v>
      </c>
      <c r="J261" s="218">
        <f>+Bonus!J261</f>
        <v>0</v>
      </c>
      <c r="K261" s="98">
        <f t="shared" si="306"/>
        <v>0</v>
      </c>
      <c r="L261" s="98">
        <f t="shared" si="307"/>
        <v>0</v>
      </c>
      <c r="M261" s="98">
        <f t="shared" si="308"/>
        <v>0</v>
      </c>
      <c r="N261" s="218">
        <f>+Bonus!N261</f>
        <v>0</v>
      </c>
      <c r="O261" s="218">
        <f>+Bonus!O261</f>
        <v>0</v>
      </c>
      <c r="P261" s="98">
        <f>Bonus!W261</f>
        <v>0</v>
      </c>
      <c r="Q261" s="98">
        <f t="shared" si="309"/>
        <v>13743.76</v>
      </c>
      <c r="R261" s="98">
        <f t="shared" si="310"/>
        <v>0</v>
      </c>
      <c r="S261" s="129">
        <f t="shared" si="311"/>
        <v>-13743.76</v>
      </c>
      <c r="T261" s="199" t="str">
        <f>+Bonus!T261</f>
        <v>2025</v>
      </c>
      <c r="U261" s="199" t="str">
        <f>+Bonus!U261</f>
        <v>2025</v>
      </c>
      <c r="V261" s="199" t="str">
        <f>Bonus!V261</f>
        <v>OH</v>
      </c>
      <c r="W261" s="198"/>
      <c r="X261" s="33"/>
      <c r="Y261" s="197"/>
      <c r="Z261" s="198"/>
      <c r="AA261" s="196"/>
      <c r="AB261" s="196"/>
      <c r="AC261" s="194"/>
    </row>
    <row r="262" spans="1:29" s="81" customFormat="1" ht="13.5" hidden="1" customHeight="1">
      <c r="A262" s="259"/>
      <c r="B262" s="82"/>
      <c r="C262" s="227"/>
      <c r="D262" s="63"/>
      <c r="E262" s="63"/>
      <c r="F262" s="218"/>
      <c r="G262" s="182"/>
      <c r="H262" s="98"/>
      <c r="I262" s="98"/>
      <c r="J262" s="218"/>
      <c r="K262" s="98"/>
      <c r="L262" s="98"/>
      <c r="M262" s="98"/>
      <c r="N262" s="218"/>
      <c r="O262" s="218"/>
      <c r="P262" s="98"/>
      <c r="Q262" s="98"/>
      <c r="R262" s="98"/>
      <c r="S262" s="129"/>
      <c r="T262" s="199"/>
      <c r="U262" s="199"/>
      <c r="V262" s="82"/>
      <c r="W262" s="198"/>
      <c r="X262" s="33"/>
      <c r="Y262" s="197"/>
      <c r="Z262" s="198"/>
      <c r="AA262" s="196"/>
      <c r="AB262" s="196"/>
      <c r="AC262" s="194"/>
    </row>
    <row r="263" spans="1:29" s="81" customFormat="1" ht="13.5" customHeight="1">
      <c r="A263" s="176" t="str">
        <f>+Bonus!A263</f>
        <v>San Diego Area - Closed Jobs Totals</v>
      </c>
      <c r="B263" s="82"/>
      <c r="C263" s="193">
        <f>SUM(C$260:C$262)</f>
        <v>0</v>
      </c>
      <c r="D263" s="193">
        <f t="shared" ref="D263:F263" si="312">SUM(D$260:D$262)</f>
        <v>106618.01999999999</v>
      </c>
      <c r="E263" s="193">
        <f t="shared" si="312"/>
        <v>-106618.01999999999</v>
      </c>
      <c r="F263" s="193">
        <f t="shared" si="312"/>
        <v>106618.01999999999</v>
      </c>
      <c r="G263" s="182"/>
      <c r="H263" s="193">
        <f t="shared" ref="H263:S263" si="313">SUM(H$260:H$262)</f>
        <v>-106618.01999999999</v>
      </c>
      <c r="I263" s="193">
        <f t="shared" si="313"/>
        <v>0</v>
      </c>
      <c r="J263" s="193">
        <f t="shared" si="313"/>
        <v>0</v>
      </c>
      <c r="K263" s="193">
        <f t="shared" si="313"/>
        <v>0</v>
      </c>
      <c r="L263" s="193">
        <f t="shared" si="313"/>
        <v>0</v>
      </c>
      <c r="M263" s="193">
        <f t="shared" si="313"/>
        <v>0</v>
      </c>
      <c r="N263" s="193">
        <f t="shared" si="313"/>
        <v>0</v>
      </c>
      <c r="O263" s="193">
        <f t="shared" si="313"/>
        <v>0</v>
      </c>
      <c r="P263" s="193">
        <f t="shared" si="313"/>
        <v>0</v>
      </c>
      <c r="Q263" s="193">
        <f t="shared" si="313"/>
        <v>106618.01999999999</v>
      </c>
      <c r="R263" s="193">
        <f t="shared" si="313"/>
        <v>0</v>
      </c>
      <c r="S263" s="193">
        <f t="shared" si="313"/>
        <v>-106618.01999999999</v>
      </c>
      <c r="T263" s="199"/>
      <c r="U263" s="199"/>
      <c r="V263" s="82"/>
      <c r="W263" s="198"/>
      <c r="X263" s="33"/>
      <c r="Y263" s="197"/>
      <c r="Z263" s="198"/>
      <c r="AA263" s="196"/>
      <c r="AB263" s="196"/>
      <c r="AC263" s="194"/>
    </row>
    <row r="264" spans="1:29" s="81" customFormat="1" ht="13.5" customHeight="1">
      <c r="A264" s="176" t="str">
        <f>+Bonus!A264</f>
        <v>San Diego - Grand Totals</v>
      </c>
      <c r="B264" s="82"/>
      <c r="C264" s="193">
        <f>+C263+C257</f>
        <v>81343939.530000001</v>
      </c>
      <c r="D264" s="193">
        <f>+D263+D257</f>
        <v>76701549.549999997</v>
      </c>
      <c r="E264" s="193">
        <f>+E263+E257</f>
        <v>4642389.9800000004</v>
      </c>
      <c r="F264" s="193">
        <f>+F263+F257</f>
        <v>7632457.2700000005</v>
      </c>
      <c r="G264" s="182"/>
      <c r="H264" s="193">
        <f t="shared" ref="H264:S264" si="314">+H263+H257</f>
        <v>318607.15247889026</v>
      </c>
      <c r="I264" s="193">
        <f t="shared" si="314"/>
        <v>7951064.422478891</v>
      </c>
      <c r="J264" s="193">
        <f t="shared" si="314"/>
        <v>8183922.3700000001</v>
      </c>
      <c r="K264" s="193">
        <f t="shared" si="314"/>
        <v>232857.94752111009</v>
      </c>
      <c r="L264" s="193">
        <f t="shared" si="314"/>
        <v>69069092.280000001</v>
      </c>
      <c r="M264" s="193">
        <f t="shared" si="314"/>
        <v>73160017.160000011</v>
      </c>
      <c r="N264" s="193">
        <f t="shared" si="314"/>
        <v>1588749.65</v>
      </c>
      <c r="O264" s="193">
        <f t="shared" si="314"/>
        <v>1890273.85</v>
      </c>
      <c r="P264" s="193">
        <f t="shared" si="314"/>
        <v>96385.411809887213</v>
      </c>
      <c r="Q264" s="193">
        <f t="shared" si="314"/>
        <v>6043707.6200000001</v>
      </c>
      <c r="R264" s="193">
        <f t="shared" si="314"/>
        <v>6293648.5200000005</v>
      </c>
      <c r="S264" s="193">
        <f t="shared" si="314"/>
        <v>222221.74066900308</v>
      </c>
      <c r="T264" s="199"/>
      <c r="U264" s="199"/>
      <c r="V264" s="82"/>
      <c r="W264" s="198"/>
      <c r="X264" s="33"/>
      <c r="Y264" s="197"/>
      <c r="Z264" s="198"/>
      <c r="AA264" s="196"/>
      <c r="AB264" s="196"/>
      <c r="AC264" s="194"/>
    </row>
    <row r="265" spans="1:29" s="81" customFormat="1" ht="13.5" customHeight="1">
      <c r="A265" s="259"/>
      <c r="B265" s="82"/>
      <c r="C265" s="227"/>
      <c r="D265" s="63"/>
      <c r="E265" s="63"/>
      <c r="F265" s="218"/>
      <c r="G265" s="182"/>
      <c r="H265" s="98"/>
      <c r="I265" s="98"/>
      <c r="J265" s="218"/>
      <c r="K265" s="98"/>
      <c r="L265" s="98"/>
      <c r="M265" s="98"/>
      <c r="N265" s="218"/>
      <c r="O265" s="218"/>
      <c r="P265" s="98"/>
      <c r="Q265" s="98"/>
      <c r="R265" s="98"/>
      <c r="S265" s="129"/>
      <c r="T265" s="199"/>
      <c r="U265" s="199"/>
      <c r="V265" s="82"/>
      <c r="W265" s="198"/>
      <c r="X265" s="33"/>
      <c r="Y265" s="197"/>
      <c r="Z265" s="198"/>
      <c r="AA265" s="196"/>
      <c r="AB265" s="196"/>
      <c r="AC265" s="194"/>
    </row>
    <row r="266" spans="1:29" s="81" customFormat="1" ht="13.5" customHeight="1">
      <c r="A266" s="176" t="str">
        <f>+Bonus!A266</f>
        <v>Los Angeles Area - Open Jobs</v>
      </c>
      <c r="B266" s="82"/>
      <c r="C266" s="227"/>
      <c r="D266" s="63"/>
      <c r="E266" s="63"/>
      <c r="F266" s="218"/>
      <c r="G266" s="182"/>
      <c r="H266" s="98"/>
      <c r="I266" s="98"/>
      <c r="J266" s="218"/>
      <c r="K266" s="98"/>
      <c r="L266" s="98"/>
      <c r="M266" s="98"/>
      <c r="N266" s="218"/>
      <c r="O266" s="218"/>
      <c r="P266" s="98"/>
      <c r="Q266" s="98"/>
      <c r="R266" s="98"/>
      <c r="S266" s="129"/>
      <c r="T266" s="199"/>
      <c r="U266" s="199"/>
      <c r="V266" s="82"/>
      <c r="W266" s="198"/>
      <c r="X266" s="33"/>
      <c r="Y266" s="197"/>
      <c r="Z266" s="198"/>
      <c r="AA266" s="196"/>
      <c r="AB266" s="196"/>
      <c r="AC266" s="194"/>
    </row>
    <row r="267" spans="1:29" s="81" customFormat="1" ht="13.5" customHeight="1">
      <c r="A267" s="259">
        <f>+Bonus!A267</f>
        <v>58.000300000000003</v>
      </c>
      <c r="B267" s="82" t="str">
        <f>+Bonus!B267</f>
        <v>Los Angeles County Sanitation Dist. - Los Coyotes WRP Process Air Compressor Replacement</v>
      </c>
      <c r="C267" s="227">
        <f>+Bonus!C267</f>
        <v>22525189</v>
      </c>
      <c r="D267" s="63">
        <f>+Bonus!D267</f>
        <v>21217174</v>
      </c>
      <c r="E267" s="63">
        <f>+Bonus!E267</f>
        <v>1308015</v>
      </c>
      <c r="F267" s="218">
        <f>+Bonus!F267</f>
        <v>11034781.789999999</v>
      </c>
      <c r="G267" s="182">
        <f t="shared" ref="G267" si="315">IF(D267&lt;&gt;0,+F267/D267,0)</f>
        <v>0.52008725525840527</v>
      </c>
      <c r="H267" s="98">
        <f t="shared" ref="H267" si="316">IF(E267&lt;=0,E267,IF(G267&lt;0.1,0,IF(G267&lt;=1,G267*E267,E267)))</f>
        <v>680281.93118682294</v>
      </c>
      <c r="I267" s="98">
        <f t="shared" ref="I267" si="317">+F267+H267</f>
        <v>11715063.721186822</v>
      </c>
      <c r="J267" s="218">
        <f>+Bonus!J267</f>
        <v>11889201.76</v>
      </c>
      <c r="K267" s="98">
        <f t="shared" ref="K267" si="318">J267-I267</f>
        <v>174138.0388131775</v>
      </c>
      <c r="L267" s="98">
        <f t="shared" ref="L267" si="319">+D267-F267</f>
        <v>10182392.210000001</v>
      </c>
      <c r="M267" s="98">
        <f t="shared" ref="M267" si="320">+C267-J267</f>
        <v>10635987.24</v>
      </c>
      <c r="N267" s="218">
        <f>+Bonus!N267</f>
        <v>2381456.48</v>
      </c>
      <c r="O267" s="218">
        <f>+Bonus!O267</f>
        <v>2988736.9</v>
      </c>
      <c r="P267" s="98">
        <f>Bonus!W267</f>
        <v>151508.81354182871</v>
      </c>
      <c r="Q267" s="98">
        <f t="shared" ref="Q267" si="321">F267-N267</f>
        <v>8653325.3099999987</v>
      </c>
      <c r="R267" s="98">
        <f t="shared" ref="R267" si="322">+J267-O267</f>
        <v>8900464.8599999994</v>
      </c>
      <c r="S267" s="129">
        <f t="shared" ref="S267" si="323">H267-P267</f>
        <v>528773.11764499429</v>
      </c>
      <c r="T267" s="199" t="str">
        <f>+Bonus!T267</f>
        <v>2024</v>
      </c>
      <c r="U267" s="199">
        <f>+Bonus!U267</f>
        <v>0</v>
      </c>
      <c r="V267" s="199" t="str">
        <f>+Bonus!V267</f>
        <v>.</v>
      </c>
      <c r="W267" s="198"/>
      <c r="X267" s="33"/>
      <c r="Y267" s="197"/>
      <c r="Z267" s="198"/>
      <c r="AA267" s="196"/>
      <c r="AB267" s="196"/>
      <c r="AC267" s="194"/>
    </row>
    <row r="268" spans="1:29" s="81" customFormat="1" ht="13.5" hidden="1" customHeight="1">
      <c r="A268" s="259"/>
      <c r="B268" s="82"/>
      <c r="C268" s="227"/>
      <c r="D268" s="63"/>
      <c r="E268" s="63"/>
      <c r="F268" s="218"/>
      <c r="G268" s="182"/>
      <c r="H268" s="98"/>
      <c r="I268" s="98"/>
      <c r="J268" s="218"/>
      <c r="K268" s="98"/>
      <c r="L268" s="98"/>
      <c r="M268" s="98"/>
      <c r="N268" s="218"/>
      <c r="O268" s="218"/>
      <c r="P268" s="98"/>
      <c r="Q268" s="98"/>
      <c r="R268" s="98"/>
      <c r="S268" s="129"/>
      <c r="T268" s="199"/>
      <c r="U268" s="199"/>
      <c r="V268" s="82"/>
      <c r="W268" s="198"/>
      <c r="X268" s="33"/>
      <c r="Y268" s="197"/>
      <c r="Z268" s="198"/>
      <c r="AA268" s="196"/>
      <c r="AB268" s="196"/>
      <c r="AC268" s="194"/>
    </row>
    <row r="269" spans="1:29" s="81" customFormat="1" ht="13.5" customHeight="1">
      <c r="A269" s="176" t="str">
        <f>+Bonus!A269</f>
        <v>Los Angeles Area - Open Jobs Totals</v>
      </c>
      <c r="B269" s="82"/>
      <c r="C269" s="193">
        <f>SUM(C$267:C$268)</f>
        <v>22525189</v>
      </c>
      <c r="D269" s="193">
        <f>SUM(D$267:D$268)</f>
        <v>21217174</v>
      </c>
      <c r="E269" s="193">
        <f>SUM(E$267:E$268)</f>
        <v>1308015</v>
      </c>
      <c r="F269" s="193">
        <f>SUM(F$267:F$268)</f>
        <v>11034781.789999999</v>
      </c>
      <c r="G269" s="182"/>
      <c r="H269" s="193">
        <f t="shared" ref="H269:S269" si="324">SUM(H$267:H$268)</f>
        <v>680281.93118682294</v>
      </c>
      <c r="I269" s="193">
        <f t="shared" si="324"/>
        <v>11715063.721186822</v>
      </c>
      <c r="J269" s="193">
        <f t="shared" si="324"/>
        <v>11889201.76</v>
      </c>
      <c r="K269" s="193">
        <f t="shared" si="324"/>
        <v>174138.0388131775</v>
      </c>
      <c r="L269" s="193">
        <f t="shared" si="324"/>
        <v>10182392.210000001</v>
      </c>
      <c r="M269" s="193">
        <f t="shared" si="324"/>
        <v>10635987.24</v>
      </c>
      <c r="N269" s="193">
        <f t="shared" si="324"/>
        <v>2381456.48</v>
      </c>
      <c r="O269" s="193">
        <f t="shared" si="324"/>
        <v>2988736.9</v>
      </c>
      <c r="P269" s="193">
        <f t="shared" si="324"/>
        <v>151508.81354182871</v>
      </c>
      <c r="Q269" s="193">
        <f t="shared" si="324"/>
        <v>8653325.3099999987</v>
      </c>
      <c r="R269" s="193">
        <f t="shared" si="324"/>
        <v>8900464.8599999994</v>
      </c>
      <c r="S269" s="193">
        <f t="shared" si="324"/>
        <v>528773.11764499429</v>
      </c>
      <c r="T269" s="199"/>
      <c r="U269" s="199"/>
      <c r="V269" s="82"/>
      <c r="W269" s="198"/>
      <c r="X269" s="33"/>
      <c r="Y269" s="197"/>
      <c r="Z269" s="198"/>
      <c r="AA269" s="196"/>
      <c r="AB269" s="196"/>
      <c r="AC269" s="194"/>
    </row>
    <row r="270" spans="1:29" s="81" customFormat="1" ht="13.5" customHeight="1">
      <c r="A270" s="259"/>
      <c r="B270" s="82"/>
      <c r="C270" s="227"/>
      <c r="D270" s="63"/>
      <c r="E270" s="63"/>
      <c r="F270" s="218"/>
      <c r="G270" s="182"/>
      <c r="H270" s="98"/>
      <c r="I270" s="98"/>
      <c r="J270" s="218"/>
      <c r="K270" s="98"/>
      <c r="L270" s="98"/>
      <c r="M270" s="98"/>
      <c r="N270" s="218"/>
      <c r="O270" s="218"/>
      <c r="P270" s="98"/>
      <c r="Q270" s="98"/>
      <c r="R270" s="98"/>
      <c r="S270" s="129"/>
      <c r="T270" s="199"/>
      <c r="U270" s="199"/>
      <c r="V270" s="82"/>
      <c r="W270" s="198"/>
      <c r="X270" s="33"/>
      <c r="Y270" s="197"/>
      <c r="Z270" s="198"/>
      <c r="AA270" s="196"/>
      <c r="AB270" s="196"/>
      <c r="AC270" s="194"/>
    </row>
    <row r="271" spans="1:29" s="81" customFormat="1" ht="13.5" customHeight="1">
      <c r="A271" s="176" t="str">
        <f>+Bonus!A271</f>
        <v>Los Angeles Area - Closed Jobs</v>
      </c>
      <c r="B271" s="82"/>
      <c r="C271" s="227"/>
      <c r="D271" s="63"/>
      <c r="E271" s="63"/>
      <c r="F271" s="218"/>
      <c r="G271" s="182"/>
      <c r="H271" s="98"/>
      <c r="I271" s="98"/>
      <c r="J271" s="218"/>
      <c r="K271" s="98"/>
      <c r="L271" s="98"/>
      <c r="M271" s="98"/>
      <c r="N271" s="218"/>
      <c r="O271" s="218"/>
      <c r="P271" s="98"/>
      <c r="Q271" s="98"/>
      <c r="R271" s="98"/>
      <c r="S271" s="129"/>
      <c r="T271" s="199"/>
      <c r="U271" s="199"/>
      <c r="V271" s="82"/>
      <c r="W271" s="198"/>
      <c r="X271" s="33"/>
      <c r="Y271" s="197"/>
      <c r="Z271" s="198"/>
      <c r="AA271" s="196"/>
      <c r="AB271" s="196"/>
      <c r="AC271" s="194"/>
    </row>
    <row r="272" spans="1:29" s="81" customFormat="1" ht="13.5" customHeight="1">
      <c r="A272" s="259">
        <f>+Bonus!A272</f>
        <v>58.000399999999999</v>
      </c>
      <c r="B272" s="82" t="str">
        <f>+Bonus!B272</f>
        <v>Los Angeles Overhead 2025</v>
      </c>
      <c r="C272" s="227">
        <f>+Bonus!C272</f>
        <v>0</v>
      </c>
      <c r="D272" s="63">
        <f>+Bonus!D272</f>
        <v>147282.12</v>
      </c>
      <c r="E272" s="63">
        <f>+Bonus!E272</f>
        <v>-147282.12</v>
      </c>
      <c r="F272" s="218">
        <f>+Bonus!F272</f>
        <v>147282.12</v>
      </c>
      <c r="G272" s="182">
        <f t="shared" ref="G272:G273" si="325">IF(D272&lt;&gt;0,+F272/D272,0)</f>
        <v>1</v>
      </c>
      <c r="H272" s="98">
        <f t="shared" ref="H272:H273" si="326">IF(E272&lt;=0,E272,IF(G272&lt;0.1,0,IF(G272&lt;=1,G272*E272,E272)))</f>
        <v>-147282.12</v>
      </c>
      <c r="I272" s="98">
        <f t="shared" ref="I272:I273" si="327">+F272+H272</f>
        <v>0</v>
      </c>
      <c r="J272" s="218">
        <f>+Bonus!J272</f>
        <v>0</v>
      </c>
      <c r="K272" s="98">
        <f t="shared" ref="K272:K273" si="328">J272-I272</f>
        <v>0</v>
      </c>
      <c r="L272" s="98">
        <f t="shared" ref="L272:L273" si="329">+D272-F272</f>
        <v>0</v>
      </c>
      <c r="M272" s="98">
        <f t="shared" ref="M272:M273" si="330">+C272-J272</f>
        <v>0</v>
      </c>
      <c r="N272" s="218">
        <f>+Bonus!N272</f>
        <v>0</v>
      </c>
      <c r="O272" s="218">
        <f>+Bonus!O272</f>
        <v>0</v>
      </c>
      <c r="P272" s="98">
        <f>Bonus!W272</f>
        <v>0</v>
      </c>
      <c r="Q272" s="98">
        <f t="shared" ref="Q272:Q273" si="331">F272-N272</f>
        <v>147282.12</v>
      </c>
      <c r="R272" s="98">
        <f t="shared" ref="R272:R273" si="332">+J272-O272</f>
        <v>0</v>
      </c>
      <c r="S272" s="129">
        <f t="shared" ref="S272:S273" si="333">H272-P272</f>
        <v>-147282.12</v>
      </c>
      <c r="T272" s="199" t="str">
        <f>+Bonus!T272</f>
        <v>2025</v>
      </c>
      <c r="U272" s="199" t="str">
        <f>+Bonus!U272</f>
        <v>2025</v>
      </c>
      <c r="V272" s="199" t="str">
        <f>+Bonus!V272</f>
        <v>OH</v>
      </c>
      <c r="W272" s="198"/>
      <c r="X272" s="33"/>
      <c r="Y272" s="197"/>
      <c r="Z272" s="198"/>
      <c r="AA272" s="196"/>
      <c r="AB272" s="196"/>
      <c r="AC272" s="194"/>
    </row>
    <row r="273" spans="1:29" s="81" customFormat="1" ht="13.5" customHeight="1">
      <c r="A273" s="259">
        <f>+Bonus!A273</f>
        <v>58.000500000000002</v>
      </c>
      <c r="B273" s="82" t="str">
        <f>+Bonus!B273</f>
        <v>Los Angeles Estimating 2025</v>
      </c>
      <c r="C273" s="227">
        <f>+Bonus!C273</f>
        <v>0</v>
      </c>
      <c r="D273" s="63">
        <f>+Bonus!D273</f>
        <v>135037.09</v>
      </c>
      <c r="E273" s="63">
        <f>+Bonus!E273</f>
        <v>-135037.09</v>
      </c>
      <c r="F273" s="218">
        <f>+Bonus!F273</f>
        <v>135037.09</v>
      </c>
      <c r="G273" s="182">
        <f t="shared" si="325"/>
        <v>1</v>
      </c>
      <c r="H273" s="98">
        <f t="shared" si="326"/>
        <v>-135037.09</v>
      </c>
      <c r="I273" s="98">
        <f t="shared" si="327"/>
        <v>0</v>
      </c>
      <c r="J273" s="218">
        <f>+Bonus!J273</f>
        <v>0</v>
      </c>
      <c r="K273" s="98">
        <f t="shared" si="328"/>
        <v>0</v>
      </c>
      <c r="L273" s="98">
        <f t="shared" si="329"/>
        <v>0</v>
      </c>
      <c r="M273" s="98">
        <f t="shared" si="330"/>
        <v>0</v>
      </c>
      <c r="N273" s="218">
        <f>+Bonus!N273</f>
        <v>0</v>
      </c>
      <c r="O273" s="218">
        <f>+Bonus!O273</f>
        <v>0</v>
      </c>
      <c r="P273" s="98">
        <f>Bonus!W273</f>
        <v>0</v>
      </c>
      <c r="Q273" s="98">
        <f t="shared" si="331"/>
        <v>135037.09</v>
      </c>
      <c r="R273" s="98">
        <f t="shared" si="332"/>
        <v>0</v>
      </c>
      <c r="S273" s="129">
        <f t="shared" si="333"/>
        <v>-135037.09</v>
      </c>
      <c r="T273" s="199" t="str">
        <f>+Bonus!T273</f>
        <v>2025</v>
      </c>
      <c r="U273" s="199" t="str">
        <f>+Bonus!U273</f>
        <v>2025</v>
      </c>
      <c r="V273" s="199" t="str">
        <f>+Bonus!V273</f>
        <v>OH</v>
      </c>
      <c r="W273" s="198"/>
      <c r="X273" s="33"/>
      <c r="Y273" s="197"/>
      <c r="Z273" s="198"/>
      <c r="AA273" s="196"/>
      <c r="AB273" s="196"/>
      <c r="AC273" s="194"/>
    </row>
    <row r="274" spans="1:29" s="81" customFormat="1" ht="13.5" hidden="1" customHeight="1">
      <c r="A274" s="259"/>
      <c r="B274" s="82"/>
      <c r="C274" s="227"/>
      <c r="D274" s="63"/>
      <c r="E274" s="63"/>
      <c r="F274" s="218"/>
      <c r="G274" s="182"/>
      <c r="H274" s="98"/>
      <c r="I274" s="98"/>
      <c r="J274" s="218"/>
      <c r="K274" s="98"/>
      <c r="L274" s="98"/>
      <c r="M274" s="98"/>
      <c r="N274" s="218"/>
      <c r="O274" s="218"/>
      <c r="P274" s="98"/>
      <c r="Q274" s="98"/>
      <c r="R274" s="98"/>
      <c r="S274" s="129"/>
      <c r="T274" s="199"/>
      <c r="U274" s="199"/>
      <c r="V274" s="82"/>
      <c r="W274" s="198"/>
      <c r="X274" s="33"/>
      <c r="Y274" s="197"/>
      <c r="Z274" s="198"/>
      <c r="AA274" s="196"/>
      <c r="AB274" s="196"/>
      <c r="AC274" s="194"/>
    </row>
    <row r="275" spans="1:29" s="81" customFormat="1" ht="13.5" customHeight="1">
      <c r="A275" s="176" t="str">
        <f>+Bonus!A275</f>
        <v>Los Angeles Area - Closed Jobs Totals</v>
      </c>
      <c r="B275" s="82"/>
      <c r="C275" s="193">
        <f>SUM(C$272:C$274)</f>
        <v>0</v>
      </c>
      <c r="D275" s="193">
        <f t="shared" ref="D275:F275" si="334">SUM(D$272:D$274)</f>
        <v>282319.20999999996</v>
      </c>
      <c r="E275" s="193">
        <f t="shared" si="334"/>
        <v>-282319.20999999996</v>
      </c>
      <c r="F275" s="193">
        <f t="shared" si="334"/>
        <v>282319.20999999996</v>
      </c>
      <c r="G275" s="182"/>
      <c r="H275" s="193">
        <f t="shared" ref="H275:S275" si="335">SUM(H$272:H$274)</f>
        <v>-282319.20999999996</v>
      </c>
      <c r="I275" s="193">
        <f t="shared" si="335"/>
        <v>0</v>
      </c>
      <c r="J275" s="193">
        <f t="shared" si="335"/>
        <v>0</v>
      </c>
      <c r="K275" s="193">
        <f t="shared" si="335"/>
        <v>0</v>
      </c>
      <c r="L275" s="193">
        <f t="shared" si="335"/>
        <v>0</v>
      </c>
      <c r="M275" s="193">
        <f t="shared" si="335"/>
        <v>0</v>
      </c>
      <c r="N275" s="193">
        <f t="shared" si="335"/>
        <v>0</v>
      </c>
      <c r="O275" s="193">
        <f t="shared" si="335"/>
        <v>0</v>
      </c>
      <c r="P275" s="193">
        <f t="shared" si="335"/>
        <v>0</v>
      </c>
      <c r="Q275" s="193">
        <f t="shared" si="335"/>
        <v>282319.20999999996</v>
      </c>
      <c r="R275" s="193">
        <f t="shared" si="335"/>
        <v>0</v>
      </c>
      <c r="S275" s="193">
        <f t="shared" si="335"/>
        <v>-282319.20999999996</v>
      </c>
      <c r="T275" s="199"/>
      <c r="U275" s="199"/>
      <c r="V275" s="82"/>
      <c r="W275" s="198"/>
      <c r="X275" s="33"/>
      <c r="Y275" s="197"/>
      <c r="Z275" s="198"/>
      <c r="AA275" s="196"/>
      <c r="AB275" s="196"/>
      <c r="AC275" s="194"/>
    </row>
    <row r="276" spans="1:29" s="81" customFormat="1" ht="13.5" customHeight="1">
      <c r="A276" s="176" t="str">
        <f>+Bonus!A276</f>
        <v>Los Angeles - Grand Totals</v>
      </c>
      <c r="B276" s="82"/>
      <c r="C276" s="193">
        <f>+C275+C269</f>
        <v>22525189</v>
      </c>
      <c r="D276" s="193">
        <f>+D275+D269</f>
        <v>21499493.210000001</v>
      </c>
      <c r="E276" s="193">
        <f>+E275+E269</f>
        <v>1025695.79</v>
      </c>
      <c r="F276" s="193">
        <f>+F275+F269</f>
        <v>11317101</v>
      </c>
      <c r="G276" s="182"/>
      <c r="H276" s="193">
        <f t="shared" ref="H276:S276" si="336">+H275+H269</f>
        <v>397962.72118682298</v>
      </c>
      <c r="I276" s="193">
        <f t="shared" si="336"/>
        <v>11715063.721186822</v>
      </c>
      <c r="J276" s="193">
        <f t="shared" si="336"/>
        <v>11889201.76</v>
      </c>
      <c r="K276" s="193">
        <f t="shared" si="336"/>
        <v>174138.0388131775</v>
      </c>
      <c r="L276" s="193">
        <f t="shared" si="336"/>
        <v>10182392.210000001</v>
      </c>
      <c r="M276" s="193">
        <f t="shared" si="336"/>
        <v>10635987.24</v>
      </c>
      <c r="N276" s="193">
        <f t="shared" si="336"/>
        <v>2381456.48</v>
      </c>
      <c r="O276" s="193">
        <f t="shared" si="336"/>
        <v>2988736.9</v>
      </c>
      <c r="P276" s="193">
        <f t="shared" si="336"/>
        <v>151508.81354182871</v>
      </c>
      <c r="Q276" s="193">
        <f t="shared" si="336"/>
        <v>8935644.5199999996</v>
      </c>
      <c r="R276" s="193">
        <f t="shared" si="336"/>
        <v>8900464.8599999994</v>
      </c>
      <c r="S276" s="193">
        <f t="shared" si="336"/>
        <v>246453.90764499432</v>
      </c>
      <c r="T276" s="199"/>
      <c r="U276" s="199"/>
      <c r="V276" s="82"/>
      <c r="W276" s="198"/>
      <c r="X276" s="33"/>
      <c r="Y276" s="197"/>
      <c r="Z276" s="198"/>
      <c r="AA276" s="196"/>
      <c r="AB276" s="196"/>
      <c r="AC276" s="194"/>
    </row>
    <row r="277" spans="1:29" s="81" customFormat="1" ht="13.5" hidden="1" customHeight="1">
      <c r="A277" s="176"/>
      <c r="B277" s="82"/>
      <c r="C277" s="193"/>
      <c r="D277" s="193"/>
      <c r="E277" s="193"/>
      <c r="F277" s="193"/>
      <c r="G277" s="182"/>
      <c r="H277" s="193"/>
      <c r="I277" s="193"/>
      <c r="J277" s="193"/>
      <c r="K277" s="193"/>
      <c r="L277" s="193"/>
      <c r="M277" s="193"/>
      <c r="N277" s="193"/>
      <c r="O277" s="193"/>
      <c r="P277" s="193"/>
      <c r="Q277" s="193"/>
      <c r="R277" s="193"/>
      <c r="S277" s="193"/>
      <c r="T277" s="199"/>
      <c r="U277" s="199"/>
      <c r="V277" s="82"/>
      <c r="W277" s="198"/>
      <c r="X277" s="33"/>
      <c r="Y277" s="197"/>
      <c r="Z277" s="198"/>
      <c r="AA277" s="196"/>
      <c r="AB277" s="196"/>
      <c r="AC277" s="194"/>
    </row>
    <row r="278" spans="1:29" s="81" customFormat="1" ht="13.5" hidden="1" customHeight="1">
      <c r="A278" s="176"/>
      <c r="B278" s="82"/>
      <c r="C278" s="193"/>
      <c r="D278" s="193"/>
      <c r="E278" s="193"/>
      <c r="F278" s="193"/>
      <c r="G278" s="182"/>
      <c r="H278" s="193"/>
      <c r="I278" s="193"/>
      <c r="J278" s="193"/>
      <c r="K278" s="193"/>
      <c r="L278" s="193"/>
      <c r="M278" s="193"/>
      <c r="N278" s="193"/>
      <c r="O278" s="193"/>
      <c r="P278" s="193"/>
      <c r="Q278" s="193"/>
      <c r="R278" s="193"/>
      <c r="S278" s="193"/>
      <c r="T278" s="199"/>
      <c r="U278" s="199"/>
      <c r="V278" s="82"/>
      <c r="W278" s="198"/>
      <c r="X278" s="33"/>
      <c r="Y278" s="197"/>
      <c r="Z278" s="198"/>
      <c r="AA278" s="196"/>
      <c r="AB278" s="196"/>
      <c r="AC278" s="194"/>
    </row>
    <row r="279" spans="1:29" s="81" customFormat="1" ht="13.5" hidden="1" customHeight="1">
      <c r="A279" s="176"/>
      <c r="B279" s="82"/>
      <c r="C279" s="193"/>
      <c r="D279" s="193"/>
      <c r="E279" s="193"/>
      <c r="F279" s="193"/>
      <c r="G279" s="182"/>
      <c r="H279" s="193"/>
      <c r="I279" s="193"/>
      <c r="J279" s="193"/>
      <c r="K279" s="193"/>
      <c r="L279" s="193"/>
      <c r="M279" s="193"/>
      <c r="N279" s="193"/>
      <c r="O279" s="193"/>
      <c r="P279" s="193"/>
      <c r="Q279" s="193"/>
      <c r="R279" s="193"/>
      <c r="S279" s="193"/>
      <c r="T279" s="199"/>
      <c r="U279" s="199"/>
      <c r="V279" s="82"/>
      <c r="W279" s="198"/>
      <c r="X279" s="33"/>
      <c r="Y279" s="197"/>
      <c r="Z279" s="198"/>
      <c r="AA279" s="196"/>
      <c r="AB279" s="196"/>
      <c r="AC279" s="194"/>
    </row>
    <row r="280" spans="1:29" s="81" customFormat="1" ht="13.5" hidden="1" customHeight="1">
      <c r="A280" s="176"/>
      <c r="B280" s="82"/>
      <c r="C280" s="193"/>
      <c r="D280" s="193"/>
      <c r="E280" s="193"/>
      <c r="F280" s="193"/>
      <c r="G280" s="182"/>
      <c r="H280" s="193"/>
      <c r="I280" s="193"/>
      <c r="J280" s="193"/>
      <c r="K280" s="193"/>
      <c r="L280" s="193"/>
      <c r="M280" s="193"/>
      <c r="N280" s="193"/>
      <c r="O280" s="193"/>
      <c r="P280" s="193"/>
      <c r="Q280" s="193"/>
      <c r="R280" s="193"/>
      <c r="S280" s="193"/>
      <c r="T280" s="199"/>
      <c r="U280" s="199"/>
      <c r="V280" s="82"/>
      <c r="W280" s="198"/>
      <c r="X280" s="33"/>
      <c r="Y280" s="197"/>
      <c r="Z280" s="198"/>
      <c r="AA280" s="196"/>
      <c r="AB280" s="196"/>
      <c r="AC280" s="194"/>
    </row>
    <row r="281" spans="1:29" s="81" customFormat="1" ht="13.5" customHeight="1">
      <c r="A281" s="176"/>
      <c r="B281" s="82"/>
      <c r="C281" s="193"/>
      <c r="D281" s="193"/>
      <c r="E281" s="193"/>
      <c r="F281" s="193"/>
      <c r="G281" s="182"/>
      <c r="H281" s="193"/>
      <c r="I281" s="193"/>
      <c r="J281" s="193"/>
      <c r="K281" s="193"/>
      <c r="L281" s="193"/>
      <c r="M281" s="193"/>
      <c r="N281" s="193"/>
      <c r="O281" s="193"/>
      <c r="P281" s="193"/>
      <c r="Q281" s="193"/>
      <c r="R281" s="193"/>
      <c r="S281" s="193"/>
      <c r="T281" s="199"/>
      <c r="U281" s="199"/>
      <c r="V281" s="82"/>
      <c r="W281" s="198"/>
      <c r="X281" s="33"/>
      <c r="Y281" s="197"/>
      <c r="Z281" s="198"/>
      <c r="AA281" s="196"/>
      <c r="AB281" s="196"/>
      <c r="AC281" s="194"/>
    </row>
    <row r="282" spans="1:29" s="81" customFormat="1" ht="13.5" customHeight="1">
      <c r="A282" s="176" t="str">
        <f>+Bonus!A282</f>
        <v>System Integration - Open Jobs</v>
      </c>
      <c r="B282" s="82"/>
      <c r="C282" s="227"/>
      <c r="D282" s="63"/>
      <c r="E282" s="63"/>
      <c r="F282" s="218"/>
      <c r="G282" s="182"/>
      <c r="H282" s="98"/>
      <c r="I282" s="98"/>
      <c r="J282" s="218"/>
      <c r="K282" s="98"/>
      <c r="L282" s="98"/>
      <c r="M282" s="98"/>
      <c r="N282" s="218"/>
      <c r="O282" s="218"/>
      <c r="P282" s="98"/>
      <c r="Q282" s="98"/>
      <c r="R282" s="98"/>
      <c r="S282" s="129"/>
      <c r="T282" s="199"/>
      <c r="U282" s="199"/>
      <c r="V282" s="82"/>
      <c r="W282" s="198"/>
      <c r="X282" s="33"/>
      <c r="Y282" s="197"/>
      <c r="Z282" s="198"/>
      <c r="AA282" s="196"/>
      <c r="AB282" s="196"/>
      <c r="AC282" s="194"/>
    </row>
    <row r="283" spans="1:29" s="81" customFormat="1" ht="13.5" customHeight="1">
      <c r="A283" s="259">
        <f>+Bonus!A283</f>
        <v>56.1004</v>
      </c>
      <c r="B283" s="82" t="str">
        <f>+Bonus!B283</f>
        <v>San Joaquin Electric - Liberty Ranch Sewer Pump Station</v>
      </c>
      <c r="C283" s="227">
        <f>+Bonus!C283</f>
        <v>373425</v>
      </c>
      <c r="D283" s="63">
        <f>+Bonus!D283</f>
        <v>269840</v>
      </c>
      <c r="E283" s="63">
        <f>+Bonus!E283</f>
        <v>103585</v>
      </c>
      <c r="F283" s="218">
        <f>+Bonus!F283</f>
        <v>236373.73</v>
      </c>
      <c r="G283" s="182">
        <f t="shared" ref="G283" si="337">IF(D283&lt;&gt;0,+F283/D283,0)</f>
        <v>0.87597735695226808</v>
      </c>
      <c r="H283" s="98">
        <f t="shared" ref="H283" si="338">IF(E283&lt;=0,E283,IF(G283&lt;0.1,0,IF(G283&lt;=1,G283*E283,E283)))</f>
        <v>90738.114519900686</v>
      </c>
      <c r="I283" s="98">
        <f t="shared" ref="I283" si="339">+F283+H283</f>
        <v>327111.84451990068</v>
      </c>
      <c r="J283" s="218">
        <f>+Bonus!J283</f>
        <v>371550</v>
      </c>
      <c r="K283" s="98">
        <f t="shared" ref="K283" si="340">J283-I283</f>
        <v>44438.155480099318</v>
      </c>
      <c r="L283" s="98">
        <f t="shared" ref="L283" si="341">+D283-F283</f>
        <v>33466.26999999999</v>
      </c>
      <c r="M283" s="98">
        <f t="shared" ref="M283" si="342">+C283-J283</f>
        <v>1875</v>
      </c>
      <c r="N283" s="218">
        <f>+Bonus!N283</f>
        <v>152881.54</v>
      </c>
      <c r="O283" s="218">
        <f>+Bonus!O283</f>
        <v>29675</v>
      </c>
      <c r="P283" s="98">
        <f>+Bonus!W283</f>
        <v>51359.962693894202</v>
      </c>
      <c r="Q283" s="98">
        <f t="shared" ref="Q283" si="343">F283-N283</f>
        <v>83492.19</v>
      </c>
      <c r="R283" s="98">
        <f t="shared" ref="R283" si="344">+J283-O283</f>
        <v>341875</v>
      </c>
      <c r="S283" s="129">
        <f t="shared" ref="S283" si="345">H283-P283</f>
        <v>39378.151826006484</v>
      </c>
      <c r="T283" s="199" t="str">
        <f>+Bonus!T283</f>
        <v>2024</v>
      </c>
      <c r="U283" s="199">
        <f>+Bonus!U283</f>
        <v>0</v>
      </c>
      <c r="V283" s="199" t="str">
        <f>+Bonus!V283</f>
        <v>.</v>
      </c>
      <c r="W283" s="198"/>
      <c r="X283" s="33"/>
      <c r="Y283" s="197"/>
      <c r="Z283" s="198"/>
      <c r="AA283" s="196"/>
      <c r="AB283" s="196"/>
      <c r="AC283" s="194"/>
    </row>
    <row r="284" spans="1:29" s="81" customFormat="1" ht="13.5" customHeight="1">
      <c r="A284" s="259">
        <f>+Bonus!A284</f>
        <v>56.100499999999997</v>
      </c>
      <c r="B284" s="82" t="str">
        <f>+Bonus!B284</f>
        <v>SD Electric, Inc. - Stormwater Evacuation Lines &amp; Outfall Manifold</v>
      </c>
      <c r="C284" s="227">
        <f>+Bonus!C284</f>
        <v>135000</v>
      </c>
      <c r="D284" s="63">
        <f>+Bonus!D284</f>
        <v>68025</v>
      </c>
      <c r="E284" s="63">
        <f>+Bonus!E284</f>
        <v>66975</v>
      </c>
      <c r="F284" s="218">
        <f>+Bonus!F284</f>
        <v>51037.42</v>
      </c>
      <c r="G284" s="182">
        <f t="shared" ref="G284:G315" si="346">IF(D284&lt;&gt;0,+F284/D284,0)</f>
        <v>0.75027445791988234</v>
      </c>
      <c r="H284" s="98">
        <f t="shared" ref="H284:H315" si="347">IF(E284&lt;=0,E284,IF(G284&lt;0.1,0,IF(G284&lt;=1,G284*E284,E284)))</f>
        <v>50249.63181918412</v>
      </c>
      <c r="I284" s="98">
        <f t="shared" ref="I284:I315" si="348">+F284+H284</f>
        <v>101287.05181918413</v>
      </c>
      <c r="J284" s="218">
        <f>+Bonus!J284</f>
        <v>135000</v>
      </c>
      <c r="K284" s="98">
        <f t="shared" ref="K284:K315" si="349">J284-I284</f>
        <v>33712.948180815874</v>
      </c>
      <c r="L284" s="98">
        <f t="shared" ref="L284:L315" si="350">+D284-F284</f>
        <v>16987.580000000002</v>
      </c>
      <c r="M284" s="98">
        <f t="shared" ref="M284:M315" si="351">+C284-J284</f>
        <v>0</v>
      </c>
      <c r="N284" s="218">
        <f>+Bonus!N284</f>
        <v>15913.33</v>
      </c>
      <c r="O284" s="218">
        <f>+Bonus!O284</f>
        <v>0</v>
      </c>
      <c r="P284" s="98">
        <f>+Bonus!W284</f>
        <v>14525.327230298393</v>
      </c>
      <c r="Q284" s="98">
        <f t="shared" ref="Q284:Q315" si="352">F284-N284</f>
        <v>35124.089999999997</v>
      </c>
      <c r="R284" s="98">
        <f t="shared" ref="R284:R315" si="353">+J284-O284</f>
        <v>135000</v>
      </c>
      <c r="S284" s="129">
        <f t="shared" ref="S284:S315" si="354">H284-P284</f>
        <v>35724.30458888573</v>
      </c>
      <c r="T284" s="199" t="str">
        <f>+Bonus!T284</f>
        <v>2024</v>
      </c>
      <c r="U284" s="199">
        <f>+Bonus!U284</f>
        <v>0</v>
      </c>
      <c r="V284" s="199" t="str">
        <f>+Bonus!V284</f>
        <v>&lt; 250k</v>
      </c>
      <c r="W284" s="198"/>
      <c r="X284" s="33"/>
      <c r="Y284" s="197"/>
      <c r="Z284" s="198"/>
      <c r="AA284" s="196"/>
      <c r="AB284" s="196"/>
      <c r="AC284" s="194"/>
    </row>
    <row r="285" spans="1:29" s="81" customFormat="1" ht="13.5" customHeight="1">
      <c r="A285" s="614">
        <f>+Bonus!A285</f>
        <v>56.100999999999999</v>
      </c>
      <c r="B285" s="82" t="str">
        <f>+Bonus!B285</f>
        <v>Placer County Water Agency -PCWA Time &amp; Material Contract</v>
      </c>
      <c r="C285" s="227">
        <f>J285</f>
        <v>49250</v>
      </c>
      <c r="D285" s="63">
        <f>F285</f>
        <v>36461.94</v>
      </c>
      <c r="E285" s="63">
        <f>C285-D285</f>
        <v>12788.059999999998</v>
      </c>
      <c r="F285" s="218">
        <f>+Bonus!F285</f>
        <v>36461.94</v>
      </c>
      <c r="G285" s="182">
        <f t="shared" si="346"/>
        <v>1</v>
      </c>
      <c r="H285" s="98">
        <f t="shared" si="347"/>
        <v>12788.059999999998</v>
      </c>
      <c r="I285" s="98">
        <f t="shared" si="348"/>
        <v>49250</v>
      </c>
      <c r="J285" s="218">
        <f>+Bonus!J285</f>
        <v>49250</v>
      </c>
      <c r="K285" s="98">
        <f t="shared" si="349"/>
        <v>0</v>
      </c>
      <c r="L285" s="98">
        <f t="shared" si="350"/>
        <v>0</v>
      </c>
      <c r="M285" s="98">
        <f t="shared" si="351"/>
        <v>0</v>
      </c>
      <c r="N285" s="218">
        <f>+Bonus!N285</f>
        <v>0</v>
      </c>
      <c r="O285" s="218">
        <f>+Bonus!O285</f>
        <v>0</v>
      </c>
      <c r="P285" s="98">
        <f>+Bonus!W285</f>
        <v>0</v>
      </c>
      <c r="Q285" s="98">
        <f t="shared" si="352"/>
        <v>36461.94</v>
      </c>
      <c r="R285" s="98">
        <f t="shared" si="353"/>
        <v>49250</v>
      </c>
      <c r="S285" s="129">
        <f t="shared" si="354"/>
        <v>12788.059999999998</v>
      </c>
      <c r="T285" s="199" t="str">
        <f>+Bonus!T285</f>
        <v>2025</v>
      </c>
      <c r="U285" s="199">
        <f>+Bonus!U285</f>
        <v>0</v>
      </c>
      <c r="V285" s="199" t="str">
        <f>+Bonus!V285</f>
        <v>&lt; 250k</v>
      </c>
      <c r="W285" s="198"/>
      <c r="X285" s="33"/>
      <c r="Y285" s="197"/>
      <c r="Z285" s="198"/>
      <c r="AA285" s="196"/>
      <c r="AB285" s="196"/>
      <c r="AC285" s="194"/>
    </row>
    <row r="286" spans="1:29" s="81" customFormat="1" ht="13.5" customHeight="1">
      <c r="A286" s="614">
        <f>+Bonus!A286</f>
        <v>56.101500000000001</v>
      </c>
      <c r="B286" s="82" t="str">
        <f>+Bonus!B286</f>
        <v>Mike Brown Electric Co. - Riverside Ponds &amp; Headworks Mitigation – City of Calistoga</v>
      </c>
      <c r="C286" s="227">
        <f>J286</f>
        <v>160000</v>
      </c>
      <c r="D286" s="63">
        <f>F286</f>
        <v>142358.95000000001</v>
      </c>
      <c r="E286" s="63">
        <f>C286-D286</f>
        <v>17641.049999999988</v>
      </c>
      <c r="F286" s="218">
        <f>+Bonus!F286</f>
        <v>142358.95000000001</v>
      </c>
      <c r="G286" s="182">
        <f t="shared" si="346"/>
        <v>1</v>
      </c>
      <c r="H286" s="98">
        <f t="shared" si="347"/>
        <v>17641.049999999988</v>
      </c>
      <c r="I286" s="98">
        <f t="shared" si="348"/>
        <v>160000</v>
      </c>
      <c r="J286" s="218">
        <f>+Bonus!J286</f>
        <v>160000</v>
      </c>
      <c r="K286" s="98">
        <f t="shared" si="349"/>
        <v>0</v>
      </c>
      <c r="L286" s="98">
        <f t="shared" si="350"/>
        <v>0</v>
      </c>
      <c r="M286" s="98">
        <f t="shared" si="351"/>
        <v>0</v>
      </c>
      <c r="N286" s="218">
        <f>+Bonus!N286</f>
        <v>100113.78</v>
      </c>
      <c r="O286" s="218">
        <f>+Bonus!O286</f>
        <v>27000</v>
      </c>
      <c r="P286" s="98">
        <f>+Bonus!W286</f>
        <v>29395.330313379258</v>
      </c>
      <c r="Q286" s="98">
        <f t="shared" si="352"/>
        <v>42245.170000000013</v>
      </c>
      <c r="R286" s="98">
        <f t="shared" si="353"/>
        <v>133000</v>
      </c>
      <c r="S286" s="129">
        <f t="shared" si="354"/>
        <v>-11754.28031337927</v>
      </c>
      <c r="T286" s="199" t="str">
        <f>+Bonus!T286</f>
        <v>2024</v>
      </c>
      <c r="U286" s="199">
        <f>+Bonus!U286</f>
        <v>0</v>
      </c>
      <c r="V286" s="199" t="str">
        <f>+Bonus!V286</f>
        <v>&lt; 250k</v>
      </c>
      <c r="W286" s="198"/>
      <c r="X286" s="33"/>
      <c r="Y286" s="197"/>
      <c r="Z286" s="198"/>
      <c r="AA286" s="196"/>
      <c r="AB286" s="196"/>
      <c r="AC286" s="194"/>
    </row>
    <row r="287" spans="1:29" s="81" customFormat="1" ht="13.5" customHeight="1">
      <c r="A287" s="259">
        <f>+Bonus!A287</f>
        <v>56.101700000000001</v>
      </c>
      <c r="B287" s="82" t="str">
        <f>+Bonus!B287</f>
        <v>Bay Tech Engineering - SDDS Gate Valves Replacement – SF International Airport</v>
      </c>
      <c r="C287" s="227">
        <f>+Bonus!C287</f>
        <v>102868</v>
      </c>
      <c r="D287" s="63">
        <f>+Bonus!D287</f>
        <v>114895</v>
      </c>
      <c r="E287" s="63">
        <f>+Bonus!E287</f>
        <v>-12027</v>
      </c>
      <c r="F287" s="218">
        <f>+Bonus!F287</f>
        <v>95450.46</v>
      </c>
      <c r="G287" s="182">
        <f t="shared" si="346"/>
        <v>0.83076252230297232</v>
      </c>
      <c r="H287" s="98">
        <f t="shared" si="347"/>
        <v>-12027</v>
      </c>
      <c r="I287" s="98">
        <f t="shared" si="348"/>
        <v>83423.460000000006</v>
      </c>
      <c r="J287" s="218">
        <f>+Bonus!J287</f>
        <v>99118</v>
      </c>
      <c r="K287" s="98">
        <f t="shared" si="349"/>
        <v>15694.539999999994</v>
      </c>
      <c r="L287" s="98">
        <f t="shared" si="350"/>
        <v>19444.539999999994</v>
      </c>
      <c r="M287" s="98">
        <f t="shared" si="351"/>
        <v>3750</v>
      </c>
      <c r="N287" s="218">
        <f>+Bonus!N287</f>
        <v>42712.89</v>
      </c>
      <c r="O287" s="218">
        <f>+Bonus!O287</f>
        <v>0</v>
      </c>
      <c r="P287" s="98">
        <f>+Bonus!W287</f>
        <v>19016.572776670284</v>
      </c>
      <c r="Q287" s="98">
        <f t="shared" si="352"/>
        <v>52737.570000000007</v>
      </c>
      <c r="R287" s="98">
        <f t="shared" si="353"/>
        <v>99118</v>
      </c>
      <c r="S287" s="129">
        <f t="shared" si="354"/>
        <v>-31043.572776670284</v>
      </c>
      <c r="T287" s="199" t="str">
        <f>+Bonus!T287</f>
        <v>2024</v>
      </c>
      <c r="U287" s="199">
        <f>+Bonus!U287</f>
        <v>0</v>
      </c>
      <c r="V287" s="199" t="str">
        <f>+Bonus!V287</f>
        <v>&lt; 250k</v>
      </c>
      <c r="W287" s="198"/>
      <c r="X287" s="33"/>
      <c r="Y287" s="197"/>
      <c r="Z287" s="198"/>
      <c r="AA287" s="196"/>
      <c r="AB287" s="196"/>
      <c r="AC287" s="194"/>
    </row>
    <row r="288" spans="1:29" s="81" customFormat="1" ht="13.5" customHeight="1">
      <c r="A288" s="259">
        <f>+Bonus!A288</f>
        <v>56.101799999999997</v>
      </c>
      <c r="B288" s="82" t="str">
        <f>+Bonus!B288</f>
        <v>CM Controls - Salinas AG Industrial Phase 1 – City of Salinas</v>
      </c>
      <c r="C288" s="227">
        <f>+Bonus!C288</f>
        <v>153913</v>
      </c>
      <c r="D288" s="63">
        <f>+Bonus!D288</f>
        <v>71045</v>
      </c>
      <c r="E288" s="63">
        <f>+Bonus!E288</f>
        <v>82868</v>
      </c>
      <c r="F288" s="218">
        <f>+Bonus!F288</f>
        <v>41991.15</v>
      </c>
      <c r="G288" s="182">
        <f t="shared" si="346"/>
        <v>0.59105003870786121</v>
      </c>
      <c r="H288" s="98">
        <f t="shared" si="347"/>
        <v>48979.134607643042</v>
      </c>
      <c r="I288" s="98">
        <f t="shared" si="348"/>
        <v>90970.284607643043</v>
      </c>
      <c r="J288" s="218">
        <f>+Bonus!J288</f>
        <v>50000</v>
      </c>
      <c r="K288" s="98">
        <f t="shared" si="349"/>
        <v>-40970.284607643043</v>
      </c>
      <c r="L288" s="98">
        <f t="shared" si="350"/>
        <v>29053.85</v>
      </c>
      <c r="M288" s="98">
        <f t="shared" si="351"/>
        <v>103913</v>
      </c>
      <c r="N288" s="218">
        <f>+Bonus!N288</f>
        <v>18131.900000000001</v>
      </c>
      <c r="O288" s="218">
        <f>+Bonus!O288</f>
        <v>0</v>
      </c>
      <c r="P288" s="98">
        <f>+Bonus!W288</f>
        <v>31982.954561396826</v>
      </c>
      <c r="Q288" s="98">
        <f t="shared" si="352"/>
        <v>23859.25</v>
      </c>
      <c r="R288" s="98">
        <f t="shared" si="353"/>
        <v>50000</v>
      </c>
      <c r="S288" s="129">
        <f t="shared" si="354"/>
        <v>16996.180046246216</v>
      </c>
      <c r="T288" s="199" t="str">
        <f>+Bonus!T288</f>
        <v>2024</v>
      </c>
      <c r="U288" s="199">
        <f>+Bonus!U288</f>
        <v>0</v>
      </c>
      <c r="V288" s="199" t="str">
        <f>+Bonus!V288</f>
        <v>&lt; 250k</v>
      </c>
      <c r="W288" s="198"/>
      <c r="X288" s="33"/>
      <c r="Y288" s="197"/>
      <c r="Z288" s="198"/>
      <c r="AA288" s="196"/>
      <c r="AB288" s="196"/>
      <c r="AC288" s="194"/>
    </row>
    <row r="289" spans="1:29" s="81" customFormat="1" ht="13.5" customHeight="1">
      <c r="A289" s="259">
        <f>+Bonus!A289</f>
        <v>56.103200000000001</v>
      </c>
      <c r="B289" s="82" t="str">
        <f>+Bonus!B289</f>
        <v>Newtron - Watsonville, City of - Zone 2 Water Res &amp; AirportBPS Mods</v>
      </c>
      <c r="C289" s="227">
        <f>+Bonus!C289</f>
        <v>85000</v>
      </c>
      <c r="D289" s="63">
        <f>+Bonus!D289</f>
        <v>82975</v>
      </c>
      <c r="E289" s="63">
        <f>+Bonus!E289</f>
        <v>2025</v>
      </c>
      <c r="F289" s="218">
        <f>+Bonus!F289</f>
        <v>35024.339999999997</v>
      </c>
      <c r="G289" s="182">
        <f t="shared" si="346"/>
        <v>0.42210714070503158</v>
      </c>
      <c r="H289" s="98">
        <f t="shared" si="347"/>
        <v>854.76695992768896</v>
      </c>
      <c r="I289" s="98">
        <f t="shared" si="348"/>
        <v>35879.106959927689</v>
      </c>
      <c r="J289" s="218">
        <f>+Bonus!J289</f>
        <v>0</v>
      </c>
      <c r="K289" s="98">
        <f t="shared" si="349"/>
        <v>-35879.106959927689</v>
      </c>
      <c r="L289" s="98">
        <f t="shared" si="350"/>
        <v>47950.66</v>
      </c>
      <c r="M289" s="98">
        <f t="shared" si="351"/>
        <v>85000</v>
      </c>
      <c r="N289" s="218">
        <f>+Bonus!N289</f>
        <v>8938.56</v>
      </c>
      <c r="O289" s="218">
        <f>+Bonus!O289</f>
        <v>0</v>
      </c>
      <c r="P289" s="98">
        <f>+Bonus!W289</f>
        <v>1044.5898173599978</v>
      </c>
      <c r="Q289" s="98">
        <f t="shared" si="352"/>
        <v>26085.78</v>
      </c>
      <c r="R289" s="98">
        <f t="shared" si="353"/>
        <v>0</v>
      </c>
      <c r="S289" s="129">
        <f t="shared" si="354"/>
        <v>-189.82285743230887</v>
      </c>
      <c r="T289" s="199" t="str">
        <f>+Bonus!T289</f>
        <v>2024</v>
      </c>
      <c r="U289" s="199">
        <f>+Bonus!U289</f>
        <v>0</v>
      </c>
      <c r="V289" s="199" t="str">
        <f>+Bonus!V289</f>
        <v>&lt; 250k</v>
      </c>
      <c r="W289" s="198"/>
      <c r="X289" s="33"/>
      <c r="Y289" s="197"/>
      <c r="Z289" s="198"/>
      <c r="AA289" s="196"/>
      <c r="AB289" s="196"/>
      <c r="AC289" s="194"/>
    </row>
    <row r="290" spans="1:29" s="81" customFormat="1" ht="13.5" customHeight="1">
      <c r="A290" s="259">
        <f>+Bonus!A290</f>
        <v>56.1036</v>
      </c>
      <c r="B290" s="82" t="str">
        <f>+Bonus!B290</f>
        <v>Darrel Varni Electric, Inc. - GSW, San Benito Co. Sewer Pump Station No. 2</v>
      </c>
      <c r="C290" s="227">
        <f>+Bonus!C290</f>
        <v>276000</v>
      </c>
      <c r="D290" s="63">
        <f>+Bonus!D290</f>
        <v>209024</v>
      </c>
      <c r="E290" s="63">
        <f>+Bonus!E290</f>
        <v>66976</v>
      </c>
      <c r="F290" s="218">
        <f>+Bonus!F290</f>
        <v>107051.95</v>
      </c>
      <c r="G290" s="182">
        <f t="shared" si="346"/>
        <v>0.51215147542865891</v>
      </c>
      <c r="H290" s="98">
        <f t="shared" si="347"/>
        <v>34301.857218309859</v>
      </c>
      <c r="I290" s="98">
        <f t="shared" si="348"/>
        <v>141353.80721830984</v>
      </c>
      <c r="J290" s="218">
        <f>+Bonus!J290</f>
        <v>48000</v>
      </c>
      <c r="K290" s="98">
        <f t="shared" si="349"/>
        <v>-93353.807218309841</v>
      </c>
      <c r="L290" s="98">
        <f t="shared" si="350"/>
        <v>101972.05</v>
      </c>
      <c r="M290" s="98">
        <f t="shared" si="351"/>
        <v>228000</v>
      </c>
      <c r="N290" s="218">
        <f>+Bonus!N290</f>
        <v>52637.25</v>
      </c>
      <c r="O290" s="218">
        <f>+Bonus!O290</f>
        <v>0</v>
      </c>
      <c r="P290" s="98">
        <f>+Bonus!W290</f>
        <v>17815.649271120768</v>
      </c>
      <c r="Q290" s="98">
        <f t="shared" si="352"/>
        <v>54414.7</v>
      </c>
      <c r="R290" s="98">
        <f t="shared" si="353"/>
        <v>48000</v>
      </c>
      <c r="S290" s="129">
        <f t="shared" si="354"/>
        <v>16486.20794718909</v>
      </c>
      <c r="T290" s="199" t="str">
        <f>+Bonus!T290</f>
        <v>2024</v>
      </c>
      <c r="U290" s="199">
        <f>+Bonus!U290</f>
        <v>0</v>
      </c>
      <c r="V290" s="199" t="str">
        <f>+Bonus!V290</f>
        <v>.</v>
      </c>
      <c r="W290" s="198"/>
      <c r="X290" s="33"/>
      <c r="Y290" s="197"/>
      <c r="Z290" s="198"/>
      <c r="AA290" s="196"/>
      <c r="AB290" s="196"/>
      <c r="AC290" s="194"/>
    </row>
    <row r="291" spans="1:29" s="81" customFormat="1" ht="13.5" customHeight="1">
      <c r="A291" s="614">
        <f>+Bonus!A291</f>
        <v>56.103700000000003</v>
      </c>
      <c r="B291" s="82" t="str">
        <f>+Bonus!B291</f>
        <v>East Orange County Water District - EOCWD - On-Call SCADA Integration Services</v>
      </c>
      <c r="C291" s="227">
        <f>J291</f>
        <v>36491</v>
      </c>
      <c r="D291" s="63">
        <f>F291</f>
        <v>21674.2</v>
      </c>
      <c r="E291" s="63">
        <f>C291-D291</f>
        <v>14816.8</v>
      </c>
      <c r="F291" s="218">
        <f>+Bonus!F291</f>
        <v>21674.2</v>
      </c>
      <c r="G291" s="182">
        <f t="shared" si="346"/>
        <v>1</v>
      </c>
      <c r="H291" s="98">
        <f t="shared" si="347"/>
        <v>14816.8</v>
      </c>
      <c r="I291" s="98">
        <f t="shared" si="348"/>
        <v>36491</v>
      </c>
      <c r="J291" s="218">
        <f>+Bonus!J291</f>
        <v>36491</v>
      </c>
      <c r="K291" s="98">
        <f t="shared" si="349"/>
        <v>0</v>
      </c>
      <c r="L291" s="98">
        <f t="shared" si="350"/>
        <v>0</v>
      </c>
      <c r="M291" s="98">
        <f t="shared" si="351"/>
        <v>0</v>
      </c>
      <c r="N291" s="218">
        <f>+Bonus!N291</f>
        <v>2024.38</v>
      </c>
      <c r="O291" s="218">
        <f>+Bonus!O291</f>
        <v>2362.5</v>
      </c>
      <c r="P291" s="98">
        <f>+Bonus!W291</f>
        <v>338.11999999999989</v>
      </c>
      <c r="Q291" s="98">
        <f t="shared" si="352"/>
        <v>19649.82</v>
      </c>
      <c r="R291" s="98">
        <f t="shared" si="353"/>
        <v>34128.5</v>
      </c>
      <c r="S291" s="129">
        <f t="shared" si="354"/>
        <v>14478.68</v>
      </c>
      <c r="T291" s="199" t="str">
        <f>+Bonus!T291</f>
        <v>2024</v>
      </c>
      <c r="U291" s="199">
        <f>+Bonus!U291</f>
        <v>0</v>
      </c>
      <c r="V291" s="199" t="str">
        <f>+Bonus!V291</f>
        <v>&lt; 250k</v>
      </c>
      <c r="W291" s="198"/>
      <c r="X291" s="33"/>
      <c r="Y291" s="197"/>
      <c r="Z291" s="198"/>
      <c r="AA291" s="196"/>
      <c r="AB291" s="196"/>
      <c r="AC291" s="194"/>
    </row>
    <row r="292" spans="1:29" s="81" customFormat="1" ht="13.5" customHeight="1">
      <c r="A292" s="259">
        <f>+Bonus!A292</f>
        <v>56.1038</v>
      </c>
      <c r="B292" s="82" t="str">
        <f>+Bonus!B292</f>
        <v>Troxell JH Electrical Inc - Keyes CSD TCP Treatment Impvmts Wells 7,8,9,10</v>
      </c>
      <c r="C292" s="227">
        <f>+Bonus!C292</f>
        <v>95000</v>
      </c>
      <c r="D292" s="63">
        <f>+Bonus!D292</f>
        <v>117376</v>
      </c>
      <c r="E292" s="63">
        <f>+Bonus!E292</f>
        <v>-22376</v>
      </c>
      <c r="F292" s="218">
        <f>+Bonus!F292</f>
        <v>100049.89</v>
      </c>
      <c r="G292" s="182">
        <f t="shared" si="346"/>
        <v>0.85238796687568152</v>
      </c>
      <c r="H292" s="98">
        <f t="shared" si="347"/>
        <v>-22376</v>
      </c>
      <c r="I292" s="98">
        <f t="shared" si="348"/>
        <v>77673.89</v>
      </c>
      <c r="J292" s="218">
        <f>+Bonus!J292</f>
        <v>0</v>
      </c>
      <c r="K292" s="98">
        <f t="shared" si="349"/>
        <v>-77673.89</v>
      </c>
      <c r="L292" s="98">
        <f t="shared" si="350"/>
        <v>17326.11</v>
      </c>
      <c r="M292" s="98">
        <f t="shared" si="351"/>
        <v>95000</v>
      </c>
      <c r="N292" s="218">
        <f>+Bonus!N292</f>
        <v>54820.17</v>
      </c>
      <c r="O292" s="218">
        <f>+Bonus!O292</f>
        <v>0</v>
      </c>
      <c r="P292" s="98">
        <f>+Bonus!W292</f>
        <v>6303.4541681630926</v>
      </c>
      <c r="Q292" s="98">
        <f t="shared" si="352"/>
        <v>45229.72</v>
      </c>
      <c r="R292" s="98">
        <f t="shared" si="353"/>
        <v>0</v>
      </c>
      <c r="S292" s="129">
        <f t="shared" si="354"/>
        <v>-28679.454168163094</v>
      </c>
      <c r="T292" s="199" t="str">
        <f>+Bonus!T292</f>
        <v>2024</v>
      </c>
      <c r="U292" s="199">
        <f>+Bonus!U292</f>
        <v>0</v>
      </c>
      <c r="V292" s="199" t="str">
        <f>+Bonus!V292</f>
        <v>&lt; 250k</v>
      </c>
      <c r="W292" s="198"/>
      <c r="X292" s="33"/>
      <c r="Y292" s="197"/>
      <c r="Z292" s="198"/>
      <c r="AA292" s="196"/>
      <c r="AB292" s="196"/>
      <c r="AC292" s="194"/>
    </row>
    <row r="293" spans="1:29" s="81" customFormat="1" ht="13.5" customHeight="1">
      <c r="A293" s="259">
        <f>+Bonus!A293</f>
        <v>56.103900000000003</v>
      </c>
      <c r="B293" s="82" t="str">
        <f>+Bonus!B293</f>
        <v>Sac Valley Electrica Inc -  Placer County - Creekview Ranch Sewer Lift Station</v>
      </c>
      <c r="C293" s="227">
        <f>+Bonus!C293</f>
        <v>375000</v>
      </c>
      <c r="D293" s="63">
        <f>+Bonus!D293</f>
        <v>332284</v>
      </c>
      <c r="E293" s="63">
        <f>+Bonus!E293</f>
        <v>42716</v>
      </c>
      <c r="F293" s="218">
        <f>+Bonus!F293</f>
        <v>324049.23</v>
      </c>
      <c r="G293" s="182">
        <f t="shared" si="346"/>
        <v>0.9752176752416607</v>
      </c>
      <c r="H293" s="98">
        <f t="shared" si="347"/>
        <v>41657.398215622779</v>
      </c>
      <c r="I293" s="98">
        <f t="shared" si="348"/>
        <v>365706.62821562274</v>
      </c>
      <c r="J293" s="218">
        <f>+Bonus!J293</f>
        <v>330000</v>
      </c>
      <c r="K293" s="98">
        <f t="shared" si="349"/>
        <v>-35706.628215622739</v>
      </c>
      <c r="L293" s="98">
        <f t="shared" si="350"/>
        <v>8234.7700000000186</v>
      </c>
      <c r="M293" s="98">
        <f t="shared" si="351"/>
        <v>45000</v>
      </c>
      <c r="N293" s="218">
        <f>+Bonus!N293</f>
        <v>44619.13</v>
      </c>
      <c r="O293" s="218">
        <f>+Bonus!O293</f>
        <v>0</v>
      </c>
      <c r="P293" s="98">
        <f>+Bonus!W293</f>
        <v>4521.8912544751283</v>
      </c>
      <c r="Q293" s="98">
        <f t="shared" si="352"/>
        <v>279430.09999999998</v>
      </c>
      <c r="R293" s="98">
        <f t="shared" si="353"/>
        <v>330000</v>
      </c>
      <c r="S293" s="129">
        <f t="shared" si="354"/>
        <v>37135.50696114765</v>
      </c>
      <c r="T293" s="199" t="str">
        <f>+Bonus!T293</f>
        <v>2024</v>
      </c>
      <c r="U293" s="199">
        <f>+Bonus!U293</f>
        <v>0</v>
      </c>
      <c r="V293" s="199" t="str">
        <f>+Bonus!V293</f>
        <v>.</v>
      </c>
      <c r="W293" s="198"/>
      <c r="X293" s="33"/>
      <c r="Y293" s="197"/>
      <c r="Z293" s="198"/>
      <c r="AA293" s="196"/>
      <c r="AB293" s="196"/>
      <c r="AC293" s="194"/>
    </row>
    <row r="294" spans="1:29" s="81" customFormat="1" ht="13.5" customHeight="1">
      <c r="A294" s="259">
        <f>+Bonus!A294</f>
        <v>56.104199999999999</v>
      </c>
      <c r="B294" s="82" t="str">
        <f>+Bonus!B294</f>
        <v>Trabuco Canyon Water Dist.  - SCADA Integration Services</v>
      </c>
      <c r="C294" s="227">
        <f>+Bonus!C294</f>
        <v>277565</v>
      </c>
      <c r="D294" s="63">
        <f>+Bonus!D294</f>
        <v>218288</v>
      </c>
      <c r="E294" s="63">
        <f>+Bonus!E294</f>
        <v>59277</v>
      </c>
      <c r="F294" s="218">
        <f>+Bonus!F294</f>
        <v>172683.27</v>
      </c>
      <c r="G294" s="182">
        <f t="shared" si="346"/>
        <v>0.79107999523565198</v>
      </c>
      <c r="H294" s="98">
        <f t="shared" si="347"/>
        <v>46892.84887758374</v>
      </c>
      <c r="I294" s="98">
        <f t="shared" si="348"/>
        <v>219576.11887758374</v>
      </c>
      <c r="J294" s="218">
        <f>+Bonus!J294</f>
        <v>217715</v>
      </c>
      <c r="K294" s="98">
        <f t="shared" si="349"/>
        <v>-1861.1188775837363</v>
      </c>
      <c r="L294" s="98">
        <f t="shared" si="350"/>
        <v>45604.73000000001</v>
      </c>
      <c r="M294" s="98">
        <f t="shared" si="351"/>
        <v>59850</v>
      </c>
      <c r="N294" s="218">
        <f>+Bonus!N294</f>
        <v>88143.14</v>
      </c>
      <c r="O294" s="218">
        <f>+Bonus!O294</f>
        <v>105595</v>
      </c>
      <c r="P294" s="98">
        <f>+Bonus!W294</f>
        <v>34822.218142304642</v>
      </c>
      <c r="Q294" s="98">
        <f t="shared" si="352"/>
        <v>84540.12999999999</v>
      </c>
      <c r="R294" s="98">
        <f t="shared" si="353"/>
        <v>112120</v>
      </c>
      <c r="S294" s="129">
        <f t="shared" si="354"/>
        <v>12070.630735279097</v>
      </c>
      <c r="T294" s="199" t="str">
        <f>+Bonus!T294</f>
        <v>2024</v>
      </c>
      <c r="U294" s="199">
        <f>+Bonus!U294</f>
        <v>0</v>
      </c>
      <c r="V294" s="199" t="str">
        <f>+Bonus!V294</f>
        <v>.</v>
      </c>
      <c r="W294" s="198"/>
      <c r="X294" s="33"/>
      <c r="Y294" s="197"/>
      <c r="Z294" s="198"/>
      <c r="AA294" s="196"/>
      <c r="AB294" s="196"/>
      <c r="AC294" s="194"/>
    </row>
    <row r="295" spans="1:29" s="81" customFormat="1" ht="13.5" customHeight="1">
      <c r="A295" s="259">
        <f>+Bonus!A295</f>
        <v>56.104300000000002</v>
      </c>
      <c r="B295" s="82" t="str">
        <f>+Bonus!B295</f>
        <v>SD Electirc, Inc - Morgan Hill, City of - Sanitary Sewer Lift Station K &amp; F Reh</v>
      </c>
      <c r="C295" s="227">
        <f>+Bonus!C295</f>
        <v>336610</v>
      </c>
      <c r="D295" s="63">
        <f>+Bonus!D295</f>
        <v>311391</v>
      </c>
      <c r="E295" s="63">
        <f>+Bonus!E295</f>
        <v>25219</v>
      </c>
      <c r="F295" s="218">
        <f>+Bonus!F295</f>
        <v>214994.3</v>
      </c>
      <c r="G295" s="182">
        <f t="shared" si="346"/>
        <v>0.69043196495724024</v>
      </c>
      <c r="H295" s="98">
        <f t="shared" si="347"/>
        <v>17412.003724256643</v>
      </c>
      <c r="I295" s="98">
        <f t="shared" si="348"/>
        <v>232406.30372425664</v>
      </c>
      <c r="J295" s="218">
        <f>+Bonus!J295</f>
        <v>0</v>
      </c>
      <c r="K295" s="98">
        <f t="shared" si="349"/>
        <v>-232406.30372425664</v>
      </c>
      <c r="L295" s="98">
        <f t="shared" si="350"/>
        <v>96396.700000000012</v>
      </c>
      <c r="M295" s="98">
        <f t="shared" si="351"/>
        <v>336610</v>
      </c>
      <c r="N295" s="218">
        <f>+Bonus!N295</f>
        <v>37458.879999999997</v>
      </c>
      <c r="O295" s="218">
        <f>+Bonus!O295</f>
        <v>0</v>
      </c>
      <c r="P295" s="98">
        <f>+Bonus!W295</f>
        <v>4449.6548011828163</v>
      </c>
      <c r="Q295" s="98">
        <f t="shared" si="352"/>
        <v>177535.41999999998</v>
      </c>
      <c r="R295" s="98">
        <f t="shared" si="353"/>
        <v>0</v>
      </c>
      <c r="S295" s="129">
        <f t="shared" si="354"/>
        <v>12962.348923073827</v>
      </c>
      <c r="T295" s="199" t="str">
        <f>+Bonus!T295</f>
        <v>2024</v>
      </c>
      <c r="U295" s="199">
        <f>+Bonus!U295</f>
        <v>0</v>
      </c>
      <c r="V295" s="199" t="str">
        <f>+Bonus!V295</f>
        <v>.</v>
      </c>
      <c r="W295" s="198"/>
      <c r="X295" s="33"/>
      <c r="Y295" s="197"/>
      <c r="Z295" s="198"/>
      <c r="AA295" s="196"/>
      <c r="AB295" s="196"/>
      <c r="AC295" s="194"/>
    </row>
    <row r="296" spans="1:29" s="81" customFormat="1" ht="13.5" customHeight="1">
      <c r="A296" s="259">
        <f>+Bonus!A296</f>
        <v>56.104599999999998</v>
      </c>
      <c r="B296" s="82" t="str">
        <f>+Bonus!B296</f>
        <v>California Water Service Co. - SSF-1 - Visalia St. 97 Panelboard Mods</v>
      </c>
      <c r="C296" s="227">
        <f>+Bonus!C296</f>
        <v>77120</v>
      </c>
      <c r="D296" s="63">
        <f>+Bonus!D296</f>
        <v>79956</v>
      </c>
      <c r="E296" s="63">
        <f>+Bonus!E296</f>
        <v>-2836</v>
      </c>
      <c r="F296" s="218">
        <f>+Bonus!F296</f>
        <v>77765.8</v>
      </c>
      <c r="G296" s="182">
        <f t="shared" si="346"/>
        <v>0.97260743408874883</v>
      </c>
      <c r="H296" s="98">
        <f t="shared" si="347"/>
        <v>-2836</v>
      </c>
      <c r="I296" s="98">
        <f t="shared" si="348"/>
        <v>74929.8</v>
      </c>
      <c r="J296" s="218">
        <f>+Bonus!J296</f>
        <v>75120</v>
      </c>
      <c r="K296" s="98">
        <f t="shared" si="349"/>
        <v>190.19999999999709</v>
      </c>
      <c r="L296" s="98">
        <f t="shared" si="350"/>
        <v>2190.1999999999971</v>
      </c>
      <c r="M296" s="98">
        <f t="shared" si="351"/>
        <v>2000</v>
      </c>
      <c r="N296" s="218">
        <f>+Bonus!N296</f>
        <v>9466.4</v>
      </c>
      <c r="O296" s="218">
        <f>+Bonus!O296</f>
        <v>0</v>
      </c>
      <c r="P296" s="98">
        <f>+Bonus!W296</f>
        <v>1603.6473077127516</v>
      </c>
      <c r="Q296" s="98">
        <f t="shared" si="352"/>
        <v>68299.400000000009</v>
      </c>
      <c r="R296" s="98">
        <f t="shared" si="353"/>
        <v>75120</v>
      </c>
      <c r="S296" s="129">
        <f t="shared" si="354"/>
        <v>-4439.6473077127521</v>
      </c>
      <c r="T296" s="199" t="str">
        <f>+Bonus!T296</f>
        <v>2024</v>
      </c>
      <c r="U296" s="199">
        <f>+Bonus!U296</f>
        <v>0</v>
      </c>
      <c r="V296" s="199" t="str">
        <f>+Bonus!V296</f>
        <v>&lt; 250k</v>
      </c>
      <c r="W296" s="198"/>
      <c r="X296" s="33"/>
      <c r="Y296" s="197"/>
      <c r="Z296" s="198"/>
      <c r="AA296" s="196"/>
      <c r="AB296" s="196"/>
      <c r="AC296" s="194"/>
    </row>
    <row r="297" spans="1:29" s="81" customFormat="1" ht="13.5" customHeight="1">
      <c r="A297" s="259">
        <f>+Bonus!A297</f>
        <v>56.104700000000001</v>
      </c>
      <c r="B297" s="82" t="str">
        <f>+Bonus!B297</f>
        <v>SD Electric, Inc - Lathrop, City of - Consolidated Treatment Facility Ph. 3</v>
      </c>
      <c r="C297" s="227">
        <f>+Bonus!C297</f>
        <v>2394758</v>
      </c>
      <c r="D297" s="63">
        <f>+Bonus!D297</f>
        <v>2040555</v>
      </c>
      <c r="E297" s="63">
        <f>+Bonus!E297</f>
        <v>354203</v>
      </c>
      <c r="F297" s="218">
        <f>+Bonus!F297</f>
        <v>1602869.63</v>
      </c>
      <c r="G297" s="182">
        <f t="shared" si="346"/>
        <v>0.78550670283329771</v>
      </c>
      <c r="H297" s="98">
        <f t="shared" si="347"/>
        <v>278228.83066366252</v>
      </c>
      <c r="I297" s="98">
        <f t="shared" si="348"/>
        <v>1881098.4606636623</v>
      </c>
      <c r="J297" s="218">
        <f>+Bonus!J297</f>
        <v>1905218.25</v>
      </c>
      <c r="K297" s="98">
        <f t="shared" si="349"/>
        <v>24119.789336337708</v>
      </c>
      <c r="L297" s="98">
        <f t="shared" si="350"/>
        <v>437685.37000000011</v>
      </c>
      <c r="M297" s="98">
        <f t="shared" si="351"/>
        <v>489539.75</v>
      </c>
      <c r="N297" s="218">
        <f>+Bonus!N297</f>
        <v>60536.160000000003</v>
      </c>
      <c r="O297" s="218">
        <f>+Bonus!O297</f>
        <v>0</v>
      </c>
      <c r="P297" s="98">
        <f>+Bonus!W297</f>
        <v>0</v>
      </c>
      <c r="Q297" s="98">
        <f t="shared" si="352"/>
        <v>1542333.47</v>
      </c>
      <c r="R297" s="98">
        <f t="shared" si="353"/>
        <v>1905218.25</v>
      </c>
      <c r="S297" s="129">
        <f t="shared" si="354"/>
        <v>278228.83066366252</v>
      </c>
      <c r="T297" s="199" t="str">
        <f>+Bonus!T297</f>
        <v>2024</v>
      </c>
      <c r="U297" s="199">
        <f>+Bonus!U297</f>
        <v>0</v>
      </c>
      <c r="V297" s="199" t="str">
        <f>+Bonus!V297</f>
        <v>.</v>
      </c>
      <c r="W297" s="198"/>
      <c r="X297" s="33"/>
      <c r="Y297" s="197"/>
      <c r="Z297" s="198"/>
      <c r="AA297" s="196"/>
      <c r="AB297" s="196"/>
      <c r="AC297" s="194"/>
    </row>
    <row r="298" spans="1:29" s="81" customFormat="1" ht="13.5" customHeight="1">
      <c r="A298" s="259">
        <f>+Bonus!A298</f>
        <v>56.104799999999997</v>
      </c>
      <c r="B298" s="82" t="str">
        <f>+Bonus!B298</f>
        <v>Blocka Construction, Inc - West Bay Sanitary District - Telemetry Panel Replacement</v>
      </c>
      <c r="C298" s="227">
        <f>+Bonus!C298</f>
        <v>200000</v>
      </c>
      <c r="D298" s="63">
        <f>+Bonus!D298</f>
        <v>161119</v>
      </c>
      <c r="E298" s="63">
        <f>+Bonus!E298</f>
        <v>38881</v>
      </c>
      <c r="F298" s="218">
        <f>+Bonus!F298</f>
        <v>157916.15</v>
      </c>
      <c r="G298" s="182">
        <f t="shared" si="346"/>
        <v>0.98012121475431202</v>
      </c>
      <c r="H298" s="98">
        <f t="shared" si="347"/>
        <v>38108.092950862403</v>
      </c>
      <c r="I298" s="98">
        <f t="shared" si="348"/>
        <v>196024.24295086239</v>
      </c>
      <c r="J298" s="218">
        <f>+Bonus!J298</f>
        <v>187500</v>
      </c>
      <c r="K298" s="98">
        <f t="shared" si="349"/>
        <v>-8524.24295086239</v>
      </c>
      <c r="L298" s="98">
        <f t="shared" si="350"/>
        <v>3202.8500000000058</v>
      </c>
      <c r="M298" s="98">
        <f t="shared" si="351"/>
        <v>12500</v>
      </c>
      <c r="N298" s="218">
        <f>+Bonus!N298</f>
        <v>20789.349999999999</v>
      </c>
      <c r="O298" s="218">
        <f>+Bonus!O298</f>
        <v>0</v>
      </c>
      <c r="P298" s="98">
        <f>+Bonus!W298</f>
        <v>34643.742911328278</v>
      </c>
      <c r="Q298" s="98">
        <f t="shared" si="352"/>
        <v>137126.79999999999</v>
      </c>
      <c r="R298" s="98">
        <f t="shared" si="353"/>
        <v>187500</v>
      </c>
      <c r="S298" s="129">
        <f t="shared" si="354"/>
        <v>3464.3500395341252</v>
      </c>
      <c r="T298" s="199" t="str">
        <f>+Bonus!T298</f>
        <v>2024</v>
      </c>
      <c r="U298" s="199">
        <f>+Bonus!U298</f>
        <v>0</v>
      </c>
      <c r="V298" s="199" t="str">
        <f>+Bonus!V298</f>
        <v>&lt; 250k</v>
      </c>
      <c r="W298" s="198"/>
      <c r="X298" s="33"/>
      <c r="Y298" s="197"/>
      <c r="Z298" s="198"/>
      <c r="AA298" s="196"/>
      <c r="AB298" s="196"/>
      <c r="AC298" s="194"/>
    </row>
    <row r="299" spans="1:29" s="81" customFormat="1" ht="13.5" customHeight="1">
      <c r="A299" s="259">
        <f>+Bonus!A299</f>
        <v>56.104900000000001</v>
      </c>
      <c r="B299" s="82" t="str">
        <f>+Bonus!B299</f>
        <v>East Orange County Water District - SCADA Field Site RTU Prog Ph.1</v>
      </c>
      <c r="C299" s="227">
        <f>+Bonus!C299</f>
        <v>308725</v>
      </c>
      <c r="D299" s="63">
        <f>+Bonus!D299</f>
        <v>248873</v>
      </c>
      <c r="E299" s="63">
        <f>+Bonus!E299</f>
        <v>59852</v>
      </c>
      <c r="F299" s="218">
        <f>+Bonus!F299</f>
        <v>214423.06</v>
      </c>
      <c r="G299" s="182">
        <f t="shared" si="346"/>
        <v>0.86157622562511804</v>
      </c>
      <c r="H299" s="98">
        <f t="shared" si="347"/>
        <v>51567.060256114564</v>
      </c>
      <c r="I299" s="98">
        <f t="shared" si="348"/>
        <v>265990.12025611458</v>
      </c>
      <c r="J299" s="218">
        <f>+Bonus!J299</f>
        <v>291725</v>
      </c>
      <c r="K299" s="98">
        <f t="shared" si="349"/>
        <v>25734.879743885424</v>
      </c>
      <c r="L299" s="98">
        <f t="shared" si="350"/>
        <v>34449.94</v>
      </c>
      <c r="M299" s="98">
        <f t="shared" si="351"/>
        <v>17000</v>
      </c>
      <c r="N299" s="218">
        <f>+Bonus!N299</f>
        <v>127480.78</v>
      </c>
      <c r="O299" s="218">
        <f>+Bonus!O299</f>
        <v>137812.5</v>
      </c>
      <c r="P299" s="98">
        <f>+Bonus!W299</f>
        <v>74409.070972223708</v>
      </c>
      <c r="Q299" s="98">
        <f t="shared" si="352"/>
        <v>86942.28</v>
      </c>
      <c r="R299" s="98">
        <f t="shared" si="353"/>
        <v>153912.5</v>
      </c>
      <c r="S299" s="129">
        <f t="shared" si="354"/>
        <v>-22842.010716109144</v>
      </c>
      <c r="T299" s="199" t="str">
        <f>+Bonus!T299</f>
        <v>2024</v>
      </c>
      <c r="U299" s="199">
        <f>+Bonus!U299</f>
        <v>0</v>
      </c>
      <c r="V299" s="199" t="str">
        <f>+Bonus!V299</f>
        <v>.</v>
      </c>
      <c r="W299" s="198"/>
      <c r="X299" s="33"/>
      <c r="Y299" s="197"/>
      <c r="Z299" s="198"/>
      <c r="AA299" s="196"/>
      <c r="AB299" s="196"/>
      <c r="AC299" s="194"/>
    </row>
    <row r="300" spans="1:29" s="81" customFormat="1" ht="13.5" customHeight="1">
      <c r="A300" s="259">
        <f>+Bonus!A300</f>
        <v>56.104999999999997</v>
      </c>
      <c r="B300" s="82" t="str">
        <f>+Bonus!B300</f>
        <v>Collins Electric - Watsonville, City of - WWTF Electrical System Hazard Mitigat</v>
      </c>
      <c r="C300" s="227">
        <f>+Bonus!C300</f>
        <v>3792559</v>
      </c>
      <c r="D300" s="63">
        <f>+Bonus!D300</f>
        <v>3365567</v>
      </c>
      <c r="E300" s="63">
        <f>+Bonus!E300</f>
        <v>426992</v>
      </c>
      <c r="F300" s="218">
        <f>+Bonus!F300</f>
        <v>925847.53</v>
      </c>
      <c r="G300" s="182">
        <f t="shared" si="346"/>
        <v>0.27509407181613083</v>
      </c>
      <c r="H300" s="98">
        <f t="shared" si="347"/>
        <v>117462.96791291333</v>
      </c>
      <c r="I300" s="98">
        <f t="shared" si="348"/>
        <v>1043310.4979129133</v>
      </c>
      <c r="J300" s="218">
        <f>+Bonus!J300</f>
        <v>675979.5</v>
      </c>
      <c r="K300" s="98">
        <f t="shared" si="349"/>
        <v>-367330.99791291333</v>
      </c>
      <c r="L300" s="98">
        <f t="shared" si="350"/>
        <v>2439719.4699999997</v>
      </c>
      <c r="M300" s="98">
        <f t="shared" si="351"/>
        <v>3116579.5</v>
      </c>
      <c r="N300" s="218">
        <f>+Bonus!N300</f>
        <v>54464.62</v>
      </c>
      <c r="O300" s="218">
        <f>+Bonus!O300</f>
        <v>0</v>
      </c>
      <c r="P300" s="98">
        <f>+Bonus!W300</f>
        <v>0</v>
      </c>
      <c r="Q300" s="98">
        <f t="shared" si="352"/>
        <v>871382.91</v>
      </c>
      <c r="R300" s="98">
        <f t="shared" si="353"/>
        <v>675979.5</v>
      </c>
      <c r="S300" s="129">
        <f t="shared" si="354"/>
        <v>117462.96791291333</v>
      </c>
      <c r="T300" s="199" t="str">
        <f>+Bonus!T300</f>
        <v>2024</v>
      </c>
      <c r="U300" s="199">
        <f>+Bonus!U300</f>
        <v>0</v>
      </c>
      <c r="V300" s="199" t="str">
        <f>+Bonus!V300</f>
        <v>.</v>
      </c>
      <c r="W300" s="198"/>
      <c r="X300" s="33"/>
      <c r="Y300" s="197"/>
      <c r="Z300" s="198"/>
      <c r="AA300" s="196"/>
      <c r="AB300" s="196"/>
      <c r="AC300" s="194"/>
    </row>
    <row r="301" spans="1:29" s="81" customFormat="1" ht="13.5" customHeight="1">
      <c r="A301" s="259">
        <f>+Bonus!A301</f>
        <v>56.105499999999999</v>
      </c>
      <c r="B301" s="82" t="str">
        <f>+Bonus!B301</f>
        <v>Strategic Mechanical, Inc - Tranquility Irrigation District - Tranquility Well 8 Project</v>
      </c>
      <c r="C301" s="227">
        <f>+Bonus!C301</f>
        <v>120891</v>
      </c>
      <c r="D301" s="63">
        <f>+Bonus!D301</f>
        <v>92848</v>
      </c>
      <c r="E301" s="63">
        <f>+Bonus!E301</f>
        <v>28043</v>
      </c>
      <c r="F301" s="218">
        <f>+Bonus!F301</f>
        <v>78736.44</v>
      </c>
      <c r="G301" s="182">
        <f t="shared" si="346"/>
        <v>0.84801438910908156</v>
      </c>
      <c r="H301" s="98">
        <f t="shared" si="347"/>
        <v>23780.867513785975</v>
      </c>
      <c r="I301" s="98">
        <f t="shared" si="348"/>
        <v>102517.30751378599</v>
      </c>
      <c r="J301" s="218">
        <f>+Bonus!J301</f>
        <v>120891</v>
      </c>
      <c r="K301" s="98">
        <f t="shared" si="349"/>
        <v>18373.692486214015</v>
      </c>
      <c r="L301" s="98">
        <f t="shared" si="350"/>
        <v>14111.559999999998</v>
      </c>
      <c r="M301" s="98">
        <f t="shared" si="351"/>
        <v>0</v>
      </c>
      <c r="N301" s="218">
        <f>+Bonus!N301</f>
        <v>14271.01</v>
      </c>
      <c r="O301" s="218">
        <f>+Bonus!O301</f>
        <v>0</v>
      </c>
      <c r="P301" s="98">
        <f>+Bonus!W301</f>
        <v>2514.9895595313742</v>
      </c>
      <c r="Q301" s="98">
        <f t="shared" si="352"/>
        <v>64465.43</v>
      </c>
      <c r="R301" s="98">
        <f t="shared" si="353"/>
        <v>120891</v>
      </c>
      <c r="S301" s="129">
        <f t="shared" si="354"/>
        <v>21265.8779542546</v>
      </c>
      <c r="T301" s="199" t="str">
        <f>+Bonus!T301</f>
        <v>2024</v>
      </c>
      <c r="U301" s="199">
        <f>+Bonus!U301</f>
        <v>0</v>
      </c>
      <c r="V301" s="199" t="str">
        <f>+Bonus!V301</f>
        <v>&lt; 250k</v>
      </c>
      <c r="W301" s="198"/>
      <c r="X301" s="33"/>
      <c r="Y301" s="197"/>
      <c r="Z301" s="198"/>
      <c r="AA301" s="196"/>
      <c r="AB301" s="196"/>
      <c r="AC301" s="194"/>
    </row>
    <row r="302" spans="1:29" s="81" customFormat="1" ht="13.5" customHeight="1">
      <c r="A302" s="259">
        <f>+Bonus!A302</f>
        <v>56.105899999999998</v>
      </c>
      <c r="B302" s="82" t="str">
        <f>+Bonus!B302</f>
        <v>Fusion Electric, Inc - San Francisco Utilities Commission (SFPUC) - Moccasin Compou</v>
      </c>
      <c r="C302" s="227">
        <f>+Bonus!C302</f>
        <v>399389</v>
      </c>
      <c r="D302" s="63">
        <f>+Bonus!D302</f>
        <v>329206</v>
      </c>
      <c r="E302" s="63">
        <f>+Bonus!E302</f>
        <v>70183</v>
      </c>
      <c r="F302" s="218">
        <f>+Bonus!F302</f>
        <v>235841.92000000001</v>
      </c>
      <c r="G302" s="182">
        <f t="shared" si="346"/>
        <v>0.71639617746942652</v>
      </c>
      <c r="H302" s="98">
        <f t="shared" si="347"/>
        <v>50278.832923336762</v>
      </c>
      <c r="I302" s="98">
        <f t="shared" si="348"/>
        <v>286120.75292333675</v>
      </c>
      <c r="J302" s="218">
        <f>+Bonus!J302</f>
        <v>0</v>
      </c>
      <c r="K302" s="98">
        <f t="shared" si="349"/>
        <v>-286120.75292333675</v>
      </c>
      <c r="L302" s="98">
        <f t="shared" si="350"/>
        <v>93364.079999999987</v>
      </c>
      <c r="M302" s="98">
        <f t="shared" si="351"/>
        <v>399389</v>
      </c>
      <c r="N302" s="218">
        <f>+Bonus!N302</f>
        <v>26703.38</v>
      </c>
      <c r="O302" s="218">
        <f>+Bonus!O302</f>
        <v>0</v>
      </c>
      <c r="P302" s="98">
        <f>+Bonus!W302</f>
        <v>0</v>
      </c>
      <c r="Q302" s="98">
        <f t="shared" si="352"/>
        <v>209138.54</v>
      </c>
      <c r="R302" s="98">
        <f t="shared" si="353"/>
        <v>0</v>
      </c>
      <c r="S302" s="129">
        <f t="shared" si="354"/>
        <v>50278.832923336762</v>
      </c>
      <c r="T302" s="199" t="str">
        <f>+Bonus!T302</f>
        <v>2024</v>
      </c>
      <c r="U302" s="199">
        <f>+Bonus!U302</f>
        <v>0</v>
      </c>
      <c r="V302" s="199" t="str">
        <f>+Bonus!V302</f>
        <v>.</v>
      </c>
      <c r="W302" s="198"/>
      <c r="X302" s="33"/>
      <c r="Y302" s="197"/>
      <c r="Z302" s="198"/>
      <c r="AA302" s="196"/>
      <c r="AB302" s="196"/>
      <c r="AC302" s="194"/>
    </row>
    <row r="303" spans="1:29" s="81" customFormat="1" ht="13.5" customHeight="1">
      <c r="A303" s="259">
        <f>+Bonus!A303</f>
        <v>56.106000000000002</v>
      </c>
      <c r="B303" s="82" t="str">
        <f>+Bonus!B303</f>
        <v>Fusion Electric, Inc - Stockton, City of - N4 Pump Station Improvement Plans of Mar</v>
      </c>
      <c r="C303" s="227">
        <f>+Bonus!C303</f>
        <v>404663</v>
      </c>
      <c r="D303" s="63">
        <f>+Bonus!D303</f>
        <v>322491</v>
      </c>
      <c r="E303" s="63">
        <f>+Bonus!E303</f>
        <v>82172</v>
      </c>
      <c r="F303" s="218">
        <f>+Bonus!F303</f>
        <v>145563.35999999999</v>
      </c>
      <c r="G303" s="182">
        <f t="shared" si="346"/>
        <v>0.45137185223773685</v>
      </c>
      <c r="H303" s="98">
        <f t="shared" si="347"/>
        <v>37090.12784207931</v>
      </c>
      <c r="I303" s="98">
        <f t="shared" si="348"/>
        <v>182653.48784207931</v>
      </c>
      <c r="J303" s="218">
        <f>+Bonus!J303</f>
        <v>0</v>
      </c>
      <c r="K303" s="98">
        <f t="shared" si="349"/>
        <v>-182653.48784207931</v>
      </c>
      <c r="L303" s="98">
        <f t="shared" si="350"/>
        <v>176927.64</v>
      </c>
      <c r="M303" s="98">
        <f t="shared" si="351"/>
        <v>404663</v>
      </c>
      <c r="N303" s="218">
        <f>+Bonus!N303</f>
        <v>36446.559999999998</v>
      </c>
      <c r="O303" s="218">
        <f>+Bonus!O303</f>
        <v>0</v>
      </c>
      <c r="P303" s="98">
        <f>+Bonus!W303</f>
        <v>10941.561946541931</v>
      </c>
      <c r="Q303" s="98">
        <f t="shared" si="352"/>
        <v>109116.79999999999</v>
      </c>
      <c r="R303" s="98">
        <f t="shared" si="353"/>
        <v>0</v>
      </c>
      <c r="S303" s="129">
        <f t="shared" si="354"/>
        <v>26148.56589553738</v>
      </c>
      <c r="T303" s="199" t="str">
        <f>+Bonus!T303</f>
        <v>2024</v>
      </c>
      <c r="U303" s="199">
        <f>+Bonus!U303</f>
        <v>0</v>
      </c>
      <c r="V303" s="199" t="str">
        <f>+Bonus!V303</f>
        <v>.</v>
      </c>
      <c r="W303" s="198"/>
      <c r="X303" s="33"/>
      <c r="Y303" s="197"/>
      <c r="Z303" s="198"/>
      <c r="AA303" s="196"/>
      <c r="AB303" s="196"/>
      <c r="AC303" s="194"/>
    </row>
    <row r="304" spans="1:29" s="81" customFormat="1" ht="13.5" customHeight="1">
      <c r="A304" s="259">
        <f>+Bonus!A304</f>
        <v>56.106299999999997</v>
      </c>
      <c r="B304" s="82" t="str">
        <f>+Bonus!B304</f>
        <v>Bay Tech Engineering - West Bay Sanitary District - Stowe Lane Pump Station Project</v>
      </c>
      <c r="C304" s="227">
        <f>+Bonus!C304</f>
        <v>108000</v>
      </c>
      <c r="D304" s="63">
        <f>+Bonus!D304</f>
        <v>97921</v>
      </c>
      <c r="E304" s="63">
        <f>+Bonus!E304</f>
        <v>10079</v>
      </c>
      <c r="F304" s="218">
        <f>+Bonus!F304</f>
        <v>74040.41</v>
      </c>
      <c r="G304" s="182">
        <f t="shared" si="346"/>
        <v>0.75612391621817587</v>
      </c>
      <c r="H304" s="98">
        <f t="shared" si="347"/>
        <v>7620.9729515629942</v>
      </c>
      <c r="I304" s="98">
        <f t="shared" si="348"/>
        <v>81661.382951562991</v>
      </c>
      <c r="J304" s="218">
        <f>+Bonus!J304</f>
        <v>10000</v>
      </c>
      <c r="K304" s="98">
        <f t="shared" si="349"/>
        <v>-71661.382951562991</v>
      </c>
      <c r="L304" s="98">
        <f t="shared" si="350"/>
        <v>23880.589999999997</v>
      </c>
      <c r="M304" s="98">
        <f t="shared" si="351"/>
        <v>98000</v>
      </c>
      <c r="N304" s="218">
        <f>+Bonus!N304</f>
        <v>17607.810000000001</v>
      </c>
      <c r="O304" s="218">
        <f>+Bonus!O304</f>
        <v>0</v>
      </c>
      <c r="P304" s="98">
        <f>+Bonus!W304</f>
        <v>2968.0708063102543</v>
      </c>
      <c r="Q304" s="98">
        <f t="shared" si="352"/>
        <v>56432.600000000006</v>
      </c>
      <c r="R304" s="98">
        <f t="shared" si="353"/>
        <v>10000</v>
      </c>
      <c r="S304" s="129">
        <f t="shared" si="354"/>
        <v>4652.9021452527395</v>
      </c>
      <c r="T304" s="199" t="str">
        <f>+Bonus!T304</f>
        <v>2024</v>
      </c>
      <c r="U304" s="199">
        <f>+Bonus!U304</f>
        <v>0</v>
      </c>
      <c r="V304" s="199" t="str">
        <f>+Bonus!V304</f>
        <v>&lt; 250k</v>
      </c>
      <c r="W304" s="198"/>
      <c r="X304" s="33"/>
      <c r="Y304" s="197"/>
      <c r="Z304" s="198"/>
      <c r="AA304" s="196"/>
      <c r="AB304" s="196"/>
      <c r="AC304" s="194"/>
    </row>
    <row r="305" spans="1:29" s="81" customFormat="1" ht="13.5" customHeight="1">
      <c r="A305" s="259">
        <f>+Bonus!A305</f>
        <v>56.1066</v>
      </c>
      <c r="B305" s="82" t="str">
        <f>+Bonus!B305</f>
        <v>CM Controls - City of Larkspur and Ross Valley Sanitary District – Heather</v>
      </c>
      <c r="C305" s="227">
        <f>+Bonus!C305</f>
        <v>595000</v>
      </c>
      <c r="D305" s="63">
        <f>+Bonus!D305</f>
        <v>531490</v>
      </c>
      <c r="E305" s="63">
        <f>+Bonus!E305</f>
        <v>63510</v>
      </c>
      <c r="F305" s="218">
        <f>+Bonus!F305</f>
        <v>476030.06</v>
      </c>
      <c r="G305" s="182">
        <f t="shared" si="346"/>
        <v>0.89565195958531674</v>
      </c>
      <c r="H305" s="98">
        <f t="shared" si="347"/>
        <v>56882.855953263468</v>
      </c>
      <c r="I305" s="98">
        <f t="shared" si="348"/>
        <v>532912.91595326341</v>
      </c>
      <c r="J305" s="218">
        <f>+Bonus!J305</f>
        <v>570000</v>
      </c>
      <c r="K305" s="98">
        <f t="shared" si="349"/>
        <v>37087.084046736592</v>
      </c>
      <c r="L305" s="98">
        <f t="shared" si="350"/>
        <v>55459.94</v>
      </c>
      <c r="M305" s="98">
        <f t="shared" si="351"/>
        <v>25000</v>
      </c>
      <c r="N305" s="218">
        <f>+Bonus!N305</f>
        <v>12471.13</v>
      </c>
      <c r="O305" s="218">
        <f>+Bonus!O305</f>
        <v>0</v>
      </c>
      <c r="P305" s="98">
        <f>+Bonus!W305</f>
        <v>0</v>
      </c>
      <c r="Q305" s="98">
        <f t="shared" si="352"/>
        <v>463558.93</v>
      </c>
      <c r="R305" s="98">
        <f t="shared" si="353"/>
        <v>570000</v>
      </c>
      <c r="S305" s="129">
        <f t="shared" si="354"/>
        <v>56882.855953263468</v>
      </c>
      <c r="T305" s="199" t="str">
        <f>+Bonus!T305</f>
        <v>2024</v>
      </c>
      <c r="U305" s="199">
        <f>+Bonus!U305</f>
        <v>0</v>
      </c>
      <c r="V305" s="199" t="str">
        <f>+Bonus!V305</f>
        <v>.</v>
      </c>
      <c r="W305" s="198"/>
      <c r="X305" s="33"/>
      <c r="Y305" s="197"/>
      <c r="Z305" s="198"/>
      <c r="AA305" s="196"/>
      <c r="AB305" s="196"/>
      <c r="AC305" s="194"/>
    </row>
    <row r="306" spans="1:29" s="81" customFormat="1" ht="13.5" customHeight="1">
      <c r="A306" s="259">
        <f>+Bonus!A306</f>
        <v>56.106699999999996</v>
      </c>
      <c r="B306" s="82" t="str">
        <f>+Bonus!B306</f>
        <v>Fusion Electric - Woodland Lift Station Rehabilitation - City of Modesto</v>
      </c>
      <c r="C306" s="227">
        <f>+Bonus!C306</f>
        <v>478000</v>
      </c>
      <c r="D306" s="63">
        <f>+Bonus!D306</f>
        <v>415878</v>
      </c>
      <c r="E306" s="63">
        <f>+Bonus!E306</f>
        <v>62122</v>
      </c>
      <c r="F306" s="218">
        <f>+Bonus!F306</f>
        <v>104751.99</v>
      </c>
      <c r="G306" s="182">
        <f t="shared" si="346"/>
        <v>0.25188153737394142</v>
      </c>
      <c r="H306" s="98">
        <f t="shared" si="347"/>
        <v>15647.384864743988</v>
      </c>
      <c r="I306" s="98">
        <f t="shared" si="348"/>
        <v>120399.37486474399</v>
      </c>
      <c r="J306" s="218">
        <f>+Bonus!J306</f>
        <v>217000</v>
      </c>
      <c r="K306" s="98">
        <f t="shared" si="349"/>
        <v>96600.625135256007</v>
      </c>
      <c r="L306" s="98">
        <f t="shared" si="350"/>
        <v>311126.01</v>
      </c>
      <c r="M306" s="98">
        <f t="shared" si="351"/>
        <v>261000</v>
      </c>
      <c r="N306" s="218">
        <f>+Bonus!N306</f>
        <v>4066.38</v>
      </c>
      <c r="O306" s="218">
        <f>+Bonus!O306</f>
        <v>0</v>
      </c>
      <c r="P306" s="98">
        <f>+Bonus!W306</f>
        <v>0</v>
      </c>
      <c r="Q306" s="98">
        <f t="shared" si="352"/>
        <v>100685.61</v>
      </c>
      <c r="R306" s="98">
        <f t="shared" si="353"/>
        <v>217000</v>
      </c>
      <c r="S306" s="129">
        <f t="shared" si="354"/>
        <v>15647.384864743988</v>
      </c>
      <c r="T306" s="199" t="str">
        <f>+Bonus!T306</f>
        <v>2024</v>
      </c>
      <c r="U306" s="199">
        <f>+Bonus!U306</f>
        <v>0</v>
      </c>
      <c r="V306" s="199" t="str">
        <f>+Bonus!V306</f>
        <v>.</v>
      </c>
      <c r="W306" s="198"/>
      <c r="X306" s="33"/>
      <c r="Y306" s="197"/>
      <c r="Z306" s="198"/>
      <c r="AA306" s="196"/>
      <c r="AB306" s="196"/>
      <c r="AC306" s="194"/>
    </row>
    <row r="307" spans="1:29" s="81" customFormat="1" ht="13.5" customHeight="1">
      <c r="A307" s="259">
        <f>+Bonus!A307</f>
        <v>56.107300000000002</v>
      </c>
      <c r="B307" s="82" t="str">
        <f>+Bonus!B307</f>
        <v>California Water Service Co. - Stockton Station 66-02 Panelboard Replacement - California W</v>
      </c>
      <c r="C307" s="227">
        <f>+Bonus!C307</f>
        <v>122210</v>
      </c>
      <c r="D307" s="63">
        <f>+Bonus!D307</f>
        <v>114047</v>
      </c>
      <c r="E307" s="63">
        <f>+Bonus!E307</f>
        <v>8163</v>
      </c>
      <c r="F307" s="218">
        <f>+Bonus!F307</f>
        <v>108855.81</v>
      </c>
      <c r="G307" s="182">
        <f t="shared" si="346"/>
        <v>0.95448201180215175</v>
      </c>
      <c r="H307" s="98">
        <f t="shared" si="347"/>
        <v>7791.4366623409651</v>
      </c>
      <c r="I307" s="98">
        <f t="shared" si="348"/>
        <v>116647.24666234096</v>
      </c>
      <c r="J307" s="218">
        <f>+Bonus!J307</f>
        <v>0</v>
      </c>
      <c r="K307" s="98">
        <f t="shared" si="349"/>
        <v>-116647.24666234096</v>
      </c>
      <c r="L307" s="98">
        <f t="shared" si="350"/>
        <v>5191.1900000000023</v>
      </c>
      <c r="M307" s="98">
        <f t="shared" si="351"/>
        <v>122210</v>
      </c>
      <c r="N307" s="218">
        <f>+Bonus!N307</f>
        <v>0</v>
      </c>
      <c r="O307" s="218">
        <f>+Bonus!O307</f>
        <v>0</v>
      </c>
      <c r="P307" s="98">
        <f>+Bonus!W307</f>
        <v>0</v>
      </c>
      <c r="Q307" s="98">
        <f t="shared" si="352"/>
        <v>108855.81</v>
      </c>
      <c r="R307" s="98">
        <f t="shared" si="353"/>
        <v>0</v>
      </c>
      <c r="S307" s="129">
        <f t="shared" si="354"/>
        <v>7791.4366623409651</v>
      </c>
      <c r="T307" s="199" t="str">
        <f>+Bonus!T307</f>
        <v>2025</v>
      </c>
      <c r="U307" s="199">
        <f>+Bonus!U307</f>
        <v>0</v>
      </c>
      <c r="V307" s="199" t="str">
        <f>+Bonus!V307</f>
        <v>&lt; 250k</v>
      </c>
      <c r="W307" s="198"/>
      <c r="X307" s="33"/>
      <c r="Y307" s="197"/>
      <c r="Z307" s="198"/>
      <c r="AA307" s="196"/>
      <c r="AB307" s="196"/>
      <c r="AC307" s="194"/>
    </row>
    <row r="308" spans="1:29" s="81" customFormat="1" ht="13.5" customHeight="1">
      <c r="A308" s="614">
        <f>+Bonus!A308</f>
        <v>56.107500000000002</v>
      </c>
      <c r="B308" s="82" t="str">
        <f>+Bonus!B308</f>
        <v>California Water Service Co. -Pkg 1 Bakersfield &amp; Arden PFAS RF</v>
      </c>
      <c r="C308" s="227">
        <f>F308</f>
        <v>27665.919999999998</v>
      </c>
      <c r="D308" s="63">
        <f>F308</f>
        <v>27665.919999999998</v>
      </c>
      <c r="E308" s="63">
        <f>C308-D308</f>
        <v>0</v>
      </c>
      <c r="F308" s="218">
        <f>+Bonus!F308</f>
        <v>27665.919999999998</v>
      </c>
      <c r="G308" s="182">
        <f t="shared" si="346"/>
        <v>1</v>
      </c>
      <c r="H308" s="98">
        <f t="shared" si="347"/>
        <v>0</v>
      </c>
      <c r="I308" s="98">
        <f t="shared" si="348"/>
        <v>27665.919999999998</v>
      </c>
      <c r="J308" s="218">
        <f>+Bonus!J308</f>
        <v>0</v>
      </c>
      <c r="K308" s="98">
        <f t="shared" si="349"/>
        <v>-27665.919999999998</v>
      </c>
      <c r="L308" s="98">
        <f t="shared" si="350"/>
        <v>0</v>
      </c>
      <c r="M308" s="98">
        <f t="shared" si="351"/>
        <v>27665.919999999998</v>
      </c>
      <c r="N308" s="218">
        <f>+Bonus!N308</f>
        <v>0</v>
      </c>
      <c r="O308" s="218">
        <f>+Bonus!O308</f>
        <v>0</v>
      </c>
      <c r="P308" s="98">
        <f>+Bonus!W308</f>
        <v>0</v>
      </c>
      <c r="Q308" s="98">
        <f t="shared" si="352"/>
        <v>27665.919999999998</v>
      </c>
      <c r="R308" s="98">
        <f t="shared" si="353"/>
        <v>0</v>
      </c>
      <c r="S308" s="129">
        <f t="shared" si="354"/>
        <v>0</v>
      </c>
      <c r="T308" s="199" t="str">
        <f>+Bonus!T308</f>
        <v>2025</v>
      </c>
      <c r="U308" s="199">
        <f>+Bonus!U308</f>
        <v>0</v>
      </c>
      <c r="V308" s="199" t="str">
        <f>+Bonus!V308</f>
        <v>.</v>
      </c>
      <c r="W308" s="198"/>
      <c r="X308" s="33"/>
      <c r="Y308" s="197"/>
      <c r="Z308" s="198"/>
      <c r="AA308" s="196"/>
      <c r="AB308" s="196"/>
      <c r="AC308" s="194"/>
    </row>
    <row r="309" spans="1:29" s="81" customFormat="1" ht="13.5" customHeight="1">
      <c r="A309" s="614">
        <f>+Bonus!A309</f>
        <v>56.107799999999997</v>
      </c>
      <c r="B309" s="82" t="str">
        <f>+Bonus!B309</f>
        <v>City of Napa - On-Call Control Systems Integrator Services</v>
      </c>
      <c r="C309" s="227">
        <f>F309</f>
        <v>25356.25</v>
      </c>
      <c r="D309" s="63">
        <f>F309</f>
        <v>25356.25</v>
      </c>
      <c r="E309" s="63">
        <f>C309-D309</f>
        <v>0</v>
      </c>
      <c r="F309" s="218">
        <f>+Bonus!F309</f>
        <v>25356.25</v>
      </c>
      <c r="G309" s="182">
        <f t="shared" si="346"/>
        <v>1</v>
      </c>
      <c r="H309" s="98">
        <f t="shared" si="347"/>
        <v>0</v>
      </c>
      <c r="I309" s="98">
        <f t="shared" si="348"/>
        <v>25356.25</v>
      </c>
      <c r="J309" s="218">
        <f>+Bonus!J309</f>
        <v>17050.240000000002</v>
      </c>
      <c r="K309" s="98">
        <f t="shared" si="349"/>
        <v>-8306.0099999999984</v>
      </c>
      <c r="L309" s="98">
        <f t="shared" si="350"/>
        <v>0</v>
      </c>
      <c r="M309" s="98">
        <f t="shared" si="351"/>
        <v>8306.0099999999984</v>
      </c>
      <c r="N309" s="218">
        <f>+Bonus!N309</f>
        <v>0</v>
      </c>
      <c r="O309" s="218">
        <f>+Bonus!O309</f>
        <v>0</v>
      </c>
      <c r="P309" s="98">
        <f>+Bonus!W309</f>
        <v>0</v>
      </c>
      <c r="Q309" s="98">
        <f t="shared" si="352"/>
        <v>25356.25</v>
      </c>
      <c r="R309" s="98">
        <f t="shared" si="353"/>
        <v>17050.240000000002</v>
      </c>
      <c r="S309" s="129">
        <f t="shared" si="354"/>
        <v>0</v>
      </c>
      <c r="T309" s="199" t="str">
        <f>+Bonus!T309</f>
        <v>2025</v>
      </c>
      <c r="U309" s="199">
        <f>+Bonus!U309</f>
        <v>0</v>
      </c>
      <c r="V309" s="199" t="str">
        <f>+Bonus!V309</f>
        <v>&lt; 250k</v>
      </c>
      <c r="W309" s="198"/>
      <c r="X309" s="33"/>
      <c r="Y309" s="197"/>
      <c r="Z309" s="198"/>
      <c r="AA309" s="196"/>
      <c r="AB309" s="196"/>
      <c r="AC309" s="194"/>
    </row>
    <row r="310" spans="1:29" s="81" customFormat="1" ht="13.5" customHeight="1">
      <c r="A310" s="259">
        <f>+Bonus!A310</f>
        <v>56.1081</v>
      </c>
      <c r="B310" s="82" t="str">
        <f>+Bonus!B310</f>
        <v>Rancho Murieta Community Service District - RFP for Replacement of WTP SCADA</v>
      </c>
      <c r="C310" s="227">
        <f>+Bonus!C310</f>
        <v>179690</v>
      </c>
      <c r="D310" s="63">
        <f>+Bonus!D310</f>
        <v>159785</v>
      </c>
      <c r="E310" s="63">
        <f>+Bonus!E310</f>
        <v>19905</v>
      </c>
      <c r="F310" s="218">
        <f>+Bonus!F310</f>
        <v>156744.37</v>
      </c>
      <c r="G310" s="182">
        <f t="shared" si="346"/>
        <v>0.98097049159808491</v>
      </c>
      <c r="H310" s="98">
        <f t="shared" si="347"/>
        <v>19526.21763525988</v>
      </c>
      <c r="I310" s="98">
        <f t="shared" si="348"/>
        <v>176270.58763525987</v>
      </c>
      <c r="J310" s="218">
        <f>+Bonus!J310</f>
        <v>164416.35</v>
      </c>
      <c r="K310" s="98">
        <f t="shared" si="349"/>
        <v>-11854.237635259866</v>
      </c>
      <c r="L310" s="98">
        <f t="shared" si="350"/>
        <v>3040.6300000000047</v>
      </c>
      <c r="M310" s="98">
        <f t="shared" si="351"/>
        <v>15273.649999999994</v>
      </c>
      <c r="N310" s="218">
        <f>+Bonus!N310</f>
        <v>0</v>
      </c>
      <c r="O310" s="218">
        <f>+Bonus!O310</f>
        <v>0</v>
      </c>
      <c r="P310" s="98">
        <f>+Bonus!W310</f>
        <v>0</v>
      </c>
      <c r="Q310" s="98">
        <f t="shared" si="352"/>
        <v>156744.37</v>
      </c>
      <c r="R310" s="98">
        <f t="shared" si="353"/>
        <v>164416.35</v>
      </c>
      <c r="S310" s="129">
        <f t="shared" si="354"/>
        <v>19526.21763525988</v>
      </c>
      <c r="T310" s="199" t="str">
        <f>+Bonus!T310</f>
        <v>2025</v>
      </c>
      <c r="U310" s="199">
        <f>+Bonus!U310</f>
        <v>0</v>
      </c>
      <c r="V310" s="199" t="str">
        <f>+Bonus!V310</f>
        <v>&lt; 250k</v>
      </c>
      <c r="W310" s="198"/>
      <c r="X310" s="33"/>
      <c r="Y310" s="197"/>
      <c r="Z310" s="198"/>
      <c r="AA310" s="196"/>
      <c r="AB310" s="196"/>
      <c r="AC310" s="194"/>
    </row>
    <row r="311" spans="1:29" s="81" customFormat="1" ht="13.5" customHeight="1">
      <c r="A311" s="259">
        <f>+Bonus!A311</f>
        <v>56.1083</v>
      </c>
      <c r="B311" s="82" t="str">
        <f>+Bonus!B311</f>
        <v>West Valley Water District - Furnish Planning Services for SCADA, Instrumentation, and SM</v>
      </c>
      <c r="C311" s="227">
        <f>+Bonus!C311</f>
        <v>717010</v>
      </c>
      <c r="D311" s="63">
        <f>+Bonus!D311</f>
        <v>656363</v>
      </c>
      <c r="E311" s="63">
        <f>+Bonus!E311</f>
        <v>60647</v>
      </c>
      <c r="F311" s="218">
        <f>+Bonus!F311</f>
        <v>347967.35</v>
      </c>
      <c r="G311" s="182">
        <f t="shared" si="346"/>
        <v>0.5301446760405446</v>
      </c>
      <c r="H311" s="98">
        <f t="shared" si="347"/>
        <v>32151.68416783091</v>
      </c>
      <c r="I311" s="98">
        <f t="shared" si="348"/>
        <v>380119.03416783089</v>
      </c>
      <c r="J311" s="218">
        <f>+Bonus!J311</f>
        <v>153616.75</v>
      </c>
      <c r="K311" s="98">
        <f t="shared" si="349"/>
        <v>-226502.28416783089</v>
      </c>
      <c r="L311" s="98">
        <f t="shared" si="350"/>
        <v>308395.65000000002</v>
      </c>
      <c r="M311" s="98">
        <f t="shared" si="351"/>
        <v>563393.25</v>
      </c>
      <c r="N311" s="218">
        <f>+Bonus!N311</f>
        <v>0</v>
      </c>
      <c r="O311" s="218">
        <f>+Bonus!O311</f>
        <v>0</v>
      </c>
      <c r="P311" s="98">
        <f>+Bonus!W311</f>
        <v>0</v>
      </c>
      <c r="Q311" s="98">
        <f t="shared" si="352"/>
        <v>347967.35</v>
      </c>
      <c r="R311" s="98">
        <f t="shared" si="353"/>
        <v>153616.75</v>
      </c>
      <c r="S311" s="129">
        <f t="shared" si="354"/>
        <v>32151.68416783091</v>
      </c>
      <c r="T311" s="199" t="str">
        <f>+Bonus!T311</f>
        <v>2025</v>
      </c>
      <c r="U311" s="199">
        <f>+Bonus!U311</f>
        <v>0</v>
      </c>
      <c r="V311" s="199" t="str">
        <f>+Bonus!V311</f>
        <v>.</v>
      </c>
      <c r="W311" s="198"/>
      <c r="X311" s="33"/>
      <c r="Y311" s="197"/>
      <c r="Z311" s="198"/>
      <c r="AA311" s="196"/>
      <c r="AB311" s="196"/>
      <c r="AC311" s="194"/>
    </row>
    <row r="312" spans="1:29" s="81" customFormat="1" ht="13.5" customHeight="1">
      <c r="A312" s="259">
        <f>+Bonus!A312</f>
        <v>56.108499999999999</v>
      </c>
      <c r="B312" s="82" t="str">
        <f>+Bonus!B312</f>
        <v>Bullert Industrial Electric, Inc - Pkg 3 Chico PFAS RFP (CTS) - California Water Service</v>
      </c>
      <c r="C312" s="227">
        <f>+Bonus!C312</f>
        <v>80000</v>
      </c>
      <c r="D312" s="63">
        <f>+Bonus!D312</f>
        <v>66955</v>
      </c>
      <c r="E312" s="63">
        <f>+Bonus!E312</f>
        <v>13045</v>
      </c>
      <c r="F312" s="218">
        <f>+Bonus!F312</f>
        <v>1090.31</v>
      </c>
      <c r="G312" s="182">
        <f t="shared" si="346"/>
        <v>1.6284220745276679E-2</v>
      </c>
      <c r="H312" s="98">
        <f t="shared" si="347"/>
        <v>0</v>
      </c>
      <c r="I312" s="98">
        <f t="shared" si="348"/>
        <v>1090.31</v>
      </c>
      <c r="J312" s="218">
        <f>+Bonus!J312</f>
        <v>0</v>
      </c>
      <c r="K312" s="98">
        <f t="shared" si="349"/>
        <v>-1090.31</v>
      </c>
      <c r="L312" s="98">
        <f t="shared" si="350"/>
        <v>65864.69</v>
      </c>
      <c r="M312" s="98">
        <f t="shared" si="351"/>
        <v>80000</v>
      </c>
      <c r="N312" s="218">
        <f>+Bonus!N312</f>
        <v>0</v>
      </c>
      <c r="O312" s="218">
        <f>+Bonus!O312</f>
        <v>0</v>
      </c>
      <c r="P312" s="98">
        <f>+Bonus!W312</f>
        <v>0</v>
      </c>
      <c r="Q312" s="98">
        <f t="shared" si="352"/>
        <v>1090.31</v>
      </c>
      <c r="R312" s="98">
        <f t="shared" si="353"/>
        <v>0</v>
      </c>
      <c r="S312" s="129">
        <f t="shared" si="354"/>
        <v>0</v>
      </c>
      <c r="T312" s="199" t="str">
        <f>+Bonus!T312</f>
        <v>2025</v>
      </c>
      <c r="U312" s="199">
        <f>+Bonus!U312</f>
        <v>0</v>
      </c>
      <c r="V312" s="199" t="str">
        <f>+Bonus!V312</f>
        <v>&lt; 250k</v>
      </c>
      <c r="W312" s="198"/>
      <c r="X312" s="33"/>
      <c r="Y312" s="197"/>
      <c r="Z312" s="198"/>
      <c r="AA312" s="196"/>
      <c r="AB312" s="196"/>
      <c r="AC312" s="194"/>
    </row>
    <row r="313" spans="1:29" s="81" customFormat="1" ht="13.5" customHeight="1">
      <c r="A313" s="259">
        <f>+Bonus!A313</f>
        <v>56.108600000000003</v>
      </c>
      <c r="B313" s="82" t="str">
        <f>+Bonus!B313</f>
        <v>Bullert Industrial Electric, Inc - Pkg 3 Chico PFAS RFP (WVC) - California Water Service</v>
      </c>
      <c r="C313" s="227">
        <f>+Bonus!C313</f>
        <v>376000</v>
      </c>
      <c r="D313" s="63">
        <f>+Bonus!D313</f>
        <v>295102</v>
      </c>
      <c r="E313" s="63">
        <f>+Bonus!E313</f>
        <v>80898</v>
      </c>
      <c r="F313" s="218">
        <f>+Bonus!F313</f>
        <v>12732.69</v>
      </c>
      <c r="G313" s="182">
        <f t="shared" si="346"/>
        <v>4.3146742482260372E-2</v>
      </c>
      <c r="H313" s="98">
        <f t="shared" si="347"/>
        <v>0</v>
      </c>
      <c r="I313" s="98">
        <f t="shared" si="348"/>
        <v>12732.69</v>
      </c>
      <c r="J313" s="218">
        <f>+Bonus!J313</f>
        <v>0</v>
      </c>
      <c r="K313" s="98">
        <f t="shared" si="349"/>
        <v>-12732.69</v>
      </c>
      <c r="L313" s="98">
        <f t="shared" si="350"/>
        <v>282369.31</v>
      </c>
      <c r="M313" s="98">
        <f t="shared" si="351"/>
        <v>376000</v>
      </c>
      <c r="N313" s="218">
        <f>+Bonus!N313</f>
        <v>0</v>
      </c>
      <c r="O313" s="218">
        <f>+Bonus!O313</f>
        <v>0</v>
      </c>
      <c r="P313" s="98">
        <f>+Bonus!W313</f>
        <v>0</v>
      </c>
      <c r="Q313" s="98">
        <f t="shared" si="352"/>
        <v>12732.69</v>
      </c>
      <c r="R313" s="98">
        <f t="shared" si="353"/>
        <v>0</v>
      </c>
      <c r="S313" s="129">
        <f t="shared" si="354"/>
        <v>0</v>
      </c>
      <c r="T313" s="199" t="str">
        <f>+Bonus!T313</f>
        <v>2025</v>
      </c>
      <c r="U313" s="199">
        <f>+Bonus!U313</f>
        <v>0</v>
      </c>
      <c r="V313" s="199" t="str">
        <f>+Bonus!V313</f>
        <v>.</v>
      </c>
      <c r="W313" s="198"/>
      <c r="X313" s="33"/>
      <c r="Y313" s="197"/>
      <c r="Z313" s="198"/>
      <c r="AA313" s="196"/>
      <c r="AB313" s="196"/>
      <c r="AC313" s="194"/>
    </row>
    <row r="314" spans="1:29" s="81" customFormat="1" ht="13.5" customHeight="1">
      <c r="A314" s="259">
        <f>+Bonus!A314</f>
        <v>56.108699999999999</v>
      </c>
      <c r="B314" s="82" t="str">
        <f>+Bonus!B314</f>
        <v>San Gabrial Valley Water Companyy - WNOU Plant Replacement Flow Transmitters</v>
      </c>
      <c r="C314" s="227">
        <f>+Bonus!C314</f>
        <v>49369</v>
      </c>
      <c r="D314" s="63">
        <f>+Bonus!D314</f>
        <v>43026</v>
      </c>
      <c r="E314" s="63">
        <f>+Bonus!E314</f>
        <v>6343</v>
      </c>
      <c r="F314" s="218">
        <f>+Bonus!F314</f>
        <v>39121.54</v>
      </c>
      <c r="G314" s="182">
        <f t="shared" si="346"/>
        <v>0.90925347464323902</v>
      </c>
      <c r="H314" s="98">
        <f t="shared" si="347"/>
        <v>5767.3947896620648</v>
      </c>
      <c r="I314" s="98">
        <f t="shared" si="348"/>
        <v>44888.934789662067</v>
      </c>
      <c r="J314" s="218">
        <f>+Bonus!J314</f>
        <v>37977</v>
      </c>
      <c r="K314" s="98">
        <f t="shared" si="349"/>
        <v>-6911.9347896620675</v>
      </c>
      <c r="L314" s="98">
        <f t="shared" si="350"/>
        <v>3904.4599999999991</v>
      </c>
      <c r="M314" s="98">
        <f t="shared" si="351"/>
        <v>11392</v>
      </c>
      <c r="N314" s="218">
        <f>+Bonus!N314</f>
        <v>0</v>
      </c>
      <c r="O314" s="218">
        <f>+Bonus!O314</f>
        <v>0</v>
      </c>
      <c r="P314" s="98">
        <f>+Bonus!W314</f>
        <v>0</v>
      </c>
      <c r="Q314" s="98">
        <f t="shared" si="352"/>
        <v>39121.54</v>
      </c>
      <c r="R314" s="98">
        <f t="shared" si="353"/>
        <v>37977</v>
      </c>
      <c r="S314" s="129">
        <f t="shared" si="354"/>
        <v>5767.3947896620648</v>
      </c>
      <c r="T314" s="199" t="str">
        <f>+Bonus!T314</f>
        <v>2025</v>
      </c>
      <c r="U314" s="199">
        <f>+Bonus!U314</f>
        <v>0</v>
      </c>
      <c r="V314" s="199" t="str">
        <f>+Bonus!V314</f>
        <v>&lt; 250k</v>
      </c>
      <c r="W314" s="198"/>
      <c r="X314" s="33"/>
      <c r="Y314" s="197"/>
      <c r="Z314" s="198"/>
      <c r="AA314" s="196"/>
      <c r="AB314" s="196"/>
      <c r="AC314" s="194"/>
    </row>
    <row r="315" spans="1:29" s="81" customFormat="1" ht="13.5" customHeight="1">
      <c r="A315" s="259">
        <f>+Bonus!A315</f>
        <v>56.108800000000002</v>
      </c>
      <c r="B315" s="82" t="str">
        <f>+Bonus!B315</f>
        <v>California Water Service Company - Salinas District Station 304 Panelboard Replacement - Califo</v>
      </c>
      <c r="C315" s="227">
        <f>+Bonus!C315</f>
        <v>117985</v>
      </c>
      <c r="D315" s="63">
        <f>+Bonus!D315</f>
        <v>85405</v>
      </c>
      <c r="E315" s="63">
        <f>+Bonus!E315</f>
        <v>32580</v>
      </c>
      <c r="F315" s="218">
        <f>+Bonus!F315</f>
        <v>66827.490000000005</v>
      </c>
      <c r="G315" s="182">
        <f t="shared" si="346"/>
        <v>0.78247748960833685</v>
      </c>
      <c r="H315" s="98">
        <f t="shared" si="347"/>
        <v>25493.116611439615</v>
      </c>
      <c r="I315" s="98">
        <f t="shared" si="348"/>
        <v>92320.606611439624</v>
      </c>
      <c r="J315" s="218">
        <f>+Bonus!J315</f>
        <v>0</v>
      </c>
      <c r="K315" s="98">
        <f t="shared" si="349"/>
        <v>-92320.606611439624</v>
      </c>
      <c r="L315" s="98">
        <f t="shared" si="350"/>
        <v>18577.509999999995</v>
      </c>
      <c r="M315" s="98">
        <f t="shared" si="351"/>
        <v>117985</v>
      </c>
      <c r="N315" s="218">
        <f>+Bonus!N315</f>
        <v>0</v>
      </c>
      <c r="O315" s="218">
        <f>+Bonus!O315</f>
        <v>0</v>
      </c>
      <c r="P315" s="98">
        <f>+Bonus!W315</f>
        <v>0</v>
      </c>
      <c r="Q315" s="98">
        <f t="shared" si="352"/>
        <v>66827.490000000005</v>
      </c>
      <c r="R315" s="98">
        <f t="shared" si="353"/>
        <v>0</v>
      </c>
      <c r="S315" s="129">
        <f t="shared" si="354"/>
        <v>25493.116611439615</v>
      </c>
      <c r="T315" s="199" t="str">
        <f>+Bonus!T315</f>
        <v>2025</v>
      </c>
      <c r="U315" s="199">
        <f>+Bonus!U315</f>
        <v>0</v>
      </c>
      <c r="V315" s="199" t="str">
        <f>+Bonus!V315</f>
        <v>&lt; 250k</v>
      </c>
      <c r="W315" s="198"/>
      <c r="X315" s="33"/>
      <c r="Y315" s="197"/>
      <c r="Z315" s="198"/>
      <c r="AA315" s="196"/>
      <c r="AB315" s="196"/>
      <c r="AC315" s="194"/>
    </row>
    <row r="316" spans="1:29" s="81" customFormat="1" ht="13.5" hidden="1" customHeight="1">
      <c r="A316" s="259"/>
      <c r="B316" s="82"/>
      <c r="C316" s="227"/>
      <c r="D316" s="63"/>
      <c r="E316" s="63"/>
      <c r="F316" s="218"/>
      <c r="G316" s="182"/>
      <c r="H316" s="98"/>
      <c r="I316" s="98"/>
      <c r="J316" s="218"/>
      <c r="K316" s="98"/>
      <c r="L316" s="98"/>
      <c r="M316" s="98"/>
      <c r="N316" s="218"/>
      <c r="O316" s="218"/>
      <c r="P316" s="98"/>
      <c r="Q316" s="98"/>
      <c r="R316" s="98"/>
      <c r="S316" s="129"/>
      <c r="T316" s="199"/>
      <c r="U316" s="199"/>
      <c r="V316" s="199"/>
      <c r="W316" s="198"/>
      <c r="X316" s="33"/>
      <c r="Y316" s="197"/>
      <c r="Z316" s="198"/>
      <c r="AA316" s="196"/>
      <c r="AB316" s="196"/>
      <c r="AC316" s="194"/>
    </row>
    <row r="317" spans="1:29" s="81" customFormat="1" ht="13.5" customHeight="1">
      <c r="A317" s="176" t="str">
        <f>+Bonus!A317</f>
        <v>System Integration - Open Jobs Totals</v>
      </c>
      <c r="B317" s="82"/>
      <c r="C317" s="193">
        <f>SUM(C283:C316)</f>
        <v>13030513.17</v>
      </c>
      <c r="D317" s="193">
        <f>SUM(D283:D316)</f>
        <v>11155247.26</v>
      </c>
      <c r="E317" s="193">
        <f>SUM(E283:E316)</f>
        <v>1875265.91</v>
      </c>
      <c r="F317" s="193">
        <f>SUM(F283:F316)</f>
        <v>6459348.9100000001</v>
      </c>
      <c r="G317" s="86"/>
      <c r="H317" s="193">
        <f t="shared" ref="H317:S317" si="355">SUM(H283:H316)</f>
        <v>1106490.5096412869</v>
      </c>
      <c r="I317" s="193">
        <f t="shared" si="355"/>
        <v>7565839.419641288</v>
      </c>
      <c r="J317" s="193">
        <f t="shared" si="355"/>
        <v>5923618.0899999999</v>
      </c>
      <c r="K317" s="193">
        <f t="shared" si="355"/>
        <v>-1642221.3296412867</v>
      </c>
      <c r="L317" s="193">
        <f t="shared" si="355"/>
        <v>4695898.3499999996</v>
      </c>
      <c r="M317" s="193">
        <f t="shared" si="355"/>
        <v>7106895.0800000001</v>
      </c>
      <c r="N317" s="193">
        <f t="shared" si="355"/>
        <v>1002698.5300000003</v>
      </c>
      <c r="O317" s="193">
        <f t="shared" si="355"/>
        <v>302445</v>
      </c>
      <c r="P317" s="193">
        <f t="shared" si="355"/>
        <v>342656.80853389378</v>
      </c>
      <c r="Q317" s="193">
        <f t="shared" si="355"/>
        <v>5456650.3799999999</v>
      </c>
      <c r="R317" s="193">
        <f t="shared" si="355"/>
        <v>5621173.0899999999</v>
      </c>
      <c r="S317" s="193">
        <f t="shared" si="355"/>
        <v>763833.70110739372</v>
      </c>
      <c r="T317" s="359"/>
      <c r="U317" s="359"/>
      <c r="V317" s="199"/>
      <c r="W317" s="198"/>
      <c r="X317" s="33"/>
      <c r="Y317" s="197"/>
      <c r="Z317" s="198"/>
      <c r="AA317" s="196"/>
      <c r="AB317" s="196"/>
      <c r="AC317" s="194"/>
    </row>
    <row r="318" spans="1:29" s="81" customFormat="1" ht="13.5" customHeight="1">
      <c r="A318" s="176"/>
      <c r="B318" s="82"/>
      <c r="C318" s="193"/>
      <c r="D318" s="193"/>
      <c r="E318" s="193"/>
      <c r="F318" s="86"/>
      <c r="G318" s="86"/>
      <c r="H318" s="86"/>
      <c r="I318" s="86"/>
      <c r="J318" s="86"/>
      <c r="K318" s="86"/>
      <c r="L318" s="86"/>
      <c r="M318" s="86"/>
      <c r="N318" s="86"/>
      <c r="O318" s="86"/>
      <c r="P318" s="86"/>
      <c r="Q318" s="86"/>
      <c r="R318" s="86"/>
      <c r="S318" s="86"/>
      <c r="T318" s="359"/>
      <c r="U318" s="359"/>
      <c r="V318" s="199"/>
      <c r="W318" s="198"/>
      <c r="X318" s="33"/>
      <c r="Y318" s="197"/>
      <c r="Z318" s="198"/>
      <c r="AA318" s="196"/>
      <c r="AB318" s="196"/>
      <c r="AC318" s="194"/>
    </row>
    <row r="319" spans="1:29" s="81" customFormat="1" ht="13.5" customHeight="1">
      <c r="A319" s="176" t="str">
        <f>+Bonus!A319</f>
        <v>System Integration - Closed Jobs</v>
      </c>
      <c r="B319" s="82"/>
      <c r="C319" s="193"/>
      <c r="D319" s="193"/>
      <c r="E319" s="193"/>
      <c r="F319" s="86"/>
      <c r="G319" s="86"/>
      <c r="H319" s="86"/>
      <c r="I319" s="86"/>
      <c r="J319" s="86"/>
      <c r="K319" s="86"/>
      <c r="L319" s="86"/>
      <c r="M319" s="86"/>
      <c r="N319" s="86"/>
      <c r="O319" s="86"/>
      <c r="P319" s="86"/>
      <c r="Q319" s="86"/>
      <c r="R319" s="86"/>
      <c r="S319" s="86"/>
      <c r="T319" s="359"/>
      <c r="U319" s="359"/>
      <c r="V319" s="199"/>
      <c r="W319" s="198"/>
      <c r="X319" s="33"/>
      <c r="Y319" s="197"/>
      <c r="Z319" s="198"/>
      <c r="AA319" s="196"/>
      <c r="AB319" s="196"/>
      <c r="AC319" s="194"/>
    </row>
    <row r="320" spans="1:29" s="81" customFormat="1" ht="13.5" customHeight="1">
      <c r="A320" s="259">
        <f>+Bonus!A320</f>
        <v>56.100200000000001</v>
      </c>
      <c r="B320" s="82" t="str">
        <f>+Bonus!B320</f>
        <v>San Joaquin Electric - Bowman WTP Phase 3 Improvements - Placer County Water Agency</v>
      </c>
      <c r="C320" s="227">
        <f>+Bonus!C320</f>
        <v>185000</v>
      </c>
      <c r="D320" s="63">
        <f>+Bonus!D320</f>
        <v>114485.82</v>
      </c>
      <c r="E320" s="63">
        <f>+Bonus!E320</f>
        <v>70514.179999999993</v>
      </c>
      <c r="F320" s="218">
        <f>+Bonus!F320</f>
        <v>114485.82</v>
      </c>
      <c r="G320" s="182">
        <f t="shared" ref="G320" si="356">IF(D320&lt;&gt;0,+F320/D320,0)</f>
        <v>1</v>
      </c>
      <c r="H320" s="98">
        <f t="shared" ref="H320" si="357">IF(E320&lt;=0,E320,IF(G320&lt;0.1,0,IF(G320&lt;=1,G320*E320,E320)))</f>
        <v>70514.179999999993</v>
      </c>
      <c r="I320" s="98">
        <f t="shared" ref="I320" si="358">+F320+H320</f>
        <v>185000</v>
      </c>
      <c r="J320" s="218">
        <f>+Bonus!J320</f>
        <v>185000</v>
      </c>
      <c r="K320" s="98">
        <f t="shared" ref="K320" si="359">J320-I320</f>
        <v>0</v>
      </c>
      <c r="L320" s="98">
        <f t="shared" ref="L320" si="360">+D320-F320</f>
        <v>0</v>
      </c>
      <c r="M320" s="98">
        <f t="shared" ref="M320" si="361">+C320-J320</f>
        <v>0</v>
      </c>
      <c r="N320" s="218">
        <f>+Bonus!N320</f>
        <v>113841.61</v>
      </c>
      <c r="O320" s="218">
        <f>+Bonus!O320</f>
        <v>170000</v>
      </c>
      <c r="P320" s="98">
        <f>+Bonus!W320</f>
        <v>50745.239508834726</v>
      </c>
      <c r="Q320" s="98">
        <f t="shared" ref="Q320" si="362">F320-N320</f>
        <v>644.2100000000064</v>
      </c>
      <c r="R320" s="98">
        <f t="shared" ref="R320" si="363">+J320-O320</f>
        <v>15000</v>
      </c>
      <c r="S320" s="129">
        <f t="shared" ref="S320" si="364">H320-P320</f>
        <v>19768.940491165267</v>
      </c>
      <c r="T320" s="199" t="str">
        <f>+Bonus!T320</f>
        <v>2024</v>
      </c>
      <c r="U320" s="199" t="str">
        <f>+Bonus!U320</f>
        <v>2025</v>
      </c>
      <c r="V320" s="199" t="str">
        <f>+Bonus!V320</f>
        <v>&lt; 250k</v>
      </c>
      <c r="W320" s="198"/>
      <c r="X320" s="33"/>
      <c r="Y320" s="197"/>
      <c r="Z320" s="198"/>
      <c r="AA320" s="196"/>
      <c r="AB320" s="196"/>
      <c r="AC320" s="194"/>
    </row>
    <row r="321" spans="1:29" s="81" customFormat="1" ht="13.5" customHeight="1">
      <c r="A321" s="259">
        <f>+Bonus!A321</f>
        <v>56.100299999999997</v>
      </c>
      <c r="B321" s="82" t="str">
        <f>+Bonus!B321</f>
        <v>Con J. Franke Electric, Inc. - Well 22 GAC Water Treatment</v>
      </c>
      <c r="C321" s="227">
        <f>+Bonus!C321</f>
        <v>332901</v>
      </c>
      <c r="D321" s="63">
        <f>+Bonus!D321</f>
        <v>223395.74</v>
      </c>
      <c r="E321" s="63">
        <f>+Bonus!E321</f>
        <v>109505.26000000001</v>
      </c>
      <c r="F321" s="218">
        <f>+Bonus!F321</f>
        <v>223395.74</v>
      </c>
      <c r="G321" s="182">
        <f t="shared" ref="G321:G382" si="365">IF(D321&lt;&gt;0,+F321/D321,0)</f>
        <v>1</v>
      </c>
      <c r="H321" s="98">
        <f t="shared" ref="H321:H382" si="366">IF(E321&lt;=0,E321,IF(G321&lt;0.1,0,IF(G321&lt;=1,G321*E321,E321)))</f>
        <v>109505.26000000001</v>
      </c>
      <c r="I321" s="98">
        <f t="shared" ref="I321:I382" si="367">+F321+H321</f>
        <v>332901</v>
      </c>
      <c r="J321" s="218">
        <f>+Bonus!J321</f>
        <v>332901</v>
      </c>
      <c r="K321" s="98">
        <f t="shared" ref="K321:K382" si="368">J321-I321</f>
        <v>0</v>
      </c>
      <c r="L321" s="98">
        <f t="shared" ref="L321:L382" si="369">+D321-F321</f>
        <v>0</v>
      </c>
      <c r="M321" s="98">
        <f t="shared" ref="M321:M382" si="370">+C321-J321</f>
        <v>0</v>
      </c>
      <c r="N321" s="218">
        <f>+Bonus!N321</f>
        <v>155093.29</v>
      </c>
      <c r="O321" s="218">
        <f>+Bonus!O321</f>
        <v>175000</v>
      </c>
      <c r="P321" s="98">
        <f>+Bonus!W321</f>
        <v>64460.986325599602</v>
      </c>
      <c r="Q321" s="98">
        <f t="shared" ref="Q321:Q382" si="371">F321-N321</f>
        <v>68302.449999999983</v>
      </c>
      <c r="R321" s="98">
        <f t="shared" ref="R321:R382" si="372">+J321-O321</f>
        <v>157901</v>
      </c>
      <c r="S321" s="129">
        <f t="shared" ref="S321:S382" si="373">H321-P321</f>
        <v>45044.273674400407</v>
      </c>
      <c r="T321" s="199" t="str">
        <f>+Bonus!T321</f>
        <v>2023</v>
      </c>
      <c r="U321" s="199" t="str">
        <f>+Bonus!U321</f>
        <v>2025</v>
      </c>
      <c r="V321" s="199" t="str">
        <f>+Bonus!V321</f>
        <v>.</v>
      </c>
      <c r="W321" s="198"/>
      <c r="X321" s="33"/>
      <c r="Y321" s="197"/>
      <c r="Z321" s="198"/>
      <c r="AA321" s="196"/>
      <c r="AB321" s="196"/>
      <c r="AC321" s="194"/>
    </row>
    <row r="322" spans="1:29" s="81" customFormat="1" ht="13.5" customHeight="1">
      <c r="A322" s="259">
        <f>+Bonus!A322</f>
        <v>56.100700000000003</v>
      </c>
      <c r="B322" s="82" t="str">
        <f>+Bonus!B322</f>
        <v>Fusion Electric - Waterman WTP Ozone System Improvements - City of Fairfield</v>
      </c>
      <c r="C322" s="227">
        <f>+Bonus!C322</f>
        <v>16814</v>
      </c>
      <c r="D322" s="63">
        <f>+Bonus!D322</f>
        <v>19362.98</v>
      </c>
      <c r="E322" s="63">
        <f>+Bonus!E322</f>
        <v>-2548.9799999999996</v>
      </c>
      <c r="F322" s="218">
        <f>+Bonus!F322</f>
        <v>19362.98</v>
      </c>
      <c r="G322" s="182">
        <f t="shared" si="365"/>
        <v>1</v>
      </c>
      <c r="H322" s="98">
        <f t="shared" si="366"/>
        <v>-2548.9799999999996</v>
      </c>
      <c r="I322" s="98">
        <f t="shared" si="367"/>
        <v>16814</v>
      </c>
      <c r="J322" s="218">
        <f>+Bonus!J322</f>
        <v>16814</v>
      </c>
      <c r="K322" s="98">
        <f t="shared" si="368"/>
        <v>0</v>
      </c>
      <c r="L322" s="98">
        <f t="shared" si="369"/>
        <v>0</v>
      </c>
      <c r="M322" s="98">
        <f t="shared" si="370"/>
        <v>0</v>
      </c>
      <c r="N322" s="218">
        <f>+Bonus!N322</f>
        <v>14316.6</v>
      </c>
      <c r="O322" s="218">
        <f>+Bonus!O322</f>
        <v>13319</v>
      </c>
      <c r="P322" s="98">
        <f>+Bonus!W322</f>
        <v>3177.4410223965583</v>
      </c>
      <c r="Q322" s="98">
        <f t="shared" si="371"/>
        <v>5046.3799999999992</v>
      </c>
      <c r="R322" s="98">
        <f t="shared" si="372"/>
        <v>3495</v>
      </c>
      <c r="S322" s="129">
        <f t="shared" si="373"/>
        <v>-5726.4210223965583</v>
      </c>
      <c r="T322" s="199" t="str">
        <f>+Bonus!T322</f>
        <v>2024</v>
      </c>
      <c r="U322" s="199" t="str">
        <f>+Bonus!U322</f>
        <v>2025</v>
      </c>
      <c r="V322" s="199" t="str">
        <f>+Bonus!V322</f>
        <v>&lt; 250k</v>
      </c>
      <c r="W322" s="198"/>
      <c r="X322" s="33"/>
      <c r="Y322" s="197"/>
      <c r="Z322" s="198"/>
      <c r="AA322" s="196"/>
      <c r="AB322" s="196"/>
      <c r="AC322" s="194"/>
    </row>
    <row r="323" spans="1:29" s="81" customFormat="1" ht="13.5" customHeight="1">
      <c r="A323" s="259">
        <f>+Bonus!A323</f>
        <v>56.1008</v>
      </c>
      <c r="B323" s="82" t="str">
        <f>+Bonus!B323</f>
        <v>SD Electric, Inc. - Treatment Plant Seismic Retrofit of Secondary Clarifiers</v>
      </c>
      <c r="C323" s="227">
        <f>+Bonus!C323</f>
        <v>55000</v>
      </c>
      <c r="D323" s="63">
        <f>+Bonus!D323</f>
        <v>30551.919999999998</v>
      </c>
      <c r="E323" s="63">
        <f>+Bonus!E323</f>
        <v>24448.080000000002</v>
      </c>
      <c r="F323" s="218">
        <f>+Bonus!F323</f>
        <v>30551.919999999998</v>
      </c>
      <c r="G323" s="182">
        <f t="shared" si="365"/>
        <v>1</v>
      </c>
      <c r="H323" s="98">
        <f t="shared" si="366"/>
        <v>24448.080000000002</v>
      </c>
      <c r="I323" s="98">
        <f t="shared" si="367"/>
        <v>55000</v>
      </c>
      <c r="J323" s="218">
        <f>+Bonus!J323</f>
        <v>55000</v>
      </c>
      <c r="K323" s="98">
        <f t="shared" si="368"/>
        <v>0</v>
      </c>
      <c r="L323" s="98">
        <f t="shared" si="369"/>
        <v>0</v>
      </c>
      <c r="M323" s="98">
        <f t="shared" si="370"/>
        <v>0</v>
      </c>
      <c r="N323" s="218">
        <f>+Bonus!N323</f>
        <v>30425.18</v>
      </c>
      <c r="O323" s="218">
        <f>+Bonus!O323</f>
        <v>55000</v>
      </c>
      <c r="P323" s="98">
        <f>+Bonus!W323</f>
        <v>23094.02235391947</v>
      </c>
      <c r="Q323" s="98">
        <f t="shared" si="371"/>
        <v>126.73999999999796</v>
      </c>
      <c r="R323" s="98">
        <f t="shared" si="372"/>
        <v>0</v>
      </c>
      <c r="S323" s="129">
        <f t="shared" si="373"/>
        <v>1354.0576460805314</v>
      </c>
      <c r="T323" s="199" t="str">
        <f>+Bonus!T323</f>
        <v>2024</v>
      </c>
      <c r="U323" s="199" t="str">
        <f>+Bonus!U323</f>
        <v>2025</v>
      </c>
      <c r="V323" s="199" t="str">
        <f>+Bonus!V323</f>
        <v>&lt; 250k</v>
      </c>
      <c r="W323" s="198"/>
      <c r="X323" s="33"/>
      <c r="Y323" s="197"/>
      <c r="Z323" s="198"/>
      <c r="AA323" s="196"/>
      <c r="AB323" s="196"/>
      <c r="AC323" s="194"/>
    </row>
    <row r="324" spans="1:29" s="81" customFormat="1" ht="13.5" customHeight="1">
      <c r="A324" s="259" t="str">
        <f>+Bonus!A324</f>
        <v>56.1010.01</v>
      </c>
      <c r="B324" s="82" t="str">
        <f>+Bonus!B324</f>
        <v>Placer County Water Agency - Auburn WTP Removal of 531s from Filter Control Panels</v>
      </c>
      <c r="C324" s="227">
        <f>+Bonus!C324</f>
        <v>9569</v>
      </c>
      <c r="D324" s="63">
        <f>+Bonus!D324</f>
        <v>7097.1</v>
      </c>
      <c r="E324" s="63">
        <f>+Bonus!E324</f>
        <v>2471.8999999999996</v>
      </c>
      <c r="F324" s="218">
        <f>+Bonus!F324</f>
        <v>7097.1</v>
      </c>
      <c r="G324" s="182">
        <f t="shared" si="365"/>
        <v>1</v>
      </c>
      <c r="H324" s="98">
        <f t="shared" si="366"/>
        <v>2471.8999999999996</v>
      </c>
      <c r="I324" s="98">
        <f t="shared" si="367"/>
        <v>9569</v>
      </c>
      <c r="J324" s="218">
        <f>+Bonus!J324</f>
        <v>9569</v>
      </c>
      <c r="K324" s="98">
        <f t="shared" si="368"/>
        <v>0</v>
      </c>
      <c r="L324" s="98">
        <f t="shared" si="369"/>
        <v>0</v>
      </c>
      <c r="M324" s="98">
        <f t="shared" si="370"/>
        <v>0</v>
      </c>
      <c r="N324" s="218">
        <f>+Bonus!N324</f>
        <v>2465.37</v>
      </c>
      <c r="O324" s="218">
        <f>+Bonus!O324</f>
        <v>0</v>
      </c>
      <c r="P324" s="98">
        <f>+Bonus!W324</f>
        <v>619.64706943899569</v>
      </c>
      <c r="Q324" s="98">
        <f t="shared" si="371"/>
        <v>4631.7300000000005</v>
      </c>
      <c r="R324" s="98">
        <f t="shared" si="372"/>
        <v>9569</v>
      </c>
      <c r="S324" s="129">
        <f t="shared" si="373"/>
        <v>1852.252930561004</v>
      </c>
      <c r="T324" s="199" t="str">
        <f>+Bonus!T324</f>
        <v>2024</v>
      </c>
      <c r="U324" s="199" t="str">
        <f>+Bonus!U324</f>
        <v>2025</v>
      </c>
      <c r="V324" s="199" t="str">
        <f>+Bonus!V324</f>
        <v>&lt; 250k</v>
      </c>
      <c r="W324" s="198"/>
      <c r="X324" s="33"/>
      <c r="Y324" s="197"/>
      <c r="Z324" s="198"/>
      <c r="AA324" s="196"/>
      <c r="AB324" s="196"/>
      <c r="AC324" s="194"/>
    </row>
    <row r="325" spans="1:29" s="81" customFormat="1" ht="13.5" customHeight="1">
      <c r="A325" s="259">
        <f>+Bonus!A325</f>
        <v>56.101599999999998</v>
      </c>
      <c r="B325" s="82" t="str">
        <f>+Bonus!B325</f>
        <v>Trabuco Canyon Water Dist. - On-Call Services - Trabuco Canyon Water District</v>
      </c>
      <c r="C325" s="227">
        <f>+Bonus!C325</f>
        <v>150064.25</v>
      </c>
      <c r="D325" s="63">
        <f>+Bonus!D325</f>
        <v>110083.62000000001</v>
      </c>
      <c r="E325" s="63">
        <f>+Bonus!E325</f>
        <v>39980.62999999999</v>
      </c>
      <c r="F325" s="218">
        <f>+Bonus!F325</f>
        <v>110083.62000000001</v>
      </c>
      <c r="G325" s="182">
        <f t="shared" si="365"/>
        <v>1</v>
      </c>
      <c r="H325" s="98">
        <f t="shared" si="366"/>
        <v>39980.62999999999</v>
      </c>
      <c r="I325" s="98">
        <f t="shared" si="367"/>
        <v>150064.25</v>
      </c>
      <c r="J325" s="218">
        <f>+Bonus!J325</f>
        <v>150064.25</v>
      </c>
      <c r="K325" s="98">
        <f t="shared" si="368"/>
        <v>0</v>
      </c>
      <c r="L325" s="98">
        <f t="shared" si="369"/>
        <v>0</v>
      </c>
      <c r="M325" s="98">
        <f t="shared" si="370"/>
        <v>0</v>
      </c>
      <c r="N325" s="218">
        <f>+Bonus!N325</f>
        <v>57071.14</v>
      </c>
      <c r="O325" s="218">
        <f>+Bonus!O325</f>
        <v>71814.5</v>
      </c>
      <c r="P325" s="98">
        <f>+Bonus!W325</f>
        <v>14743.36</v>
      </c>
      <c r="Q325" s="98">
        <f t="shared" si="371"/>
        <v>53012.48000000001</v>
      </c>
      <c r="R325" s="98">
        <f t="shared" si="372"/>
        <v>78249.75</v>
      </c>
      <c r="S325" s="129">
        <f t="shared" si="373"/>
        <v>25237.26999999999</v>
      </c>
      <c r="T325" s="199" t="str">
        <f>+Bonus!T325</f>
        <v>2024</v>
      </c>
      <c r="U325" s="199" t="str">
        <f>+Bonus!U325</f>
        <v>2025</v>
      </c>
      <c r="V325" s="199" t="str">
        <f>+Bonus!V325</f>
        <v>&lt; 250k</v>
      </c>
      <c r="W325" s="198"/>
      <c r="X325" s="33"/>
      <c r="Y325" s="197"/>
      <c r="Z325" s="198"/>
      <c r="AA325" s="196"/>
      <c r="AB325" s="196"/>
      <c r="AC325" s="194"/>
    </row>
    <row r="326" spans="1:29" s="81" customFormat="1" ht="13.5" customHeight="1">
      <c r="A326" s="259">
        <f>+Bonus!A326</f>
        <v>56.101900000000001</v>
      </c>
      <c r="B326" s="82" t="str">
        <f>+Bonus!B326</f>
        <v>Conco-West - Monte Vista Collection Subdivision (Onsite) - Stanislaus Co.</v>
      </c>
      <c r="C326" s="227">
        <f>+Bonus!C326</f>
        <v>193845</v>
      </c>
      <c r="D326" s="63">
        <f>+Bonus!D326</f>
        <v>143764.57999999999</v>
      </c>
      <c r="E326" s="63">
        <f>+Bonus!E326</f>
        <v>50080.420000000013</v>
      </c>
      <c r="F326" s="218">
        <f>+Bonus!F326</f>
        <v>143764.57999999999</v>
      </c>
      <c r="G326" s="182">
        <f t="shared" si="365"/>
        <v>1</v>
      </c>
      <c r="H326" s="98">
        <f t="shared" si="366"/>
        <v>50080.420000000013</v>
      </c>
      <c r="I326" s="98">
        <f t="shared" si="367"/>
        <v>193845</v>
      </c>
      <c r="J326" s="218">
        <f>+Bonus!J326</f>
        <v>193845</v>
      </c>
      <c r="K326" s="98">
        <f t="shared" si="368"/>
        <v>0</v>
      </c>
      <c r="L326" s="98">
        <f t="shared" si="369"/>
        <v>0</v>
      </c>
      <c r="M326" s="98">
        <f t="shared" si="370"/>
        <v>0</v>
      </c>
      <c r="N326" s="218">
        <f>+Bonus!N326</f>
        <v>20442.52</v>
      </c>
      <c r="O326" s="218">
        <f>+Bonus!O326</f>
        <v>0</v>
      </c>
      <c r="P326" s="98">
        <f>+Bonus!W326</f>
        <v>4594.7942619688129</v>
      </c>
      <c r="Q326" s="98">
        <f t="shared" si="371"/>
        <v>123322.05999999998</v>
      </c>
      <c r="R326" s="98">
        <f t="shared" si="372"/>
        <v>193845</v>
      </c>
      <c r="S326" s="129">
        <f t="shared" si="373"/>
        <v>45485.625738031202</v>
      </c>
      <c r="T326" s="199" t="str">
        <f>+Bonus!T326</f>
        <v>2024</v>
      </c>
      <c r="U326" s="199" t="str">
        <f>+Bonus!U326</f>
        <v>2025</v>
      </c>
      <c r="V326" s="199" t="str">
        <f>+Bonus!V326</f>
        <v>&lt; 250k</v>
      </c>
      <c r="W326" s="198"/>
      <c r="X326" s="33"/>
      <c r="Y326" s="197"/>
      <c r="Z326" s="198"/>
      <c r="AA326" s="196"/>
      <c r="AB326" s="196"/>
      <c r="AC326" s="194"/>
    </row>
    <row r="327" spans="1:29" s="81" customFormat="1" ht="13.5" customHeight="1">
      <c r="A327" s="259">
        <f>+Bonus!A327</f>
        <v>56.1021</v>
      </c>
      <c r="B327" s="82" t="str">
        <f>+Bonus!B327</f>
        <v>Darrel Varni Electric, Inc. - City of Santa Cruz – Rail Trail Segment 7 – Phase 2</v>
      </c>
      <c r="C327" s="227">
        <f>+Bonus!C327</f>
        <v>244760</v>
      </c>
      <c r="D327" s="63">
        <f>+Bonus!D327</f>
        <v>116752.52</v>
      </c>
      <c r="E327" s="63">
        <f>+Bonus!E327</f>
        <v>128007.48</v>
      </c>
      <c r="F327" s="218">
        <f>+Bonus!F327</f>
        <v>116752.52</v>
      </c>
      <c r="G327" s="182">
        <f t="shared" si="365"/>
        <v>1</v>
      </c>
      <c r="H327" s="98">
        <f t="shared" si="366"/>
        <v>128007.48</v>
      </c>
      <c r="I327" s="98">
        <f t="shared" si="367"/>
        <v>244760</v>
      </c>
      <c r="J327" s="218">
        <f>+Bonus!J327</f>
        <v>244760</v>
      </c>
      <c r="K327" s="98">
        <f t="shared" si="368"/>
        <v>0</v>
      </c>
      <c r="L327" s="98">
        <f t="shared" si="369"/>
        <v>0</v>
      </c>
      <c r="M327" s="98">
        <f t="shared" si="370"/>
        <v>0</v>
      </c>
      <c r="N327" s="218">
        <f>+Bonus!N327</f>
        <v>113715.41</v>
      </c>
      <c r="O327" s="218">
        <f>+Bonus!O327</f>
        <v>0</v>
      </c>
      <c r="P327" s="98">
        <f>+Bonus!W327</f>
        <v>38878.539262879734</v>
      </c>
      <c r="Q327" s="98">
        <f t="shared" si="371"/>
        <v>3037.1100000000006</v>
      </c>
      <c r="R327" s="98">
        <f t="shared" si="372"/>
        <v>244760</v>
      </c>
      <c r="S327" s="129">
        <f t="shared" si="373"/>
        <v>89128.940737120254</v>
      </c>
      <c r="T327" s="199" t="str">
        <f>+Bonus!T327</f>
        <v>2024</v>
      </c>
      <c r="U327" s="199" t="str">
        <f>+Bonus!U327</f>
        <v>2025</v>
      </c>
      <c r="V327" s="199" t="str">
        <f>+Bonus!V327</f>
        <v>&lt; 250k</v>
      </c>
      <c r="W327" s="198"/>
      <c r="X327" s="33"/>
      <c r="Y327" s="197"/>
      <c r="Z327" s="198"/>
      <c r="AA327" s="196"/>
      <c r="AB327" s="196"/>
      <c r="AC327" s="194"/>
    </row>
    <row r="328" spans="1:29" s="81" customFormat="1" ht="13.5" customHeight="1">
      <c r="A328" s="259">
        <f>+Bonus!A328</f>
        <v>56.102200000000003</v>
      </c>
      <c r="B328" s="82" t="str">
        <f>+Bonus!B328</f>
        <v>W.M. Lyles Co. - Graham Hill WTP Facility Improvements - City of Santa Cruz</v>
      </c>
      <c r="C328" s="227">
        <f>+Bonus!C328</f>
        <v>0</v>
      </c>
      <c r="D328" s="63">
        <f>+Bonus!D328</f>
        <v>0</v>
      </c>
      <c r="E328" s="63">
        <f>+Bonus!E328</f>
        <v>0</v>
      </c>
      <c r="F328" s="218">
        <f>+Bonus!F328</f>
        <v>0</v>
      </c>
      <c r="G328" s="182">
        <f t="shared" si="365"/>
        <v>0</v>
      </c>
      <c r="H328" s="98">
        <f t="shared" si="366"/>
        <v>0</v>
      </c>
      <c r="I328" s="98">
        <f t="shared" si="367"/>
        <v>0</v>
      </c>
      <c r="J328" s="218">
        <f>+Bonus!J328</f>
        <v>0</v>
      </c>
      <c r="K328" s="98">
        <f t="shared" si="368"/>
        <v>0</v>
      </c>
      <c r="L328" s="98">
        <f t="shared" si="369"/>
        <v>0</v>
      </c>
      <c r="M328" s="98">
        <f t="shared" si="370"/>
        <v>0</v>
      </c>
      <c r="N328" s="218">
        <f>+Bonus!N328</f>
        <v>88093.56</v>
      </c>
      <c r="O328" s="218">
        <f>+Bonus!O328</f>
        <v>0</v>
      </c>
      <c r="P328" s="98">
        <f>+Bonus!W328</f>
        <v>0</v>
      </c>
      <c r="Q328" s="98">
        <f t="shared" si="371"/>
        <v>-88093.56</v>
      </c>
      <c r="R328" s="98">
        <f t="shared" si="372"/>
        <v>0</v>
      </c>
      <c r="S328" s="129">
        <f t="shared" si="373"/>
        <v>0</v>
      </c>
      <c r="T328" s="199" t="str">
        <f>+Bonus!T328</f>
        <v>2024</v>
      </c>
      <c r="U328" s="199" t="str">
        <f>+Bonus!U328</f>
        <v>2025</v>
      </c>
      <c r="V328" s="199" t="str">
        <f>+Bonus!V328</f>
        <v>&lt; 250k</v>
      </c>
      <c r="W328" s="198"/>
      <c r="X328" s="33"/>
      <c r="Y328" s="197"/>
      <c r="Z328" s="198"/>
      <c r="AA328" s="196"/>
      <c r="AB328" s="196"/>
      <c r="AC328" s="194"/>
    </row>
    <row r="329" spans="1:29" s="81" customFormat="1" ht="13.5" customHeight="1">
      <c r="A329" s="259">
        <f>+Bonus!A329</f>
        <v>56.1023</v>
      </c>
      <c r="B329" s="82" t="str">
        <f>+Bonus!B329</f>
        <v>Cal Electro Inc. - 13th Street OC Pumping Plant Upgrade</v>
      </c>
      <c r="C329" s="227">
        <f>+Bonus!C329</f>
        <v>220390</v>
      </c>
      <c r="D329" s="63">
        <f>+Bonus!D329</f>
        <v>150504.73000000001</v>
      </c>
      <c r="E329" s="63">
        <f>+Bonus!E329</f>
        <v>69885.26999999999</v>
      </c>
      <c r="F329" s="218">
        <f>+Bonus!F329</f>
        <v>150504.73000000001</v>
      </c>
      <c r="G329" s="182">
        <f t="shared" si="365"/>
        <v>1</v>
      </c>
      <c r="H329" s="98">
        <f t="shared" si="366"/>
        <v>69885.26999999999</v>
      </c>
      <c r="I329" s="98">
        <f t="shared" si="367"/>
        <v>220390</v>
      </c>
      <c r="J329" s="218">
        <f>+Bonus!J329</f>
        <v>220390</v>
      </c>
      <c r="K329" s="98">
        <f t="shared" si="368"/>
        <v>0</v>
      </c>
      <c r="L329" s="98">
        <f t="shared" si="369"/>
        <v>0</v>
      </c>
      <c r="M329" s="98">
        <f t="shared" si="370"/>
        <v>0</v>
      </c>
      <c r="N329" s="218">
        <f>+Bonus!N329</f>
        <v>112097.3</v>
      </c>
      <c r="O329" s="218">
        <f>+Bonus!O329</f>
        <v>172000</v>
      </c>
      <c r="P329" s="98">
        <f>+Bonus!W329</f>
        <v>40095.312541281011</v>
      </c>
      <c r="Q329" s="98">
        <f t="shared" si="371"/>
        <v>38407.430000000008</v>
      </c>
      <c r="R329" s="98">
        <f t="shared" si="372"/>
        <v>48390</v>
      </c>
      <c r="S329" s="129">
        <f t="shared" si="373"/>
        <v>29789.957458718978</v>
      </c>
      <c r="T329" s="199" t="str">
        <f>+Bonus!T329</f>
        <v>2024</v>
      </c>
      <c r="U329" s="199" t="str">
        <f>+Bonus!U329</f>
        <v>2025</v>
      </c>
      <c r="V329" s="199" t="str">
        <f>+Bonus!V329</f>
        <v>&lt; 250k</v>
      </c>
      <c r="W329" s="198"/>
      <c r="X329" s="33"/>
      <c r="Y329" s="197"/>
      <c r="Z329" s="198"/>
      <c r="AA329" s="196"/>
      <c r="AB329" s="196"/>
      <c r="AC329" s="194"/>
    </row>
    <row r="330" spans="1:29" s="81" customFormat="1" ht="13.5" customHeight="1">
      <c r="A330" s="259">
        <f>+Bonus!A330</f>
        <v>56.103000000000002</v>
      </c>
      <c r="B330" s="82" t="str">
        <f>+Bonus!B330</f>
        <v>AIC - Core Electrical Services, Inc. - Corte Madera, Town of - Paradise PS RehabiProject</v>
      </c>
      <c r="C330" s="227">
        <f>+Bonus!C330</f>
        <v>689578.64</v>
      </c>
      <c r="D330" s="63">
        <f>+Bonus!D330</f>
        <v>689578.64</v>
      </c>
      <c r="E330" s="63">
        <f>+Bonus!E330</f>
        <v>0</v>
      </c>
      <c r="F330" s="218">
        <f>+Bonus!F330</f>
        <v>689578.64</v>
      </c>
      <c r="G330" s="182">
        <f t="shared" si="365"/>
        <v>1</v>
      </c>
      <c r="H330" s="98">
        <f t="shared" si="366"/>
        <v>0</v>
      </c>
      <c r="I330" s="98">
        <f t="shared" si="367"/>
        <v>689578.64</v>
      </c>
      <c r="J330" s="218">
        <f>+Bonus!J330</f>
        <v>689578.64</v>
      </c>
      <c r="K330" s="98">
        <f t="shared" si="368"/>
        <v>0</v>
      </c>
      <c r="L330" s="98">
        <f t="shared" si="369"/>
        <v>0</v>
      </c>
      <c r="M330" s="98">
        <f t="shared" si="370"/>
        <v>0</v>
      </c>
      <c r="N330" s="218">
        <f>+Bonus!N330</f>
        <v>122107.57</v>
      </c>
      <c r="O330" s="218">
        <f>+Bonus!O330</f>
        <v>77500</v>
      </c>
      <c r="P330" s="98">
        <f>+Bonus!W330</f>
        <v>18034.019023179</v>
      </c>
      <c r="Q330" s="98">
        <f t="shared" si="371"/>
        <v>567471.07000000007</v>
      </c>
      <c r="R330" s="98">
        <f t="shared" si="372"/>
        <v>612078.64</v>
      </c>
      <c r="S330" s="129">
        <f t="shared" si="373"/>
        <v>-18034.019023179</v>
      </c>
      <c r="T330" s="199" t="str">
        <f>+Bonus!T330</f>
        <v>2024</v>
      </c>
      <c r="U330" s="199" t="str">
        <f>+Bonus!U330</f>
        <v>2025</v>
      </c>
      <c r="V330" s="199" t="str">
        <f>+Bonus!V330</f>
        <v>.</v>
      </c>
      <c r="W330" s="198"/>
      <c r="X330" s="33"/>
      <c r="Y330" s="197"/>
      <c r="Z330" s="198"/>
      <c r="AA330" s="196"/>
      <c r="AB330" s="196"/>
      <c r="AC330" s="194"/>
    </row>
    <row r="331" spans="1:29" s="81" customFormat="1" ht="13.5" customHeight="1">
      <c r="A331" s="259">
        <f>+Bonus!A331</f>
        <v>56.104100000000003</v>
      </c>
      <c r="B331" s="82" t="str">
        <f>+Bonus!B331</f>
        <v>AIC - Irvin Rranch District - MWRP Fueling Facility CP-100 Programming</v>
      </c>
      <c r="C331" s="227">
        <f>+Bonus!C331</f>
        <v>20016.78</v>
      </c>
      <c r="D331" s="63">
        <f>+Bonus!D331</f>
        <v>20016.78</v>
      </c>
      <c r="E331" s="63">
        <f>+Bonus!E331</f>
        <v>0</v>
      </c>
      <c r="F331" s="218">
        <f>+Bonus!F331</f>
        <v>20016.78</v>
      </c>
      <c r="G331" s="182">
        <f t="shared" si="365"/>
        <v>1</v>
      </c>
      <c r="H331" s="98">
        <f t="shared" si="366"/>
        <v>0</v>
      </c>
      <c r="I331" s="98">
        <f t="shared" si="367"/>
        <v>20016.78</v>
      </c>
      <c r="J331" s="218">
        <f>+Bonus!J331</f>
        <v>20016.78</v>
      </c>
      <c r="K331" s="98">
        <f t="shared" si="368"/>
        <v>0</v>
      </c>
      <c r="L331" s="98">
        <f t="shared" si="369"/>
        <v>0</v>
      </c>
      <c r="M331" s="98">
        <f t="shared" si="370"/>
        <v>0</v>
      </c>
      <c r="N331" s="218">
        <f>+Bonus!N331</f>
        <v>9127.1299999999992</v>
      </c>
      <c r="O331" s="218">
        <f>+Bonus!O331</f>
        <v>0</v>
      </c>
      <c r="P331" s="98">
        <f>+Bonus!W331</f>
        <v>7002.2380436271851</v>
      </c>
      <c r="Q331" s="98">
        <f t="shared" si="371"/>
        <v>10889.65</v>
      </c>
      <c r="R331" s="98">
        <f t="shared" si="372"/>
        <v>20016.78</v>
      </c>
      <c r="S331" s="129">
        <f t="shared" si="373"/>
        <v>-7002.2380436271851</v>
      </c>
      <c r="T331" s="199" t="str">
        <f>+Bonus!T331</f>
        <v>2024</v>
      </c>
      <c r="U331" s="199" t="str">
        <f>+Bonus!U331</f>
        <v>2025</v>
      </c>
      <c r="V331" s="199" t="str">
        <f>+Bonus!V331</f>
        <v>&lt; 250k</v>
      </c>
      <c r="W331" s="198"/>
      <c r="X331" s="33"/>
      <c r="Y331" s="197"/>
      <c r="Z331" s="198"/>
      <c r="AA331" s="196"/>
      <c r="AB331" s="196"/>
      <c r="AC331" s="194"/>
    </row>
    <row r="332" spans="1:29" s="81" customFormat="1" ht="13.5" customHeight="1">
      <c r="A332" s="259">
        <f>+Bonus!A332</f>
        <v>56.1051</v>
      </c>
      <c r="B332" s="82" t="str">
        <f>+Bonus!B332</f>
        <v>Las Gallinas Valley Sanitary District - PE Pump Variable Frequency Drives</v>
      </c>
      <c r="C332" s="227">
        <f>+Bonus!C332</f>
        <v>136875</v>
      </c>
      <c r="D332" s="63">
        <f>+Bonus!D332</f>
        <v>98718.18</v>
      </c>
      <c r="E332" s="63">
        <f>+Bonus!E332</f>
        <v>38156.820000000007</v>
      </c>
      <c r="F332" s="218">
        <f>+Bonus!F332</f>
        <v>98718.18</v>
      </c>
      <c r="G332" s="182">
        <f t="shared" si="365"/>
        <v>1</v>
      </c>
      <c r="H332" s="98">
        <f t="shared" si="366"/>
        <v>38156.820000000007</v>
      </c>
      <c r="I332" s="98">
        <f t="shared" si="367"/>
        <v>136875</v>
      </c>
      <c r="J332" s="218">
        <f>+Bonus!J332</f>
        <v>136875</v>
      </c>
      <c r="K332" s="98">
        <f t="shared" si="368"/>
        <v>0</v>
      </c>
      <c r="L332" s="98">
        <f t="shared" si="369"/>
        <v>0</v>
      </c>
      <c r="M332" s="98">
        <f t="shared" si="370"/>
        <v>0</v>
      </c>
      <c r="N332" s="218">
        <f>+Bonus!N332</f>
        <v>39254.31</v>
      </c>
      <c r="O332" s="218">
        <f>+Bonus!O332</f>
        <v>0</v>
      </c>
      <c r="P332" s="98">
        <f>+Bonus!W332</f>
        <v>16220.539798717673</v>
      </c>
      <c r="Q332" s="98">
        <f t="shared" si="371"/>
        <v>59463.869999999995</v>
      </c>
      <c r="R332" s="98">
        <f t="shared" si="372"/>
        <v>136875</v>
      </c>
      <c r="S332" s="129">
        <f t="shared" si="373"/>
        <v>21936.280201282334</v>
      </c>
      <c r="T332" s="199" t="str">
        <f>+Bonus!T332</f>
        <v>2024</v>
      </c>
      <c r="U332" s="199" t="str">
        <f>+Bonus!U332</f>
        <v>2025</v>
      </c>
      <c r="V332" s="199" t="str">
        <f>+Bonus!V332</f>
        <v>&lt; 250k</v>
      </c>
      <c r="W332" s="198"/>
      <c r="X332" s="33"/>
      <c r="Y332" s="197"/>
      <c r="Z332" s="198"/>
      <c r="AA332" s="196"/>
      <c r="AB332" s="196"/>
      <c r="AC332" s="194"/>
    </row>
    <row r="333" spans="1:29" s="81" customFormat="1" ht="13.5" customHeight="1">
      <c r="A333" s="259">
        <f>+Bonus!A333</f>
        <v>56.105200000000004</v>
      </c>
      <c r="B333" s="82" t="str">
        <f>+Bonus!B333</f>
        <v>San Jose Water - Williams Back ATS Replacement</v>
      </c>
      <c r="C333" s="227">
        <f>+Bonus!C333</f>
        <v>8887</v>
      </c>
      <c r="D333" s="63">
        <f>+Bonus!D333</f>
        <v>6400.94</v>
      </c>
      <c r="E333" s="63">
        <f>+Bonus!E333</f>
        <v>2486.0600000000004</v>
      </c>
      <c r="F333" s="218">
        <f>+Bonus!F333</f>
        <v>6400.94</v>
      </c>
      <c r="G333" s="182">
        <f t="shared" si="365"/>
        <v>1</v>
      </c>
      <c r="H333" s="98">
        <f t="shared" si="366"/>
        <v>2486.0600000000004</v>
      </c>
      <c r="I333" s="98">
        <f t="shared" si="367"/>
        <v>8887</v>
      </c>
      <c r="J333" s="218">
        <f>+Bonus!J333</f>
        <v>8887</v>
      </c>
      <c r="K333" s="98">
        <f t="shared" si="368"/>
        <v>0</v>
      </c>
      <c r="L333" s="98">
        <f t="shared" si="369"/>
        <v>0</v>
      </c>
      <c r="M333" s="98">
        <f t="shared" si="370"/>
        <v>0</v>
      </c>
      <c r="N333" s="218">
        <f>+Bonus!N333</f>
        <v>5914.69</v>
      </c>
      <c r="O333" s="218">
        <f>+Bonus!O333</f>
        <v>0</v>
      </c>
      <c r="P333" s="98">
        <f>+Bonus!W333</f>
        <v>369.09362582187686</v>
      </c>
      <c r="Q333" s="98">
        <f t="shared" si="371"/>
        <v>486.25</v>
      </c>
      <c r="R333" s="98">
        <f t="shared" si="372"/>
        <v>8887</v>
      </c>
      <c r="S333" s="129">
        <f t="shared" si="373"/>
        <v>2116.9663741781237</v>
      </c>
      <c r="T333" s="199" t="str">
        <f>+Bonus!T333</f>
        <v>2024</v>
      </c>
      <c r="U333" s="199" t="str">
        <f>+Bonus!U333</f>
        <v>2025</v>
      </c>
      <c r="V333" s="199" t="str">
        <f>+Bonus!V333</f>
        <v>&lt; 250k</v>
      </c>
      <c r="W333" s="198"/>
      <c r="X333" s="33"/>
      <c r="Y333" s="197"/>
      <c r="Z333" s="198"/>
      <c r="AA333" s="196"/>
      <c r="AB333" s="196"/>
      <c r="AC333" s="194"/>
    </row>
    <row r="334" spans="1:29" s="81" customFormat="1" ht="13.5" customHeight="1">
      <c r="A334" s="259">
        <f>+Bonus!A334</f>
        <v>56.1053</v>
      </c>
      <c r="B334" s="82" t="str">
        <f>+Bonus!B334</f>
        <v>Bay Tech Engineering - San Francisco Public Utilities Commission (SFPUC) - Geary Un</v>
      </c>
      <c r="C334" s="227">
        <f>+Bonus!C334</f>
        <v>35000</v>
      </c>
      <c r="D334" s="63">
        <f>+Bonus!D334</f>
        <v>19964.78</v>
      </c>
      <c r="E334" s="63">
        <f>+Bonus!E334</f>
        <v>15035.220000000001</v>
      </c>
      <c r="F334" s="218">
        <f>+Bonus!F334</f>
        <v>19964.78</v>
      </c>
      <c r="G334" s="182">
        <f t="shared" si="365"/>
        <v>1</v>
      </c>
      <c r="H334" s="98">
        <f t="shared" si="366"/>
        <v>15035.220000000001</v>
      </c>
      <c r="I334" s="98">
        <f t="shared" si="367"/>
        <v>35000</v>
      </c>
      <c r="J334" s="218">
        <f>+Bonus!J334</f>
        <v>35000</v>
      </c>
      <c r="K334" s="98">
        <f t="shared" si="368"/>
        <v>0</v>
      </c>
      <c r="L334" s="98">
        <f t="shared" si="369"/>
        <v>0</v>
      </c>
      <c r="M334" s="98">
        <f t="shared" si="370"/>
        <v>0</v>
      </c>
      <c r="N334" s="218">
        <f>+Bonus!N334</f>
        <v>5710.5</v>
      </c>
      <c r="O334" s="218">
        <f>+Bonus!O334</f>
        <v>0</v>
      </c>
      <c r="P334" s="98">
        <f>+Bonus!W334</f>
        <v>4187.360644777893</v>
      </c>
      <c r="Q334" s="98">
        <f t="shared" si="371"/>
        <v>14254.279999999999</v>
      </c>
      <c r="R334" s="98">
        <f t="shared" si="372"/>
        <v>35000</v>
      </c>
      <c r="S334" s="129">
        <f t="shared" si="373"/>
        <v>10847.859355222108</v>
      </c>
      <c r="T334" s="199" t="str">
        <f>+Bonus!T334</f>
        <v>2024</v>
      </c>
      <c r="U334" s="199" t="str">
        <f>+Bonus!U334</f>
        <v>2025</v>
      </c>
      <c r="V334" s="199" t="str">
        <f>+Bonus!V334</f>
        <v>&lt; 250k</v>
      </c>
      <c r="W334" s="198"/>
      <c r="X334" s="33"/>
      <c r="Y334" s="197"/>
      <c r="Z334" s="198"/>
      <c r="AA334" s="196"/>
      <c r="AB334" s="196"/>
      <c r="AC334" s="194"/>
    </row>
    <row r="335" spans="1:29" s="81" customFormat="1" ht="13.5" customHeight="1">
      <c r="A335" s="259">
        <f>+Bonus!A335</f>
        <v>56.105400000000003</v>
      </c>
      <c r="B335" s="82" t="str">
        <f>+Bonus!B335</f>
        <v>AIC - Riverside Public Works - Digester 5 Rehab</v>
      </c>
      <c r="C335" s="227">
        <f>+Bonus!C335</f>
        <v>37648.03</v>
      </c>
      <c r="D335" s="63">
        <f>+Bonus!D335</f>
        <v>37648.03</v>
      </c>
      <c r="E335" s="63">
        <f>+Bonus!E335</f>
        <v>0</v>
      </c>
      <c r="F335" s="218">
        <f>+Bonus!F335</f>
        <v>37648.03</v>
      </c>
      <c r="G335" s="182">
        <f t="shared" si="365"/>
        <v>1</v>
      </c>
      <c r="H335" s="98">
        <f t="shared" si="366"/>
        <v>0</v>
      </c>
      <c r="I335" s="98">
        <f t="shared" si="367"/>
        <v>37648.03</v>
      </c>
      <c r="J335" s="218">
        <f>+Bonus!J335</f>
        <v>37648.03</v>
      </c>
      <c r="K335" s="98">
        <f t="shared" si="368"/>
        <v>0</v>
      </c>
      <c r="L335" s="98">
        <f t="shared" si="369"/>
        <v>0</v>
      </c>
      <c r="M335" s="98">
        <f t="shared" si="370"/>
        <v>0</v>
      </c>
      <c r="N335" s="218">
        <f>+Bonus!N335</f>
        <v>10750.06</v>
      </c>
      <c r="O335" s="218">
        <f>+Bonus!O335</f>
        <v>0</v>
      </c>
      <c r="P335" s="98">
        <f>+Bonus!W335</f>
        <v>0</v>
      </c>
      <c r="Q335" s="98">
        <f t="shared" si="371"/>
        <v>26897.97</v>
      </c>
      <c r="R335" s="98">
        <f t="shared" si="372"/>
        <v>37648.03</v>
      </c>
      <c r="S335" s="129">
        <f t="shared" si="373"/>
        <v>0</v>
      </c>
      <c r="T335" s="199" t="str">
        <f>+Bonus!T335</f>
        <v>2024</v>
      </c>
      <c r="U335" s="199" t="str">
        <f>+Bonus!U335</f>
        <v>2025</v>
      </c>
      <c r="V335" s="199" t="str">
        <f>+Bonus!V335</f>
        <v>&lt; 250k</v>
      </c>
      <c r="W335" s="198"/>
      <c r="X335" s="33"/>
      <c r="Y335" s="197"/>
      <c r="Z335" s="198"/>
      <c r="AA335" s="196"/>
      <c r="AB335" s="196"/>
      <c r="AC335" s="194"/>
    </row>
    <row r="336" spans="1:29" s="81" customFormat="1" ht="13.5" customHeight="1">
      <c r="A336" s="259">
        <f>+Bonus!A336</f>
        <v>56.105600000000003</v>
      </c>
      <c r="B336" s="82" t="str">
        <f>+Bonus!B336</f>
        <v>AIC - Irvine Ranch Water District - Michelson Water Recycling Plan</v>
      </c>
      <c r="C336" s="227">
        <f>+Bonus!C336</f>
        <v>98280.63</v>
      </c>
      <c r="D336" s="63">
        <f>+Bonus!D336</f>
        <v>98280.63</v>
      </c>
      <c r="E336" s="63">
        <f>+Bonus!E336</f>
        <v>0</v>
      </c>
      <c r="F336" s="218">
        <f>+Bonus!F336</f>
        <v>98280.63</v>
      </c>
      <c r="G336" s="182">
        <f t="shared" si="365"/>
        <v>1</v>
      </c>
      <c r="H336" s="98">
        <f t="shared" si="366"/>
        <v>0</v>
      </c>
      <c r="I336" s="98">
        <f t="shared" si="367"/>
        <v>98280.63</v>
      </c>
      <c r="J336" s="218">
        <f>+Bonus!J336</f>
        <v>98280.63</v>
      </c>
      <c r="K336" s="98">
        <f t="shared" si="368"/>
        <v>0</v>
      </c>
      <c r="L336" s="98">
        <f t="shared" si="369"/>
        <v>0</v>
      </c>
      <c r="M336" s="98">
        <f t="shared" si="370"/>
        <v>0</v>
      </c>
      <c r="N336" s="218">
        <f>+Bonus!N336</f>
        <v>31429.81</v>
      </c>
      <c r="O336" s="218">
        <f>+Bonus!O336</f>
        <v>0</v>
      </c>
      <c r="P336" s="98">
        <f>+Bonus!W336</f>
        <v>20551.575703079532</v>
      </c>
      <c r="Q336" s="98">
        <f t="shared" si="371"/>
        <v>66850.820000000007</v>
      </c>
      <c r="R336" s="98">
        <f t="shared" si="372"/>
        <v>98280.63</v>
      </c>
      <c r="S336" s="129">
        <f t="shared" si="373"/>
        <v>-20551.575703079532</v>
      </c>
      <c r="T336" s="199" t="str">
        <f>+Bonus!T336</f>
        <v>2024</v>
      </c>
      <c r="U336" s="199" t="str">
        <f>+Bonus!U336</f>
        <v>2025</v>
      </c>
      <c r="V336" s="199" t="str">
        <f>+Bonus!V336</f>
        <v>&lt; 250k</v>
      </c>
      <c r="W336" s="198"/>
      <c r="X336" s="33"/>
      <c r="Y336" s="197"/>
      <c r="Z336" s="198"/>
      <c r="AA336" s="196"/>
      <c r="AB336" s="196"/>
      <c r="AC336" s="194"/>
    </row>
    <row r="337" spans="1:29" s="81" customFormat="1" ht="13.5" customHeight="1">
      <c r="A337" s="259">
        <f>+Bonus!A337</f>
        <v>56.105699999999999</v>
      </c>
      <c r="B337" s="82" t="str">
        <f>+Bonus!B337</f>
        <v>A-C Electric Company - Caltrans District 06 - Olive Avenue Pumping Plant</v>
      </c>
      <c r="C337" s="227">
        <f>+Bonus!C337</f>
        <v>0</v>
      </c>
      <c r="D337" s="63">
        <f>+Bonus!D337</f>
        <v>0</v>
      </c>
      <c r="E337" s="63">
        <f>+Bonus!E337</f>
        <v>0</v>
      </c>
      <c r="F337" s="218">
        <f>+Bonus!F337</f>
        <v>0</v>
      </c>
      <c r="G337" s="182">
        <f t="shared" si="365"/>
        <v>0</v>
      </c>
      <c r="H337" s="98">
        <f t="shared" si="366"/>
        <v>0</v>
      </c>
      <c r="I337" s="98">
        <f t="shared" si="367"/>
        <v>0</v>
      </c>
      <c r="J337" s="218">
        <f>+Bonus!J337</f>
        <v>0</v>
      </c>
      <c r="K337" s="98">
        <f t="shared" si="368"/>
        <v>0</v>
      </c>
      <c r="L337" s="98">
        <f t="shared" si="369"/>
        <v>0</v>
      </c>
      <c r="M337" s="98">
        <f t="shared" si="370"/>
        <v>0</v>
      </c>
      <c r="N337" s="218">
        <f>+Bonus!N337</f>
        <v>16238.75</v>
      </c>
      <c r="O337" s="218">
        <f>+Bonus!O337</f>
        <v>0</v>
      </c>
      <c r="P337" s="98">
        <f>+Bonus!W337</f>
        <v>0</v>
      </c>
      <c r="Q337" s="98">
        <f t="shared" si="371"/>
        <v>-16238.75</v>
      </c>
      <c r="R337" s="98">
        <f t="shared" si="372"/>
        <v>0</v>
      </c>
      <c r="S337" s="129">
        <f t="shared" si="373"/>
        <v>0</v>
      </c>
      <c r="T337" s="199" t="str">
        <f>+Bonus!T337</f>
        <v>2024</v>
      </c>
      <c r="U337" s="199" t="str">
        <f>+Bonus!U337</f>
        <v>2025</v>
      </c>
      <c r="V337" s="199" t="str">
        <f>+Bonus!V337</f>
        <v>&lt; 250k</v>
      </c>
      <c r="W337" s="198"/>
      <c r="X337" s="33"/>
      <c r="Y337" s="197"/>
      <c r="Z337" s="198"/>
      <c r="AA337" s="196"/>
      <c r="AB337" s="196"/>
      <c r="AC337" s="194"/>
    </row>
    <row r="338" spans="1:29" s="81" customFormat="1" ht="13.5" customHeight="1">
      <c r="A338" s="259">
        <f>+Bonus!A338</f>
        <v>56.106099999999998</v>
      </c>
      <c r="B338" s="82" t="str">
        <f>+Bonus!B338</f>
        <v>San Jose Water - PLC System Assessment</v>
      </c>
      <c r="C338" s="227">
        <f>+Bonus!C338</f>
        <v>11269</v>
      </c>
      <c r="D338" s="63">
        <f>+Bonus!D338</f>
        <v>5582.66</v>
      </c>
      <c r="E338" s="63">
        <f>+Bonus!E338</f>
        <v>5686.34</v>
      </c>
      <c r="F338" s="218">
        <f>+Bonus!F338</f>
        <v>5582.66</v>
      </c>
      <c r="G338" s="182">
        <f t="shared" si="365"/>
        <v>1</v>
      </c>
      <c r="H338" s="98">
        <f t="shared" si="366"/>
        <v>5686.34</v>
      </c>
      <c r="I338" s="98">
        <f t="shared" si="367"/>
        <v>11269</v>
      </c>
      <c r="J338" s="218">
        <f>+Bonus!J338</f>
        <v>11269</v>
      </c>
      <c r="K338" s="98">
        <f t="shared" si="368"/>
        <v>0</v>
      </c>
      <c r="L338" s="98">
        <f t="shared" si="369"/>
        <v>0</v>
      </c>
      <c r="M338" s="98">
        <f t="shared" si="370"/>
        <v>0</v>
      </c>
      <c r="N338" s="218">
        <f>+Bonus!N338</f>
        <v>5081.1000000000004</v>
      </c>
      <c r="O338" s="218">
        <f>+Bonus!O338</f>
        <v>0</v>
      </c>
      <c r="P338" s="98">
        <f>+Bonus!W338</f>
        <v>5163.830381105744</v>
      </c>
      <c r="Q338" s="98">
        <f t="shared" si="371"/>
        <v>501.55999999999949</v>
      </c>
      <c r="R338" s="98">
        <f t="shared" si="372"/>
        <v>11269</v>
      </c>
      <c r="S338" s="129">
        <f t="shared" si="373"/>
        <v>522.50961889425616</v>
      </c>
      <c r="T338" s="199" t="str">
        <f>+Bonus!T338</f>
        <v>2024</v>
      </c>
      <c r="U338" s="199" t="str">
        <f>+Bonus!U338</f>
        <v>2025</v>
      </c>
      <c r="V338" s="199" t="str">
        <f>+Bonus!V338</f>
        <v>&lt; 250k</v>
      </c>
      <c r="W338" s="198"/>
      <c r="X338" s="33"/>
      <c r="Y338" s="197"/>
      <c r="Z338" s="198"/>
      <c r="AA338" s="196"/>
      <c r="AB338" s="196"/>
      <c r="AC338" s="194"/>
    </row>
    <row r="339" spans="1:29" s="81" customFormat="1" ht="13.5" customHeight="1">
      <c r="A339" s="259">
        <f>+Bonus!A339</f>
        <v>56.106200000000001</v>
      </c>
      <c r="B339" s="82" t="str">
        <f>+Bonus!B339</f>
        <v>AIC - SCADA System Upgrade - City of Brentwood</v>
      </c>
      <c r="C339" s="227">
        <f>+Bonus!C339</f>
        <v>409988.07</v>
      </c>
      <c r="D339" s="63">
        <f>+Bonus!D339</f>
        <v>409988.07</v>
      </c>
      <c r="E339" s="63">
        <f>+Bonus!E339</f>
        <v>0</v>
      </c>
      <c r="F339" s="218">
        <f>+Bonus!F339</f>
        <v>409988.07</v>
      </c>
      <c r="G339" s="182">
        <f t="shared" si="365"/>
        <v>1</v>
      </c>
      <c r="H339" s="98">
        <f t="shared" si="366"/>
        <v>0</v>
      </c>
      <c r="I339" s="98">
        <f t="shared" si="367"/>
        <v>409988.07</v>
      </c>
      <c r="J339" s="218">
        <f>+Bonus!J339</f>
        <v>409988.07</v>
      </c>
      <c r="K339" s="98">
        <f t="shared" si="368"/>
        <v>0</v>
      </c>
      <c r="L339" s="98">
        <f t="shared" si="369"/>
        <v>0</v>
      </c>
      <c r="M339" s="98">
        <f t="shared" si="370"/>
        <v>0</v>
      </c>
      <c r="N339" s="218">
        <f>+Bonus!N339</f>
        <v>26225.9</v>
      </c>
      <c r="O339" s="218">
        <f>+Bonus!O339</f>
        <v>0</v>
      </c>
      <c r="P339" s="98">
        <f>+Bonus!W339</f>
        <v>0</v>
      </c>
      <c r="Q339" s="98">
        <f t="shared" si="371"/>
        <v>383762.17</v>
      </c>
      <c r="R339" s="98">
        <f t="shared" si="372"/>
        <v>409988.07</v>
      </c>
      <c r="S339" s="129">
        <f t="shared" si="373"/>
        <v>0</v>
      </c>
      <c r="T339" s="199" t="str">
        <f>+Bonus!T339</f>
        <v>2024</v>
      </c>
      <c r="U339" s="199" t="str">
        <f>+Bonus!U339</f>
        <v>2025</v>
      </c>
      <c r="V339" s="199" t="str">
        <f>+Bonus!V339</f>
        <v>.</v>
      </c>
      <c r="W339" s="198"/>
      <c r="X339" s="33"/>
      <c r="Y339" s="197"/>
      <c r="Z339" s="198"/>
      <c r="AA339" s="196"/>
      <c r="AB339" s="196"/>
      <c r="AC339" s="194"/>
    </row>
    <row r="340" spans="1:29" s="81" customFormat="1" ht="13.5" customHeight="1">
      <c r="A340" s="259">
        <f>+Bonus!A340</f>
        <v>56.106400000000001</v>
      </c>
      <c r="B340" s="82" t="str">
        <f>+Bonus!B340</f>
        <v>South Orange County Water Agency - CTP &amp; JBL SCADA Upgrade</v>
      </c>
      <c r="C340" s="227">
        <f>+Bonus!C340</f>
        <v>435153</v>
      </c>
      <c r="D340" s="63">
        <f>+Bonus!D340</f>
        <v>202266.4</v>
      </c>
      <c r="E340" s="63">
        <f>+Bonus!E340</f>
        <v>232886.6</v>
      </c>
      <c r="F340" s="218">
        <f>+Bonus!F340</f>
        <v>202266.4</v>
      </c>
      <c r="G340" s="182">
        <f t="shared" si="365"/>
        <v>1</v>
      </c>
      <c r="H340" s="98">
        <f t="shared" si="366"/>
        <v>232886.6</v>
      </c>
      <c r="I340" s="98">
        <f t="shared" si="367"/>
        <v>435153</v>
      </c>
      <c r="J340" s="218">
        <f>+Bonus!J340</f>
        <v>435153</v>
      </c>
      <c r="K340" s="98">
        <f t="shared" si="368"/>
        <v>0</v>
      </c>
      <c r="L340" s="98">
        <f t="shared" si="369"/>
        <v>0</v>
      </c>
      <c r="M340" s="98">
        <f t="shared" si="370"/>
        <v>0</v>
      </c>
      <c r="N340" s="218">
        <f>+Bonus!N340</f>
        <v>124401.21</v>
      </c>
      <c r="O340" s="218">
        <f>+Bonus!O340</f>
        <v>0</v>
      </c>
      <c r="P340" s="98">
        <f>+Bonus!W340</f>
        <v>69496.489617537954</v>
      </c>
      <c r="Q340" s="98">
        <f t="shared" si="371"/>
        <v>77865.189999999988</v>
      </c>
      <c r="R340" s="98">
        <f t="shared" si="372"/>
        <v>435153</v>
      </c>
      <c r="S340" s="129">
        <f t="shared" si="373"/>
        <v>163390.11038246204</v>
      </c>
      <c r="T340" s="199" t="str">
        <f>+Bonus!T340</f>
        <v>2024</v>
      </c>
      <c r="U340" s="199" t="str">
        <f>+Bonus!U340</f>
        <v>2025</v>
      </c>
      <c r="V340" s="199" t="str">
        <f>+Bonus!V340</f>
        <v>.</v>
      </c>
      <c r="W340" s="198"/>
      <c r="X340" s="33"/>
      <c r="Y340" s="197"/>
      <c r="Z340" s="198"/>
      <c r="AA340" s="196"/>
      <c r="AB340" s="196"/>
      <c r="AC340" s="194"/>
    </row>
    <row r="341" spans="1:29" s="81" customFormat="1" ht="13.5" customHeight="1">
      <c r="A341" s="259">
        <f>+Bonus!A341</f>
        <v>56.106499999999997</v>
      </c>
      <c r="B341" s="82" t="str">
        <f>+Bonus!B341</f>
        <v>TNT Industrial Contractors Inc. - WWTF Sodium Hypochlorite Improvements / Chlorine Contact</v>
      </c>
      <c r="C341" s="227">
        <f>+Bonus!C341</f>
        <v>226400.8</v>
      </c>
      <c r="D341" s="63">
        <f>+Bonus!D341</f>
        <v>192023.81</v>
      </c>
      <c r="E341" s="63">
        <f>+Bonus!E341</f>
        <v>34376.989999999991</v>
      </c>
      <c r="F341" s="218">
        <f>+Bonus!F341</f>
        <v>192023.81</v>
      </c>
      <c r="G341" s="182">
        <f t="shared" si="365"/>
        <v>1</v>
      </c>
      <c r="H341" s="98">
        <f t="shared" si="366"/>
        <v>34376.989999999991</v>
      </c>
      <c r="I341" s="98">
        <f t="shared" si="367"/>
        <v>226400.8</v>
      </c>
      <c r="J341" s="218">
        <f>+Bonus!J341</f>
        <v>226400.8</v>
      </c>
      <c r="K341" s="98">
        <f t="shared" si="368"/>
        <v>0</v>
      </c>
      <c r="L341" s="98">
        <f t="shared" si="369"/>
        <v>0</v>
      </c>
      <c r="M341" s="98">
        <f t="shared" si="370"/>
        <v>0</v>
      </c>
      <c r="N341" s="218">
        <f>+Bonus!N341</f>
        <v>15862.63</v>
      </c>
      <c r="O341" s="218">
        <f>+Bonus!O341</f>
        <v>0</v>
      </c>
      <c r="P341" s="98">
        <f>+Bonus!W341</f>
        <v>0</v>
      </c>
      <c r="Q341" s="98">
        <f t="shared" si="371"/>
        <v>176161.18</v>
      </c>
      <c r="R341" s="98">
        <f t="shared" si="372"/>
        <v>226400.8</v>
      </c>
      <c r="S341" s="129">
        <f t="shared" si="373"/>
        <v>34376.989999999991</v>
      </c>
      <c r="T341" s="199" t="str">
        <f>+Bonus!T341</f>
        <v>2024</v>
      </c>
      <c r="U341" s="199" t="str">
        <f>+Bonus!U341</f>
        <v>2025</v>
      </c>
      <c r="V341" s="199" t="str">
        <f>+Bonus!V341</f>
        <v>&lt; 250k</v>
      </c>
      <c r="W341" s="198"/>
      <c r="X341" s="33"/>
      <c r="Y341" s="197"/>
      <c r="Z341" s="198"/>
      <c r="AA341" s="196"/>
      <c r="AB341" s="196"/>
      <c r="AC341" s="194"/>
    </row>
    <row r="342" spans="1:29" s="81" customFormat="1" ht="13.5" customHeight="1">
      <c r="A342" s="259">
        <f>+Bonus!A342</f>
        <v>56.106900000000003</v>
      </c>
      <c r="B342" s="82" t="str">
        <f>+Bonus!B342</f>
        <v>AIC - City of Brentwood - Brentwood, City of - On-Call Agreement</v>
      </c>
      <c r="C342" s="227">
        <f>+Bonus!C342</f>
        <v>2525</v>
      </c>
      <c r="D342" s="63">
        <f>+Bonus!D342</f>
        <v>3821.46</v>
      </c>
      <c r="E342" s="63">
        <f>+Bonus!E342</f>
        <v>-1296.46</v>
      </c>
      <c r="F342" s="218">
        <f>+Bonus!F342</f>
        <v>3821.46</v>
      </c>
      <c r="G342" s="182">
        <f t="shared" si="365"/>
        <v>1</v>
      </c>
      <c r="H342" s="98">
        <f t="shared" si="366"/>
        <v>-1296.46</v>
      </c>
      <c r="I342" s="98">
        <f t="shared" si="367"/>
        <v>2525</v>
      </c>
      <c r="J342" s="218">
        <f>+Bonus!J342</f>
        <v>2525</v>
      </c>
      <c r="K342" s="98">
        <f t="shared" si="368"/>
        <v>0</v>
      </c>
      <c r="L342" s="98">
        <f t="shared" si="369"/>
        <v>0</v>
      </c>
      <c r="M342" s="98">
        <f t="shared" si="370"/>
        <v>0</v>
      </c>
      <c r="N342" s="218">
        <f>+Bonus!N342</f>
        <v>0</v>
      </c>
      <c r="O342" s="218">
        <f>+Bonus!O342</f>
        <v>0</v>
      </c>
      <c r="P342" s="98">
        <f>+Bonus!W342</f>
        <v>0</v>
      </c>
      <c r="Q342" s="98">
        <f t="shared" si="371"/>
        <v>3821.46</v>
      </c>
      <c r="R342" s="98">
        <f t="shared" si="372"/>
        <v>2525</v>
      </c>
      <c r="S342" s="129">
        <f t="shared" si="373"/>
        <v>-1296.46</v>
      </c>
      <c r="T342" s="199" t="str">
        <f>+Bonus!T342</f>
        <v>2025</v>
      </c>
      <c r="U342" s="199" t="str">
        <f>+Bonus!U342</f>
        <v>2025</v>
      </c>
      <c r="V342" s="199" t="str">
        <f>+Bonus!V342</f>
        <v>&lt; 250k</v>
      </c>
      <c r="W342" s="198"/>
      <c r="X342" s="33"/>
      <c r="Y342" s="197"/>
      <c r="Z342" s="198"/>
      <c r="AA342" s="196"/>
      <c r="AB342" s="196"/>
      <c r="AC342" s="194"/>
    </row>
    <row r="343" spans="1:29" s="81" customFormat="1" ht="13.5" customHeight="1">
      <c r="A343" s="259">
        <f>+Bonus!A343</f>
        <v>56.107100000000003</v>
      </c>
      <c r="B343" s="82" t="str">
        <f>+Bonus!B343</f>
        <v>San Jose Water Co. - 3 Mile Station 3000 Amp Switchboard</v>
      </c>
      <c r="C343" s="227">
        <f>+Bonus!C343</f>
        <v>34000</v>
      </c>
      <c r="D343" s="63">
        <f>+Bonus!D343</f>
        <v>3596.5600000000013</v>
      </c>
      <c r="E343" s="63">
        <f>+Bonus!E343</f>
        <v>30403.439999999999</v>
      </c>
      <c r="F343" s="218">
        <f>+Bonus!F343</f>
        <v>3596.56</v>
      </c>
      <c r="G343" s="182">
        <f t="shared" si="365"/>
        <v>0.99999999999999967</v>
      </c>
      <c r="H343" s="98">
        <f t="shared" si="366"/>
        <v>30403.439999999988</v>
      </c>
      <c r="I343" s="98">
        <f t="shared" si="367"/>
        <v>33999.999999999985</v>
      </c>
      <c r="J343" s="218">
        <f>+Bonus!J343</f>
        <v>34000</v>
      </c>
      <c r="K343" s="98">
        <f t="shared" si="368"/>
        <v>0</v>
      </c>
      <c r="L343" s="98">
        <f t="shared" si="369"/>
        <v>0</v>
      </c>
      <c r="M343" s="98">
        <f t="shared" si="370"/>
        <v>0</v>
      </c>
      <c r="N343" s="218">
        <f>+Bonus!N343</f>
        <v>316.5</v>
      </c>
      <c r="O343" s="218">
        <f>+Bonus!O343</f>
        <v>0</v>
      </c>
      <c r="P343" s="98">
        <f>+Bonus!W343</f>
        <v>0</v>
      </c>
      <c r="Q343" s="98">
        <f t="shared" si="371"/>
        <v>3280.06</v>
      </c>
      <c r="R343" s="98">
        <f t="shared" si="372"/>
        <v>34000</v>
      </c>
      <c r="S343" s="129">
        <f t="shared" si="373"/>
        <v>30403.439999999988</v>
      </c>
      <c r="T343" s="199" t="str">
        <f>+Bonus!T343</f>
        <v>2024</v>
      </c>
      <c r="U343" s="199" t="str">
        <f>+Bonus!U343</f>
        <v>2025</v>
      </c>
      <c r="V343" s="199" t="str">
        <f>+Bonus!V343</f>
        <v>&lt; 250k</v>
      </c>
      <c r="W343" s="198"/>
      <c r="X343" s="33"/>
      <c r="Y343" s="197"/>
      <c r="Z343" s="198"/>
      <c r="AA343" s="196"/>
      <c r="AB343" s="196"/>
      <c r="AC343" s="194"/>
    </row>
    <row r="344" spans="1:29" s="81" customFormat="1" ht="13.5" customHeight="1">
      <c r="A344" s="259">
        <f>+Bonus!A344</f>
        <v>56.107199999999999</v>
      </c>
      <c r="B344" s="82" t="str">
        <f>+Bonus!B344</f>
        <v>Bullert Industrial Electric, Inc. - Washwater Equalizer Tank Replacement Project – Paradise Irri</v>
      </c>
      <c r="C344" s="227">
        <f>+Bonus!C344</f>
        <v>65960</v>
      </c>
      <c r="D344" s="63">
        <f>+Bonus!D344</f>
        <v>41538.839999999997</v>
      </c>
      <c r="E344" s="63">
        <f>+Bonus!E344</f>
        <v>24421.160000000003</v>
      </c>
      <c r="F344" s="218">
        <f>+Bonus!F344</f>
        <v>41538.839999999997</v>
      </c>
      <c r="G344" s="182">
        <f t="shared" si="365"/>
        <v>1</v>
      </c>
      <c r="H344" s="98">
        <f t="shared" si="366"/>
        <v>24421.160000000003</v>
      </c>
      <c r="I344" s="98">
        <f t="shared" si="367"/>
        <v>65960</v>
      </c>
      <c r="J344" s="218">
        <f>+Bonus!J344</f>
        <v>65960</v>
      </c>
      <c r="K344" s="98">
        <f t="shared" si="368"/>
        <v>0</v>
      </c>
      <c r="L344" s="98">
        <f t="shared" si="369"/>
        <v>0</v>
      </c>
      <c r="M344" s="98">
        <f t="shared" si="370"/>
        <v>0</v>
      </c>
      <c r="N344" s="218">
        <f>+Bonus!N344</f>
        <v>1242.0999999999999</v>
      </c>
      <c r="O344" s="218">
        <f>+Bonus!O344</f>
        <v>0</v>
      </c>
      <c r="P344" s="98">
        <f>+Bonus!W344</f>
        <v>0</v>
      </c>
      <c r="Q344" s="98">
        <f t="shared" si="371"/>
        <v>40296.74</v>
      </c>
      <c r="R344" s="98">
        <f t="shared" si="372"/>
        <v>65960</v>
      </c>
      <c r="S344" s="129">
        <f t="shared" si="373"/>
        <v>24421.160000000003</v>
      </c>
      <c r="T344" s="199" t="str">
        <f>+Bonus!T344</f>
        <v>2024</v>
      </c>
      <c r="U344" s="199" t="str">
        <f>+Bonus!U344</f>
        <v>2025</v>
      </c>
      <c r="V344" s="199" t="str">
        <f>+Bonus!V344</f>
        <v>&lt; 250k</v>
      </c>
      <c r="W344" s="198"/>
      <c r="X344" s="33"/>
      <c r="Y344" s="197"/>
      <c r="Z344" s="198"/>
      <c r="AA344" s="196"/>
      <c r="AB344" s="196"/>
      <c r="AC344" s="194"/>
    </row>
    <row r="345" spans="1:29" s="81" customFormat="1" ht="13.5" customHeight="1">
      <c r="A345" s="259">
        <f>+Bonus!A345</f>
        <v>56.107399999999998</v>
      </c>
      <c r="B345" s="82" t="str">
        <f>+Bonus!B345</f>
        <v>San Gabriel Valley Water Co. - Power Monitor Replacement at B24 Hydro – San Gabriel Valley</v>
      </c>
      <c r="C345" s="227">
        <f>+Bonus!C345</f>
        <v>12650</v>
      </c>
      <c r="D345" s="63">
        <f>+Bonus!D345</f>
        <v>10641.86</v>
      </c>
      <c r="E345" s="63">
        <f>+Bonus!E345</f>
        <v>2008.1399999999994</v>
      </c>
      <c r="F345" s="218">
        <f>+Bonus!F345</f>
        <v>10641.86</v>
      </c>
      <c r="G345" s="182">
        <f t="shared" si="365"/>
        <v>1</v>
      </c>
      <c r="H345" s="98">
        <f t="shared" si="366"/>
        <v>2008.1399999999994</v>
      </c>
      <c r="I345" s="98">
        <f t="shared" si="367"/>
        <v>12650</v>
      </c>
      <c r="J345" s="218">
        <f>+Bonus!J345</f>
        <v>12650</v>
      </c>
      <c r="K345" s="98">
        <f t="shared" si="368"/>
        <v>0</v>
      </c>
      <c r="L345" s="98">
        <f t="shared" si="369"/>
        <v>0</v>
      </c>
      <c r="M345" s="98">
        <f t="shared" si="370"/>
        <v>0</v>
      </c>
      <c r="N345" s="218">
        <f>+Bonus!N345</f>
        <v>6757.28</v>
      </c>
      <c r="O345" s="218">
        <f>+Bonus!O345</f>
        <v>0</v>
      </c>
      <c r="P345" s="98">
        <f>+Bonus!W345</f>
        <v>1239.6880980447188</v>
      </c>
      <c r="Q345" s="98">
        <f t="shared" si="371"/>
        <v>3884.5800000000008</v>
      </c>
      <c r="R345" s="98">
        <f t="shared" si="372"/>
        <v>12650</v>
      </c>
      <c r="S345" s="129">
        <f t="shared" si="373"/>
        <v>768.45190195528062</v>
      </c>
      <c r="T345" s="199" t="str">
        <f>+Bonus!T345</f>
        <v>2024</v>
      </c>
      <c r="U345" s="199" t="str">
        <f>+Bonus!U345</f>
        <v>2025</v>
      </c>
      <c r="V345" s="199" t="str">
        <f>+Bonus!V345</f>
        <v>&lt; 250k</v>
      </c>
      <c r="W345" s="198"/>
      <c r="X345" s="33"/>
      <c r="Y345" s="197"/>
      <c r="Z345" s="198"/>
      <c r="AA345" s="196"/>
      <c r="AB345" s="196"/>
      <c r="AC345" s="194"/>
    </row>
    <row r="346" spans="1:29" s="81" customFormat="1" ht="13.5" customHeight="1">
      <c r="A346" s="259">
        <f>+Bonus!A346</f>
        <v>56.107599999999998</v>
      </c>
      <c r="B346" s="82" t="str">
        <f>+Bonus!B346</f>
        <v>San Jose Water Co. - Saratoga Plant Feed Pump 1 VFD Replacement</v>
      </c>
      <c r="C346" s="227">
        <f>+Bonus!C346</f>
        <v>19200</v>
      </c>
      <c r="D346" s="63">
        <f>+Bonus!D346</f>
        <v>11577.77</v>
      </c>
      <c r="E346" s="63">
        <f>+Bonus!E346</f>
        <v>7622.23</v>
      </c>
      <c r="F346" s="218">
        <f>+Bonus!F346</f>
        <v>11577.77</v>
      </c>
      <c r="G346" s="182">
        <f t="shared" si="365"/>
        <v>1</v>
      </c>
      <c r="H346" s="98">
        <f t="shared" si="366"/>
        <v>7622.23</v>
      </c>
      <c r="I346" s="98">
        <f t="shared" si="367"/>
        <v>19200</v>
      </c>
      <c r="J346" s="218">
        <f>+Bonus!J346</f>
        <v>19200</v>
      </c>
      <c r="K346" s="98">
        <f t="shared" si="368"/>
        <v>0</v>
      </c>
      <c r="L346" s="98">
        <f t="shared" si="369"/>
        <v>0</v>
      </c>
      <c r="M346" s="98">
        <f t="shared" si="370"/>
        <v>0</v>
      </c>
      <c r="N346" s="218">
        <f>+Bonus!N346</f>
        <v>604.80999999999995</v>
      </c>
      <c r="O346" s="218">
        <f>+Bonus!O346</f>
        <v>0</v>
      </c>
      <c r="P346" s="98">
        <f>+Bonus!W346</f>
        <v>0</v>
      </c>
      <c r="Q346" s="98">
        <f t="shared" si="371"/>
        <v>10972.960000000001</v>
      </c>
      <c r="R346" s="98">
        <f t="shared" si="372"/>
        <v>19200</v>
      </c>
      <c r="S346" s="129">
        <f t="shared" si="373"/>
        <v>7622.23</v>
      </c>
      <c r="T346" s="199" t="str">
        <f>+Bonus!T346</f>
        <v>2024</v>
      </c>
      <c r="U346" s="199" t="str">
        <f>+Bonus!U346</f>
        <v>2025</v>
      </c>
      <c r="V346" s="199" t="str">
        <f>+Bonus!V346</f>
        <v>&lt; 250k</v>
      </c>
      <c r="W346" s="198"/>
      <c r="X346" s="33"/>
      <c r="Y346" s="197"/>
      <c r="Z346" s="198"/>
      <c r="AA346" s="196"/>
      <c r="AB346" s="196"/>
      <c r="AC346" s="194"/>
    </row>
    <row r="347" spans="1:29" s="81" customFormat="1" ht="13.5" customHeight="1">
      <c r="A347" s="259">
        <f>+Bonus!A347</f>
        <v>56.107700000000001</v>
      </c>
      <c r="B347" s="82" t="str">
        <f>+Bonus!B347</f>
        <v>System Integration Overhead 2025</v>
      </c>
      <c r="C347" s="227">
        <f>+Bonus!C347</f>
        <v>0</v>
      </c>
      <c r="D347" s="63">
        <f>+Bonus!D347</f>
        <v>4370841.4000000004</v>
      </c>
      <c r="E347" s="63">
        <f>+Bonus!E347</f>
        <v>-4370841.4000000004</v>
      </c>
      <c r="F347" s="218">
        <f>+Bonus!F347</f>
        <v>4370841.4000000004</v>
      </c>
      <c r="G347" s="182">
        <f t="shared" ref="G347" si="374">IF(D347&lt;&gt;0,+F347/D347,0)</f>
        <v>1</v>
      </c>
      <c r="H347" s="98">
        <f t="shared" ref="H347" si="375">IF(E347&lt;=0,E347,IF(G347&lt;0.1,0,IF(G347&lt;=1,G347*E347,E347)))</f>
        <v>-4370841.4000000004</v>
      </c>
      <c r="I347" s="98">
        <f t="shared" ref="I347" si="376">+F347+H347</f>
        <v>0</v>
      </c>
      <c r="J347" s="218">
        <f>+Bonus!J347</f>
        <v>0</v>
      </c>
      <c r="K347" s="98">
        <f t="shared" ref="K347" si="377">J347-I347</f>
        <v>0</v>
      </c>
      <c r="L347" s="98">
        <f t="shared" ref="L347" si="378">+D347-F347</f>
        <v>0</v>
      </c>
      <c r="M347" s="98">
        <f t="shared" ref="M347" si="379">+C347-J347</f>
        <v>0</v>
      </c>
      <c r="N347" s="218">
        <f>+Bonus!N347</f>
        <v>0</v>
      </c>
      <c r="O347" s="218">
        <f>+Bonus!O347</f>
        <v>0</v>
      </c>
      <c r="P347" s="98">
        <f>+Bonus!W347</f>
        <v>0</v>
      </c>
      <c r="Q347" s="98">
        <f t="shared" ref="Q347" si="380">F347-N347</f>
        <v>4370841.4000000004</v>
      </c>
      <c r="R347" s="98">
        <f t="shared" ref="R347" si="381">+J347-O347</f>
        <v>0</v>
      </c>
      <c r="S347" s="129">
        <f t="shared" ref="S347" si="382">H347-P347</f>
        <v>-4370841.4000000004</v>
      </c>
      <c r="T347" s="199" t="str">
        <f>+Bonus!T347</f>
        <v>2025</v>
      </c>
      <c r="U347" s="199" t="str">
        <f>+Bonus!U347</f>
        <v>2025</v>
      </c>
      <c r="V347" s="199" t="str">
        <f>+Bonus!V347</f>
        <v>OH</v>
      </c>
      <c r="W347" s="198"/>
      <c r="X347" s="33"/>
      <c r="Y347" s="197"/>
      <c r="Z347" s="198"/>
      <c r="AA347" s="196"/>
      <c r="AB347" s="196"/>
      <c r="AC347" s="194"/>
    </row>
    <row r="348" spans="1:29" s="81" customFormat="1" ht="13.5" customHeight="1">
      <c r="A348" s="259">
        <f>+Bonus!A348</f>
        <v>56.107900000000001</v>
      </c>
      <c r="B348" s="82" t="str">
        <f>+Bonus!B348</f>
        <v>AIC - San Jose Water Co - Montevina PLC Upgrade</v>
      </c>
      <c r="C348" s="227">
        <f>+Bonus!C348</f>
        <v>29235.63</v>
      </c>
      <c r="D348" s="63">
        <f>+Bonus!D348</f>
        <v>29235.63</v>
      </c>
      <c r="E348" s="63">
        <f>+Bonus!E348</f>
        <v>0</v>
      </c>
      <c r="F348" s="218">
        <f>+Bonus!F348</f>
        <v>29235.63</v>
      </c>
      <c r="G348" s="182">
        <f t="shared" si="365"/>
        <v>1</v>
      </c>
      <c r="H348" s="98">
        <f t="shared" si="366"/>
        <v>0</v>
      </c>
      <c r="I348" s="98">
        <f t="shared" si="367"/>
        <v>29235.63</v>
      </c>
      <c r="J348" s="218">
        <f>+Bonus!J348</f>
        <v>29235.63</v>
      </c>
      <c r="K348" s="98">
        <f t="shared" si="368"/>
        <v>0</v>
      </c>
      <c r="L348" s="98">
        <f t="shared" si="369"/>
        <v>0</v>
      </c>
      <c r="M348" s="98">
        <f t="shared" si="370"/>
        <v>0</v>
      </c>
      <c r="N348" s="218">
        <f>+Bonus!N348</f>
        <v>0</v>
      </c>
      <c r="O348" s="218">
        <f>+Bonus!O348</f>
        <v>0</v>
      </c>
      <c r="P348" s="98">
        <f>+Bonus!W348</f>
        <v>0</v>
      </c>
      <c r="Q348" s="98">
        <f t="shared" si="371"/>
        <v>29235.63</v>
      </c>
      <c r="R348" s="98">
        <f t="shared" si="372"/>
        <v>29235.63</v>
      </c>
      <c r="S348" s="129">
        <f t="shared" si="373"/>
        <v>0</v>
      </c>
      <c r="T348" s="199" t="str">
        <f>+Bonus!T348</f>
        <v>2025</v>
      </c>
      <c r="U348" s="199" t="str">
        <f>+Bonus!U348</f>
        <v>2025</v>
      </c>
      <c r="V348" s="199" t="str">
        <f>+Bonus!V348</f>
        <v>&lt; 250k</v>
      </c>
      <c r="W348" s="198"/>
      <c r="X348" s="33"/>
      <c r="Y348" s="197"/>
      <c r="Z348" s="198"/>
      <c r="AA348" s="196"/>
      <c r="AB348" s="196"/>
      <c r="AC348" s="194"/>
    </row>
    <row r="349" spans="1:29" s="81" customFormat="1" ht="13.5" customHeight="1">
      <c r="A349" s="259">
        <f>+Bonus!A349</f>
        <v>56.107999999999997</v>
      </c>
      <c r="B349" s="82" t="str">
        <f>+Bonus!B349</f>
        <v>AIC - San Jose Water Co - PLC System Assessment</v>
      </c>
      <c r="C349" s="227">
        <f>+Bonus!C349</f>
        <v>359469</v>
      </c>
      <c r="D349" s="63">
        <f>+Bonus!D349</f>
        <v>359469</v>
      </c>
      <c r="E349" s="63">
        <f>+Bonus!E349</f>
        <v>0</v>
      </c>
      <c r="F349" s="218">
        <f>+Bonus!F349</f>
        <v>359469</v>
      </c>
      <c r="G349" s="182">
        <f t="shared" si="365"/>
        <v>1</v>
      </c>
      <c r="H349" s="98">
        <f t="shared" si="366"/>
        <v>0</v>
      </c>
      <c r="I349" s="98">
        <f t="shared" si="367"/>
        <v>359469</v>
      </c>
      <c r="J349" s="218">
        <f>+Bonus!J349</f>
        <v>359469</v>
      </c>
      <c r="K349" s="98">
        <f t="shared" si="368"/>
        <v>0</v>
      </c>
      <c r="L349" s="98">
        <f t="shared" si="369"/>
        <v>0</v>
      </c>
      <c r="M349" s="98">
        <f t="shared" si="370"/>
        <v>0</v>
      </c>
      <c r="N349" s="218">
        <f>+Bonus!N349</f>
        <v>0</v>
      </c>
      <c r="O349" s="218">
        <f>+Bonus!O349</f>
        <v>0</v>
      </c>
      <c r="P349" s="98">
        <f>+Bonus!W349</f>
        <v>0</v>
      </c>
      <c r="Q349" s="98">
        <f t="shared" si="371"/>
        <v>359469</v>
      </c>
      <c r="R349" s="98">
        <f t="shared" si="372"/>
        <v>359469</v>
      </c>
      <c r="S349" s="129">
        <f t="shared" si="373"/>
        <v>0</v>
      </c>
      <c r="T349" s="199" t="str">
        <f>+Bonus!T349</f>
        <v>2025</v>
      </c>
      <c r="U349" s="199" t="str">
        <f>+Bonus!U349</f>
        <v>2025</v>
      </c>
      <c r="V349" s="199" t="str">
        <f>+Bonus!V349</f>
        <v>.</v>
      </c>
      <c r="W349" s="198"/>
      <c r="X349" s="33"/>
      <c r="Y349" s="197"/>
      <c r="Z349" s="198"/>
      <c r="AA349" s="196"/>
      <c r="AB349" s="196"/>
      <c r="AC349" s="194"/>
    </row>
    <row r="350" spans="1:29" s="81" customFormat="1" ht="13.5" customHeight="1">
      <c r="A350" s="259">
        <f>+Bonus!A350</f>
        <v>56.108199999999997</v>
      </c>
      <c r="B350" s="82" t="str">
        <f>+Bonus!B350</f>
        <v>City of Clovis - Pump Station E New Pump 5 VFD Startup</v>
      </c>
      <c r="C350" s="227">
        <f>+Bonus!C350</f>
        <v>19800</v>
      </c>
      <c r="D350" s="63">
        <f>+Bonus!D350</f>
        <v>20583.039999999997</v>
      </c>
      <c r="E350" s="63">
        <f>+Bonus!E350</f>
        <v>-783.03999999999724</v>
      </c>
      <c r="F350" s="218">
        <f>+Bonus!F350</f>
        <v>20583.039999999997</v>
      </c>
      <c r="G350" s="182">
        <f t="shared" si="365"/>
        <v>1</v>
      </c>
      <c r="H350" s="98">
        <f t="shared" si="366"/>
        <v>-783.03999999999724</v>
      </c>
      <c r="I350" s="98">
        <f t="shared" si="367"/>
        <v>19800</v>
      </c>
      <c r="J350" s="218">
        <f>+Bonus!J350</f>
        <v>19800</v>
      </c>
      <c r="K350" s="98">
        <f t="shared" si="368"/>
        <v>0</v>
      </c>
      <c r="L350" s="98">
        <f t="shared" si="369"/>
        <v>0</v>
      </c>
      <c r="M350" s="98">
        <f t="shared" si="370"/>
        <v>0</v>
      </c>
      <c r="N350" s="218">
        <f>+Bonus!N350</f>
        <v>0</v>
      </c>
      <c r="O350" s="218">
        <f>+Bonus!O350</f>
        <v>0</v>
      </c>
      <c r="P350" s="98">
        <f>+Bonus!W350</f>
        <v>0</v>
      </c>
      <c r="Q350" s="98">
        <f t="shared" si="371"/>
        <v>20583.039999999997</v>
      </c>
      <c r="R350" s="98">
        <f t="shared" si="372"/>
        <v>19800</v>
      </c>
      <c r="S350" s="129">
        <f t="shared" si="373"/>
        <v>-783.03999999999724</v>
      </c>
      <c r="T350" s="199" t="str">
        <f>+Bonus!T350</f>
        <v>2025</v>
      </c>
      <c r="U350" s="199" t="str">
        <f>+Bonus!U350</f>
        <v>2025</v>
      </c>
      <c r="V350" s="199" t="str">
        <f>+Bonus!V350</f>
        <v>&lt; 250k</v>
      </c>
      <c r="W350" s="198"/>
      <c r="X350" s="33"/>
      <c r="Y350" s="197"/>
      <c r="Z350" s="198"/>
      <c r="AA350" s="196"/>
      <c r="AB350" s="196"/>
      <c r="AC350" s="194"/>
    </row>
    <row r="351" spans="1:29" s="81" customFormat="1" ht="13.5" customHeight="1">
      <c r="A351" s="259">
        <f>+Bonus!A351</f>
        <v>56.108400000000003</v>
      </c>
      <c r="B351" s="82" t="str">
        <f>+Bonus!B351</f>
        <v>South Orange County Water Authority - PLC Programming Support - South Orange County Wastewater Aut</v>
      </c>
      <c r="C351" s="227">
        <f>+Bonus!C351</f>
        <v>8000</v>
      </c>
      <c r="D351" s="63">
        <f>+Bonus!D351</f>
        <v>4228.13</v>
      </c>
      <c r="E351" s="63">
        <f>+Bonus!E351</f>
        <v>3771.87</v>
      </c>
      <c r="F351" s="218">
        <f>+Bonus!F351</f>
        <v>4228.13</v>
      </c>
      <c r="G351" s="182">
        <f t="shared" si="365"/>
        <v>1</v>
      </c>
      <c r="H351" s="98">
        <f t="shared" si="366"/>
        <v>3771.87</v>
      </c>
      <c r="I351" s="98">
        <f t="shared" si="367"/>
        <v>8000</v>
      </c>
      <c r="J351" s="218">
        <f>+Bonus!J351</f>
        <v>8000</v>
      </c>
      <c r="K351" s="98">
        <f t="shared" si="368"/>
        <v>0</v>
      </c>
      <c r="L351" s="98">
        <f t="shared" si="369"/>
        <v>0</v>
      </c>
      <c r="M351" s="98">
        <f t="shared" si="370"/>
        <v>0</v>
      </c>
      <c r="N351" s="218">
        <f>+Bonus!N351</f>
        <v>0</v>
      </c>
      <c r="O351" s="218">
        <f>+Bonus!O351</f>
        <v>0</v>
      </c>
      <c r="P351" s="98">
        <f>+Bonus!W351</f>
        <v>0</v>
      </c>
      <c r="Q351" s="98">
        <f t="shared" si="371"/>
        <v>4228.13</v>
      </c>
      <c r="R351" s="98">
        <f t="shared" si="372"/>
        <v>8000</v>
      </c>
      <c r="S351" s="129">
        <f t="shared" si="373"/>
        <v>3771.87</v>
      </c>
      <c r="T351" s="199" t="str">
        <f>+Bonus!T351</f>
        <v>2025</v>
      </c>
      <c r="U351" s="199" t="str">
        <f>+Bonus!U351</f>
        <v>2025</v>
      </c>
      <c r="V351" s="199" t="str">
        <f>+Bonus!V351</f>
        <v>&lt; 250k</v>
      </c>
      <c r="W351" s="198"/>
      <c r="X351" s="33"/>
      <c r="Y351" s="197"/>
      <c r="Z351" s="198"/>
      <c r="AA351" s="196"/>
      <c r="AB351" s="196"/>
      <c r="AC351" s="194"/>
    </row>
    <row r="352" spans="1:29" s="81" customFormat="1" ht="13.5" customHeight="1">
      <c r="A352" s="259">
        <f>+Bonus!A352</f>
        <v>56.110199999999999</v>
      </c>
      <c r="B352" s="82" t="str">
        <f>+Bonus!B352</f>
        <v>AIC - San Benito County Water District - West Hills WTP Exp. - San Benito County WD - Royal</v>
      </c>
      <c r="C352" s="227">
        <f>+Bonus!C352</f>
        <v>19815.939999999999</v>
      </c>
      <c r="D352" s="63">
        <f>+Bonus!D352</f>
        <v>19815.939999999999</v>
      </c>
      <c r="E352" s="63">
        <f>+Bonus!E352</f>
        <v>0</v>
      </c>
      <c r="F352" s="218">
        <f>+Bonus!F352</f>
        <v>19815.939999999999</v>
      </c>
      <c r="G352" s="182">
        <f t="shared" si="365"/>
        <v>1</v>
      </c>
      <c r="H352" s="98">
        <f t="shared" si="366"/>
        <v>0</v>
      </c>
      <c r="I352" s="98">
        <f t="shared" si="367"/>
        <v>19815.939999999999</v>
      </c>
      <c r="J352" s="218">
        <f>+Bonus!J352</f>
        <v>19815.939999999999</v>
      </c>
      <c r="K352" s="98">
        <f t="shared" si="368"/>
        <v>0</v>
      </c>
      <c r="L352" s="98">
        <f t="shared" si="369"/>
        <v>0</v>
      </c>
      <c r="M352" s="98">
        <f t="shared" si="370"/>
        <v>0</v>
      </c>
      <c r="N352" s="218">
        <f>+Bonus!N352</f>
        <v>0</v>
      </c>
      <c r="O352" s="218">
        <f>+Bonus!O352</f>
        <v>0</v>
      </c>
      <c r="P352" s="98">
        <f>+Bonus!W352</f>
        <v>0</v>
      </c>
      <c r="Q352" s="98">
        <f t="shared" si="371"/>
        <v>19815.939999999999</v>
      </c>
      <c r="R352" s="98">
        <f t="shared" si="372"/>
        <v>19815.939999999999</v>
      </c>
      <c r="S352" s="129">
        <f t="shared" si="373"/>
        <v>0</v>
      </c>
      <c r="T352" s="199" t="str">
        <f>+Bonus!T352</f>
        <v>2025</v>
      </c>
      <c r="U352" s="199" t="str">
        <f>+Bonus!U352</f>
        <v>2025</v>
      </c>
      <c r="V352" s="199" t="str">
        <f>+Bonus!V352</f>
        <v>&lt; 250k</v>
      </c>
      <c r="W352" s="198"/>
      <c r="X352" s="33"/>
      <c r="Y352" s="197"/>
      <c r="Z352" s="198"/>
      <c r="AA352" s="196"/>
      <c r="AB352" s="196"/>
      <c r="AC352" s="194"/>
    </row>
    <row r="353" spans="1:29" s="81" customFormat="1" ht="13.5" customHeight="1">
      <c r="A353" s="259">
        <f>+Bonus!A353</f>
        <v>56.110300000000002</v>
      </c>
      <c r="B353" s="82" t="str">
        <f>+Bonus!B353</f>
        <v>AIC - Willitts Equipment &amp; Engineering Co., Inc. - Washington &amp; S. Union PP Repair- Caltrans District</v>
      </c>
      <c r="C353" s="227">
        <f>+Bonus!C353</f>
        <v>55855.24</v>
      </c>
      <c r="D353" s="63">
        <f>+Bonus!D353</f>
        <v>55855.24</v>
      </c>
      <c r="E353" s="63">
        <f>+Bonus!E353</f>
        <v>0</v>
      </c>
      <c r="F353" s="218">
        <f>+Bonus!F353</f>
        <v>55855.24</v>
      </c>
      <c r="G353" s="182">
        <f t="shared" si="365"/>
        <v>1</v>
      </c>
      <c r="H353" s="98">
        <f t="shared" si="366"/>
        <v>0</v>
      </c>
      <c r="I353" s="98">
        <f t="shared" si="367"/>
        <v>55855.24</v>
      </c>
      <c r="J353" s="218">
        <f>+Bonus!J353</f>
        <v>55855.24</v>
      </c>
      <c r="K353" s="98">
        <f t="shared" si="368"/>
        <v>0</v>
      </c>
      <c r="L353" s="98">
        <f t="shared" si="369"/>
        <v>0</v>
      </c>
      <c r="M353" s="98">
        <f t="shared" si="370"/>
        <v>0</v>
      </c>
      <c r="N353" s="218">
        <f>+Bonus!N353</f>
        <v>0</v>
      </c>
      <c r="O353" s="218">
        <f>+Bonus!O353</f>
        <v>0</v>
      </c>
      <c r="P353" s="98">
        <f>+Bonus!W353</f>
        <v>0</v>
      </c>
      <c r="Q353" s="98">
        <f t="shared" si="371"/>
        <v>55855.24</v>
      </c>
      <c r="R353" s="98">
        <f t="shared" si="372"/>
        <v>55855.24</v>
      </c>
      <c r="S353" s="129">
        <f t="shared" si="373"/>
        <v>0</v>
      </c>
      <c r="T353" s="199" t="str">
        <f>+Bonus!T353</f>
        <v>2025</v>
      </c>
      <c r="U353" s="199" t="str">
        <f>+Bonus!U353</f>
        <v>2025</v>
      </c>
      <c r="V353" s="199" t="str">
        <f>+Bonus!V353</f>
        <v>&lt; 250k</v>
      </c>
      <c r="W353" s="198"/>
      <c r="X353" s="33"/>
      <c r="Y353" s="197"/>
      <c r="Z353" s="198"/>
      <c r="AA353" s="196"/>
      <c r="AB353" s="196"/>
      <c r="AC353" s="194"/>
    </row>
    <row r="354" spans="1:29" s="81" customFormat="1" ht="13.5" customHeight="1">
      <c r="A354" s="259">
        <f>+Bonus!A354</f>
        <v>56.110399999999998</v>
      </c>
      <c r="B354" s="82" t="str">
        <f>+Bonus!B354</f>
        <v>AIC - Monterey Mechanical Co. - Tunnel SCADA Integration Config - Caltrans Distric</v>
      </c>
      <c r="C354" s="227">
        <f>+Bonus!C354</f>
        <v>9500.31</v>
      </c>
      <c r="D354" s="63">
        <f>+Bonus!D354</f>
        <v>9500.31</v>
      </c>
      <c r="E354" s="63">
        <f>+Bonus!E354</f>
        <v>0</v>
      </c>
      <c r="F354" s="218">
        <f>+Bonus!F354</f>
        <v>9500.31</v>
      </c>
      <c r="G354" s="182">
        <f t="shared" si="365"/>
        <v>1</v>
      </c>
      <c r="H354" s="98">
        <f t="shared" si="366"/>
        <v>0</v>
      </c>
      <c r="I354" s="98">
        <f t="shared" si="367"/>
        <v>9500.31</v>
      </c>
      <c r="J354" s="218">
        <f>+Bonus!J354</f>
        <v>9500.31</v>
      </c>
      <c r="K354" s="98">
        <f t="shared" si="368"/>
        <v>0</v>
      </c>
      <c r="L354" s="98">
        <f t="shared" si="369"/>
        <v>0</v>
      </c>
      <c r="M354" s="98">
        <f t="shared" si="370"/>
        <v>0</v>
      </c>
      <c r="N354" s="218">
        <f>+Bonus!N354</f>
        <v>0</v>
      </c>
      <c r="O354" s="218">
        <f>+Bonus!O354</f>
        <v>0</v>
      </c>
      <c r="P354" s="98">
        <f>+Bonus!W354</f>
        <v>0</v>
      </c>
      <c r="Q354" s="98">
        <f t="shared" si="371"/>
        <v>9500.31</v>
      </c>
      <c r="R354" s="98">
        <f t="shared" si="372"/>
        <v>9500.31</v>
      </c>
      <c r="S354" s="129">
        <f t="shared" si="373"/>
        <v>0</v>
      </c>
      <c r="T354" s="199" t="str">
        <f>+Bonus!T354</f>
        <v>2025</v>
      </c>
      <c r="U354" s="199" t="str">
        <f>+Bonus!U354</f>
        <v>2025</v>
      </c>
      <c r="V354" s="199" t="str">
        <f>+Bonus!V354</f>
        <v>&lt; 250k</v>
      </c>
      <c r="W354" s="198"/>
      <c r="X354" s="33"/>
      <c r="Y354" s="197"/>
      <c r="Z354" s="198"/>
      <c r="AA354" s="196"/>
      <c r="AB354" s="196"/>
      <c r="AC354" s="194"/>
    </row>
    <row r="355" spans="1:29" s="81" customFormat="1" ht="13.5" customHeight="1">
      <c r="A355" s="259">
        <f>+Bonus!A355</f>
        <v>56.110500000000002</v>
      </c>
      <c r="B355" s="82" t="str">
        <f>+Bonus!B355</f>
        <v>AIC - Koch &amp; Koch, Inc. - Monte Vista Tank Replacement Project – Placer Coun</v>
      </c>
      <c r="C355" s="227">
        <f>+Bonus!C355</f>
        <v>30502.53</v>
      </c>
      <c r="D355" s="63">
        <f>+Bonus!D355</f>
        <v>30502.53</v>
      </c>
      <c r="E355" s="63">
        <f>+Bonus!E355</f>
        <v>0</v>
      </c>
      <c r="F355" s="218">
        <f>+Bonus!F355</f>
        <v>30502.53</v>
      </c>
      <c r="G355" s="182">
        <f t="shared" si="365"/>
        <v>1</v>
      </c>
      <c r="H355" s="98">
        <f t="shared" si="366"/>
        <v>0</v>
      </c>
      <c r="I355" s="98">
        <f t="shared" si="367"/>
        <v>30502.53</v>
      </c>
      <c r="J355" s="218">
        <f>+Bonus!J355</f>
        <v>30502.53</v>
      </c>
      <c r="K355" s="98">
        <f t="shared" si="368"/>
        <v>0</v>
      </c>
      <c r="L355" s="98">
        <f t="shared" si="369"/>
        <v>0</v>
      </c>
      <c r="M355" s="98">
        <f t="shared" si="370"/>
        <v>0</v>
      </c>
      <c r="N355" s="218">
        <f>+Bonus!N355</f>
        <v>0</v>
      </c>
      <c r="O355" s="218">
        <f>+Bonus!O355</f>
        <v>0</v>
      </c>
      <c r="P355" s="98">
        <f>+Bonus!W355</f>
        <v>0</v>
      </c>
      <c r="Q355" s="98">
        <f t="shared" si="371"/>
        <v>30502.53</v>
      </c>
      <c r="R355" s="98">
        <f t="shared" si="372"/>
        <v>30502.53</v>
      </c>
      <c r="S355" s="129">
        <f t="shared" si="373"/>
        <v>0</v>
      </c>
      <c r="T355" s="199" t="str">
        <f>+Bonus!T355</f>
        <v>2025</v>
      </c>
      <c r="U355" s="199" t="str">
        <f>+Bonus!U355</f>
        <v>2025</v>
      </c>
      <c r="V355" s="199" t="str">
        <f>+Bonus!V355</f>
        <v>&lt; 250k</v>
      </c>
      <c r="W355" s="198"/>
      <c r="X355" s="33"/>
      <c r="Y355" s="197"/>
      <c r="Z355" s="198"/>
      <c r="AA355" s="196"/>
      <c r="AB355" s="196"/>
      <c r="AC355" s="194"/>
    </row>
    <row r="356" spans="1:29" s="81" customFormat="1" ht="13.5" customHeight="1">
      <c r="A356" s="259">
        <f>+Bonus!A356</f>
        <v>56.110599999999998</v>
      </c>
      <c r="B356" s="82" t="str">
        <f>+Bonus!B356</f>
        <v>AIC - Cal Signal Corp - SR211 Fernbridge Eel River Bridge Seismic Gates -</v>
      </c>
      <c r="C356" s="227">
        <f>+Bonus!C356</f>
        <v>54742.18</v>
      </c>
      <c r="D356" s="63">
        <f>+Bonus!D356</f>
        <v>54742.18</v>
      </c>
      <c r="E356" s="63">
        <f>+Bonus!E356</f>
        <v>0</v>
      </c>
      <c r="F356" s="218">
        <f>+Bonus!F356</f>
        <v>54742.18</v>
      </c>
      <c r="G356" s="182">
        <f t="shared" si="365"/>
        <v>1</v>
      </c>
      <c r="H356" s="98">
        <f t="shared" si="366"/>
        <v>0</v>
      </c>
      <c r="I356" s="98">
        <f t="shared" si="367"/>
        <v>54742.18</v>
      </c>
      <c r="J356" s="218">
        <f>+Bonus!J356</f>
        <v>54742.18</v>
      </c>
      <c r="K356" s="98">
        <f t="shared" si="368"/>
        <v>0</v>
      </c>
      <c r="L356" s="98">
        <f t="shared" si="369"/>
        <v>0</v>
      </c>
      <c r="M356" s="98">
        <f t="shared" si="370"/>
        <v>0</v>
      </c>
      <c r="N356" s="218">
        <f>+Bonus!N356</f>
        <v>0</v>
      </c>
      <c r="O356" s="218">
        <f>+Bonus!O356</f>
        <v>0</v>
      </c>
      <c r="P356" s="98">
        <f>+Bonus!W356</f>
        <v>0</v>
      </c>
      <c r="Q356" s="98">
        <f t="shared" si="371"/>
        <v>54742.18</v>
      </c>
      <c r="R356" s="98">
        <f t="shared" si="372"/>
        <v>54742.18</v>
      </c>
      <c r="S356" s="129">
        <f t="shared" si="373"/>
        <v>0</v>
      </c>
      <c r="T356" s="199" t="str">
        <f>+Bonus!T356</f>
        <v>2025</v>
      </c>
      <c r="U356" s="199" t="str">
        <f>+Bonus!U356</f>
        <v>2025</v>
      </c>
      <c r="V356" s="199" t="str">
        <f>+Bonus!V356</f>
        <v>&lt; 250k</v>
      </c>
      <c r="W356" s="198"/>
      <c r="X356" s="33"/>
      <c r="Y356" s="197"/>
      <c r="Z356" s="198"/>
      <c r="AA356" s="196"/>
      <c r="AB356" s="196"/>
      <c r="AC356" s="194"/>
    </row>
    <row r="357" spans="1:29" s="81" customFormat="1" ht="13.5" customHeight="1">
      <c r="A357" s="259">
        <f>+Bonus!A357</f>
        <v>56.110700000000001</v>
      </c>
      <c r="B357" s="82" t="str">
        <f>+Bonus!B357</f>
        <v>AIC - San Joaquin Electric - Pkg 4 Livermore &amp; Stockton PFAS RFP – California W</v>
      </c>
      <c r="C357" s="227">
        <f>+Bonus!C357</f>
        <v>3429.06</v>
      </c>
      <c r="D357" s="63">
        <f>+Bonus!D357</f>
        <v>3429.06</v>
      </c>
      <c r="E357" s="63">
        <f>+Bonus!E357</f>
        <v>0</v>
      </c>
      <c r="F357" s="218">
        <f>+Bonus!F357</f>
        <v>3429.06</v>
      </c>
      <c r="G357" s="182">
        <f t="shared" si="365"/>
        <v>1</v>
      </c>
      <c r="H357" s="98">
        <f t="shared" si="366"/>
        <v>0</v>
      </c>
      <c r="I357" s="98">
        <f t="shared" si="367"/>
        <v>3429.06</v>
      </c>
      <c r="J357" s="218">
        <f>+Bonus!J357</f>
        <v>3429.06</v>
      </c>
      <c r="K357" s="98">
        <f t="shared" si="368"/>
        <v>0</v>
      </c>
      <c r="L357" s="98">
        <f t="shared" si="369"/>
        <v>0</v>
      </c>
      <c r="M357" s="98">
        <f t="shared" si="370"/>
        <v>0</v>
      </c>
      <c r="N357" s="218">
        <f>+Bonus!N357</f>
        <v>0</v>
      </c>
      <c r="O357" s="218">
        <f>+Bonus!O357</f>
        <v>0</v>
      </c>
      <c r="P357" s="98">
        <f>+Bonus!W357</f>
        <v>0</v>
      </c>
      <c r="Q357" s="98">
        <f t="shared" si="371"/>
        <v>3429.06</v>
      </c>
      <c r="R357" s="98">
        <f t="shared" si="372"/>
        <v>3429.06</v>
      </c>
      <c r="S357" s="129">
        <f t="shared" si="373"/>
        <v>0</v>
      </c>
      <c r="T357" s="199" t="str">
        <f>+Bonus!T357</f>
        <v>2025</v>
      </c>
      <c r="U357" s="199" t="str">
        <f>+Bonus!U357</f>
        <v>2025</v>
      </c>
      <c r="V357" s="199" t="str">
        <f>+Bonus!V357</f>
        <v>&lt; 250k</v>
      </c>
      <c r="W357" s="198"/>
      <c r="X357" s="33"/>
      <c r="Y357" s="197"/>
      <c r="Z357" s="198"/>
      <c r="AA357" s="196"/>
      <c r="AB357" s="196"/>
      <c r="AC357" s="194"/>
    </row>
    <row r="358" spans="1:29" s="81" customFormat="1" ht="13.5" customHeight="1">
      <c r="A358" s="259">
        <f>+Bonus!A358</f>
        <v>56.110799999999998</v>
      </c>
      <c r="B358" s="82" t="str">
        <f>+Bonus!B358</f>
        <v>AIC - City of Davis - Programming and Panel Modifications at Turnout Sit</v>
      </c>
      <c r="C358" s="227">
        <f>+Bonus!C358</f>
        <v>20729.84</v>
      </c>
      <c r="D358" s="63">
        <f>+Bonus!D358</f>
        <v>20729.84</v>
      </c>
      <c r="E358" s="63">
        <f>+Bonus!E358</f>
        <v>0</v>
      </c>
      <c r="F358" s="218">
        <f>+Bonus!F358</f>
        <v>20729.84</v>
      </c>
      <c r="G358" s="182">
        <f t="shared" si="365"/>
        <v>1</v>
      </c>
      <c r="H358" s="98">
        <f t="shared" si="366"/>
        <v>0</v>
      </c>
      <c r="I358" s="98">
        <f t="shared" si="367"/>
        <v>20729.84</v>
      </c>
      <c r="J358" s="218">
        <f>+Bonus!J358</f>
        <v>20729.84</v>
      </c>
      <c r="K358" s="98">
        <f t="shared" si="368"/>
        <v>0</v>
      </c>
      <c r="L358" s="98">
        <f t="shared" si="369"/>
        <v>0</v>
      </c>
      <c r="M358" s="98">
        <f t="shared" si="370"/>
        <v>0</v>
      </c>
      <c r="N358" s="218">
        <f>+Bonus!N358</f>
        <v>0</v>
      </c>
      <c r="O358" s="218">
        <f>+Bonus!O358</f>
        <v>0</v>
      </c>
      <c r="P358" s="98">
        <f>+Bonus!W358</f>
        <v>0</v>
      </c>
      <c r="Q358" s="98">
        <f t="shared" si="371"/>
        <v>20729.84</v>
      </c>
      <c r="R358" s="98">
        <f t="shared" si="372"/>
        <v>20729.84</v>
      </c>
      <c r="S358" s="129">
        <f t="shared" si="373"/>
        <v>0</v>
      </c>
      <c r="T358" s="199" t="str">
        <f>+Bonus!T358</f>
        <v>2025</v>
      </c>
      <c r="U358" s="199" t="str">
        <f>+Bonus!U358</f>
        <v>2025</v>
      </c>
      <c r="V358" s="199" t="str">
        <f>+Bonus!V358</f>
        <v>&lt; 250k</v>
      </c>
      <c r="W358" s="198"/>
      <c r="X358" s="33"/>
      <c r="Y358" s="197"/>
      <c r="Z358" s="198"/>
      <c r="AA358" s="196"/>
      <c r="AB358" s="196"/>
      <c r="AC358" s="194"/>
    </row>
    <row r="359" spans="1:29" s="81" customFormat="1" ht="13.5" customHeight="1">
      <c r="A359" s="259">
        <f>+Bonus!A359</f>
        <v>56.110900000000001</v>
      </c>
      <c r="B359" s="82" t="str">
        <f>+Bonus!B359</f>
        <v>AIC - Fusion Electric, Inc.. - Moccasin WWTP Replacement - San Francisco Public U</v>
      </c>
      <c r="C359" s="227">
        <f>+Bonus!C359</f>
        <v>14772.26</v>
      </c>
      <c r="D359" s="63">
        <f>+Bonus!D359</f>
        <v>14772.26</v>
      </c>
      <c r="E359" s="63">
        <f>+Bonus!E359</f>
        <v>0</v>
      </c>
      <c r="F359" s="218">
        <f>+Bonus!F359</f>
        <v>14772.26</v>
      </c>
      <c r="G359" s="182">
        <f t="shared" si="365"/>
        <v>1</v>
      </c>
      <c r="H359" s="98">
        <f t="shared" si="366"/>
        <v>0</v>
      </c>
      <c r="I359" s="98">
        <f t="shared" si="367"/>
        <v>14772.26</v>
      </c>
      <c r="J359" s="218">
        <f>+Bonus!J359</f>
        <v>14772.26</v>
      </c>
      <c r="K359" s="98">
        <f t="shared" si="368"/>
        <v>0</v>
      </c>
      <c r="L359" s="98">
        <f t="shared" si="369"/>
        <v>0</v>
      </c>
      <c r="M359" s="98">
        <f t="shared" si="370"/>
        <v>0</v>
      </c>
      <c r="N359" s="218">
        <f>+Bonus!N359</f>
        <v>0</v>
      </c>
      <c r="O359" s="218">
        <f>+Bonus!O359</f>
        <v>0</v>
      </c>
      <c r="P359" s="98">
        <f>+Bonus!W359</f>
        <v>0</v>
      </c>
      <c r="Q359" s="98">
        <f t="shared" si="371"/>
        <v>14772.26</v>
      </c>
      <c r="R359" s="98">
        <f t="shared" si="372"/>
        <v>14772.26</v>
      </c>
      <c r="S359" s="129">
        <f t="shared" si="373"/>
        <v>0</v>
      </c>
      <c r="T359" s="199" t="str">
        <f>+Bonus!T359</f>
        <v>2025</v>
      </c>
      <c r="U359" s="199" t="str">
        <f>+Bonus!U359</f>
        <v>2025</v>
      </c>
      <c r="V359" s="199" t="str">
        <f>+Bonus!V359</f>
        <v>&lt; 250k</v>
      </c>
      <c r="W359" s="198"/>
      <c r="X359" s="33"/>
      <c r="Y359" s="197"/>
      <c r="Z359" s="198"/>
      <c r="AA359" s="196"/>
      <c r="AB359" s="196"/>
      <c r="AC359" s="194"/>
    </row>
    <row r="360" spans="1:29" s="81" customFormat="1" ht="13.5" customHeight="1">
      <c r="A360" s="259">
        <f>+Bonus!A360</f>
        <v>56.110999999999997</v>
      </c>
      <c r="B360" s="82" t="str">
        <f>+Bonus!B360</f>
        <v>AIC - Al Fresco Landscape Management Inc. - East Garrison Autodialer Replacement - County of M</v>
      </c>
      <c r="C360" s="227">
        <f>+Bonus!C360</f>
        <v>4596.42</v>
      </c>
      <c r="D360" s="63">
        <f>+Bonus!D360</f>
        <v>4596.42</v>
      </c>
      <c r="E360" s="63">
        <f>+Bonus!E360</f>
        <v>0</v>
      </c>
      <c r="F360" s="218">
        <f>+Bonus!F360</f>
        <v>4596.42</v>
      </c>
      <c r="G360" s="182">
        <f t="shared" si="365"/>
        <v>1</v>
      </c>
      <c r="H360" s="98">
        <f t="shared" si="366"/>
        <v>0</v>
      </c>
      <c r="I360" s="98">
        <f t="shared" si="367"/>
        <v>4596.42</v>
      </c>
      <c r="J360" s="218">
        <f>+Bonus!J360</f>
        <v>4596.42</v>
      </c>
      <c r="K360" s="98">
        <f t="shared" si="368"/>
        <v>0</v>
      </c>
      <c r="L360" s="98">
        <f t="shared" si="369"/>
        <v>0</v>
      </c>
      <c r="M360" s="98">
        <f t="shared" si="370"/>
        <v>0</v>
      </c>
      <c r="N360" s="218">
        <f>+Bonus!N360</f>
        <v>0</v>
      </c>
      <c r="O360" s="218">
        <f>+Bonus!O360</f>
        <v>0</v>
      </c>
      <c r="P360" s="98">
        <f>+Bonus!W360</f>
        <v>0</v>
      </c>
      <c r="Q360" s="98">
        <f t="shared" si="371"/>
        <v>4596.42</v>
      </c>
      <c r="R360" s="98">
        <f t="shared" si="372"/>
        <v>4596.42</v>
      </c>
      <c r="S360" s="129">
        <f t="shared" si="373"/>
        <v>0</v>
      </c>
      <c r="T360" s="199" t="str">
        <f>+Bonus!T360</f>
        <v>2025</v>
      </c>
      <c r="U360" s="199" t="str">
        <f>+Bonus!U360</f>
        <v>2025</v>
      </c>
      <c r="V360" s="199" t="str">
        <f>+Bonus!V360</f>
        <v>&lt; 250k</v>
      </c>
      <c r="W360" s="198"/>
      <c r="X360" s="33"/>
      <c r="Y360" s="197"/>
      <c r="Z360" s="198"/>
      <c r="AA360" s="196"/>
      <c r="AB360" s="196"/>
      <c r="AC360" s="194"/>
    </row>
    <row r="361" spans="1:29" s="81" customFormat="1" ht="13.5" customHeight="1">
      <c r="A361" s="259">
        <f>+Bonus!A361</f>
        <v>56.1111</v>
      </c>
      <c r="B361" s="82" t="str">
        <f>+Bonus!B361</f>
        <v>AIC - California American Water - Luzern Well Treatment Design</v>
      </c>
      <c r="C361" s="227">
        <f>+Bonus!C361</f>
        <v>17210.009999999998</v>
      </c>
      <c r="D361" s="63">
        <f>+Bonus!D361</f>
        <v>17210.009999999998</v>
      </c>
      <c r="E361" s="63">
        <f>+Bonus!E361</f>
        <v>0</v>
      </c>
      <c r="F361" s="218">
        <f>+Bonus!F361</f>
        <v>17210.009999999998</v>
      </c>
      <c r="G361" s="182">
        <f t="shared" si="365"/>
        <v>1</v>
      </c>
      <c r="H361" s="98">
        <f t="shared" si="366"/>
        <v>0</v>
      </c>
      <c r="I361" s="98">
        <f t="shared" si="367"/>
        <v>17210.009999999998</v>
      </c>
      <c r="J361" s="218">
        <f>+Bonus!J361</f>
        <v>17210.009999999998</v>
      </c>
      <c r="K361" s="98">
        <f t="shared" si="368"/>
        <v>0</v>
      </c>
      <c r="L361" s="98">
        <f t="shared" si="369"/>
        <v>0</v>
      </c>
      <c r="M361" s="98">
        <f t="shared" si="370"/>
        <v>0</v>
      </c>
      <c r="N361" s="218">
        <f>+Bonus!N361</f>
        <v>0</v>
      </c>
      <c r="O361" s="218">
        <f>+Bonus!O361</f>
        <v>0</v>
      </c>
      <c r="P361" s="98">
        <f>+Bonus!W361</f>
        <v>0</v>
      </c>
      <c r="Q361" s="98">
        <f t="shared" si="371"/>
        <v>17210.009999999998</v>
      </c>
      <c r="R361" s="98">
        <f t="shared" si="372"/>
        <v>17210.009999999998</v>
      </c>
      <c r="S361" s="129">
        <f t="shared" si="373"/>
        <v>0</v>
      </c>
      <c r="T361" s="199" t="str">
        <f>+Bonus!T361</f>
        <v>2025</v>
      </c>
      <c r="U361" s="199" t="str">
        <f>+Bonus!U361</f>
        <v>2025</v>
      </c>
      <c r="V361" s="199" t="str">
        <f>+Bonus!V361</f>
        <v>&lt; 250k</v>
      </c>
      <c r="W361" s="198"/>
      <c r="X361" s="33"/>
      <c r="Y361" s="197"/>
      <c r="Z361" s="198"/>
      <c r="AA361" s="196"/>
      <c r="AB361" s="196"/>
      <c r="AC361" s="194"/>
    </row>
    <row r="362" spans="1:29" s="81" customFormat="1" ht="13.5" customHeight="1">
      <c r="A362" s="259">
        <f>+Bonus!A362</f>
        <v>56.111199999999997</v>
      </c>
      <c r="B362" s="82" t="str">
        <f>+Bonus!B362</f>
        <v>AIC - Westside Water Authority - Pump Station A On-Site Support - Westside Water Au</v>
      </c>
      <c r="C362" s="227">
        <f>+Bonus!C362</f>
        <v>27241.58</v>
      </c>
      <c r="D362" s="63">
        <f>+Bonus!D362</f>
        <v>27241.58</v>
      </c>
      <c r="E362" s="63">
        <f>+Bonus!E362</f>
        <v>0</v>
      </c>
      <c r="F362" s="218">
        <f>+Bonus!F362</f>
        <v>27241.58</v>
      </c>
      <c r="G362" s="182">
        <f t="shared" si="365"/>
        <v>1</v>
      </c>
      <c r="H362" s="98">
        <f t="shared" si="366"/>
        <v>0</v>
      </c>
      <c r="I362" s="98">
        <f t="shared" si="367"/>
        <v>27241.58</v>
      </c>
      <c r="J362" s="218">
        <f>+Bonus!J362</f>
        <v>27241.58</v>
      </c>
      <c r="K362" s="98">
        <f t="shared" si="368"/>
        <v>0</v>
      </c>
      <c r="L362" s="98">
        <f t="shared" si="369"/>
        <v>0</v>
      </c>
      <c r="M362" s="98">
        <f t="shared" si="370"/>
        <v>0</v>
      </c>
      <c r="N362" s="218">
        <f>+Bonus!N362</f>
        <v>0</v>
      </c>
      <c r="O362" s="218">
        <f>+Bonus!O362</f>
        <v>0</v>
      </c>
      <c r="P362" s="98">
        <f>+Bonus!W362</f>
        <v>0</v>
      </c>
      <c r="Q362" s="98">
        <f t="shared" si="371"/>
        <v>27241.58</v>
      </c>
      <c r="R362" s="98">
        <f t="shared" si="372"/>
        <v>27241.58</v>
      </c>
      <c r="S362" s="129">
        <f t="shared" si="373"/>
        <v>0</v>
      </c>
      <c r="T362" s="199" t="str">
        <f>+Bonus!T362</f>
        <v>2025</v>
      </c>
      <c r="U362" s="199" t="str">
        <f>+Bonus!U362</f>
        <v>2025</v>
      </c>
      <c r="V362" s="199" t="str">
        <f>+Bonus!V362</f>
        <v>&lt; 250k</v>
      </c>
      <c r="W362" s="198"/>
      <c r="X362" s="33"/>
      <c r="Y362" s="197"/>
      <c r="Z362" s="198"/>
      <c r="AA362" s="196"/>
      <c r="AB362" s="196"/>
      <c r="AC362" s="194"/>
    </row>
    <row r="363" spans="1:29" s="81" customFormat="1" ht="13.5" customHeight="1">
      <c r="A363" s="259">
        <f>+Bonus!A363</f>
        <v>56.1113</v>
      </c>
      <c r="B363" s="82" t="str">
        <f>+Bonus!B363</f>
        <v>AIC - Central Sierra Electric Co., Inc. - Industrial WWTF - City of Gonzales - Central Sierr</v>
      </c>
      <c r="C363" s="227">
        <f>+Bonus!C363</f>
        <v>49233.440000000002</v>
      </c>
      <c r="D363" s="63">
        <f>+Bonus!D363</f>
        <v>49233.440000000002</v>
      </c>
      <c r="E363" s="63">
        <f>+Bonus!E363</f>
        <v>0</v>
      </c>
      <c r="F363" s="218">
        <f>+Bonus!F363</f>
        <v>49233.440000000002</v>
      </c>
      <c r="G363" s="182">
        <f t="shared" si="365"/>
        <v>1</v>
      </c>
      <c r="H363" s="98">
        <f t="shared" si="366"/>
        <v>0</v>
      </c>
      <c r="I363" s="98">
        <f t="shared" si="367"/>
        <v>49233.440000000002</v>
      </c>
      <c r="J363" s="218">
        <f>+Bonus!J363</f>
        <v>49233.440000000002</v>
      </c>
      <c r="K363" s="98">
        <f t="shared" si="368"/>
        <v>0</v>
      </c>
      <c r="L363" s="98">
        <f t="shared" si="369"/>
        <v>0</v>
      </c>
      <c r="M363" s="98">
        <f t="shared" si="370"/>
        <v>0</v>
      </c>
      <c r="N363" s="218">
        <f>+Bonus!N363</f>
        <v>0</v>
      </c>
      <c r="O363" s="218">
        <f>+Bonus!O363</f>
        <v>0</v>
      </c>
      <c r="P363" s="98">
        <f>+Bonus!W363</f>
        <v>0</v>
      </c>
      <c r="Q363" s="98">
        <f t="shared" si="371"/>
        <v>49233.440000000002</v>
      </c>
      <c r="R363" s="98">
        <f t="shared" si="372"/>
        <v>49233.440000000002</v>
      </c>
      <c r="S363" s="129">
        <f t="shared" si="373"/>
        <v>0</v>
      </c>
      <c r="T363" s="199" t="str">
        <f>+Bonus!T363</f>
        <v>2025</v>
      </c>
      <c r="U363" s="199" t="str">
        <f>+Bonus!U363</f>
        <v>2025</v>
      </c>
      <c r="V363" s="199" t="str">
        <f>+Bonus!V363</f>
        <v>&lt; 250k</v>
      </c>
      <c r="W363" s="198"/>
      <c r="X363" s="33"/>
      <c r="Y363" s="197"/>
      <c r="Z363" s="198"/>
      <c r="AA363" s="196"/>
      <c r="AB363" s="196"/>
      <c r="AC363" s="194"/>
    </row>
    <row r="364" spans="1:29" s="81" customFormat="1" ht="13.5" customHeight="1">
      <c r="A364" s="259">
        <f>+Bonus!A364</f>
        <v>56.111499999999999</v>
      </c>
      <c r="B364" s="82" t="str">
        <f>+Bonus!B364</f>
        <v>AIC - UC Davis - WWTP Annual Instrument Calibrations</v>
      </c>
      <c r="C364" s="227">
        <f>+Bonus!C364</f>
        <v>5895.77</v>
      </c>
      <c r="D364" s="63">
        <f>+Bonus!D364</f>
        <v>5895.77</v>
      </c>
      <c r="E364" s="63">
        <f>+Bonus!E364</f>
        <v>0</v>
      </c>
      <c r="F364" s="218">
        <f>+Bonus!F364</f>
        <v>5895.77</v>
      </c>
      <c r="G364" s="182">
        <f t="shared" si="365"/>
        <v>1</v>
      </c>
      <c r="H364" s="98">
        <f t="shared" si="366"/>
        <v>0</v>
      </c>
      <c r="I364" s="98">
        <f t="shared" si="367"/>
        <v>5895.77</v>
      </c>
      <c r="J364" s="218">
        <f>+Bonus!J364</f>
        <v>5895.77</v>
      </c>
      <c r="K364" s="98">
        <f t="shared" si="368"/>
        <v>0</v>
      </c>
      <c r="L364" s="98">
        <f t="shared" si="369"/>
        <v>0</v>
      </c>
      <c r="M364" s="98">
        <f t="shared" si="370"/>
        <v>0</v>
      </c>
      <c r="N364" s="218">
        <f>+Bonus!N364</f>
        <v>0</v>
      </c>
      <c r="O364" s="218">
        <f>+Bonus!O364</f>
        <v>0</v>
      </c>
      <c r="P364" s="98">
        <f>+Bonus!W364</f>
        <v>0</v>
      </c>
      <c r="Q364" s="98">
        <f t="shared" si="371"/>
        <v>5895.77</v>
      </c>
      <c r="R364" s="98">
        <f t="shared" si="372"/>
        <v>5895.77</v>
      </c>
      <c r="S364" s="129">
        <f t="shared" si="373"/>
        <v>0</v>
      </c>
      <c r="T364" s="199" t="str">
        <f>+Bonus!T364</f>
        <v>2025</v>
      </c>
      <c r="U364" s="199" t="str">
        <f>+Bonus!U364</f>
        <v>2025</v>
      </c>
      <c r="V364" s="199" t="str">
        <f>+Bonus!V364</f>
        <v>&lt; 250k</v>
      </c>
      <c r="W364" s="198"/>
      <c r="X364" s="33"/>
      <c r="Y364" s="197"/>
      <c r="Z364" s="198"/>
      <c r="AA364" s="196"/>
      <c r="AB364" s="196"/>
      <c r="AC364" s="194"/>
    </row>
    <row r="365" spans="1:29" s="81" customFormat="1" ht="13.5" customHeight="1">
      <c r="A365" s="259">
        <f>+Bonus!A365</f>
        <v>56.111899999999999</v>
      </c>
      <c r="B365" s="82" t="str">
        <f>+Bonus!B365</f>
        <v>AIC - SD Electric Inc. - Chrysler Stormwater Pump Station Switchboard - Cit</v>
      </c>
      <c r="C365" s="227">
        <f>+Bonus!C365</f>
        <v>22184.06</v>
      </c>
      <c r="D365" s="63">
        <f>+Bonus!D365</f>
        <v>22184.06</v>
      </c>
      <c r="E365" s="63">
        <f>+Bonus!E365</f>
        <v>0</v>
      </c>
      <c r="F365" s="218">
        <f>+Bonus!F365</f>
        <v>22184.06</v>
      </c>
      <c r="G365" s="182">
        <f t="shared" si="365"/>
        <v>1</v>
      </c>
      <c r="H365" s="98">
        <f t="shared" si="366"/>
        <v>0</v>
      </c>
      <c r="I365" s="98">
        <f t="shared" si="367"/>
        <v>22184.06</v>
      </c>
      <c r="J365" s="218">
        <f>+Bonus!J365</f>
        <v>22184.06</v>
      </c>
      <c r="K365" s="98">
        <f t="shared" si="368"/>
        <v>0</v>
      </c>
      <c r="L365" s="98">
        <f t="shared" si="369"/>
        <v>0</v>
      </c>
      <c r="M365" s="98">
        <f t="shared" si="370"/>
        <v>0</v>
      </c>
      <c r="N365" s="218">
        <f>+Bonus!N365</f>
        <v>0</v>
      </c>
      <c r="O365" s="218">
        <f>+Bonus!O365</f>
        <v>0</v>
      </c>
      <c r="P365" s="98">
        <f>+Bonus!W365</f>
        <v>0</v>
      </c>
      <c r="Q365" s="98">
        <f t="shared" si="371"/>
        <v>22184.06</v>
      </c>
      <c r="R365" s="98">
        <f t="shared" si="372"/>
        <v>22184.06</v>
      </c>
      <c r="S365" s="129">
        <f t="shared" si="373"/>
        <v>0</v>
      </c>
      <c r="T365" s="199" t="str">
        <f>+Bonus!T365</f>
        <v>2025</v>
      </c>
      <c r="U365" s="199" t="str">
        <f>+Bonus!U365</f>
        <v>2025</v>
      </c>
      <c r="V365" s="199" t="str">
        <f>+Bonus!V365</f>
        <v>&lt; 250k</v>
      </c>
      <c r="W365" s="198"/>
      <c r="X365" s="33"/>
      <c r="Y365" s="197"/>
      <c r="Z365" s="198"/>
      <c r="AA365" s="196"/>
      <c r="AB365" s="196"/>
      <c r="AC365" s="194"/>
    </row>
    <row r="366" spans="1:29" s="81" customFormat="1" ht="13.5" customHeight="1">
      <c r="A366" s="259">
        <f>+Bonus!A366</f>
        <v>56.112000000000002</v>
      </c>
      <c r="B366" s="82" t="str">
        <f>+Bonus!B366</f>
        <v>AIC - Strategic Mechanical - Construction Plans for 2-Water Booster Pump Statio</v>
      </c>
      <c r="C366" s="227">
        <f>+Bonus!C366</f>
        <v>1045.6300000000001</v>
      </c>
      <c r="D366" s="63">
        <f>+Bonus!D366</f>
        <v>1045.6300000000001</v>
      </c>
      <c r="E366" s="63">
        <f>+Bonus!E366</f>
        <v>0</v>
      </c>
      <c r="F366" s="218">
        <f>+Bonus!F366</f>
        <v>1045.6300000000001</v>
      </c>
      <c r="G366" s="182">
        <f t="shared" si="365"/>
        <v>1</v>
      </c>
      <c r="H366" s="98">
        <f t="shared" si="366"/>
        <v>0</v>
      </c>
      <c r="I366" s="98">
        <f t="shared" si="367"/>
        <v>1045.6300000000001</v>
      </c>
      <c r="J366" s="218">
        <f>+Bonus!J366</f>
        <v>1045.6300000000001</v>
      </c>
      <c r="K366" s="98">
        <f t="shared" si="368"/>
        <v>0</v>
      </c>
      <c r="L366" s="98">
        <f t="shared" si="369"/>
        <v>0</v>
      </c>
      <c r="M366" s="98">
        <f t="shared" si="370"/>
        <v>0</v>
      </c>
      <c r="N366" s="218">
        <f>+Bonus!N366</f>
        <v>0</v>
      </c>
      <c r="O366" s="218">
        <f>+Bonus!O366</f>
        <v>0</v>
      </c>
      <c r="P366" s="98">
        <f>+Bonus!W366</f>
        <v>0</v>
      </c>
      <c r="Q366" s="98">
        <f t="shared" si="371"/>
        <v>1045.6300000000001</v>
      </c>
      <c r="R366" s="98">
        <f t="shared" si="372"/>
        <v>1045.6300000000001</v>
      </c>
      <c r="S366" s="129">
        <f t="shared" si="373"/>
        <v>0</v>
      </c>
      <c r="T366" s="199" t="str">
        <f>+Bonus!T366</f>
        <v>2025</v>
      </c>
      <c r="U366" s="199" t="str">
        <f>+Bonus!U366</f>
        <v>2025</v>
      </c>
      <c r="V366" s="199" t="str">
        <f>+Bonus!V366</f>
        <v>&lt; 250k</v>
      </c>
      <c r="W366" s="198"/>
      <c r="X366" s="33"/>
      <c r="Y366" s="197"/>
      <c r="Z366" s="198"/>
      <c r="AA366" s="196"/>
      <c r="AB366" s="196"/>
      <c r="AC366" s="194"/>
    </row>
    <row r="367" spans="1:29" s="81" customFormat="1" ht="13.5" customHeight="1">
      <c r="A367" s="259">
        <f>+Bonus!A367</f>
        <v>56.112099999999998</v>
      </c>
      <c r="B367" s="82" t="str">
        <f>+Bonus!B367</f>
        <v>AIC - San Joaquin Electric, Inc.  -WQCF Sludge Thickener and Dewatering Unit No. 3 Pro</v>
      </c>
      <c r="C367" s="227">
        <f>+Bonus!C367</f>
        <v>22824.38</v>
      </c>
      <c r="D367" s="63">
        <f>+Bonus!D367</f>
        <v>22824.38</v>
      </c>
      <c r="E367" s="63">
        <f>+Bonus!E367</f>
        <v>0</v>
      </c>
      <c r="F367" s="218">
        <f>+Bonus!F367</f>
        <v>22824.38</v>
      </c>
      <c r="G367" s="182">
        <f t="shared" si="365"/>
        <v>1</v>
      </c>
      <c r="H367" s="98">
        <f t="shared" si="366"/>
        <v>0</v>
      </c>
      <c r="I367" s="98">
        <f t="shared" si="367"/>
        <v>22824.38</v>
      </c>
      <c r="J367" s="218">
        <f>+Bonus!J367</f>
        <v>22824.38</v>
      </c>
      <c r="K367" s="98">
        <f t="shared" si="368"/>
        <v>0</v>
      </c>
      <c r="L367" s="98">
        <f t="shared" si="369"/>
        <v>0</v>
      </c>
      <c r="M367" s="98">
        <f t="shared" si="370"/>
        <v>0</v>
      </c>
      <c r="N367" s="218">
        <f>+Bonus!N367</f>
        <v>0</v>
      </c>
      <c r="O367" s="218">
        <f>+Bonus!O367</f>
        <v>0</v>
      </c>
      <c r="P367" s="98">
        <f>+Bonus!W367</f>
        <v>0</v>
      </c>
      <c r="Q367" s="98">
        <f t="shared" si="371"/>
        <v>22824.38</v>
      </c>
      <c r="R367" s="98">
        <f t="shared" si="372"/>
        <v>22824.38</v>
      </c>
      <c r="S367" s="129">
        <f t="shared" si="373"/>
        <v>0</v>
      </c>
      <c r="T367" s="199" t="str">
        <f>+Bonus!T367</f>
        <v>2025</v>
      </c>
      <c r="U367" s="199" t="str">
        <f>+Bonus!U367</f>
        <v>2025</v>
      </c>
      <c r="V367" s="199" t="str">
        <f>+Bonus!V367</f>
        <v>&lt; 250k</v>
      </c>
      <c r="W367" s="198"/>
      <c r="X367" s="33"/>
      <c r="Y367" s="197"/>
      <c r="Z367" s="198"/>
      <c r="AA367" s="196"/>
      <c r="AB367" s="196"/>
      <c r="AC367" s="194"/>
    </row>
    <row r="368" spans="1:29" s="81" customFormat="1" ht="13.5" customHeight="1">
      <c r="A368" s="259">
        <f>+Bonus!A368</f>
        <v>56.112200000000001</v>
      </c>
      <c r="B368" s="82" t="str">
        <f>+Bonus!B368</f>
        <v>AIC - West Bay Sanitary District  - West Bay Sanitary District - Soft Starter Retrofit</v>
      </c>
      <c r="C368" s="227">
        <f>+Bonus!C368</f>
        <v>6289.38</v>
      </c>
      <c r="D368" s="63">
        <f>+Bonus!D368</f>
        <v>6289.38</v>
      </c>
      <c r="E368" s="63">
        <f>+Bonus!E368</f>
        <v>0</v>
      </c>
      <c r="F368" s="218">
        <f>+Bonus!F368</f>
        <v>6289.38</v>
      </c>
      <c r="G368" s="182">
        <f t="shared" si="365"/>
        <v>1</v>
      </c>
      <c r="H368" s="98">
        <f t="shared" si="366"/>
        <v>0</v>
      </c>
      <c r="I368" s="98">
        <f t="shared" si="367"/>
        <v>6289.38</v>
      </c>
      <c r="J368" s="218">
        <f>+Bonus!J368</f>
        <v>6289.38</v>
      </c>
      <c r="K368" s="98">
        <f t="shared" si="368"/>
        <v>0</v>
      </c>
      <c r="L368" s="98">
        <f t="shared" si="369"/>
        <v>0</v>
      </c>
      <c r="M368" s="98">
        <f t="shared" si="370"/>
        <v>0</v>
      </c>
      <c r="N368" s="218">
        <f>+Bonus!N368</f>
        <v>0</v>
      </c>
      <c r="O368" s="218">
        <f>+Bonus!O368</f>
        <v>0</v>
      </c>
      <c r="P368" s="98">
        <f>+Bonus!W368</f>
        <v>0</v>
      </c>
      <c r="Q368" s="98">
        <f t="shared" si="371"/>
        <v>6289.38</v>
      </c>
      <c r="R368" s="98">
        <f t="shared" si="372"/>
        <v>6289.38</v>
      </c>
      <c r="S368" s="129">
        <f t="shared" si="373"/>
        <v>0</v>
      </c>
      <c r="T368" s="199" t="str">
        <f>+Bonus!T368</f>
        <v>2025</v>
      </c>
      <c r="U368" s="199" t="str">
        <f>+Bonus!U368</f>
        <v>2025</v>
      </c>
      <c r="V368" s="199" t="str">
        <f>+Bonus!V368</f>
        <v>&lt; 250k</v>
      </c>
      <c r="W368" s="198"/>
      <c r="X368" s="33"/>
      <c r="Y368" s="197"/>
      <c r="Z368" s="198"/>
      <c r="AA368" s="196"/>
      <c r="AB368" s="196"/>
      <c r="AC368" s="194"/>
    </row>
    <row r="369" spans="1:29" s="81" customFormat="1" ht="13.5" customHeight="1">
      <c r="A369" s="259">
        <f>+Bonus!A369</f>
        <v>56.112299999999998</v>
      </c>
      <c r="B369" s="82" t="str">
        <f>+Bonus!B369</f>
        <v>AIC - UC Davis  - Landfill Flare PLC &amp; SCADA Integration - UC Davis</v>
      </c>
      <c r="C369" s="227">
        <f>+Bonus!C369</f>
        <v>3772.82</v>
      </c>
      <c r="D369" s="63">
        <f>+Bonus!D369</f>
        <v>3772.82</v>
      </c>
      <c r="E369" s="63">
        <f>+Bonus!E369</f>
        <v>0</v>
      </c>
      <c r="F369" s="218">
        <f>+Bonus!F369</f>
        <v>3772.82</v>
      </c>
      <c r="G369" s="182">
        <f t="shared" si="365"/>
        <v>1</v>
      </c>
      <c r="H369" s="98">
        <f t="shared" si="366"/>
        <v>0</v>
      </c>
      <c r="I369" s="98">
        <f t="shared" si="367"/>
        <v>3772.82</v>
      </c>
      <c r="J369" s="218">
        <f>+Bonus!J369</f>
        <v>3772.82</v>
      </c>
      <c r="K369" s="98">
        <f t="shared" si="368"/>
        <v>0</v>
      </c>
      <c r="L369" s="98">
        <f t="shared" si="369"/>
        <v>0</v>
      </c>
      <c r="M369" s="98">
        <f t="shared" si="370"/>
        <v>0</v>
      </c>
      <c r="N369" s="218">
        <f>+Bonus!N369</f>
        <v>0</v>
      </c>
      <c r="O369" s="218">
        <f>+Bonus!O369</f>
        <v>0</v>
      </c>
      <c r="P369" s="98">
        <f>+Bonus!W369</f>
        <v>0</v>
      </c>
      <c r="Q369" s="98">
        <f t="shared" si="371"/>
        <v>3772.82</v>
      </c>
      <c r="R369" s="98">
        <f t="shared" si="372"/>
        <v>3772.82</v>
      </c>
      <c r="S369" s="129">
        <f t="shared" si="373"/>
        <v>0</v>
      </c>
      <c r="T369" s="199" t="str">
        <f>+Bonus!T369</f>
        <v>2025</v>
      </c>
      <c r="U369" s="199" t="str">
        <f>+Bonus!U369</f>
        <v>2025</v>
      </c>
      <c r="V369" s="199" t="str">
        <f>+Bonus!V369</f>
        <v>&lt; 250k</v>
      </c>
      <c r="W369" s="198"/>
      <c r="X369" s="33"/>
      <c r="Y369" s="197"/>
      <c r="Z369" s="198"/>
      <c r="AA369" s="196"/>
      <c r="AB369" s="196"/>
      <c r="AC369" s="194"/>
    </row>
    <row r="370" spans="1:29" s="81" customFormat="1" ht="13.5" customHeight="1">
      <c r="A370" s="259">
        <f>+Bonus!A370</f>
        <v>56.112400000000001</v>
      </c>
      <c r="B370" s="82" t="str">
        <f>+Bonus!B370</f>
        <v>AIC - Cupertino Electric Inc.- Eagle Rock Aggregrates Oakland Terminal - Port of</v>
      </c>
      <c r="C370" s="227">
        <f>+Bonus!C370</f>
        <v>28950</v>
      </c>
      <c r="D370" s="63">
        <f>+Bonus!D370</f>
        <v>28950</v>
      </c>
      <c r="E370" s="63">
        <f>+Bonus!E370</f>
        <v>0</v>
      </c>
      <c r="F370" s="218">
        <f>+Bonus!F370</f>
        <v>28950</v>
      </c>
      <c r="G370" s="182">
        <f t="shared" si="365"/>
        <v>1</v>
      </c>
      <c r="H370" s="98">
        <f t="shared" si="366"/>
        <v>0</v>
      </c>
      <c r="I370" s="98">
        <f t="shared" si="367"/>
        <v>28950</v>
      </c>
      <c r="J370" s="218">
        <f>+Bonus!J370</f>
        <v>28950</v>
      </c>
      <c r="K370" s="98">
        <f t="shared" si="368"/>
        <v>0</v>
      </c>
      <c r="L370" s="98">
        <f t="shared" si="369"/>
        <v>0</v>
      </c>
      <c r="M370" s="98">
        <f t="shared" si="370"/>
        <v>0</v>
      </c>
      <c r="N370" s="218">
        <f>+Bonus!N370</f>
        <v>0</v>
      </c>
      <c r="O370" s="218">
        <f>+Bonus!O370</f>
        <v>0</v>
      </c>
      <c r="P370" s="98">
        <f>+Bonus!W370</f>
        <v>0</v>
      </c>
      <c r="Q370" s="98">
        <f t="shared" si="371"/>
        <v>28950</v>
      </c>
      <c r="R370" s="98">
        <f t="shared" si="372"/>
        <v>28950</v>
      </c>
      <c r="S370" s="129">
        <f t="shared" si="373"/>
        <v>0</v>
      </c>
      <c r="T370" s="199" t="str">
        <f>+Bonus!T370</f>
        <v>2025</v>
      </c>
      <c r="U370" s="199" t="str">
        <f>+Bonus!U370</f>
        <v>2025</v>
      </c>
      <c r="V370" s="199" t="str">
        <f>+Bonus!V370</f>
        <v>&lt; 250k</v>
      </c>
      <c r="W370" s="198"/>
      <c r="X370" s="33"/>
      <c r="Y370" s="197"/>
      <c r="Z370" s="198"/>
      <c r="AA370" s="196"/>
      <c r="AB370" s="196"/>
      <c r="AC370" s="194"/>
    </row>
    <row r="371" spans="1:29" s="81" customFormat="1" ht="13.5" customHeight="1">
      <c r="A371" s="259">
        <f>+Bonus!A371</f>
        <v>56.112499999999997</v>
      </c>
      <c r="B371" s="82" t="str">
        <f>+Bonus!B371</f>
        <v>AIC - Fowler Electric Services Inc.  - Third Street Pump Station - San Rafael Sanitation</v>
      </c>
      <c r="C371" s="227">
        <f>+Bonus!C371</f>
        <v>14229.38</v>
      </c>
      <c r="D371" s="63">
        <f>+Bonus!D371</f>
        <v>14229.38</v>
      </c>
      <c r="E371" s="63">
        <f>+Bonus!E371</f>
        <v>0</v>
      </c>
      <c r="F371" s="218">
        <f>+Bonus!F371</f>
        <v>14229.38</v>
      </c>
      <c r="G371" s="182">
        <f t="shared" si="365"/>
        <v>1</v>
      </c>
      <c r="H371" s="98">
        <f t="shared" si="366"/>
        <v>0</v>
      </c>
      <c r="I371" s="98">
        <f t="shared" si="367"/>
        <v>14229.38</v>
      </c>
      <c r="J371" s="218">
        <f>+Bonus!J371</f>
        <v>14229.38</v>
      </c>
      <c r="K371" s="98">
        <f t="shared" si="368"/>
        <v>0</v>
      </c>
      <c r="L371" s="98">
        <f t="shared" si="369"/>
        <v>0</v>
      </c>
      <c r="M371" s="98">
        <f t="shared" si="370"/>
        <v>0</v>
      </c>
      <c r="N371" s="218">
        <f>+Bonus!N371</f>
        <v>0</v>
      </c>
      <c r="O371" s="218">
        <f>+Bonus!O371</f>
        <v>0</v>
      </c>
      <c r="P371" s="98">
        <f>+Bonus!W371</f>
        <v>0</v>
      </c>
      <c r="Q371" s="98">
        <f t="shared" si="371"/>
        <v>14229.38</v>
      </c>
      <c r="R371" s="98">
        <f t="shared" si="372"/>
        <v>14229.38</v>
      </c>
      <c r="S371" s="129">
        <f t="shared" si="373"/>
        <v>0</v>
      </c>
      <c r="T371" s="199" t="str">
        <f>+Bonus!T371</f>
        <v>2025</v>
      </c>
      <c r="U371" s="199" t="str">
        <f>+Bonus!U371</f>
        <v>2025</v>
      </c>
      <c r="V371" s="199" t="str">
        <f>+Bonus!V371</f>
        <v>&lt; 250k</v>
      </c>
      <c r="W371" s="198"/>
      <c r="X371" s="33"/>
      <c r="Y371" s="197"/>
      <c r="Z371" s="198"/>
      <c r="AA371" s="196"/>
      <c r="AB371" s="196"/>
      <c r="AC371" s="194"/>
    </row>
    <row r="372" spans="1:29" s="81" customFormat="1" ht="13.5" customHeight="1">
      <c r="A372" s="259">
        <f>+Bonus!A372</f>
        <v>56.1126</v>
      </c>
      <c r="B372" s="82" t="str">
        <f>+Bonus!B372</f>
        <v>AIC - Fowler Electric Services Inc.  - Parr Tank and Pipeline Project – North Gualala Wat</v>
      </c>
      <c r="C372" s="227">
        <f>+Bonus!C372</f>
        <v>9526.8799999999992</v>
      </c>
      <c r="D372" s="63">
        <f>+Bonus!D372</f>
        <v>9526.8799999999992</v>
      </c>
      <c r="E372" s="63">
        <f>+Bonus!E372</f>
        <v>0</v>
      </c>
      <c r="F372" s="218">
        <f>+Bonus!F372</f>
        <v>9526.8799999999992</v>
      </c>
      <c r="G372" s="182">
        <f t="shared" si="365"/>
        <v>1</v>
      </c>
      <c r="H372" s="98">
        <f t="shared" si="366"/>
        <v>0</v>
      </c>
      <c r="I372" s="98">
        <f t="shared" si="367"/>
        <v>9526.8799999999992</v>
      </c>
      <c r="J372" s="218">
        <f>+Bonus!J372</f>
        <v>9526.8799999999992</v>
      </c>
      <c r="K372" s="98">
        <f t="shared" si="368"/>
        <v>0</v>
      </c>
      <c r="L372" s="98">
        <f t="shared" si="369"/>
        <v>0</v>
      </c>
      <c r="M372" s="98">
        <f t="shared" si="370"/>
        <v>0</v>
      </c>
      <c r="N372" s="218">
        <f>+Bonus!N372</f>
        <v>0</v>
      </c>
      <c r="O372" s="218">
        <f>+Bonus!O372</f>
        <v>0</v>
      </c>
      <c r="P372" s="98">
        <f>+Bonus!W372</f>
        <v>0</v>
      </c>
      <c r="Q372" s="98">
        <f t="shared" si="371"/>
        <v>9526.8799999999992</v>
      </c>
      <c r="R372" s="98">
        <f t="shared" si="372"/>
        <v>9526.8799999999992</v>
      </c>
      <c r="S372" s="129">
        <f t="shared" si="373"/>
        <v>0</v>
      </c>
      <c r="T372" s="199" t="str">
        <f>+Bonus!T372</f>
        <v>2025</v>
      </c>
      <c r="U372" s="199" t="str">
        <f>+Bonus!U372</f>
        <v>2025</v>
      </c>
      <c r="V372" s="199" t="str">
        <f>+Bonus!V372</f>
        <v>&lt; 250k</v>
      </c>
      <c r="W372" s="198"/>
      <c r="X372" s="33"/>
      <c r="Y372" s="197"/>
      <c r="Z372" s="198"/>
      <c r="AA372" s="196"/>
      <c r="AB372" s="196"/>
      <c r="AC372" s="194"/>
    </row>
    <row r="373" spans="1:29" s="81" customFormat="1" ht="13.5" customHeight="1">
      <c r="A373" s="259">
        <f>+Bonus!A373</f>
        <v>56.112699999999997</v>
      </c>
      <c r="B373" s="82" t="str">
        <f>+Bonus!B373</f>
        <v>AIC - Auburn Constructors, LLC - Colfax Water Treatment Plant Replacement Project – Placer Co</v>
      </c>
      <c r="C373" s="227">
        <f>+Bonus!C373</f>
        <v>6519.07</v>
      </c>
      <c r="D373" s="63">
        <f>+Bonus!D373</f>
        <v>6519.07</v>
      </c>
      <c r="E373" s="63">
        <f>+Bonus!E373</f>
        <v>0</v>
      </c>
      <c r="F373" s="218">
        <f>+Bonus!F373</f>
        <v>6519.07</v>
      </c>
      <c r="G373" s="182">
        <f t="shared" si="365"/>
        <v>1</v>
      </c>
      <c r="H373" s="98">
        <f t="shared" si="366"/>
        <v>0</v>
      </c>
      <c r="I373" s="98">
        <f t="shared" si="367"/>
        <v>6519.07</v>
      </c>
      <c r="J373" s="218">
        <f>+Bonus!J373</f>
        <v>6519.07</v>
      </c>
      <c r="K373" s="98">
        <f t="shared" si="368"/>
        <v>0</v>
      </c>
      <c r="L373" s="98">
        <f t="shared" si="369"/>
        <v>0</v>
      </c>
      <c r="M373" s="98">
        <f t="shared" si="370"/>
        <v>0</v>
      </c>
      <c r="N373" s="218">
        <f>+Bonus!N373</f>
        <v>0</v>
      </c>
      <c r="O373" s="218">
        <f>+Bonus!O373</f>
        <v>0</v>
      </c>
      <c r="P373" s="98">
        <f>+Bonus!W373</f>
        <v>0</v>
      </c>
      <c r="Q373" s="98">
        <f t="shared" si="371"/>
        <v>6519.07</v>
      </c>
      <c r="R373" s="98">
        <f t="shared" si="372"/>
        <v>6519.07</v>
      </c>
      <c r="S373" s="129">
        <f t="shared" si="373"/>
        <v>0</v>
      </c>
      <c r="T373" s="199" t="str">
        <f>+Bonus!T373</f>
        <v>2025</v>
      </c>
      <c r="U373" s="199" t="str">
        <f>+Bonus!U373</f>
        <v>2025</v>
      </c>
      <c r="V373" s="199" t="str">
        <f>+Bonus!V373</f>
        <v>&lt; 250k</v>
      </c>
      <c r="W373" s="198"/>
      <c r="X373" s="33"/>
      <c r="Y373" s="197"/>
      <c r="Z373" s="198"/>
      <c r="AA373" s="196"/>
      <c r="AB373" s="196"/>
      <c r="AC373" s="194"/>
    </row>
    <row r="374" spans="1:29" s="81" customFormat="1" ht="13.5" customHeight="1">
      <c r="A374" s="259">
        <f>+Bonus!A374</f>
        <v>56.1128</v>
      </c>
      <c r="B374" s="82" t="str">
        <f>+Bonus!B374</f>
        <v>AIC - Con J. Franke Electric Inc. - San Joaquin Pipeline Valve and Safe Entry Improvements Phase</v>
      </c>
      <c r="C374" s="227">
        <f>+Bonus!C374</f>
        <v>4793.13</v>
      </c>
      <c r="D374" s="63">
        <f>+Bonus!D374</f>
        <v>4793.13</v>
      </c>
      <c r="E374" s="63">
        <f>+Bonus!E374</f>
        <v>0</v>
      </c>
      <c r="F374" s="218">
        <f>+Bonus!F374</f>
        <v>4793.13</v>
      </c>
      <c r="G374" s="182">
        <f t="shared" si="365"/>
        <v>1</v>
      </c>
      <c r="H374" s="98">
        <f t="shared" si="366"/>
        <v>0</v>
      </c>
      <c r="I374" s="98">
        <f t="shared" si="367"/>
        <v>4793.13</v>
      </c>
      <c r="J374" s="218">
        <f>+Bonus!J374</f>
        <v>4793.13</v>
      </c>
      <c r="K374" s="98">
        <f t="shared" si="368"/>
        <v>0</v>
      </c>
      <c r="L374" s="98">
        <f t="shared" si="369"/>
        <v>0</v>
      </c>
      <c r="M374" s="98">
        <f t="shared" si="370"/>
        <v>0</v>
      </c>
      <c r="N374" s="218">
        <f>+Bonus!N374</f>
        <v>0</v>
      </c>
      <c r="O374" s="218">
        <f>+Bonus!O374</f>
        <v>0</v>
      </c>
      <c r="P374" s="98">
        <f>+Bonus!W374</f>
        <v>0</v>
      </c>
      <c r="Q374" s="98">
        <f t="shared" si="371"/>
        <v>4793.13</v>
      </c>
      <c r="R374" s="98">
        <f t="shared" si="372"/>
        <v>4793.13</v>
      </c>
      <c r="S374" s="129">
        <f t="shared" si="373"/>
        <v>0</v>
      </c>
      <c r="T374" s="199" t="str">
        <f>+Bonus!T374</f>
        <v>2025</v>
      </c>
      <c r="U374" s="199" t="str">
        <f>+Bonus!U374</f>
        <v>2025</v>
      </c>
      <c r="V374" s="199" t="str">
        <f>+Bonus!V374</f>
        <v>&lt; 250k</v>
      </c>
      <c r="W374" s="198"/>
      <c r="X374" s="33"/>
      <c r="Y374" s="197"/>
      <c r="Z374" s="198"/>
      <c r="AA374" s="196"/>
      <c r="AB374" s="196"/>
      <c r="AC374" s="194"/>
    </row>
    <row r="375" spans="1:29" s="81" customFormat="1" ht="13.5" customHeight="1">
      <c r="A375" s="259">
        <f>+Bonus!A375</f>
        <v>56.112900000000003</v>
      </c>
      <c r="B375" s="82" t="str">
        <f>+Bonus!B375</f>
        <v>AIC - RMCSD - VEEAM SFTWR</v>
      </c>
      <c r="C375" s="227">
        <f>+Bonus!C375</f>
        <v>133.75</v>
      </c>
      <c r="D375" s="63">
        <f>+Bonus!D375</f>
        <v>133.75</v>
      </c>
      <c r="E375" s="63">
        <f>+Bonus!E375</f>
        <v>0</v>
      </c>
      <c r="F375" s="218">
        <f>+Bonus!F375</f>
        <v>133.75</v>
      </c>
      <c r="G375" s="182">
        <f t="shared" si="365"/>
        <v>1</v>
      </c>
      <c r="H375" s="98">
        <f t="shared" si="366"/>
        <v>0</v>
      </c>
      <c r="I375" s="98">
        <f t="shared" si="367"/>
        <v>133.75</v>
      </c>
      <c r="J375" s="218">
        <f>+Bonus!J375</f>
        <v>133.75</v>
      </c>
      <c r="K375" s="98">
        <f t="shared" si="368"/>
        <v>0</v>
      </c>
      <c r="L375" s="98">
        <f t="shared" si="369"/>
        <v>0</v>
      </c>
      <c r="M375" s="98">
        <f t="shared" si="370"/>
        <v>0</v>
      </c>
      <c r="N375" s="218">
        <f>+Bonus!N375</f>
        <v>0</v>
      </c>
      <c r="O375" s="218">
        <f>+Bonus!O375</f>
        <v>0</v>
      </c>
      <c r="P375" s="98">
        <f>+Bonus!W375</f>
        <v>0</v>
      </c>
      <c r="Q375" s="98">
        <f t="shared" si="371"/>
        <v>133.75</v>
      </c>
      <c r="R375" s="98">
        <f t="shared" si="372"/>
        <v>133.75</v>
      </c>
      <c r="S375" s="129">
        <f t="shared" si="373"/>
        <v>0</v>
      </c>
      <c r="T375" s="199" t="str">
        <f>+Bonus!T375</f>
        <v>2025</v>
      </c>
      <c r="U375" s="199" t="str">
        <f>+Bonus!U375</f>
        <v>2025</v>
      </c>
      <c r="V375" s="199" t="str">
        <f>+Bonus!V375</f>
        <v>&lt; 250k</v>
      </c>
      <c r="W375" s="198"/>
      <c r="X375" s="33"/>
      <c r="Y375" s="197"/>
      <c r="Z375" s="198"/>
      <c r="AA375" s="196"/>
      <c r="AB375" s="196"/>
      <c r="AC375" s="194"/>
    </row>
    <row r="376" spans="1:29" s="81" customFormat="1" ht="13.5" customHeight="1">
      <c r="A376" s="259">
        <f>+Bonus!A376</f>
        <v>56.113</v>
      </c>
      <c r="B376" s="82" t="str">
        <f>+Bonus!B376</f>
        <v>System Integration Division Estimating 2025</v>
      </c>
      <c r="C376" s="227">
        <f>+Bonus!C376</f>
        <v>0</v>
      </c>
      <c r="D376" s="63">
        <f>+Bonus!D376</f>
        <v>267.5</v>
      </c>
      <c r="E376" s="63">
        <f>+Bonus!E376</f>
        <v>-267.5</v>
      </c>
      <c r="F376" s="218">
        <f>+Bonus!F376</f>
        <v>267.5</v>
      </c>
      <c r="G376" s="182">
        <f t="shared" si="365"/>
        <v>1</v>
      </c>
      <c r="H376" s="98">
        <f t="shared" si="366"/>
        <v>-267.5</v>
      </c>
      <c r="I376" s="98">
        <f t="shared" si="367"/>
        <v>0</v>
      </c>
      <c r="J376" s="218">
        <f>+Bonus!J376</f>
        <v>0</v>
      </c>
      <c r="K376" s="98">
        <f t="shared" si="368"/>
        <v>0</v>
      </c>
      <c r="L376" s="98">
        <f t="shared" si="369"/>
        <v>0</v>
      </c>
      <c r="M376" s="98">
        <f t="shared" si="370"/>
        <v>0</v>
      </c>
      <c r="N376" s="218">
        <f>+Bonus!N376</f>
        <v>0</v>
      </c>
      <c r="O376" s="218">
        <f>+Bonus!O376</f>
        <v>0</v>
      </c>
      <c r="P376" s="98">
        <f>+Bonus!W376</f>
        <v>0</v>
      </c>
      <c r="Q376" s="98">
        <f t="shared" si="371"/>
        <v>267.5</v>
      </c>
      <c r="R376" s="98">
        <f t="shared" si="372"/>
        <v>0</v>
      </c>
      <c r="S376" s="129">
        <f t="shared" si="373"/>
        <v>-267.5</v>
      </c>
      <c r="T376" s="199" t="str">
        <f>+Bonus!T376</f>
        <v>2025</v>
      </c>
      <c r="U376" s="199" t="str">
        <f>+Bonus!U376</f>
        <v>2025</v>
      </c>
      <c r="V376" s="199" t="str">
        <f>+Bonus!V376</f>
        <v>OH</v>
      </c>
      <c r="W376" s="198"/>
      <c r="X376" s="33"/>
      <c r="Y376" s="197"/>
      <c r="Z376" s="198"/>
      <c r="AA376" s="196"/>
      <c r="AB376" s="196"/>
      <c r="AC376" s="194"/>
    </row>
    <row r="377" spans="1:29" s="81" customFormat="1" ht="13.5" customHeight="1">
      <c r="A377" s="259">
        <f>+Bonus!A377</f>
        <v>56.113100000000003</v>
      </c>
      <c r="B377" s="82" t="str">
        <f>+Bonus!B377</f>
        <v>AIC - North Star Construction - Sweeney Ranch Pump Station Pumps &amp; Temp Electrical – Sacrame</v>
      </c>
      <c r="C377" s="227">
        <f>+Bonus!C377</f>
        <v>2388.75</v>
      </c>
      <c r="D377" s="63">
        <f>+Bonus!D377</f>
        <v>2388.75</v>
      </c>
      <c r="E377" s="63">
        <f>+Bonus!E377</f>
        <v>0</v>
      </c>
      <c r="F377" s="218">
        <f>+Bonus!F377</f>
        <v>2388.75</v>
      </c>
      <c r="G377" s="182">
        <f t="shared" si="365"/>
        <v>1</v>
      </c>
      <c r="H377" s="98">
        <f t="shared" si="366"/>
        <v>0</v>
      </c>
      <c r="I377" s="98">
        <f t="shared" si="367"/>
        <v>2388.75</v>
      </c>
      <c r="J377" s="218">
        <f>+Bonus!J377</f>
        <v>2388.75</v>
      </c>
      <c r="K377" s="98">
        <f t="shared" si="368"/>
        <v>0</v>
      </c>
      <c r="L377" s="98">
        <f t="shared" si="369"/>
        <v>0</v>
      </c>
      <c r="M377" s="98">
        <f t="shared" si="370"/>
        <v>0</v>
      </c>
      <c r="N377" s="218">
        <f>+Bonus!N377</f>
        <v>0</v>
      </c>
      <c r="O377" s="218">
        <f>+Bonus!O377</f>
        <v>0</v>
      </c>
      <c r="P377" s="98">
        <f>+Bonus!W377</f>
        <v>0</v>
      </c>
      <c r="Q377" s="98">
        <f t="shared" si="371"/>
        <v>2388.75</v>
      </c>
      <c r="R377" s="98">
        <f t="shared" si="372"/>
        <v>2388.75</v>
      </c>
      <c r="S377" s="129">
        <f t="shared" si="373"/>
        <v>0</v>
      </c>
      <c r="T377" s="199" t="str">
        <f>+Bonus!T377</f>
        <v>2025</v>
      </c>
      <c r="U377" s="199" t="str">
        <f>+Bonus!U377</f>
        <v>2025</v>
      </c>
      <c r="V377" s="199" t="str">
        <f>+Bonus!V377</f>
        <v>&lt; 250k</v>
      </c>
      <c r="W377" s="198"/>
      <c r="X377" s="33"/>
      <c r="Y377" s="197"/>
      <c r="Z377" s="198"/>
      <c r="AA377" s="196"/>
      <c r="AB377" s="196"/>
      <c r="AC377" s="194"/>
    </row>
    <row r="378" spans="1:29" s="81" customFormat="1" ht="13.5" customHeight="1">
      <c r="A378" s="259">
        <f>+Bonus!A378</f>
        <v>56.113199999999999</v>
      </c>
      <c r="B378" s="82" t="str">
        <f>+Bonus!B378</f>
        <v xml:space="preserve">AIC - UC Davis  - CABA Well Pump Station Rehabilitation – UC Davis </v>
      </c>
      <c r="C378" s="227">
        <f>+Bonus!C378</f>
        <v>585</v>
      </c>
      <c r="D378" s="63">
        <f>+Bonus!D378</f>
        <v>585</v>
      </c>
      <c r="E378" s="63">
        <f>+Bonus!E378</f>
        <v>0</v>
      </c>
      <c r="F378" s="218">
        <f>+Bonus!F378</f>
        <v>585</v>
      </c>
      <c r="G378" s="182">
        <f t="shared" si="365"/>
        <v>1</v>
      </c>
      <c r="H378" s="98">
        <f t="shared" si="366"/>
        <v>0</v>
      </c>
      <c r="I378" s="98">
        <f t="shared" si="367"/>
        <v>585</v>
      </c>
      <c r="J378" s="218">
        <f>+Bonus!J378</f>
        <v>585</v>
      </c>
      <c r="K378" s="98">
        <f t="shared" si="368"/>
        <v>0</v>
      </c>
      <c r="L378" s="98">
        <f t="shared" si="369"/>
        <v>0</v>
      </c>
      <c r="M378" s="98">
        <f t="shared" si="370"/>
        <v>0</v>
      </c>
      <c r="N378" s="218">
        <f>+Bonus!N378</f>
        <v>0</v>
      </c>
      <c r="O378" s="218">
        <f>+Bonus!O378</f>
        <v>0</v>
      </c>
      <c r="P378" s="98">
        <f>+Bonus!W378</f>
        <v>0</v>
      </c>
      <c r="Q378" s="98">
        <f t="shared" si="371"/>
        <v>585</v>
      </c>
      <c r="R378" s="98">
        <f t="shared" si="372"/>
        <v>585</v>
      </c>
      <c r="S378" s="129">
        <f t="shared" si="373"/>
        <v>0</v>
      </c>
      <c r="T378" s="199" t="str">
        <f>+Bonus!T378</f>
        <v>2025</v>
      </c>
      <c r="U378" s="199" t="str">
        <f>+Bonus!U378</f>
        <v>2025</v>
      </c>
      <c r="V378" s="199" t="str">
        <f>+Bonus!V378</f>
        <v>&lt; 250k</v>
      </c>
      <c r="W378" s="198"/>
      <c r="X378" s="33"/>
      <c r="Y378" s="197"/>
      <c r="Z378" s="198"/>
      <c r="AA378" s="196"/>
      <c r="AB378" s="196"/>
      <c r="AC378" s="194"/>
    </row>
    <row r="379" spans="1:29" s="81" customFormat="1" ht="13.5" customHeight="1">
      <c r="A379" s="259">
        <f>+Bonus!A379</f>
        <v>56.113300000000002</v>
      </c>
      <c r="B379" s="82" t="str">
        <f>+Bonus!B379</f>
        <v>AIC - UC Davis  - CABA Ag Pump Station Rehabilitation – UC Davis</v>
      </c>
      <c r="C379" s="227">
        <f>+Bonus!C379</f>
        <v>2827.5</v>
      </c>
      <c r="D379" s="63">
        <f>+Bonus!D379</f>
        <v>2827.5</v>
      </c>
      <c r="E379" s="63">
        <f>+Bonus!E379</f>
        <v>0</v>
      </c>
      <c r="F379" s="218">
        <f>+Bonus!F379</f>
        <v>2827.5</v>
      </c>
      <c r="G379" s="182">
        <f t="shared" si="365"/>
        <v>1</v>
      </c>
      <c r="H379" s="98">
        <f t="shared" si="366"/>
        <v>0</v>
      </c>
      <c r="I379" s="98">
        <f t="shared" si="367"/>
        <v>2827.5</v>
      </c>
      <c r="J379" s="218">
        <f>+Bonus!J379</f>
        <v>2827.5</v>
      </c>
      <c r="K379" s="98">
        <f t="shared" si="368"/>
        <v>0</v>
      </c>
      <c r="L379" s="98">
        <f t="shared" si="369"/>
        <v>0</v>
      </c>
      <c r="M379" s="98">
        <f t="shared" si="370"/>
        <v>0</v>
      </c>
      <c r="N379" s="218">
        <f>+Bonus!N379</f>
        <v>0</v>
      </c>
      <c r="O379" s="218">
        <f>+Bonus!O379</f>
        <v>0</v>
      </c>
      <c r="P379" s="98">
        <f>+Bonus!W379</f>
        <v>0</v>
      </c>
      <c r="Q379" s="98">
        <f t="shared" si="371"/>
        <v>2827.5</v>
      </c>
      <c r="R379" s="98">
        <f t="shared" si="372"/>
        <v>2827.5</v>
      </c>
      <c r="S379" s="129">
        <f t="shared" si="373"/>
        <v>0</v>
      </c>
      <c r="T379" s="199" t="str">
        <f>+Bonus!T379</f>
        <v>2025</v>
      </c>
      <c r="U379" s="199" t="str">
        <f>+Bonus!U379</f>
        <v>2025</v>
      </c>
      <c r="V379" s="199" t="str">
        <f>+Bonus!V379</f>
        <v>&lt; 250k</v>
      </c>
      <c r="W379" s="198"/>
      <c r="X379" s="33"/>
      <c r="Y379" s="197"/>
      <c r="Z379" s="198"/>
      <c r="AA379" s="196"/>
      <c r="AB379" s="196"/>
      <c r="AC379" s="194"/>
    </row>
    <row r="380" spans="1:29" s="81" customFormat="1" ht="13.5" customHeight="1">
      <c r="A380" s="259">
        <f>+Bonus!A380</f>
        <v>56.113399999999999</v>
      </c>
      <c r="B380" s="82" t="str">
        <f>+Bonus!B380</f>
        <v>AIC - Cupertino Electric Inc. - Headworks (Cupertino Troubleshooting Project) - San Francisc</v>
      </c>
      <c r="C380" s="227">
        <f>+Bonus!C380</f>
        <v>965.51</v>
      </c>
      <c r="D380" s="63">
        <f>+Bonus!D380</f>
        <v>965.51</v>
      </c>
      <c r="E380" s="63">
        <f>+Bonus!E380</f>
        <v>0</v>
      </c>
      <c r="F380" s="218">
        <f>+Bonus!F380</f>
        <v>965.51</v>
      </c>
      <c r="G380" s="182">
        <f t="shared" si="365"/>
        <v>1</v>
      </c>
      <c r="H380" s="98">
        <f t="shared" si="366"/>
        <v>0</v>
      </c>
      <c r="I380" s="98">
        <f t="shared" si="367"/>
        <v>965.51</v>
      </c>
      <c r="J380" s="218">
        <f>+Bonus!J380</f>
        <v>965.51</v>
      </c>
      <c r="K380" s="98">
        <f t="shared" si="368"/>
        <v>0</v>
      </c>
      <c r="L380" s="98">
        <f t="shared" si="369"/>
        <v>0</v>
      </c>
      <c r="M380" s="98">
        <f t="shared" si="370"/>
        <v>0</v>
      </c>
      <c r="N380" s="218">
        <f>+Bonus!N380</f>
        <v>0</v>
      </c>
      <c r="O380" s="218">
        <f>+Bonus!O380</f>
        <v>0</v>
      </c>
      <c r="P380" s="98">
        <f>+Bonus!W380</f>
        <v>0</v>
      </c>
      <c r="Q380" s="98">
        <f t="shared" si="371"/>
        <v>965.51</v>
      </c>
      <c r="R380" s="98">
        <f t="shared" si="372"/>
        <v>965.51</v>
      </c>
      <c r="S380" s="129">
        <f t="shared" si="373"/>
        <v>0</v>
      </c>
      <c r="T380" s="199" t="str">
        <f>+Bonus!T380</f>
        <v>2025</v>
      </c>
      <c r="U380" s="199" t="str">
        <f>+Bonus!U380</f>
        <v>2025</v>
      </c>
      <c r="V380" s="199" t="str">
        <f>+Bonus!V380</f>
        <v>&lt; 250k</v>
      </c>
      <c r="W380" s="198"/>
      <c r="X380" s="33"/>
      <c r="Y380" s="197"/>
      <c r="Z380" s="198"/>
      <c r="AA380" s="196"/>
      <c r="AB380" s="196"/>
      <c r="AC380" s="194"/>
    </row>
    <row r="381" spans="1:29" s="81" customFormat="1" ht="13.5" customHeight="1">
      <c r="A381" s="259">
        <f>+Bonus!A381</f>
        <v>56.113500000000002</v>
      </c>
      <c r="B381" s="82" t="str">
        <f>+Bonus!B381</f>
        <v xml:space="preserve">AIC - San Joaquin Electric - Lurline Check and Siphon Replacement Project - Glenn-Colusa </v>
      </c>
      <c r="C381" s="227">
        <f>+Bonus!C381</f>
        <v>112.5</v>
      </c>
      <c r="D381" s="63">
        <f>+Bonus!D381</f>
        <v>112.5</v>
      </c>
      <c r="E381" s="63">
        <f>+Bonus!E381</f>
        <v>0</v>
      </c>
      <c r="F381" s="218">
        <f>+Bonus!F381</f>
        <v>112.5</v>
      </c>
      <c r="G381" s="182">
        <f t="shared" si="365"/>
        <v>1</v>
      </c>
      <c r="H381" s="98">
        <f t="shared" si="366"/>
        <v>0</v>
      </c>
      <c r="I381" s="98">
        <f t="shared" si="367"/>
        <v>112.5</v>
      </c>
      <c r="J381" s="218">
        <f>+Bonus!J381</f>
        <v>112.5</v>
      </c>
      <c r="K381" s="98">
        <f t="shared" si="368"/>
        <v>0</v>
      </c>
      <c r="L381" s="98">
        <f t="shared" si="369"/>
        <v>0</v>
      </c>
      <c r="M381" s="98">
        <f t="shared" si="370"/>
        <v>0</v>
      </c>
      <c r="N381" s="218">
        <f>+Bonus!N381</f>
        <v>0</v>
      </c>
      <c r="O381" s="218">
        <f>+Bonus!O381</f>
        <v>0</v>
      </c>
      <c r="P381" s="98">
        <f>+Bonus!W381</f>
        <v>0</v>
      </c>
      <c r="Q381" s="98">
        <f t="shared" si="371"/>
        <v>112.5</v>
      </c>
      <c r="R381" s="98">
        <f t="shared" si="372"/>
        <v>112.5</v>
      </c>
      <c r="S381" s="129">
        <f t="shared" si="373"/>
        <v>0</v>
      </c>
      <c r="T381" s="199" t="str">
        <f>+Bonus!T381</f>
        <v>2025</v>
      </c>
      <c r="U381" s="199" t="str">
        <f>+Bonus!U381</f>
        <v>2025</v>
      </c>
      <c r="V381" s="199" t="str">
        <f>+Bonus!V381</f>
        <v>&lt; 250k</v>
      </c>
      <c r="W381" s="198"/>
      <c r="X381" s="33"/>
      <c r="Y381" s="197"/>
      <c r="Z381" s="198"/>
      <c r="AA381" s="196"/>
      <c r="AB381" s="196"/>
      <c r="AC381" s="194"/>
    </row>
    <row r="382" spans="1:29" s="81" customFormat="1" ht="13.5" customHeight="1">
      <c r="A382" s="259">
        <f>+Bonus!A382</f>
        <v>56.114100000000001</v>
      </c>
      <c r="B382" s="82" t="str">
        <f>+Bonus!B382</f>
        <v>AIC - Blocka Construction Inc. - Glenview Reservoir Recoating and Tank Improvements - San Jos</v>
      </c>
      <c r="C382" s="227">
        <f>+Bonus!C382</f>
        <v>2827.5</v>
      </c>
      <c r="D382" s="63">
        <f>+Bonus!D382</f>
        <v>2827.5</v>
      </c>
      <c r="E382" s="63">
        <f>+Bonus!E382</f>
        <v>0</v>
      </c>
      <c r="F382" s="218">
        <f>+Bonus!F382</f>
        <v>2827.5</v>
      </c>
      <c r="G382" s="182">
        <f t="shared" si="365"/>
        <v>1</v>
      </c>
      <c r="H382" s="98">
        <f t="shared" si="366"/>
        <v>0</v>
      </c>
      <c r="I382" s="98">
        <f t="shared" si="367"/>
        <v>2827.5</v>
      </c>
      <c r="J382" s="218">
        <f>+Bonus!J382</f>
        <v>2827.5</v>
      </c>
      <c r="K382" s="98">
        <f t="shared" si="368"/>
        <v>0</v>
      </c>
      <c r="L382" s="98">
        <f t="shared" si="369"/>
        <v>0</v>
      </c>
      <c r="M382" s="98">
        <f t="shared" si="370"/>
        <v>0</v>
      </c>
      <c r="N382" s="218">
        <f>+Bonus!N382</f>
        <v>0</v>
      </c>
      <c r="O382" s="218">
        <f>+Bonus!O382</f>
        <v>0</v>
      </c>
      <c r="P382" s="98">
        <f>+Bonus!W382</f>
        <v>0</v>
      </c>
      <c r="Q382" s="98">
        <f t="shared" si="371"/>
        <v>2827.5</v>
      </c>
      <c r="R382" s="98">
        <f t="shared" si="372"/>
        <v>2827.5</v>
      </c>
      <c r="S382" s="129">
        <f t="shared" si="373"/>
        <v>0</v>
      </c>
      <c r="T382" s="199" t="str">
        <f>+Bonus!T382</f>
        <v>2025</v>
      </c>
      <c r="U382" s="199" t="str">
        <f>+Bonus!U382</f>
        <v>2025</v>
      </c>
      <c r="V382" s="199" t="str">
        <f>+Bonus!V382</f>
        <v>&lt; 250k</v>
      </c>
      <c r="W382" s="198"/>
      <c r="X382" s="33"/>
      <c r="Y382" s="197"/>
      <c r="Z382" s="198"/>
      <c r="AA382" s="196"/>
      <c r="AB382" s="196"/>
      <c r="AC382" s="194"/>
    </row>
    <row r="383" spans="1:29" s="81" customFormat="1" ht="13.5" hidden="1" customHeight="1">
      <c r="A383" s="176"/>
      <c r="B383" s="82"/>
      <c r="C383" s="193"/>
      <c r="D383" s="193"/>
      <c r="E383" s="193"/>
      <c r="F383" s="86"/>
      <c r="G383" s="86"/>
      <c r="H383" s="86"/>
      <c r="I383" s="86"/>
      <c r="J383" s="86"/>
      <c r="K383" s="86"/>
      <c r="L383" s="86"/>
      <c r="M383" s="86"/>
      <c r="N383" s="86"/>
      <c r="O383" s="86"/>
      <c r="P383" s="86"/>
      <c r="Q383" s="86"/>
      <c r="R383" s="86"/>
      <c r="S383" s="86"/>
      <c r="T383" s="359"/>
      <c r="U383" s="359"/>
      <c r="V383" s="82"/>
      <c r="W383" s="198"/>
      <c r="X383" s="33"/>
      <c r="Y383" s="197"/>
      <c r="Z383" s="198"/>
      <c r="AA383" s="196"/>
      <c r="AB383" s="196"/>
      <c r="AC383" s="194"/>
    </row>
    <row r="384" spans="1:29" s="81" customFormat="1" ht="13.5" customHeight="1">
      <c r="A384" s="176" t="str">
        <f>+Bonus!A384</f>
        <v>System Integration - Closed Jobs Totals</v>
      </c>
      <c r="B384" s="82"/>
      <c r="C384" s="193">
        <f>SUM(C320:C383)</f>
        <v>4511779.6499999976</v>
      </c>
      <c r="D384" s="193">
        <f>SUM(D320:D383)</f>
        <v>7995768.9399999985</v>
      </c>
      <c r="E384" s="193">
        <f>SUM(E320:E383)</f>
        <v>-3483989.29</v>
      </c>
      <c r="F384" s="193">
        <f>SUM(F320:F383)</f>
        <v>7995768.9399999985</v>
      </c>
      <c r="G384" s="86"/>
      <c r="H384" s="193">
        <f t="shared" ref="H384:S384" si="383">SUM(H320:H383)</f>
        <v>-3483989.29</v>
      </c>
      <c r="I384" s="193">
        <f t="shared" si="383"/>
        <v>4511779.6499999976</v>
      </c>
      <c r="J384" s="193">
        <f t="shared" si="383"/>
        <v>4511779.6499999976</v>
      </c>
      <c r="K384" s="193">
        <f t="shared" si="383"/>
        <v>0</v>
      </c>
      <c r="L384" s="193">
        <f t="shared" si="383"/>
        <v>0</v>
      </c>
      <c r="M384" s="193">
        <f t="shared" si="383"/>
        <v>0</v>
      </c>
      <c r="N384" s="193">
        <f t="shared" si="383"/>
        <v>1128586.33</v>
      </c>
      <c r="O384" s="193">
        <f t="shared" si="383"/>
        <v>734633.5</v>
      </c>
      <c r="P384" s="193">
        <f t="shared" si="383"/>
        <v>382674.17728221044</v>
      </c>
      <c r="Q384" s="193">
        <f t="shared" si="383"/>
        <v>6867182.6099999985</v>
      </c>
      <c r="R384" s="193">
        <f t="shared" si="383"/>
        <v>3777146.149999998</v>
      </c>
      <c r="S384" s="193">
        <f t="shared" si="383"/>
        <v>-3866663.4672822109</v>
      </c>
      <c r="T384" s="359"/>
      <c r="U384" s="359"/>
      <c r="V384" s="82"/>
      <c r="W384" s="198"/>
      <c r="X384" s="33"/>
      <c r="Y384" s="197"/>
      <c r="Z384" s="198"/>
      <c r="AA384" s="196"/>
      <c r="AB384" s="196"/>
      <c r="AC384" s="194"/>
    </row>
    <row r="385" spans="1:35" s="81" customFormat="1" ht="13.5" customHeight="1">
      <c r="A385" s="176" t="str">
        <f>+Bonus!A385</f>
        <v>System Integration - Grand Totals</v>
      </c>
      <c r="B385" s="82"/>
      <c r="C385" s="193">
        <f>C317+C384</f>
        <v>17542292.819999997</v>
      </c>
      <c r="D385" s="193">
        <f>D317+D384</f>
        <v>19151016.199999999</v>
      </c>
      <c r="E385" s="193">
        <f>E317+E384</f>
        <v>-1608723.3800000001</v>
      </c>
      <c r="F385" s="86">
        <f>F317+F384</f>
        <v>14455117.849999998</v>
      </c>
      <c r="G385" s="86"/>
      <c r="H385" s="86">
        <f t="shared" ref="H385:S385" si="384">H317+H384</f>
        <v>-2377498.7803587131</v>
      </c>
      <c r="I385" s="86">
        <f t="shared" si="384"/>
        <v>12077619.069641285</v>
      </c>
      <c r="J385" s="86">
        <f t="shared" si="384"/>
        <v>10435397.739999998</v>
      </c>
      <c r="K385" s="86">
        <f t="shared" si="384"/>
        <v>-1642221.3296412867</v>
      </c>
      <c r="L385" s="86">
        <f t="shared" si="384"/>
        <v>4695898.3499999996</v>
      </c>
      <c r="M385" s="86">
        <f t="shared" si="384"/>
        <v>7106895.0800000001</v>
      </c>
      <c r="N385" s="86">
        <f t="shared" si="384"/>
        <v>2131284.8600000003</v>
      </c>
      <c r="O385" s="86">
        <f t="shared" si="384"/>
        <v>1037078.5</v>
      </c>
      <c r="P385" s="86">
        <f t="shared" si="384"/>
        <v>725330.98581610422</v>
      </c>
      <c r="Q385" s="86">
        <f t="shared" si="384"/>
        <v>12323832.989999998</v>
      </c>
      <c r="R385" s="86">
        <f t="shared" si="384"/>
        <v>9398319.2399999984</v>
      </c>
      <c r="S385" s="86">
        <f t="shared" si="384"/>
        <v>-3102829.7661748175</v>
      </c>
      <c r="T385" s="359"/>
      <c r="U385" s="359"/>
      <c r="V385" s="82"/>
      <c r="W385" s="198"/>
      <c r="X385" s="33"/>
      <c r="Y385" s="197"/>
      <c r="Z385" s="198"/>
      <c r="AA385" s="196"/>
      <c r="AB385" s="196"/>
      <c r="AC385" s="194"/>
    </row>
    <row r="386" spans="1:35" s="81" customFormat="1" ht="13.5" customHeight="1">
      <c r="A386" s="259"/>
      <c r="B386" s="82"/>
      <c r="C386" s="227"/>
      <c r="D386" s="63"/>
      <c r="E386" s="63"/>
      <c r="F386" s="218"/>
      <c r="G386" s="182"/>
      <c r="H386" s="98"/>
      <c r="I386" s="98"/>
      <c r="J386" s="218"/>
      <c r="K386" s="98"/>
      <c r="L386" s="98"/>
      <c r="M386" s="98"/>
      <c r="N386" s="218"/>
      <c r="O386" s="218"/>
      <c r="P386" s="98"/>
      <c r="Q386" s="98"/>
      <c r="R386" s="98"/>
      <c r="S386" s="129"/>
      <c r="T386" s="199"/>
      <c r="U386" s="199"/>
      <c r="V386" s="82"/>
      <c r="W386" s="198"/>
      <c r="X386" s="33"/>
      <c r="Y386" s="197"/>
      <c r="Z386" s="198"/>
      <c r="AA386" s="196"/>
      <c r="AB386" s="196"/>
      <c r="AC386" s="194"/>
    </row>
    <row r="387" spans="1:35" s="81" customFormat="1" ht="13.5" customHeight="1">
      <c r="A387" s="176" t="str">
        <f>+Bonus!A387</f>
        <v>50 Jobs</v>
      </c>
      <c r="B387" s="82"/>
      <c r="C387" s="227"/>
      <c r="D387" s="63"/>
      <c r="E387" s="63"/>
      <c r="F387" s="218"/>
      <c r="G387" s="182"/>
      <c r="H387" s="98"/>
      <c r="I387" s="98"/>
      <c r="J387" s="218"/>
      <c r="K387" s="98"/>
      <c r="L387" s="98"/>
      <c r="M387" s="98"/>
      <c r="N387" s="218"/>
      <c r="O387" s="218"/>
      <c r="P387" s="98"/>
      <c r="Q387" s="98"/>
      <c r="R387" s="98"/>
      <c r="S387" s="129"/>
      <c r="T387" s="199"/>
      <c r="U387" s="199"/>
      <c r="V387" s="82"/>
      <c r="W387" s="198"/>
      <c r="X387" s="33"/>
      <c r="Y387" s="197"/>
      <c r="Z387" s="198"/>
      <c r="AA387" s="196"/>
      <c r="AB387" s="196"/>
      <c r="AC387" s="194"/>
    </row>
    <row r="388" spans="1:35" s="81" customFormat="1" ht="13.5" customHeight="1">
      <c r="A388" s="259">
        <f>+Bonus!A388</f>
        <v>50.054099999999998</v>
      </c>
      <c r="B388" s="82" t="str">
        <f>+Bonus!B388</f>
        <v>W.M. Lyles Co. - General Overhead</v>
      </c>
      <c r="C388" s="227">
        <f>+Bonus!C388</f>
        <v>0</v>
      </c>
      <c r="D388" s="63">
        <f>+Bonus!D388</f>
        <v>3642039.89</v>
      </c>
      <c r="E388" s="63">
        <f>+Bonus!E388</f>
        <v>-3642039.89</v>
      </c>
      <c r="F388" s="218">
        <f>+Bonus!F388</f>
        <v>3642039.89</v>
      </c>
      <c r="G388" s="182">
        <f t="shared" ref="G388:G393" si="385">IF(D388&lt;&gt;0,+F388/D388,0)</f>
        <v>1</v>
      </c>
      <c r="H388" s="98">
        <f t="shared" ref="H388:H393" si="386">IF(E388&lt;=0,E388,IF(G388&lt;0.1,0,IF(G388&lt;=1,G388*E388,E388)))</f>
        <v>-3642039.89</v>
      </c>
      <c r="I388" s="98">
        <f t="shared" ref="I388:I393" si="387">+F388+H388</f>
        <v>0</v>
      </c>
      <c r="J388" s="218">
        <f>+Bonus!J388</f>
        <v>0</v>
      </c>
      <c r="K388" s="98">
        <f t="shared" ref="K388:K393" si="388">J388-I388</f>
        <v>0</v>
      </c>
      <c r="L388" s="98">
        <f t="shared" ref="L388:L393" si="389">+D388-F388</f>
        <v>0</v>
      </c>
      <c r="M388" s="98">
        <f t="shared" ref="M388:M393" si="390">+C388-J388</f>
        <v>0</v>
      </c>
      <c r="N388" s="218">
        <f>+Bonus!N388</f>
        <v>0</v>
      </c>
      <c r="O388" s="218">
        <f>+Bonus!O388</f>
        <v>0</v>
      </c>
      <c r="P388" s="98">
        <f>+Bonus!W388</f>
        <v>0</v>
      </c>
      <c r="Q388" s="98">
        <f t="shared" ref="Q388:Q393" si="391">F388-N388</f>
        <v>3642039.89</v>
      </c>
      <c r="R388" s="98">
        <f t="shared" ref="R388:R393" si="392">+J388-O388</f>
        <v>0</v>
      </c>
      <c r="S388" s="129">
        <f t="shared" ref="S388:S393" si="393">H388-P388</f>
        <v>-3642039.89</v>
      </c>
      <c r="T388" s="199" t="str">
        <f>+Bonus!T388</f>
        <v>50</v>
      </c>
      <c r="U388" s="199" t="str">
        <f>+Bonus!U388</f>
        <v>50</v>
      </c>
      <c r="V388" s="82"/>
      <c r="W388" s="198"/>
      <c r="X388" s="33"/>
      <c r="Y388" s="197"/>
      <c r="Z388" s="198"/>
      <c r="AA388" s="196"/>
      <c r="AB388" s="196"/>
      <c r="AC388" s="194"/>
    </row>
    <row r="389" spans="1:35" s="81" customFormat="1" ht="13.5" customHeight="1">
      <c r="A389" s="259">
        <f>+Bonus!A389</f>
        <v>50.054200000000002</v>
      </c>
      <c r="B389" s="82" t="str">
        <f>+Bonus!B389</f>
        <v>W.M. Lyles Co. - General Estimating</v>
      </c>
      <c r="C389" s="227">
        <f>+Bonus!C389</f>
        <v>0</v>
      </c>
      <c r="D389" s="63">
        <f>+Bonus!D389</f>
        <v>100487.45</v>
      </c>
      <c r="E389" s="63">
        <f>+Bonus!E389</f>
        <v>-100487.45</v>
      </c>
      <c r="F389" s="218">
        <f>+Bonus!F389</f>
        <v>100487.45</v>
      </c>
      <c r="G389" s="182">
        <f t="shared" si="385"/>
        <v>1</v>
      </c>
      <c r="H389" s="98">
        <f t="shared" si="386"/>
        <v>-100487.45</v>
      </c>
      <c r="I389" s="98">
        <f t="shared" si="387"/>
        <v>0</v>
      </c>
      <c r="J389" s="218">
        <f>+Bonus!J389</f>
        <v>0</v>
      </c>
      <c r="K389" s="98">
        <f t="shared" si="388"/>
        <v>0</v>
      </c>
      <c r="L389" s="98">
        <f t="shared" si="389"/>
        <v>0</v>
      </c>
      <c r="M389" s="98">
        <f t="shared" si="390"/>
        <v>0</v>
      </c>
      <c r="N389" s="218">
        <f>+Bonus!N389</f>
        <v>0</v>
      </c>
      <c r="O389" s="218">
        <f>+Bonus!O389</f>
        <v>0</v>
      </c>
      <c r="P389" s="98">
        <f>+Bonus!W389</f>
        <v>0</v>
      </c>
      <c r="Q389" s="98">
        <f t="shared" si="391"/>
        <v>100487.45</v>
      </c>
      <c r="R389" s="98">
        <f t="shared" si="392"/>
        <v>0</v>
      </c>
      <c r="S389" s="129">
        <f t="shared" si="393"/>
        <v>-100487.45</v>
      </c>
      <c r="T389" s="199" t="str">
        <f>+Bonus!T389</f>
        <v>50</v>
      </c>
      <c r="U389" s="199" t="str">
        <f>+Bonus!U389</f>
        <v>50</v>
      </c>
      <c r="V389" s="82"/>
      <c r="W389" s="198"/>
      <c r="X389" s="33"/>
      <c r="Y389" s="197"/>
      <c r="Z389" s="198"/>
      <c r="AA389" s="196"/>
      <c r="AB389" s="196"/>
      <c r="AC389" s="194"/>
    </row>
    <row r="390" spans="1:35" s="81" customFormat="1" ht="13.5" customHeight="1">
      <c r="A390" s="259">
        <f>+Bonus!A390</f>
        <v>50.054299999999998</v>
      </c>
      <c r="B390" s="82" t="str">
        <f>+Bonus!B390</f>
        <v>American Paving</v>
      </c>
      <c r="C390" s="227">
        <f>+Bonus!C390</f>
        <v>7051.01</v>
      </c>
      <c r="D390" s="63">
        <f>+Bonus!D390</f>
        <v>7051.01</v>
      </c>
      <c r="E390" s="63">
        <f>+Bonus!E390</f>
        <v>0</v>
      </c>
      <c r="F390" s="218">
        <f>+Bonus!F390</f>
        <v>7051.01</v>
      </c>
      <c r="G390" s="182">
        <f t="shared" si="385"/>
        <v>1</v>
      </c>
      <c r="H390" s="98">
        <f t="shared" si="386"/>
        <v>0</v>
      </c>
      <c r="I390" s="98">
        <f t="shared" si="387"/>
        <v>7051.01</v>
      </c>
      <c r="J390" s="218">
        <f>+Bonus!J390</f>
        <v>7051.01</v>
      </c>
      <c r="K390" s="98">
        <f t="shared" si="388"/>
        <v>0</v>
      </c>
      <c r="L390" s="98">
        <f t="shared" si="389"/>
        <v>0</v>
      </c>
      <c r="M390" s="98">
        <f t="shared" si="390"/>
        <v>0</v>
      </c>
      <c r="N390" s="218">
        <f>+Bonus!N390</f>
        <v>0</v>
      </c>
      <c r="O390" s="218">
        <f>+Bonus!O390</f>
        <v>0</v>
      </c>
      <c r="P390" s="98">
        <f>+Bonus!W390</f>
        <v>0</v>
      </c>
      <c r="Q390" s="98">
        <f t="shared" si="391"/>
        <v>7051.01</v>
      </c>
      <c r="R390" s="98">
        <f t="shared" si="392"/>
        <v>7051.01</v>
      </c>
      <c r="S390" s="129">
        <f t="shared" si="393"/>
        <v>0</v>
      </c>
      <c r="T390" s="199" t="str">
        <f>+Bonus!T390</f>
        <v>50</v>
      </c>
      <c r="U390" s="199" t="str">
        <f>+Bonus!U390</f>
        <v>50</v>
      </c>
      <c r="V390" s="82"/>
      <c r="W390" s="198"/>
      <c r="X390" s="33"/>
      <c r="Y390" s="197"/>
      <c r="Z390" s="198"/>
      <c r="AA390" s="196"/>
      <c r="AB390" s="196"/>
      <c r="AC390" s="194"/>
    </row>
    <row r="391" spans="1:35" s="81" customFormat="1" ht="13.5" customHeight="1">
      <c r="A391" s="259">
        <f>+Bonus!A391</f>
        <v>50.054400000000001</v>
      </c>
      <c r="B391" s="82" t="str">
        <f>+Bonus!B391</f>
        <v>Lyles Services Co.</v>
      </c>
      <c r="C391" s="227">
        <f>+Bonus!C391</f>
        <v>13555.8</v>
      </c>
      <c r="D391" s="63">
        <f>+Bonus!D391</f>
        <v>13555.8</v>
      </c>
      <c r="E391" s="63">
        <f>+Bonus!E391</f>
        <v>0</v>
      </c>
      <c r="F391" s="218">
        <f>+Bonus!F391</f>
        <v>13555.8</v>
      </c>
      <c r="G391" s="182">
        <f t="shared" si="385"/>
        <v>1</v>
      </c>
      <c r="H391" s="98">
        <f t="shared" si="386"/>
        <v>0</v>
      </c>
      <c r="I391" s="98">
        <f t="shared" si="387"/>
        <v>13555.8</v>
      </c>
      <c r="J391" s="218">
        <f>+Bonus!J391</f>
        <v>13555.8</v>
      </c>
      <c r="K391" s="98">
        <f t="shared" si="388"/>
        <v>0</v>
      </c>
      <c r="L391" s="98">
        <f t="shared" si="389"/>
        <v>0</v>
      </c>
      <c r="M391" s="98">
        <f t="shared" si="390"/>
        <v>0</v>
      </c>
      <c r="N391" s="218">
        <f>+Bonus!N391</f>
        <v>0</v>
      </c>
      <c r="O391" s="218">
        <f>+Bonus!O391</f>
        <v>0</v>
      </c>
      <c r="P391" s="98">
        <f>+Bonus!W391</f>
        <v>0</v>
      </c>
      <c r="Q391" s="98">
        <f t="shared" si="391"/>
        <v>13555.8</v>
      </c>
      <c r="R391" s="98">
        <f t="shared" si="392"/>
        <v>13555.8</v>
      </c>
      <c r="S391" s="129">
        <f t="shared" si="393"/>
        <v>0</v>
      </c>
      <c r="T391" s="199" t="str">
        <f>+Bonus!T391</f>
        <v>50</v>
      </c>
      <c r="U391" s="199" t="str">
        <f>+Bonus!U391</f>
        <v>50</v>
      </c>
      <c r="V391" s="82"/>
      <c r="W391" s="198"/>
      <c r="X391" s="33"/>
      <c r="Y391" s="197"/>
      <c r="Z391" s="198"/>
      <c r="AA391" s="196"/>
      <c r="AB391" s="196"/>
      <c r="AC391" s="194"/>
    </row>
    <row r="392" spans="1:35" s="81" customFormat="1" ht="13.5" customHeight="1">
      <c r="A392" s="259">
        <f>+Bonus!A392</f>
        <v>50.054499999999997</v>
      </c>
      <c r="B392" s="82" t="str">
        <f>+Bonus!B392</f>
        <v>New England Sheet Metal and Mechanical Co.</v>
      </c>
      <c r="C392" s="227">
        <f>+Bonus!C392</f>
        <v>2226.16</v>
      </c>
      <c r="D392" s="63">
        <f>+Bonus!D392</f>
        <v>2226.16</v>
      </c>
      <c r="E392" s="63">
        <f>+Bonus!E392</f>
        <v>0</v>
      </c>
      <c r="F392" s="218">
        <f>+Bonus!F392</f>
        <v>2226.16</v>
      </c>
      <c r="G392" s="182">
        <f t="shared" si="385"/>
        <v>1</v>
      </c>
      <c r="H392" s="98">
        <f t="shared" si="386"/>
        <v>0</v>
      </c>
      <c r="I392" s="98">
        <f t="shared" si="387"/>
        <v>2226.16</v>
      </c>
      <c r="J392" s="218">
        <f>+Bonus!J392</f>
        <v>2226.16</v>
      </c>
      <c r="K392" s="98">
        <f t="shared" si="388"/>
        <v>0</v>
      </c>
      <c r="L392" s="98">
        <f t="shared" si="389"/>
        <v>0</v>
      </c>
      <c r="M392" s="98">
        <f t="shared" si="390"/>
        <v>0</v>
      </c>
      <c r="N392" s="218">
        <f>+Bonus!N392</f>
        <v>0</v>
      </c>
      <c r="O392" s="218">
        <f>+Bonus!O392</f>
        <v>0</v>
      </c>
      <c r="P392" s="98">
        <f>+Bonus!W392</f>
        <v>0</v>
      </c>
      <c r="Q392" s="98">
        <f t="shared" si="391"/>
        <v>2226.16</v>
      </c>
      <c r="R392" s="98">
        <f t="shared" si="392"/>
        <v>2226.16</v>
      </c>
      <c r="S392" s="129">
        <f t="shared" si="393"/>
        <v>0</v>
      </c>
      <c r="T392" s="199" t="str">
        <f>+Bonus!T392</f>
        <v>50</v>
      </c>
      <c r="U392" s="199" t="str">
        <f>+Bonus!U392</f>
        <v>50</v>
      </c>
      <c r="V392" s="82"/>
      <c r="W392" s="198"/>
      <c r="X392" s="33"/>
      <c r="Y392" s="197"/>
      <c r="Z392" s="198"/>
      <c r="AA392" s="196"/>
      <c r="AB392" s="196"/>
      <c r="AC392" s="194"/>
    </row>
    <row r="393" spans="1:35" s="81" customFormat="1" ht="13.5" customHeight="1">
      <c r="A393" s="259">
        <f>+Bonus!A393</f>
        <v>50.054600000000001</v>
      </c>
      <c r="B393" s="82" t="str">
        <f>+Bonus!B393</f>
        <v>Lyles Utility Construction, LLC</v>
      </c>
      <c r="C393" s="227">
        <f>+Bonus!C393</f>
        <v>11256.72</v>
      </c>
      <c r="D393" s="63">
        <f>+Bonus!D393</f>
        <v>10468.06</v>
      </c>
      <c r="E393" s="63">
        <f>+Bonus!E393</f>
        <v>788.65999999999985</v>
      </c>
      <c r="F393" s="218">
        <f>+Bonus!F393</f>
        <v>10468.06</v>
      </c>
      <c r="G393" s="182">
        <f t="shared" si="385"/>
        <v>1</v>
      </c>
      <c r="H393" s="98">
        <f t="shared" si="386"/>
        <v>788.65999999999985</v>
      </c>
      <c r="I393" s="98">
        <f t="shared" si="387"/>
        <v>11256.72</v>
      </c>
      <c r="J393" s="218">
        <f>+Bonus!J393</f>
        <v>11256.72</v>
      </c>
      <c r="K393" s="98">
        <f t="shared" si="388"/>
        <v>0</v>
      </c>
      <c r="L393" s="98">
        <f t="shared" si="389"/>
        <v>0</v>
      </c>
      <c r="M393" s="98">
        <f t="shared" si="390"/>
        <v>0</v>
      </c>
      <c r="N393" s="218">
        <f>+Bonus!N393</f>
        <v>0</v>
      </c>
      <c r="O393" s="218">
        <f>+Bonus!O393</f>
        <v>0</v>
      </c>
      <c r="P393" s="98">
        <f>+Bonus!W393</f>
        <v>0</v>
      </c>
      <c r="Q393" s="98">
        <f t="shared" si="391"/>
        <v>10468.06</v>
      </c>
      <c r="R393" s="98">
        <f t="shared" si="392"/>
        <v>11256.72</v>
      </c>
      <c r="S393" s="129">
        <f t="shared" si="393"/>
        <v>788.65999999999985</v>
      </c>
      <c r="T393" s="199" t="str">
        <f>+Bonus!T393</f>
        <v>50</v>
      </c>
      <c r="U393" s="199" t="str">
        <f>+Bonus!U393</f>
        <v>50</v>
      </c>
      <c r="V393" s="82"/>
      <c r="W393" s="198"/>
      <c r="X393" s="33"/>
      <c r="Y393" s="197"/>
      <c r="Z393" s="198"/>
      <c r="AA393" s="196"/>
      <c r="AB393" s="196"/>
      <c r="AC393" s="194"/>
    </row>
    <row r="394" spans="1:35" s="81" customFormat="1" ht="13.5" customHeight="1">
      <c r="A394" s="259">
        <f>+Bonus!A394</f>
        <v>50.055100000000003</v>
      </c>
      <c r="B394" s="82" t="str">
        <f>+Bonus!B394</f>
        <v>Advanced Integration &amp; Controls</v>
      </c>
      <c r="C394" s="227">
        <f>+Bonus!C394</f>
        <v>5457.42</v>
      </c>
      <c r="D394" s="63">
        <f>+Bonus!D394</f>
        <v>5457.42</v>
      </c>
      <c r="E394" s="63">
        <f>+Bonus!E394</f>
        <v>0</v>
      </c>
      <c r="F394" s="218">
        <f>+Bonus!F394</f>
        <v>5457.42</v>
      </c>
      <c r="G394" s="182">
        <f t="shared" ref="G394" si="394">IF(D394&lt;&gt;0,+F394/D394,0)</f>
        <v>1</v>
      </c>
      <c r="H394" s="98">
        <f t="shared" ref="H394" si="395">IF(E394&lt;=0,E394,IF(G394&lt;0.1,0,IF(G394&lt;=1,G394*E394,E394)))</f>
        <v>0</v>
      </c>
      <c r="I394" s="98">
        <f t="shared" ref="I394" si="396">+F394+H394</f>
        <v>5457.42</v>
      </c>
      <c r="J394" s="218">
        <f>+Bonus!J394</f>
        <v>5457.42</v>
      </c>
      <c r="K394" s="98">
        <f t="shared" ref="K394" si="397">J394-I394</f>
        <v>0</v>
      </c>
      <c r="L394" s="98">
        <f t="shared" ref="L394" si="398">+D394-F394</f>
        <v>0</v>
      </c>
      <c r="M394" s="98">
        <f t="shared" ref="M394" si="399">+C394-J394</f>
        <v>0</v>
      </c>
      <c r="N394" s="218">
        <f>+Bonus!N394</f>
        <v>0</v>
      </c>
      <c r="O394" s="218">
        <f>+Bonus!O394</f>
        <v>0</v>
      </c>
      <c r="P394" s="98">
        <f>+Bonus!W394</f>
        <v>0</v>
      </c>
      <c r="Q394" s="98">
        <f t="shared" ref="Q394" si="400">F394-N394</f>
        <v>5457.42</v>
      </c>
      <c r="R394" s="98">
        <f t="shared" ref="R394" si="401">+J394-O394</f>
        <v>5457.42</v>
      </c>
      <c r="S394" s="129">
        <f t="shared" ref="S394" si="402">H394-P394</f>
        <v>0</v>
      </c>
      <c r="T394" s="199" t="str">
        <f>+Bonus!T394</f>
        <v>50</v>
      </c>
      <c r="U394" s="199" t="str">
        <f>+Bonus!U394</f>
        <v>50</v>
      </c>
      <c r="V394" s="82"/>
      <c r="W394" s="198"/>
      <c r="X394" s="33"/>
      <c r="Y394" s="197"/>
      <c r="Z394" s="198"/>
      <c r="AA394" s="196"/>
      <c r="AB394" s="196"/>
      <c r="AC394" s="194"/>
    </row>
    <row r="395" spans="1:35" s="81" customFormat="1" ht="13.5" hidden="1" customHeight="1">
      <c r="A395" s="259"/>
      <c r="B395" s="82"/>
      <c r="C395" s="227"/>
      <c r="D395" s="63"/>
      <c r="E395" s="63"/>
      <c r="F395" s="218"/>
      <c r="G395" s="182"/>
      <c r="H395" s="98"/>
      <c r="I395" s="98"/>
      <c r="J395" s="218"/>
      <c r="K395" s="98"/>
      <c r="L395" s="98"/>
      <c r="M395" s="98"/>
      <c r="N395" s="218"/>
      <c r="O395" s="218"/>
      <c r="P395" s="98"/>
      <c r="Q395" s="98"/>
      <c r="R395" s="98"/>
      <c r="S395" s="129"/>
      <c r="T395" s="199"/>
      <c r="U395" s="199"/>
      <c r="V395" s="82"/>
      <c r="W395" s="198"/>
      <c r="X395" s="33"/>
      <c r="Y395" s="197"/>
      <c r="Z395" s="198"/>
      <c r="AA395" s="196"/>
      <c r="AB395" s="196"/>
      <c r="AC395" s="194"/>
    </row>
    <row r="396" spans="1:35" s="81" customFormat="1" ht="13.5" customHeight="1">
      <c r="A396" s="532" t="str">
        <f>+Bonus!A396</f>
        <v>50 Jobs Totals</v>
      </c>
      <c r="B396" s="85"/>
      <c r="C396" s="193">
        <f>SUM(C$388:C$395)</f>
        <v>39547.109999999993</v>
      </c>
      <c r="D396" s="193">
        <f>SUM(D$388:D$395)</f>
        <v>3781285.79</v>
      </c>
      <c r="E396" s="193">
        <f>SUM(E$388:E$395)</f>
        <v>-3741738.68</v>
      </c>
      <c r="F396" s="193">
        <f>SUM(F$388:F$395)</f>
        <v>3781285.79</v>
      </c>
      <c r="G396" s="86"/>
      <c r="H396" s="193">
        <f t="shared" ref="H396:S396" si="403">SUM(H$388:H$395)</f>
        <v>-3741738.68</v>
      </c>
      <c r="I396" s="193">
        <f t="shared" si="403"/>
        <v>39547.109999999993</v>
      </c>
      <c r="J396" s="193">
        <f t="shared" si="403"/>
        <v>39547.109999999993</v>
      </c>
      <c r="K396" s="193">
        <f t="shared" si="403"/>
        <v>0</v>
      </c>
      <c r="L396" s="193">
        <f t="shared" si="403"/>
        <v>0</v>
      </c>
      <c r="M396" s="193">
        <f t="shared" si="403"/>
        <v>0</v>
      </c>
      <c r="N396" s="193">
        <f t="shared" si="403"/>
        <v>0</v>
      </c>
      <c r="O396" s="193">
        <f t="shared" si="403"/>
        <v>0</v>
      </c>
      <c r="P396" s="193">
        <f t="shared" si="403"/>
        <v>0</v>
      </c>
      <c r="Q396" s="193">
        <f t="shared" si="403"/>
        <v>3781285.79</v>
      </c>
      <c r="R396" s="193">
        <f t="shared" si="403"/>
        <v>39547.109999999993</v>
      </c>
      <c r="S396" s="193">
        <f t="shared" si="403"/>
        <v>-3741738.68</v>
      </c>
      <c r="T396" s="359"/>
      <c r="U396" s="359"/>
      <c r="V396" s="85"/>
      <c r="W396" s="198"/>
      <c r="X396" s="33"/>
      <c r="Y396" s="197"/>
      <c r="Z396" s="198"/>
      <c r="AA396" s="196"/>
      <c r="AB396" s="196"/>
      <c r="AC396" s="194"/>
    </row>
    <row r="397" spans="1:35" s="57" customFormat="1" ht="13.5" customHeight="1">
      <c r="A397" s="181"/>
      <c r="B397" s="82"/>
      <c r="C397" s="227"/>
      <c r="D397" s="227"/>
      <c r="E397" s="227"/>
      <c r="F397" s="142"/>
      <c r="G397" s="142"/>
      <c r="H397" s="142"/>
      <c r="I397" s="142"/>
      <c r="J397" s="142"/>
      <c r="K397" s="142"/>
      <c r="L397" s="142"/>
      <c r="M397" s="142"/>
      <c r="N397" s="142"/>
      <c r="O397" s="142"/>
      <c r="P397" s="142"/>
      <c r="Q397" s="142"/>
      <c r="R397" s="142"/>
      <c r="S397" s="142"/>
      <c r="T397" s="199"/>
      <c r="U397" s="199"/>
      <c r="V397" s="82"/>
      <c r="W397" s="98"/>
      <c r="X397" s="33"/>
      <c r="Y397" s="180"/>
      <c r="Z397" s="98"/>
      <c r="AA397" s="214"/>
      <c r="AB397" s="214"/>
      <c r="AC397" s="64"/>
    </row>
    <row r="398" spans="1:35" s="81" customFormat="1" ht="13.5" customHeight="1">
      <c r="A398" s="176" t="s">
        <v>173</v>
      </c>
      <c r="C398" s="367">
        <f>C65+C154+C26+C237+C109+C257+C269+C317</f>
        <v>1859122839.9999998</v>
      </c>
      <c r="D398" s="367">
        <f>D65+D154+D26+D237+D109+D257+D269+D317</f>
        <v>1734839582.4299998</v>
      </c>
      <c r="E398" s="367">
        <f>E65+E154+E26+E237+E109+E257+E269+E317</f>
        <v>124283257.56999999</v>
      </c>
      <c r="F398" s="367">
        <f>F65+F154+F26+F237+F109+F257+F269+F317</f>
        <v>1041534998.2699999</v>
      </c>
      <c r="G398" s="346"/>
      <c r="H398" s="367">
        <f t="shared" ref="H398:S398" si="404">H65+H154+H26+H237+H109+H257+H269+H317</f>
        <v>65410179.697191857</v>
      </c>
      <c r="I398" s="367">
        <f t="shared" si="404"/>
        <v>1106945177.9671917</v>
      </c>
      <c r="J398" s="367">
        <f t="shared" si="404"/>
        <v>1107424084.2599998</v>
      </c>
      <c r="K398" s="367">
        <f t="shared" si="404"/>
        <v>478906.29280815506</v>
      </c>
      <c r="L398" s="367">
        <f t="shared" si="404"/>
        <v>693304584.15999997</v>
      </c>
      <c r="M398" s="367">
        <f t="shared" si="404"/>
        <v>751698755.74000001</v>
      </c>
      <c r="N398" s="367">
        <f t="shared" si="404"/>
        <v>737998939.52999985</v>
      </c>
      <c r="O398" s="367">
        <f t="shared" si="404"/>
        <v>774452969.04999995</v>
      </c>
      <c r="P398" s="367">
        <f t="shared" si="404"/>
        <v>35006187.304711714</v>
      </c>
      <c r="Q398" s="367">
        <f t="shared" si="404"/>
        <v>303536058.74000001</v>
      </c>
      <c r="R398" s="367">
        <f t="shared" si="404"/>
        <v>332971115.20999998</v>
      </c>
      <c r="S398" s="367">
        <f t="shared" si="404"/>
        <v>30403992.392480135</v>
      </c>
      <c r="T398" s="186"/>
      <c r="U398" s="185"/>
      <c r="W398" s="293"/>
      <c r="X398" s="293"/>
      <c r="Y398" s="312">
        <v>7279602.9380660374</v>
      </c>
      <c r="Z398" s="192">
        <f t="shared" ref="Z398:Z400" si="405">S398-Y398</f>
        <v>23124389.454414099</v>
      </c>
      <c r="AA398" t="str">
        <f t="shared" ref="AA398:AB400" si="406">IF(L398&lt;0,"CHECK","-")</f>
        <v>-</v>
      </c>
      <c r="AB398" t="str">
        <f t="shared" si="406"/>
        <v>-</v>
      </c>
      <c r="AD398" s="34" t="e">
        <f>C398-GAAP!#REF!</f>
        <v>#REF!</v>
      </c>
    </row>
    <row r="399" spans="1:35" s="81" customFormat="1" ht="13.5" customHeight="1">
      <c r="A399" s="176" t="s">
        <v>164</v>
      </c>
      <c r="C399" s="367">
        <f>C103+C215+C40+C248+C116+C263+C275+C396+C384</f>
        <v>152608093.41</v>
      </c>
      <c r="D399" s="367">
        <f>D103+D215+D40+D248+D116+D263+D275+D396+D384</f>
        <v>147840152.81</v>
      </c>
      <c r="E399" s="367">
        <f>E103+E215+E40+E248+E116+E263+E275+E396+E384</f>
        <v>4767940.5999999968</v>
      </c>
      <c r="F399" s="367">
        <f>F103+F215+F40+F248+F116+F263+F275+F396+F384</f>
        <v>147840152.81</v>
      </c>
      <c r="G399" s="346"/>
      <c r="H399" s="367">
        <f t="shared" ref="H399:S399" si="407">H103+H215+H40+H248+H116+H263+H275+H396+H384</f>
        <v>4767940.5999999968</v>
      </c>
      <c r="I399" s="367">
        <f t="shared" si="407"/>
        <v>152608093.41</v>
      </c>
      <c r="J399" s="367">
        <f t="shared" si="407"/>
        <v>152608093.41</v>
      </c>
      <c r="K399" s="529">
        <f t="shared" si="407"/>
        <v>0</v>
      </c>
      <c r="L399" s="529">
        <f t="shared" si="407"/>
        <v>0</v>
      </c>
      <c r="M399" s="529">
        <f t="shared" si="407"/>
        <v>0</v>
      </c>
      <c r="N399" s="367">
        <f t="shared" si="407"/>
        <v>112492442.67</v>
      </c>
      <c r="O399" s="367">
        <f t="shared" si="407"/>
        <v>130560851.55999999</v>
      </c>
      <c r="P399" s="367">
        <f t="shared" si="407"/>
        <v>17890185.934586044</v>
      </c>
      <c r="Q399" s="367">
        <f t="shared" si="407"/>
        <v>35347710.140000008</v>
      </c>
      <c r="R399" s="367">
        <f t="shared" si="407"/>
        <v>22047241.849999998</v>
      </c>
      <c r="S399" s="367">
        <f t="shared" si="407"/>
        <v>-13122245.334586047</v>
      </c>
      <c r="T399" s="186"/>
      <c r="U399" s="185"/>
      <c r="W399" s="293"/>
      <c r="X399" s="293"/>
      <c r="Y399" s="312">
        <v>-339414.4032848936</v>
      </c>
      <c r="Z399" s="192">
        <f t="shared" si="405"/>
        <v>-12782830.931301152</v>
      </c>
      <c r="AA399" t="str">
        <f t="shared" si="406"/>
        <v>-</v>
      </c>
      <c r="AB399" t="str">
        <f t="shared" si="406"/>
        <v>-</v>
      </c>
      <c r="AD399" s="34">
        <f>C399-GAAP!C401</f>
        <v>152608093.41</v>
      </c>
    </row>
    <row r="400" spans="1:35" s="85" customFormat="1" ht="13.5" customHeight="1" thickBot="1">
      <c r="A400" s="176" t="s">
        <v>54</v>
      </c>
      <c r="C400" s="368">
        <f>SUM(C398:C399)</f>
        <v>2011730933.4099998</v>
      </c>
      <c r="D400" s="368">
        <f t="shared" ref="D400:F400" si="408">SUM(D398:D399)</f>
        <v>1882679735.2399998</v>
      </c>
      <c r="E400" s="368">
        <f t="shared" si="408"/>
        <v>129051198.16999999</v>
      </c>
      <c r="F400" s="204">
        <f t="shared" si="408"/>
        <v>1189375151.0799999</v>
      </c>
      <c r="G400" s="204"/>
      <c r="H400" s="204">
        <f t="shared" ref="H400:P400" si="409">SUM(H398:H399)</f>
        <v>70178120.297191858</v>
      </c>
      <c r="I400" s="204">
        <f>SUM(I398:I399)</f>
        <v>1259553271.3771918</v>
      </c>
      <c r="J400" s="204">
        <f t="shared" si="409"/>
        <v>1260032177.6699998</v>
      </c>
      <c r="K400" s="204">
        <f t="shared" si="409"/>
        <v>478906.29280815506</v>
      </c>
      <c r="L400" s="204">
        <f>SUM(L398:L399)</f>
        <v>693304584.15999997</v>
      </c>
      <c r="M400" s="204">
        <f t="shared" si="409"/>
        <v>751698755.74000001</v>
      </c>
      <c r="N400" s="204">
        <f t="shared" si="409"/>
        <v>850491382.19999981</v>
      </c>
      <c r="O400" s="204">
        <f t="shared" si="409"/>
        <v>905013820.6099999</v>
      </c>
      <c r="P400" s="204">
        <f t="shared" si="409"/>
        <v>52896373.239297763</v>
      </c>
      <c r="Q400" s="204">
        <f>SUM(Q398:Q399)</f>
        <v>338883768.88</v>
      </c>
      <c r="R400" s="204">
        <f>SUM(R398:R399)</f>
        <v>355018357.06</v>
      </c>
      <c r="S400" s="204">
        <f>SUM(S398:S399)</f>
        <v>17281747.057894088</v>
      </c>
      <c r="T400" s="203"/>
      <c r="U400" s="199"/>
      <c r="V400" s="205"/>
      <c r="W400" s="288"/>
      <c r="X400" s="294"/>
      <c r="Y400" s="312">
        <v>6940188.5347811449</v>
      </c>
      <c r="Z400" s="192">
        <f t="shared" si="405"/>
        <v>10341558.523112943</v>
      </c>
      <c r="AA400" t="str">
        <f t="shared" si="406"/>
        <v>-</v>
      </c>
      <c r="AB400" t="str">
        <f t="shared" si="406"/>
        <v>-</v>
      </c>
      <c r="AC400" s="205"/>
      <c r="AD400" s="34">
        <f>C400-GAAP!C402</f>
        <v>2011730933.4099998</v>
      </c>
      <c r="AE400" s="205"/>
      <c r="AF400" s="205"/>
      <c r="AG400" s="205"/>
      <c r="AH400" s="205"/>
      <c r="AI400" s="205"/>
    </row>
    <row r="401" spans="1:21" s="188" customFormat="1" ht="13.5" customHeight="1" thickTop="1">
      <c r="C401" s="189"/>
      <c r="D401" s="189"/>
      <c r="E401" s="189"/>
      <c r="F401" s="189"/>
      <c r="G401" s="189"/>
      <c r="H401" s="189"/>
      <c r="I401" s="189"/>
      <c r="J401" s="189"/>
      <c r="N401" s="189"/>
      <c r="O401" s="189"/>
      <c r="P401" s="209"/>
      <c r="Q401" s="189"/>
      <c r="R401" s="189"/>
      <c r="T401" s="190"/>
      <c r="U401" s="190"/>
    </row>
    <row r="402" spans="1:21" s="57" customFormat="1" ht="13.5" customHeight="1">
      <c r="A402" s="176"/>
      <c r="C402" s="82"/>
      <c r="D402" s="82"/>
      <c r="E402" s="82"/>
      <c r="F402" s="123"/>
      <c r="H402" s="65"/>
      <c r="J402" s="82" t="s">
        <v>32</v>
      </c>
      <c r="M402" s="64"/>
      <c r="N402" s="82"/>
      <c r="O402" s="156"/>
      <c r="P402" s="210"/>
      <c r="R402" s="64"/>
      <c r="T402" s="118"/>
      <c r="U402" s="118"/>
    </row>
    <row r="403" spans="1:21" s="57" customFormat="1" ht="13.5" customHeight="1">
      <c r="A403" s="615"/>
      <c r="B403" s="520" t="s">
        <v>723</v>
      </c>
      <c r="C403" s="82"/>
      <c r="D403" s="82"/>
      <c r="E403" s="82"/>
      <c r="F403" s="82"/>
      <c r="J403" s="82" t="s">
        <v>33</v>
      </c>
      <c r="M403" s="71">
        <f>R400</f>
        <v>355018357.06</v>
      </c>
      <c r="N403" s="82"/>
      <c r="O403" s="82"/>
      <c r="P403" s="211"/>
      <c r="T403" s="118"/>
      <c r="U403" s="118"/>
    </row>
    <row r="404" spans="1:21" s="57" customFormat="1" ht="13.5" customHeight="1">
      <c r="A404" s="616"/>
      <c r="B404" s="520" t="s">
        <v>724</v>
      </c>
      <c r="C404" s="226"/>
      <c r="D404" s="82"/>
      <c r="E404" s="82"/>
      <c r="F404" s="82"/>
      <c r="J404" s="82" t="s">
        <v>24</v>
      </c>
      <c r="L404" s="71">
        <v>1626065.1707022099</v>
      </c>
      <c r="M404" s="64"/>
      <c r="N404" s="82"/>
      <c r="O404" s="82"/>
      <c r="P404" s="148"/>
      <c r="R404" s="64"/>
      <c r="T404" s="118"/>
      <c r="U404" s="118"/>
    </row>
    <row r="405" spans="1:21" s="57" customFormat="1" ht="13.5" customHeight="1">
      <c r="C405" s="82"/>
      <c r="D405" s="82"/>
      <c r="E405" s="82"/>
      <c r="F405" s="82"/>
      <c r="J405" s="82" t="s">
        <v>25</v>
      </c>
      <c r="L405" s="73">
        <f>-K400</f>
        <v>-478906.29280815506</v>
      </c>
      <c r="M405" s="72">
        <f>SUM(L404:L405)</f>
        <v>1147158.8778940549</v>
      </c>
      <c r="N405" s="156"/>
      <c r="O405" s="123"/>
      <c r="P405" s="148"/>
      <c r="T405" s="118"/>
      <c r="U405" s="118"/>
    </row>
    <row r="406" spans="1:21" s="57" customFormat="1" ht="13.5" customHeight="1">
      <c r="C406" s="82"/>
      <c r="D406" s="82"/>
      <c r="E406" s="82"/>
      <c r="F406" s="82"/>
      <c r="J406" s="82" t="s">
        <v>34</v>
      </c>
      <c r="L406" s="71">
        <f>SUM(L404:L405)</f>
        <v>1147158.8778940549</v>
      </c>
      <c r="M406" s="64">
        <f>SUM(M403:M405)</f>
        <v>356165515.93789405</v>
      </c>
      <c r="N406" s="124"/>
      <c r="O406" s="123"/>
      <c r="P406" s="148"/>
      <c r="T406" s="118"/>
      <c r="U406" s="118"/>
    </row>
    <row r="407" spans="1:21" s="57" customFormat="1" ht="13.5" customHeight="1">
      <c r="C407" s="82"/>
      <c r="D407" s="82"/>
      <c r="E407" s="82"/>
      <c r="F407" s="82"/>
      <c r="J407" s="82" t="s">
        <v>35</v>
      </c>
      <c r="L407" s="71"/>
      <c r="M407" s="64">
        <f>-Q400</f>
        <v>-338883768.88</v>
      </c>
      <c r="N407" s="82"/>
      <c r="O407" s="123"/>
      <c r="P407" s="148"/>
      <c r="T407" s="118"/>
      <c r="U407" s="118"/>
    </row>
    <row r="408" spans="1:21" s="57" customFormat="1" ht="13.5" customHeight="1">
      <c r="C408" s="82"/>
      <c r="D408" s="82"/>
      <c r="E408" s="82"/>
      <c r="F408" s="82"/>
      <c r="J408" s="82"/>
      <c r="L408" s="71"/>
      <c r="M408" s="64"/>
      <c r="N408" s="82"/>
      <c r="O408" s="123"/>
      <c r="P408" s="148"/>
      <c r="T408" s="118"/>
      <c r="U408" s="118"/>
    </row>
    <row r="409" spans="1:21" s="57" customFormat="1" ht="13.5" customHeight="1" thickBot="1">
      <c r="C409" s="82"/>
      <c r="D409" s="82"/>
      <c r="E409" s="82"/>
      <c r="F409" s="82"/>
      <c r="J409" s="82" t="s">
        <v>36</v>
      </c>
      <c r="M409" s="88">
        <f>M406+M407</f>
        <v>17281747.057894051</v>
      </c>
      <c r="N409" s="82"/>
      <c r="O409" s="82"/>
      <c r="P409" s="148"/>
      <c r="T409" s="118"/>
      <c r="U409" s="118"/>
    </row>
    <row r="410" spans="1:21" s="57" customFormat="1" ht="15.95" customHeight="1" thickTop="1">
      <c r="C410" s="82"/>
      <c r="D410" s="82"/>
      <c r="E410" s="82"/>
      <c r="F410" s="82"/>
      <c r="J410" s="82" t="s">
        <v>53</v>
      </c>
      <c r="M410" s="71">
        <f>M409-S400</f>
        <v>-3.7252902984619141E-8</v>
      </c>
      <c r="N410" s="82"/>
      <c r="O410" s="82"/>
      <c r="P410" s="148"/>
      <c r="T410" s="118"/>
      <c r="U410" s="118"/>
    </row>
    <row r="411" spans="1:21" s="57" customFormat="1" ht="15.95" customHeight="1">
      <c r="C411" s="82"/>
      <c r="D411" s="82"/>
      <c r="E411" s="82"/>
      <c r="F411" s="82"/>
      <c r="J411" s="82"/>
      <c r="M411" s="71"/>
      <c r="N411" s="82"/>
      <c r="O411" s="82"/>
      <c r="P411" s="148"/>
      <c r="T411" s="118"/>
      <c r="U411" s="118"/>
    </row>
    <row r="412" spans="1:21" s="57" customFormat="1" ht="15.95" customHeight="1">
      <c r="E412" s="82"/>
      <c r="F412" s="82"/>
      <c r="J412" s="82"/>
      <c r="M412" s="71"/>
      <c r="N412" s="82"/>
      <c r="O412" s="82"/>
      <c r="P412" s="148"/>
      <c r="T412" s="118"/>
      <c r="U412" s="118"/>
    </row>
    <row r="413" spans="1:21" s="57" customFormat="1" ht="15.95" customHeight="1">
      <c r="E413" s="82"/>
      <c r="F413" s="82"/>
      <c r="J413" s="82"/>
      <c r="M413" s="71"/>
      <c r="N413" s="82"/>
      <c r="O413" s="82"/>
      <c r="P413" s="148"/>
      <c r="T413" s="118"/>
      <c r="U413" s="118"/>
    </row>
    <row r="414" spans="1:21" s="57" customFormat="1" ht="15.95" customHeight="1">
      <c r="C414" s="82"/>
      <c r="D414" s="82"/>
      <c r="E414" s="82"/>
      <c r="F414" s="82"/>
      <c r="J414" s="82"/>
      <c r="M414" s="71"/>
      <c r="N414" s="82"/>
      <c r="O414" s="82"/>
      <c r="P414" s="148"/>
      <c r="T414" s="118"/>
      <c r="U414" s="118"/>
    </row>
    <row r="415" spans="1:21" s="57" customFormat="1" ht="15.95" customHeight="1">
      <c r="C415" s="82"/>
      <c r="D415" s="82"/>
      <c r="E415" s="82"/>
      <c r="F415" s="82"/>
      <c r="J415" s="82"/>
      <c r="M415" s="71"/>
      <c r="N415" s="82"/>
      <c r="O415" s="82"/>
      <c r="P415" s="148"/>
      <c r="T415" s="118"/>
      <c r="U415" s="118"/>
    </row>
    <row r="416" spans="1:21" s="57" customFormat="1" ht="15.95" customHeight="1">
      <c r="C416" s="82"/>
      <c r="D416" s="82"/>
      <c r="E416" s="82"/>
      <c r="F416" s="82"/>
      <c r="J416" s="82"/>
      <c r="M416" s="71"/>
      <c r="N416" s="82"/>
      <c r="O416" s="82"/>
      <c r="P416" s="148"/>
      <c r="T416" s="118"/>
      <c r="U416" s="118"/>
    </row>
    <row r="417" spans="2:21" s="57" customFormat="1" ht="24.75" customHeight="1">
      <c r="B417" s="226"/>
      <c r="C417" s="226"/>
      <c r="D417" s="269"/>
      <c r="E417" s="269"/>
      <c r="F417" s="269"/>
      <c r="G417" s="269"/>
      <c r="H417" s="269"/>
      <c r="I417" s="269"/>
      <c r="J417" s="269"/>
      <c r="K417" s="269"/>
      <c r="M417" s="71"/>
      <c r="N417" s="82"/>
      <c r="O417" s="82"/>
      <c r="P417" s="148"/>
      <c r="T417" s="118"/>
      <c r="U417" s="118"/>
    </row>
    <row r="418" spans="2:21" s="57" customFormat="1" ht="13.5" hidden="1" customHeight="1">
      <c r="C418" s="226" t="s">
        <v>216</v>
      </c>
      <c r="D418" s="82"/>
      <c r="E418" s="82"/>
      <c r="F418" s="82"/>
      <c r="J418" s="82"/>
      <c r="M418" s="71"/>
      <c r="N418" s="82"/>
      <c r="O418" s="82"/>
      <c r="P418" s="148"/>
      <c r="T418" s="118"/>
      <c r="U418" s="118"/>
    </row>
    <row r="419" spans="2:21" s="57" customFormat="1" ht="13.5" hidden="1" customHeight="1">
      <c r="C419" s="226" t="s">
        <v>217</v>
      </c>
      <c r="D419" s="82"/>
      <c r="E419" s="82"/>
      <c r="F419" s="82"/>
      <c r="J419" s="82"/>
      <c r="M419" s="71"/>
      <c r="N419" s="82"/>
      <c r="O419" s="82"/>
      <c r="P419" s="148"/>
      <c r="T419" s="118"/>
      <c r="U419" s="118"/>
    </row>
    <row r="420" spans="2:21" s="57" customFormat="1" ht="13.5" hidden="1" customHeight="1">
      <c r="C420" s="226" t="s">
        <v>218</v>
      </c>
      <c r="D420" s="82"/>
      <c r="E420" s="82"/>
      <c r="F420" s="82"/>
      <c r="J420" s="82"/>
      <c r="M420" s="71"/>
      <c r="N420" s="82"/>
      <c r="O420" s="82"/>
      <c r="P420" s="148"/>
      <c r="T420" s="118"/>
      <c r="U420" s="118"/>
    </row>
    <row r="421" spans="2:21" s="57" customFormat="1" ht="13.5" hidden="1" customHeight="1">
      <c r="C421" s="226" t="s">
        <v>219</v>
      </c>
      <c r="D421" s="82"/>
      <c r="E421" s="82"/>
      <c r="F421" s="82"/>
      <c r="J421" s="82"/>
      <c r="M421" s="71"/>
      <c r="N421" s="82"/>
      <c r="O421" s="82"/>
      <c r="P421" s="148"/>
      <c r="T421" s="118"/>
      <c r="U421" s="118"/>
    </row>
    <row r="422" spans="2:21" s="57" customFormat="1" ht="13.5" hidden="1" customHeight="1">
      <c r="C422" s="57" t="s">
        <v>220</v>
      </c>
      <c r="D422" s="82"/>
      <c r="E422" s="82"/>
      <c r="F422" s="82"/>
      <c r="J422" s="82"/>
      <c r="M422" s="71"/>
      <c r="N422" s="82"/>
      <c r="O422" s="82"/>
      <c r="P422" s="148"/>
      <c r="T422" s="118"/>
      <c r="U422" s="118"/>
    </row>
    <row r="423" spans="2:21" s="57" customFormat="1" ht="13.5" hidden="1" customHeight="1">
      <c r="C423" s="226" t="s">
        <v>225</v>
      </c>
      <c r="D423" s="82"/>
      <c r="E423" s="82"/>
      <c r="F423" s="82"/>
      <c r="J423" s="82"/>
      <c r="M423" s="71"/>
      <c r="N423" s="82"/>
      <c r="O423" s="82"/>
      <c r="P423" s="148"/>
      <c r="T423" s="118"/>
      <c r="U423" s="118"/>
    </row>
    <row r="424" spans="2:21" s="57" customFormat="1" ht="13.5" hidden="1" customHeight="1">
      <c r="C424" s="57" t="s">
        <v>221</v>
      </c>
      <c r="D424" s="82"/>
      <c r="E424" s="82"/>
      <c r="F424" s="82"/>
      <c r="J424" s="82"/>
      <c r="M424" s="71"/>
      <c r="N424" s="82"/>
      <c r="O424" s="82"/>
      <c r="P424" s="148"/>
      <c r="T424" s="118"/>
      <c r="U424" s="118"/>
    </row>
    <row r="425" spans="2:21" s="57" customFormat="1" ht="13.5" hidden="1" customHeight="1">
      <c r="C425" s="226" t="s">
        <v>214</v>
      </c>
      <c r="D425" s="82"/>
      <c r="E425" s="82"/>
      <c r="F425" s="82"/>
      <c r="J425" s="82"/>
      <c r="M425" s="71"/>
      <c r="N425" s="82"/>
      <c r="O425" s="82"/>
      <c r="P425" s="148"/>
      <c r="T425" s="118"/>
      <c r="U425" s="118"/>
    </row>
    <row r="426" spans="2:21" s="57" customFormat="1" ht="13.5" hidden="1" customHeight="1">
      <c r="C426" s="226" t="s">
        <v>215</v>
      </c>
      <c r="D426" s="82"/>
      <c r="E426" s="82"/>
      <c r="F426" s="82"/>
      <c r="J426" s="82"/>
      <c r="M426" s="71"/>
      <c r="N426" s="82"/>
      <c r="O426" s="82"/>
      <c r="P426" s="148"/>
      <c r="T426" s="118"/>
      <c r="U426" s="118"/>
    </row>
    <row r="427" spans="2:21" s="57" customFormat="1" ht="13.5" hidden="1" customHeight="1">
      <c r="C427" s="226" t="s">
        <v>222</v>
      </c>
      <c r="D427" s="82"/>
      <c r="E427" s="82"/>
      <c r="F427" s="82"/>
      <c r="J427" s="82"/>
      <c r="M427" s="71"/>
      <c r="N427" s="82"/>
      <c r="O427" s="82"/>
      <c r="P427" s="148"/>
      <c r="T427" s="118"/>
      <c r="U427" s="118"/>
    </row>
    <row r="428" spans="2:21" s="57" customFormat="1" ht="13.5" hidden="1" customHeight="1">
      <c r="C428" s="226" t="s">
        <v>223</v>
      </c>
      <c r="D428" s="82"/>
      <c r="E428" s="82"/>
      <c r="F428" s="82"/>
      <c r="J428" s="82"/>
      <c r="M428" s="71"/>
      <c r="N428" s="82"/>
      <c r="O428" s="82"/>
      <c r="P428" s="148"/>
      <c r="T428" s="118"/>
      <c r="U428" s="118"/>
    </row>
    <row r="429" spans="2:21" s="57" customFormat="1" ht="13.5" hidden="1" customHeight="1">
      <c r="C429" s="226"/>
      <c r="D429" s="82"/>
      <c r="E429" s="82"/>
      <c r="F429" s="82"/>
      <c r="J429" s="82"/>
      <c r="M429" s="71"/>
      <c r="N429" s="82"/>
      <c r="O429" s="82"/>
      <c r="P429" s="148"/>
      <c r="T429" s="118"/>
      <c r="U429" s="118"/>
    </row>
    <row r="430" spans="2:21" s="57" customFormat="1" ht="13.5" customHeight="1">
      <c r="C430" s="82"/>
      <c r="D430" s="82"/>
      <c r="E430" s="82"/>
      <c r="F430" s="82"/>
      <c r="J430" s="82"/>
      <c r="M430" s="71"/>
      <c r="N430" s="82"/>
      <c r="O430" s="82"/>
      <c r="P430" s="148"/>
      <c r="T430" s="118"/>
      <c r="U430" s="118"/>
    </row>
    <row r="431" spans="2:21" s="57" customFormat="1" ht="11.25">
      <c r="B431" s="144" t="s">
        <v>125</v>
      </c>
      <c r="C431" s="121">
        <f>+Bonus!C400</f>
        <v>2024557298.8199999</v>
      </c>
      <c r="D431" s="121">
        <f>+Bonus!D400</f>
        <v>1893652246.8299999</v>
      </c>
      <c r="E431" s="121">
        <f>+Bonus!E400</f>
        <v>130905051.98999999</v>
      </c>
      <c r="F431" s="121">
        <f>+Bonus!F400</f>
        <v>1189375151.0799999</v>
      </c>
      <c r="G431" s="121"/>
      <c r="H431" s="121">
        <f>+Bonus!H400</f>
        <v>71040611.823135957</v>
      </c>
      <c r="J431" s="121">
        <f>+Bonus!J400</f>
        <v>1260032177.6699998</v>
      </c>
      <c r="K431" s="121"/>
      <c r="L431" s="121">
        <f>+Bonus!L400</f>
        <v>704277095.75</v>
      </c>
      <c r="M431" s="121">
        <f>+Bonus!M400</f>
        <v>764525121.14999998</v>
      </c>
      <c r="N431" s="121">
        <f>+Bonus!N400</f>
        <v>850491382.19999993</v>
      </c>
      <c r="O431" s="121">
        <f>+Bonus!O400</f>
        <v>905013820.6099999</v>
      </c>
      <c r="P431" s="148"/>
      <c r="Q431" s="121">
        <f>+Bonus!Q400</f>
        <v>338883768.87999994</v>
      </c>
      <c r="R431" s="121">
        <f>+Bonus!R400</f>
        <v>355018357.06</v>
      </c>
      <c r="S431" s="121"/>
      <c r="T431" s="118"/>
      <c r="U431" s="118"/>
    </row>
    <row r="432" spans="2:21" s="57" customFormat="1" ht="11.25">
      <c r="B432" s="144" t="s">
        <v>108</v>
      </c>
      <c r="C432" s="151">
        <f>+C431-C400</f>
        <v>12826365.410000086</v>
      </c>
      <c r="D432" s="151">
        <f>+D431-D400</f>
        <v>10972511.590000153</v>
      </c>
      <c r="E432" s="151">
        <f>+E431-E400</f>
        <v>1853853.8200000077</v>
      </c>
      <c r="F432" s="476">
        <f>+F431-F400</f>
        <v>0</v>
      </c>
      <c r="G432" s="151"/>
      <c r="H432" s="151">
        <f t="shared" ref="H432" si="410">+H431-H400</f>
        <v>862491.52594409883</v>
      </c>
      <c r="I432" s="484"/>
      <c r="J432" s="476">
        <f>+J431-J400</f>
        <v>0</v>
      </c>
      <c r="K432" s="151"/>
      <c r="L432" s="151">
        <f t="shared" ref="L432:R432" si="411">+L431-L400</f>
        <v>10972511.590000033</v>
      </c>
      <c r="M432" s="151">
        <f t="shared" si="411"/>
        <v>12826365.409999967</v>
      </c>
      <c r="N432" s="151">
        <f t="shared" si="411"/>
        <v>0</v>
      </c>
      <c r="O432" s="151">
        <f t="shared" si="411"/>
        <v>0</v>
      </c>
      <c r="P432" s="151">
        <f t="shared" si="411"/>
        <v>-52896373.239297763</v>
      </c>
      <c r="Q432" s="476">
        <f t="shared" si="411"/>
        <v>0</v>
      </c>
      <c r="R432" s="476">
        <f t="shared" si="411"/>
        <v>0</v>
      </c>
      <c r="S432" s="151"/>
      <c r="T432" s="118"/>
      <c r="U432" s="118"/>
    </row>
    <row r="433" spans="1:22" s="57" customFormat="1" ht="11.25">
      <c r="C433" s="82"/>
      <c r="D433" s="82"/>
      <c r="E433" s="82"/>
      <c r="F433" s="82"/>
      <c r="J433" s="82"/>
      <c r="N433" s="82"/>
      <c r="O433" s="82"/>
      <c r="P433" s="148"/>
      <c r="T433" s="118"/>
      <c r="U433" s="118"/>
    </row>
    <row r="434" spans="1:22" s="57" customFormat="1" ht="11.25">
      <c r="C434" s="64"/>
      <c r="D434" s="64"/>
      <c r="E434" s="64"/>
      <c r="F434" s="64"/>
      <c r="G434" s="64"/>
      <c r="H434" s="64"/>
      <c r="I434" s="64"/>
      <c r="J434" s="64"/>
      <c r="K434" s="64"/>
      <c r="L434" s="64"/>
      <c r="M434" s="64"/>
      <c r="N434" s="64"/>
      <c r="O434" s="64"/>
      <c r="P434" s="64"/>
      <c r="Q434" s="64"/>
      <c r="R434" s="64"/>
      <c r="S434" s="64"/>
      <c r="T434" s="118"/>
      <c r="U434" s="118"/>
      <c r="V434" s="365"/>
    </row>
    <row r="435" spans="1:22" s="57" customFormat="1" ht="11.25">
      <c r="C435" s="215"/>
      <c r="D435" s="215"/>
      <c r="E435" s="215"/>
      <c r="F435" s="215"/>
      <c r="G435" s="215"/>
      <c r="H435" s="215"/>
      <c r="I435" s="215"/>
      <c r="J435" s="215"/>
      <c r="K435" s="215"/>
      <c r="L435" s="215"/>
      <c r="M435" s="215"/>
      <c r="N435" s="215"/>
      <c r="O435" s="215"/>
      <c r="P435" s="215"/>
      <c r="Q435" s="215"/>
      <c r="R435" s="215"/>
      <c r="S435" s="215"/>
      <c r="T435" s="118"/>
      <c r="U435" s="118"/>
    </row>
    <row r="436" spans="1:22" s="57" customFormat="1" ht="11.25">
      <c r="C436" s="64"/>
      <c r="D436" s="64"/>
      <c r="E436" s="64"/>
      <c r="F436" s="64"/>
      <c r="G436" s="64"/>
      <c r="H436" s="64"/>
      <c r="I436" s="64"/>
      <c r="J436" s="64"/>
      <c r="K436" s="64"/>
      <c r="L436" s="64"/>
      <c r="M436" s="64"/>
      <c r="N436" s="64"/>
      <c r="O436" s="64"/>
      <c r="P436" s="64"/>
      <c r="Q436" s="64"/>
      <c r="R436" s="64"/>
      <c r="S436" s="64"/>
      <c r="T436" s="118"/>
      <c r="U436" s="118"/>
    </row>
    <row r="437" spans="1:22" s="57" customFormat="1" ht="11.25">
      <c r="D437" s="82"/>
      <c r="E437" s="82"/>
      <c r="F437" s="82"/>
      <c r="J437" s="82"/>
      <c r="M437" s="71"/>
      <c r="N437" s="82"/>
      <c r="O437" s="82"/>
      <c r="P437" s="148"/>
      <c r="T437" s="118"/>
      <c r="U437" s="118"/>
    </row>
    <row r="438" spans="1:22" s="57" customFormat="1" ht="11.25">
      <c r="D438" s="82"/>
      <c r="E438" s="82"/>
      <c r="F438" s="82"/>
      <c r="J438" s="82"/>
      <c r="M438" s="71"/>
      <c r="N438" s="82"/>
      <c r="O438" s="82"/>
      <c r="P438" s="148"/>
      <c r="T438" s="118"/>
      <c r="U438" s="118"/>
    </row>
    <row r="439" spans="1:22" s="57" customFormat="1" ht="11.25">
      <c r="D439" s="82"/>
      <c r="E439" s="82"/>
      <c r="F439" s="82"/>
      <c r="J439" s="82"/>
      <c r="N439" s="82"/>
      <c r="O439" s="82"/>
      <c r="P439" s="148"/>
      <c r="T439" s="118"/>
      <c r="U439" s="118"/>
    </row>
    <row r="440" spans="1:22" s="57" customFormat="1" ht="11.25">
      <c r="C440" s="215"/>
      <c r="D440" s="276"/>
      <c r="E440" s="276"/>
      <c r="F440" s="82"/>
      <c r="J440" s="82"/>
      <c r="N440" s="82"/>
      <c r="O440" s="82"/>
      <c r="P440" s="148"/>
      <c r="T440" s="118"/>
      <c r="U440" s="118"/>
    </row>
    <row r="441" spans="1:22" s="57" customFormat="1" ht="11.25">
      <c r="D441" s="82"/>
      <c r="E441" s="82"/>
      <c r="F441" s="82"/>
      <c r="J441" s="82"/>
      <c r="N441" s="82"/>
      <c r="O441" s="82"/>
      <c r="P441" s="148"/>
      <c r="T441" s="118"/>
      <c r="U441" s="118"/>
    </row>
    <row r="442" spans="1:22" s="57" customFormat="1" ht="11.25">
      <c r="A442" s="75"/>
      <c r="B442" s="69"/>
      <c r="C442" s="460"/>
      <c r="D442" s="460"/>
      <c r="E442" s="460"/>
      <c r="F442" s="276"/>
      <c r="G442" s="460"/>
      <c r="H442" s="460"/>
      <c r="I442" s="276"/>
      <c r="J442" s="460"/>
      <c r="K442" s="460"/>
      <c r="L442" s="460"/>
      <c r="M442" s="460"/>
      <c r="N442" s="460"/>
      <c r="O442" s="460"/>
      <c r="P442" s="460"/>
      <c r="Q442" s="460"/>
      <c r="R442" s="460"/>
      <c r="S442" s="460"/>
      <c r="T442" s="118"/>
      <c r="U442" s="118"/>
    </row>
    <row r="443" spans="1:22" s="57" customFormat="1" ht="11.25">
      <c r="A443" s="75"/>
      <c r="B443" s="69"/>
      <c r="C443" s="82"/>
      <c r="D443" s="123"/>
      <c r="E443" s="123"/>
      <c r="F443" s="123"/>
      <c r="G443" s="64"/>
      <c r="H443" s="69"/>
      <c r="I443" s="64"/>
      <c r="J443" s="82"/>
      <c r="N443" s="123"/>
      <c r="O443" s="123"/>
      <c r="P443" s="149"/>
      <c r="Q443" s="64"/>
      <c r="R443" s="64"/>
      <c r="S443" s="64"/>
      <c r="T443" s="118"/>
      <c r="U443" s="118"/>
    </row>
    <row r="444" spans="1:22" s="57" customFormat="1" ht="11.25">
      <c r="A444" s="75"/>
      <c r="B444" s="69"/>
      <c r="C444" s="82"/>
      <c r="D444" s="123"/>
      <c r="E444" s="123"/>
      <c r="F444" s="123"/>
      <c r="G444" s="64"/>
      <c r="H444" s="69"/>
      <c r="I444" s="64"/>
      <c r="J444" s="82"/>
      <c r="N444" s="123"/>
      <c r="O444" s="123"/>
      <c r="P444" s="149"/>
      <c r="Q444" s="64"/>
      <c r="R444" s="64"/>
      <c r="S444" s="64"/>
      <c r="T444" s="118"/>
      <c r="U444" s="118"/>
    </row>
    <row r="445" spans="1:22" s="57" customFormat="1" ht="11.25">
      <c r="A445" s="75"/>
      <c r="B445" s="69"/>
      <c r="C445" s="82"/>
      <c r="D445" s="123"/>
      <c r="E445" s="123"/>
      <c r="F445" s="123"/>
      <c r="G445" s="64"/>
      <c r="H445" s="69"/>
      <c r="I445" s="64"/>
      <c r="J445" s="82"/>
      <c r="N445" s="123"/>
      <c r="O445" s="123"/>
      <c r="P445" s="149"/>
      <c r="Q445" s="64"/>
      <c r="R445" s="64"/>
      <c r="S445" s="64"/>
      <c r="T445" s="118"/>
      <c r="U445" s="118"/>
    </row>
    <row r="446" spans="1:22" s="57" customFormat="1" ht="11.25">
      <c r="C446" s="82"/>
      <c r="D446" s="123"/>
      <c r="E446" s="123"/>
      <c r="F446" s="123"/>
      <c r="G446" s="64"/>
      <c r="I446" s="64"/>
      <c r="J446" s="82"/>
      <c r="N446" s="123"/>
      <c r="O446" s="123"/>
      <c r="P446" s="149"/>
      <c r="Q446" s="64"/>
      <c r="R446" s="64"/>
      <c r="S446" s="64"/>
      <c r="T446" s="118"/>
      <c r="U446" s="118"/>
    </row>
    <row r="447" spans="1:22" s="57" customFormat="1" ht="11.25">
      <c r="C447" s="121"/>
      <c r="D447" s="123"/>
      <c r="E447" s="123"/>
      <c r="F447" s="123"/>
      <c r="G447" s="69"/>
      <c r="H447" s="64"/>
      <c r="I447" s="64"/>
      <c r="J447" s="82"/>
      <c r="N447" s="123"/>
      <c r="O447" s="123"/>
      <c r="P447" s="149"/>
      <c r="Q447" s="64"/>
      <c r="R447" s="64"/>
      <c r="S447" s="64"/>
      <c r="T447" s="118"/>
      <c r="U447" s="118"/>
    </row>
    <row r="448" spans="1:22" s="57" customFormat="1" ht="11.25">
      <c r="C448" s="121"/>
      <c r="D448" s="123"/>
      <c r="E448" s="123"/>
      <c r="F448" s="123"/>
      <c r="H448" s="64"/>
      <c r="I448" s="64"/>
      <c r="J448" s="82"/>
      <c r="N448" s="123"/>
      <c r="O448" s="123"/>
      <c r="P448" s="149"/>
      <c r="Q448" s="64"/>
      <c r="R448" s="64"/>
      <c r="S448" s="64"/>
      <c r="T448" s="118"/>
      <c r="U448" s="118"/>
    </row>
    <row r="449" spans="1:21" s="57" customFormat="1" ht="11.25">
      <c r="C449" s="121"/>
      <c r="D449" s="123"/>
      <c r="E449" s="123"/>
      <c r="F449" s="123"/>
      <c r="G449" s="69"/>
      <c r="H449" s="64"/>
      <c r="I449" s="64"/>
      <c r="J449" s="82"/>
      <c r="N449" s="123"/>
      <c r="O449" s="123"/>
      <c r="P449" s="149"/>
      <c r="Q449" s="64"/>
      <c r="R449" s="64"/>
      <c r="S449" s="64"/>
      <c r="T449" s="118"/>
      <c r="U449" s="118"/>
    </row>
    <row r="450" spans="1:21" s="57" customFormat="1" ht="11.25">
      <c r="C450" s="121"/>
      <c r="D450" s="123"/>
      <c r="E450" s="123"/>
      <c r="F450" s="123"/>
      <c r="G450" s="69"/>
      <c r="H450" s="64"/>
      <c r="I450" s="64"/>
      <c r="J450" s="82"/>
      <c r="N450" s="123"/>
      <c r="O450" s="123"/>
      <c r="P450" s="149"/>
      <c r="Q450" s="64"/>
      <c r="R450" s="64"/>
      <c r="S450" s="64"/>
      <c r="T450" s="118"/>
      <c r="U450" s="118"/>
    </row>
    <row r="451" spans="1:21" s="57" customFormat="1" ht="11.25">
      <c r="A451" s="75"/>
      <c r="B451" s="69"/>
      <c r="C451" s="121"/>
      <c r="D451" s="123"/>
      <c r="E451" s="123"/>
      <c r="F451" s="123"/>
      <c r="G451" s="69"/>
      <c r="H451" s="64"/>
      <c r="I451" s="64"/>
      <c r="J451" s="82"/>
      <c r="N451" s="123"/>
      <c r="O451" s="123"/>
      <c r="P451" s="149"/>
      <c r="Q451" s="64"/>
      <c r="R451" s="64"/>
      <c r="S451" s="64"/>
      <c r="T451" s="118"/>
      <c r="U451" s="118"/>
    </row>
    <row r="452" spans="1:21" s="57" customFormat="1" ht="11.25">
      <c r="A452" s="75"/>
      <c r="B452" s="69"/>
      <c r="C452" s="121"/>
      <c r="D452" s="123"/>
      <c r="E452" s="123"/>
      <c r="F452" s="123"/>
      <c r="G452" s="69"/>
      <c r="H452" s="64"/>
      <c r="I452" s="64"/>
      <c r="J452" s="123"/>
      <c r="K452" s="64"/>
      <c r="L452" s="64"/>
      <c r="M452" s="64"/>
      <c r="N452" s="123"/>
      <c r="O452" s="123"/>
      <c r="P452" s="149"/>
      <c r="Q452" s="64"/>
      <c r="R452" s="64"/>
      <c r="S452" s="64"/>
      <c r="T452" s="118"/>
      <c r="U452" s="118"/>
    </row>
    <row r="453" spans="1:21" s="57" customFormat="1" ht="11.25">
      <c r="A453" s="75"/>
      <c r="B453" s="89"/>
      <c r="C453" s="121"/>
      <c r="D453" s="123"/>
      <c r="E453" s="123"/>
      <c r="F453" s="123"/>
      <c r="G453" s="69"/>
      <c r="H453" s="64"/>
      <c r="I453" s="64"/>
      <c r="J453" s="123"/>
      <c r="K453" s="64"/>
      <c r="L453" s="64"/>
      <c r="M453" s="64"/>
      <c r="N453" s="123"/>
      <c r="O453" s="123"/>
      <c r="P453" s="149"/>
      <c r="Q453" s="64"/>
      <c r="R453" s="64"/>
      <c r="S453" s="64"/>
      <c r="T453" s="118"/>
      <c r="U453" s="118"/>
    </row>
    <row r="454" spans="1:21" s="57" customFormat="1" ht="11.25">
      <c r="A454" s="75"/>
      <c r="B454" s="89"/>
      <c r="C454" s="121"/>
      <c r="D454" s="123"/>
      <c r="E454" s="123"/>
      <c r="F454" s="123"/>
      <c r="G454" s="69"/>
      <c r="H454" s="64"/>
      <c r="I454" s="64"/>
      <c r="J454" s="123"/>
      <c r="K454" s="64"/>
      <c r="L454" s="64"/>
      <c r="M454" s="64"/>
      <c r="N454" s="123"/>
      <c r="O454" s="123"/>
      <c r="P454" s="149"/>
      <c r="Q454" s="64"/>
      <c r="R454" s="64"/>
      <c r="S454" s="64"/>
      <c r="T454" s="118"/>
      <c r="U454" s="118"/>
    </row>
    <row r="455" spans="1:21" s="57" customFormat="1" ht="11.25">
      <c r="A455" s="75"/>
      <c r="B455" s="69"/>
      <c r="C455" s="121"/>
      <c r="D455" s="123"/>
      <c r="E455" s="123"/>
      <c r="F455" s="123"/>
      <c r="G455" s="69"/>
      <c r="H455" s="64"/>
      <c r="I455" s="64"/>
      <c r="J455" s="123"/>
      <c r="K455" s="64"/>
      <c r="L455" s="64"/>
      <c r="M455" s="64"/>
      <c r="N455" s="123"/>
      <c r="O455" s="123"/>
      <c r="P455" s="149"/>
      <c r="Q455" s="64"/>
      <c r="R455" s="64"/>
      <c r="S455" s="64"/>
      <c r="T455" s="118"/>
      <c r="U455" s="118"/>
    </row>
    <row r="456" spans="1:21" s="57" customFormat="1" ht="11.25">
      <c r="A456" s="75"/>
      <c r="B456" s="69"/>
      <c r="C456" s="121"/>
      <c r="D456" s="123"/>
      <c r="E456" s="123"/>
      <c r="F456" s="123"/>
      <c r="G456" s="69"/>
      <c r="H456" s="64"/>
      <c r="I456" s="64"/>
      <c r="J456" s="123"/>
      <c r="K456" s="64"/>
      <c r="L456" s="64"/>
      <c r="M456" s="64"/>
      <c r="N456" s="123"/>
      <c r="O456" s="123"/>
      <c r="P456" s="149"/>
      <c r="Q456" s="64"/>
      <c r="R456" s="64"/>
      <c r="S456" s="64"/>
      <c r="T456" s="118"/>
      <c r="U456" s="118"/>
    </row>
    <row r="457" spans="1:21" s="57" customFormat="1" ht="11.25">
      <c r="A457" s="69"/>
      <c r="B457" s="69"/>
      <c r="C457" s="121"/>
      <c r="D457" s="123"/>
      <c r="E457" s="123"/>
      <c r="F457" s="123"/>
      <c r="G457" s="69"/>
      <c r="H457" s="64"/>
      <c r="I457" s="64"/>
      <c r="J457" s="123"/>
      <c r="K457" s="64"/>
      <c r="L457" s="64"/>
      <c r="M457" s="64"/>
      <c r="N457" s="123"/>
      <c r="O457" s="123"/>
      <c r="P457" s="149"/>
      <c r="Q457" s="64"/>
      <c r="R457" s="64"/>
      <c r="S457" s="64"/>
      <c r="T457" s="118"/>
      <c r="U457" s="118"/>
    </row>
    <row r="458" spans="1:21" s="57" customFormat="1" ht="11.25">
      <c r="A458" s="75"/>
      <c r="B458" s="69"/>
      <c r="C458" s="121"/>
      <c r="D458" s="123"/>
      <c r="E458" s="123"/>
      <c r="F458" s="123"/>
      <c r="G458" s="69"/>
      <c r="H458" s="64"/>
      <c r="I458" s="64"/>
      <c r="J458" s="123"/>
      <c r="K458" s="64"/>
      <c r="L458" s="64"/>
      <c r="M458" s="64"/>
      <c r="N458" s="123"/>
      <c r="O458" s="123"/>
      <c r="P458" s="149"/>
      <c r="Q458" s="64"/>
      <c r="R458" s="64"/>
      <c r="S458" s="64"/>
      <c r="T458" s="118"/>
      <c r="U458" s="118"/>
    </row>
    <row r="459" spans="1:21" s="57" customFormat="1" ht="11.25">
      <c r="A459" s="75"/>
      <c r="B459" s="69"/>
      <c r="C459" s="121"/>
      <c r="D459" s="123"/>
      <c r="E459" s="123"/>
      <c r="F459" s="123"/>
      <c r="G459" s="69"/>
      <c r="H459" s="64"/>
      <c r="I459" s="64"/>
      <c r="J459" s="123"/>
      <c r="K459" s="64"/>
      <c r="L459" s="64"/>
      <c r="M459" s="64"/>
      <c r="N459" s="123"/>
      <c r="O459" s="123"/>
      <c r="P459" s="149"/>
      <c r="Q459" s="64"/>
      <c r="R459" s="64"/>
      <c r="S459" s="64"/>
      <c r="T459" s="118"/>
      <c r="U459" s="118"/>
    </row>
    <row r="460" spans="1:21" s="57" customFormat="1" ht="11.25">
      <c r="A460" s="75"/>
      <c r="B460" s="69"/>
      <c r="C460" s="121"/>
      <c r="D460" s="123"/>
      <c r="E460" s="123"/>
      <c r="F460" s="123"/>
      <c r="G460" s="69"/>
      <c r="H460" s="64"/>
      <c r="I460" s="64"/>
      <c r="J460" s="123"/>
      <c r="K460" s="64"/>
      <c r="L460" s="64"/>
      <c r="M460" s="64"/>
      <c r="N460" s="123"/>
      <c r="O460" s="123"/>
      <c r="P460" s="149"/>
      <c r="Q460" s="64"/>
      <c r="R460" s="64"/>
      <c r="S460" s="64"/>
      <c r="T460" s="118"/>
      <c r="U460" s="118"/>
    </row>
    <row r="461" spans="1:21" s="57" customFormat="1" ht="11.25">
      <c r="A461" s="75"/>
      <c r="B461" s="69"/>
      <c r="C461" s="121"/>
      <c r="D461" s="123"/>
      <c r="E461" s="123"/>
      <c r="F461" s="123"/>
      <c r="G461" s="69"/>
      <c r="H461" s="64"/>
      <c r="I461" s="64"/>
      <c r="J461" s="123"/>
      <c r="K461" s="64"/>
      <c r="L461" s="64"/>
      <c r="M461" s="64"/>
      <c r="N461" s="123"/>
      <c r="O461" s="123"/>
      <c r="P461" s="149"/>
      <c r="Q461" s="64"/>
      <c r="R461" s="64"/>
      <c r="S461" s="64"/>
      <c r="T461" s="118"/>
      <c r="U461" s="118"/>
    </row>
    <row r="462" spans="1:21" s="57" customFormat="1" ht="11.25">
      <c r="A462" s="75"/>
      <c r="B462" s="69"/>
      <c r="C462" s="121"/>
      <c r="D462" s="123"/>
      <c r="E462" s="123"/>
      <c r="F462" s="123"/>
      <c r="G462" s="69"/>
      <c r="H462" s="64"/>
      <c r="I462" s="64"/>
      <c r="J462" s="123"/>
      <c r="K462" s="64"/>
      <c r="L462" s="64"/>
      <c r="M462" s="64"/>
      <c r="N462" s="123"/>
      <c r="O462" s="123"/>
      <c r="P462" s="149"/>
      <c r="Q462" s="64"/>
      <c r="R462" s="64"/>
      <c r="S462" s="64"/>
      <c r="T462" s="118"/>
      <c r="U462" s="118"/>
    </row>
    <row r="463" spans="1:21" s="57" customFormat="1" ht="11.25">
      <c r="A463" s="75"/>
      <c r="B463" s="69"/>
      <c r="C463" s="121"/>
      <c r="D463" s="123"/>
      <c r="E463" s="123"/>
      <c r="F463" s="123"/>
      <c r="G463" s="69"/>
      <c r="H463" s="64"/>
      <c r="I463" s="64"/>
      <c r="J463" s="123"/>
      <c r="K463" s="64"/>
      <c r="L463" s="64"/>
      <c r="M463" s="64"/>
      <c r="N463" s="123"/>
      <c r="O463" s="123"/>
      <c r="P463" s="149"/>
      <c r="Q463" s="64"/>
      <c r="R463" s="64"/>
      <c r="S463" s="64"/>
      <c r="T463" s="118"/>
      <c r="U463" s="118"/>
    </row>
    <row r="464" spans="1:21" s="57" customFormat="1" ht="11.25">
      <c r="A464" s="75"/>
      <c r="B464" s="69"/>
      <c r="C464" s="121"/>
      <c r="D464" s="123"/>
      <c r="E464" s="123"/>
      <c r="F464" s="123"/>
      <c r="G464" s="69"/>
      <c r="H464" s="64"/>
      <c r="I464" s="64"/>
      <c r="J464" s="123"/>
      <c r="K464" s="64"/>
      <c r="L464" s="64"/>
      <c r="M464" s="64"/>
      <c r="N464" s="123"/>
      <c r="O464" s="123"/>
      <c r="P464" s="149"/>
      <c r="Q464" s="64"/>
      <c r="R464" s="64"/>
      <c r="S464" s="64"/>
      <c r="T464" s="118"/>
      <c r="U464" s="118"/>
    </row>
    <row r="465" spans="1:21" s="57" customFormat="1" ht="11.25">
      <c r="A465" s="75"/>
      <c r="B465" s="69"/>
      <c r="C465" s="121"/>
      <c r="D465" s="123"/>
      <c r="E465" s="123"/>
      <c r="F465" s="123"/>
      <c r="G465" s="69"/>
      <c r="H465" s="64"/>
      <c r="I465" s="64"/>
      <c r="J465" s="123"/>
      <c r="K465" s="64"/>
      <c r="L465" s="64"/>
      <c r="M465" s="64"/>
      <c r="N465" s="123"/>
      <c r="O465" s="123"/>
      <c r="P465" s="149"/>
      <c r="Q465" s="64"/>
      <c r="R465" s="64"/>
      <c r="S465" s="64"/>
      <c r="T465" s="118"/>
      <c r="U465" s="118"/>
    </row>
    <row r="466" spans="1:21" s="57" customFormat="1" ht="11.25">
      <c r="A466" s="75"/>
      <c r="B466" s="69"/>
      <c r="C466" s="121"/>
      <c r="D466" s="123"/>
      <c r="E466" s="123"/>
      <c r="F466" s="123"/>
      <c r="G466" s="69"/>
      <c r="H466" s="64"/>
      <c r="I466" s="64"/>
      <c r="J466" s="123"/>
      <c r="K466" s="64"/>
      <c r="L466" s="64"/>
      <c r="M466" s="64"/>
      <c r="N466" s="123"/>
      <c r="O466" s="123"/>
      <c r="P466" s="149"/>
      <c r="Q466" s="64"/>
      <c r="R466" s="64"/>
      <c r="S466" s="64"/>
      <c r="T466" s="118"/>
      <c r="U466" s="118"/>
    </row>
    <row r="467" spans="1:21" s="57" customFormat="1" ht="11.25">
      <c r="A467" s="75"/>
      <c r="B467" s="69"/>
      <c r="C467" s="121"/>
      <c r="D467" s="123"/>
      <c r="E467" s="123"/>
      <c r="F467" s="123"/>
      <c r="G467" s="69"/>
      <c r="H467" s="64"/>
      <c r="I467" s="64"/>
      <c r="J467" s="123"/>
      <c r="K467" s="64"/>
      <c r="L467" s="64"/>
      <c r="M467" s="64"/>
      <c r="N467" s="123"/>
      <c r="O467" s="123"/>
      <c r="P467" s="149"/>
      <c r="Q467" s="64"/>
      <c r="R467" s="64"/>
      <c r="S467" s="64"/>
      <c r="T467" s="118"/>
      <c r="U467" s="118"/>
    </row>
    <row r="468" spans="1:21" s="57" customFormat="1" ht="11.25">
      <c r="A468" s="75"/>
      <c r="B468" s="69"/>
      <c r="C468" s="121"/>
      <c r="D468" s="123"/>
      <c r="E468" s="123"/>
      <c r="F468" s="123"/>
      <c r="G468" s="69"/>
      <c r="H468" s="64"/>
      <c r="I468" s="64"/>
      <c r="J468" s="123"/>
      <c r="K468" s="64"/>
      <c r="L468" s="64"/>
      <c r="M468" s="64"/>
      <c r="N468" s="123"/>
      <c r="O468" s="123"/>
      <c r="P468" s="149"/>
      <c r="Q468" s="64"/>
      <c r="R468" s="64"/>
      <c r="S468" s="64"/>
      <c r="T468" s="118"/>
      <c r="U468" s="118"/>
    </row>
    <row r="469" spans="1:21" s="57" customFormat="1" ht="11.25">
      <c r="A469" s="75"/>
      <c r="B469" s="69"/>
      <c r="C469" s="121"/>
      <c r="D469" s="123"/>
      <c r="E469" s="123"/>
      <c r="F469" s="123"/>
      <c r="G469" s="69"/>
      <c r="H469" s="64"/>
      <c r="I469" s="64"/>
      <c r="J469" s="123"/>
      <c r="K469" s="64"/>
      <c r="L469" s="64"/>
      <c r="M469" s="64"/>
      <c r="N469" s="123"/>
      <c r="O469" s="123"/>
      <c r="P469" s="149"/>
      <c r="Q469" s="64"/>
      <c r="R469" s="64"/>
      <c r="S469" s="64"/>
      <c r="T469" s="118"/>
      <c r="U469" s="118"/>
    </row>
    <row r="470" spans="1:21" s="57" customFormat="1" ht="11.25">
      <c r="A470" s="75"/>
      <c r="B470" s="69"/>
      <c r="C470" s="121"/>
      <c r="D470" s="123"/>
      <c r="E470" s="123"/>
      <c r="F470" s="123"/>
      <c r="G470" s="69"/>
      <c r="H470" s="64"/>
      <c r="I470" s="64"/>
      <c r="J470" s="123"/>
      <c r="K470" s="64"/>
      <c r="L470" s="64"/>
      <c r="M470" s="64"/>
      <c r="N470" s="123"/>
      <c r="O470" s="123"/>
      <c r="P470" s="149"/>
      <c r="Q470" s="64"/>
      <c r="R470" s="64"/>
      <c r="S470" s="64"/>
      <c r="T470" s="118"/>
      <c r="U470" s="118"/>
    </row>
    <row r="471" spans="1:21" s="57" customFormat="1" ht="11.25">
      <c r="A471" s="75"/>
      <c r="B471" s="69"/>
      <c r="C471" s="121"/>
      <c r="D471" s="123"/>
      <c r="E471" s="123"/>
      <c r="F471" s="123"/>
      <c r="G471" s="69"/>
      <c r="H471" s="64"/>
      <c r="I471" s="64"/>
      <c r="J471" s="123"/>
      <c r="K471" s="64"/>
      <c r="L471" s="64"/>
      <c r="M471" s="64"/>
      <c r="N471" s="123"/>
      <c r="O471" s="123"/>
      <c r="P471" s="149"/>
      <c r="Q471" s="64"/>
      <c r="R471" s="64"/>
      <c r="S471" s="64"/>
      <c r="T471" s="118"/>
      <c r="U471" s="118"/>
    </row>
    <row r="472" spans="1:21" s="57" customFormat="1" ht="11.25">
      <c r="A472" s="75"/>
      <c r="B472" s="69"/>
      <c r="C472" s="121"/>
      <c r="D472" s="123"/>
      <c r="E472" s="123"/>
      <c r="F472" s="123"/>
      <c r="G472" s="69"/>
      <c r="H472" s="64"/>
      <c r="I472" s="64"/>
      <c r="J472" s="123"/>
      <c r="K472" s="64"/>
      <c r="L472" s="64"/>
      <c r="M472" s="64"/>
      <c r="N472" s="123"/>
      <c r="O472" s="123"/>
      <c r="P472" s="149"/>
      <c r="Q472" s="64"/>
      <c r="R472" s="64"/>
      <c r="S472" s="64"/>
      <c r="T472" s="118"/>
      <c r="U472" s="118"/>
    </row>
    <row r="473" spans="1:21" s="57" customFormat="1" ht="11.25">
      <c r="A473" s="75"/>
      <c r="B473" s="69"/>
      <c r="C473" s="121"/>
      <c r="D473" s="123"/>
      <c r="E473" s="123"/>
      <c r="F473" s="123"/>
      <c r="G473" s="69"/>
      <c r="H473" s="64"/>
      <c r="I473" s="64"/>
      <c r="J473" s="123"/>
      <c r="K473" s="64"/>
      <c r="L473" s="64"/>
      <c r="M473" s="64"/>
      <c r="N473" s="123"/>
      <c r="O473" s="123"/>
      <c r="P473" s="149"/>
      <c r="Q473" s="64"/>
      <c r="R473" s="64"/>
      <c r="S473" s="64"/>
      <c r="T473" s="118"/>
      <c r="U473" s="118"/>
    </row>
    <row r="474" spans="1:21" s="57" customFormat="1" ht="11.25">
      <c r="A474" s="75"/>
      <c r="B474" s="69"/>
      <c r="C474" s="121"/>
      <c r="D474" s="123"/>
      <c r="E474" s="123"/>
      <c r="F474" s="123"/>
      <c r="G474" s="69"/>
      <c r="H474" s="64"/>
      <c r="I474" s="64"/>
      <c r="J474" s="123"/>
      <c r="K474" s="64"/>
      <c r="L474" s="64"/>
      <c r="M474" s="64"/>
      <c r="N474" s="123"/>
      <c r="O474" s="123"/>
      <c r="P474" s="149"/>
      <c r="Q474" s="64"/>
      <c r="R474" s="64">
        <v>0</v>
      </c>
      <c r="S474" s="64"/>
      <c r="T474" s="118"/>
      <c r="U474" s="118"/>
    </row>
    <row r="475" spans="1:21" s="57" customFormat="1" ht="11.25">
      <c r="A475" s="75"/>
      <c r="B475" s="69"/>
      <c r="C475" s="121"/>
      <c r="D475" s="123"/>
      <c r="E475" s="123"/>
      <c r="F475" s="123"/>
      <c r="G475" s="69"/>
      <c r="H475" s="64"/>
      <c r="I475" s="64"/>
      <c r="J475" s="123"/>
      <c r="K475" s="64"/>
      <c r="L475" s="64"/>
      <c r="M475" s="64"/>
      <c r="N475" s="123"/>
      <c r="O475" s="123"/>
      <c r="P475" s="149"/>
      <c r="Q475" s="64"/>
      <c r="R475" s="64"/>
      <c r="S475" s="64"/>
      <c r="T475" s="118"/>
      <c r="U475" s="118"/>
    </row>
    <row r="476" spans="1:21" s="57" customFormat="1" ht="11.25">
      <c r="A476" s="75"/>
      <c r="B476" s="69"/>
      <c r="C476" s="121"/>
      <c r="D476" s="123"/>
      <c r="E476" s="123"/>
      <c r="F476" s="123"/>
      <c r="G476" s="69"/>
      <c r="H476" s="64"/>
      <c r="I476" s="64"/>
      <c r="J476" s="123"/>
      <c r="K476" s="64"/>
      <c r="L476" s="64"/>
      <c r="M476" s="64"/>
      <c r="N476" s="123"/>
      <c r="O476" s="123"/>
      <c r="P476" s="149"/>
      <c r="Q476" s="64"/>
      <c r="R476" s="64"/>
      <c r="S476" s="64"/>
      <c r="T476" s="118"/>
      <c r="U476" s="118"/>
    </row>
    <row r="477" spans="1:21" s="57" customFormat="1" ht="11.25">
      <c r="A477" s="75"/>
      <c r="B477" s="69"/>
      <c r="C477" s="121"/>
      <c r="D477" s="123"/>
      <c r="E477" s="123"/>
      <c r="F477" s="123"/>
      <c r="G477" s="69"/>
      <c r="H477" s="64"/>
      <c r="I477" s="64"/>
      <c r="J477" s="123"/>
      <c r="K477" s="64"/>
      <c r="L477" s="64"/>
      <c r="M477" s="64"/>
      <c r="N477" s="123"/>
      <c r="O477" s="123"/>
      <c r="P477" s="149"/>
      <c r="Q477" s="64"/>
      <c r="R477" s="64"/>
      <c r="S477" s="64"/>
      <c r="T477" s="118"/>
      <c r="U477" s="118"/>
    </row>
    <row r="478" spans="1:21" s="57" customFormat="1" ht="11.25">
      <c r="A478" s="75"/>
      <c r="B478" s="69"/>
      <c r="C478" s="121"/>
      <c r="D478" s="123"/>
      <c r="E478" s="123"/>
      <c r="F478" s="123"/>
      <c r="G478" s="69"/>
      <c r="H478" s="64"/>
      <c r="I478" s="64"/>
      <c r="J478" s="123"/>
      <c r="K478" s="64"/>
      <c r="L478" s="64"/>
      <c r="M478" s="64"/>
      <c r="N478" s="123"/>
      <c r="O478" s="123"/>
      <c r="P478" s="149"/>
      <c r="Q478" s="64"/>
      <c r="R478" s="64"/>
      <c r="S478" s="64"/>
      <c r="T478" s="118"/>
      <c r="U478" s="118"/>
    </row>
    <row r="479" spans="1:21" s="57" customFormat="1" ht="11.25">
      <c r="A479" s="75"/>
      <c r="B479" s="69"/>
      <c r="C479" s="121"/>
      <c r="D479" s="123"/>
      <c r="E479" s="123"/>
      <c r="F479" s="123"/>
      <c r="G479" s="69"/>
      <c r="H479" s="64"/>
      <c r="I479" s="64"/>
      <c r="J479" s="123"/>
      <c r="K479" s="64"/>
      <c r="L479" s="64"/>
      <c r="M479" s="64"/>
      <c r="N479" s="123"/>
      <c r="O479" s="123"/>
      <c r="P479" s="149"/>
      <c r="Q479" s="64"/>
      <c r="R479" s="64"/>
      <c r="S479" s="64"/>
      <c r="T479" s="118"/>
      <c r="U479" s="118"/>
    </row>
    <row r="480" spans="1:21" s="57" customFormat="1" ht="11.25">
      <c r="A480" s="75"/>
      <c r="B480" s="69"/>
      <c r="C480" s="121"/>
      <c r="D480" s="123"/>
      <c r="E480" s="123"/>
      <c r="F480" s="123"/>
      <c r="G480" s="69"/>
      <c r="H480" s="64"/>
      <c r="I480" s="64"/>
      <c r="J480" s="123"/>
      <c r="K480" s="64"/>
      <c r="L480" s="64"/>
      <c r="M480" s="64"/>
      <c r="N480" s="123"/>
      <c r="O480" s="123"/>
      <c r="P480" s="149"/>
      <c r="Q480" s="64"/>
      <c r="R480" s="64"/>
      <c r="S480" s="64"/>
      <c r="T480" s="118"/>
      <c r="U480" s="118"/>
    </row>
    <row r="481" spans="1:21" s="57" customFormat="1" ht="11.25">
      <c r="A481" s="75"/>
      <c r="B481" s="69"/>
      <c r="C481" s="121"/>
      <c r="D481" s="123"/>
      <c r="E481" s="123"/>
      <c r="F481" s="123"/>
      <c r="G481" s="69"/>
      <c r="H481" s="64"/>
      <c r="I481" s="64"/>
      <c r="J481" s="123"/>
      <c r="K481" s="64"/>
      <c r="L481" s="64"/>
      <c r="M481" s="64"/>
      <c r="N481" s="123"/>
      <c r="O481" s="123"/>
      <c r="P481" s="149"/>
      <c r="Q481" s="64"/>
      <c r="R481" s="64"/>
      <c r="S481" s="64"/>
      <c r="T481" s="118"/>
      <c r="U481" s="118"/>
    </row>
    <row r="482" spans="1:21" s="57" customFormat="1" ht="11.25">
      <c r="A482" s="75"/>
      <c r="B482" s="69"/>
      <c r="C482" s="121"/>
      <c r="D482" s="123"/>
      <c r="E482" s="123"/>
      <c r="F482" s="123"/>
      <c r="G482" s="69"/>
      <c r="H482" s="64"/>
      <c r="I482" s="64"/>
      <c r="J482" s="123"/>
      <c r="K482" s="64"/>
      <c r="L482" s="64"/>
      <c r="M482" s="64"/>
      <c r="N482" s="123"/>
      <c r="O482" s="123"/>
      <c r="P482" s="149"/>
      <c r="Q482" s="64"/>
      <c r="R482" s="64"/>
      <c r="S482" s="64"/>
      <c r="T482" s="118"/>
      <c r="U482" s="118"/>
    </row>
    <row r="483" spans="1:21" s="57" customFormat="1" ht="11.25">
      <c r="A483" s="75"/>
      <c r="B483" s="69"/>
      <c r="C483" s="121"/>
      <c r="D483" s="123"/>
      <c r="E483" s="123"/>
      <c r="F483" s="123"/>
      <c r="G483" s="69"/>
      <c r="H483" s="64"/>
      <c r="I483" s="64"/>
      <c r="J483" s="123"/>
      <c r="K483" s="64"/>
      <c r="L483" s="64"/>
      <c r="M483" s="64"/>
      <c r="N483" s="123"/>
      <c r="O483" s="123"/>
      <c r="P483" s="149"/>
      <c r="Q483" s="64"/>
      <c r="R483" s="64"/>
      <c r="S483" s="64"/>
      <c r="T483" s="118"/>
      <c r="U483" s="118"/>
    </row>
    <row r="484" spans="1:21" s="57" customFormat="1" ht="11.25">
      <c r="A484" s="75"/>
      <c r="B484" s="69"/>
      <c r="C484" s="121"/>
      <c r="D484" s="123"/>
      <c r="E484" s="123"/>
      <c r="F484" s="123"/>
      <c r="G484" s="69"/>
      <c r="H484" s="64"/>
      <c r="I484" s="64"/>
      <c r="J484" s="123"/>
      <c r="K484" s="64"/>
      <c r="L484" s="64"/>
      <c r="M484" s="64"/>
      <c r="N484" s="123"/>
      <c r="O484" s="123"/>
      <c r="P484" s="149"/>
      <c r="Q484" s="64"/>
      <c r="R484" s="64"/>
      <c r="S484" s="64"/>
      <c r="T484" s="118"/>
      <c r="U484" s="118"/>
    </row>
    <row r="485" spans="1:21" s="57" customFormat="1" ht="11.25">
      <c r="A485" s="75"/>
      <c r="B485" s="69"/>
      <c r="C485" s="121"/>
      <c r="D485" s="123"/>
      <c r="E485" s="123"/>
      <c r="F485" s="123"/>
      <c r="G485" s="69"/>
      <c r="H485" s="64"/>
      <c r="I485" s="64"/>
      <c r="J485" s="123"/>
      <c r="K485" s="64"/>
      <c r="L485" s="64"/>
      <c r="M485" s="64"/>
      <c r="N485" s="123"/>
      <c r="O485" s="123"/>
      <c r="P485" s="149"/>
      <c r="Q485" s="64"/>
      <c r="R485" s="64"/>
      <c r="S485" s="64"/>
      <c r="T485" s="118"/>
      <c r="U485" s="118"/>
    </row>
    <row r="486" spans="1:21" s="57" customFormat="1" ht="11.25">
      <c r="A486" s="75"/>
      <c r="B486" s="69"/>
      <c r="C486" s="121"/>
      <c r="D486" s="123"/>
      <c r="E486" s="123"/>
      <c r="F486" s="123"/>
      <c r="G486" s="69"/>
      <c r="H486" s="64"/>
      <c r="I486" s="64"/>
      <c r="J486" s="123"/>
      <c r="K486" s="64"/>
      <c r="L486" s="64"/>
      <c r="M486" s="64"/>
      <c r="N486" s="123"/>
      <c r="O486" s="123"/>
      <c r="P486" s="149"/>
      <c r="Q486" s="64"/>
      <c r="R486" s="64"/>
      <c r="S486" s="64"/>
      <c r="T486" s="118"/>
      <c r="U486" s="118"/>
    </row>
    <row r="487" spans="1:21" s="57" customFormat="1" ht="11.25">
      <c r="A487" s="75"/>
      <c r="B487" s="69"/>
      <c r="C487" s="121"/>
      <c r="D487" s="123"/>
      <c r="E487" s="123"/>
      <c r="F487" s="123"/>
      <c r="G487" s="69"/>
      <c r="H487" s="64"/>
      <c r="I487" s="64"/>
      <c r="J487" s="123"/>
      <c r="K487" s="64"/>
      <c r="L487" s="64"/>
      <c r="M487" s="64"/>
      <c r="N487" s="123"/>
      <c r="O487" s="123"/>
      <c r="P487" s="149"/>
      <c r="Q487" s="64"/>
      <c r="R487" s="64"/>
      <c r="S487" s="64"/>
      <c r="T487" s="118"/>
      <c r="U487" s="118"/>
    </row>
    <row r="488" spans="1:21" s="57" customFormat="1" ht="11.25">
      <c r="A488" s="75"/>
      <c r="B488" s="69"/>
      <c r="C488" s="121"/>
      <c r="D488" s="123"/>
      <c r="E488" s="123"/>
      <c r="F488" s="123"/>
      <c r="G488" s="69"/>
      <c r="H488" s="64"/>
      <c r="I488" s="64"/>
      <c r="J488" s="123"/>
      <c r="K488" s="64"/>
      <c r="L488" s="64"/>
      <c r="M488" s="64"/>
      <c r="N488" s="123"/>
      <c r="O488" s="123"/>
      <c r="P488" s="149"/>
      <c r="Q488" s="64"/>
      <c r="R488" s="64"/>
      <c r="S488" s="64"/>
      <c r="T488" s="118"/>
      <c r="U488" s="118"/>
    </row>
    <row r="489" spans="1:21" s="57" customFormat="1" ht="11.25">
      <c r="A489" s="75"/>
      <c r="B489" s="69"/>
      <c r="C489" s="121"/>
      <c r="D489" s="123"/>
      <c r="E489" s="123"/>
      <c r="F489" s="123"/>
      <c r="G489" s="69"/>
      <c r="H489" s="64"/>
      <c r="I489" s="64"/>
      <c r="J489" s="123"/>
      <c r="K489" s="64"/>
      <c r="L489" s="64"/>
      <c r="M489" s="64"/>
      <c r="N489" s="123"/>
      <c r="O489" s="123"/>
      <c r="P489" s="149"/>
      <c r="Q489" s="64"/>
      <c r="R489" s="64"/>
      <c r="S489" s="64"/>
      <c r="T489" s="118"/>
      <c r="U489" s="118"/>
    </row>
    <row r="490" spans="1:21" s="57" customFormat="1" ht="11.25">
      <c r="A490" s="75"/>
      <c r="B490" s="69"/>
      <c r="C490" s="121"/>
      <c r="D490" s="123"/>
      <c r="E490" s="123"/>
      <c r="F490" s="123"/>
      <c r="G490" s="69"/>
      <c r="H490" s="64"/>
      <c r="I490" s="64"/>
      <c r="J490" s="123"/>
      <c r="K490" s="64"/>
      <c r="L490" s="64"/>
      <c r="M490" s="64"/>
      <c r="N490" s="123"/>
      <c r="O490" s="123"/>
      <c r="P490" s="149"/>
      <c r="Q490" s="64"/>
      <c r="R490" s="64"/>
      <c r="S490" s="64"/>
      <c r="T490" s="118"/>
      <c r="U490" s="118"/>
    </row>
    <row r="491" spans="1:21" s="57" customFormat="1" ht="11.25">
      <c r="A491" s="75"/>
      <c r="B491" s="69"/>
      <c r="C491" s="121"/>
      <c r="D491" s="123"/>
      <c r="E491" s="123"/>
      <c r="F491" s="123"/>
      <c r="G491" s="69"/>
      <c r="H491" s="64"/>
      <c r="I491" s="64"/>
      <c r="J491" s="123"/>
      <c r="K491" s="64"/>
      <c r="L491" s="64"/>
      <c r="M491" s="64"/>
      <c r="N491" s="123"/>
      <c r="O491" s="123"/>
      <c r="P491" s="149"/>
      <c r="Q491" s="64"/>
      <c r="R491" s="64"/>
      <c r="S491" s="64"/>
      <c r="T491" s="118"/>
      <c r="U491" s="118"/>
    </row>
    <row r="492" spans="1:21" s="57" customFormat="1" ht="11.25">
      <c r="A492" s="75"/>
      <c r="B492" s="69"/>
      <c r="C492" s="121"/>
      <c r="D492" s="123"/>
      <c r="E492" s="123"/>
      <c r="F492" s="123"/>
      <c r="G492" s="69"/>
      <c r="H492" s="64"/>
      <c r="I492" s="64"/>
      <c r="J492" s="123"/>
      <c r="K492" s="64"/>
      <c r="L492" s="64"/>
      <c r="M492" s="64"/>
      <c r="N492" s="123"/>
      <c r="O492" s="123"/>
      <c r="P492" s="149"/>
      <c r="Q492" s="64"/>
      <c r="R492" s="64"/>
      <c r="S492" s="64"/>
      <c r="T492" s="118"/>
      <c r="U492" s="118"/>
    </row>
    <row r="493" spans="1:21" s="57" customFormat="1" ht="11.25">
      <c r="A493" s="75"/>
      <c r="B493" s="69"/>
      <c r="C493" s="121"/>
      <c r="D493" s="123"/>
      <c r="E493" s="123"/>
      <c r="F493" s="123"/>
      <c r="G493" s="69"/>
      <c r="H493" s="64"/>
      <c r="I493" s="64"/>
      <c r="J493" s="123"/>
      <c r="K493" s="64"/>
      <c r="L493" s="64"/>
      <c r="M493" s="64"/>
      <c r="N493" s="123"/>
      <c r="O493" s="123"/>
      <c r="P493" s="149"/>
      <c r="Q493" s="64"/>
      <c r="R493" s="64"/>
      <c r="S493" s="64"/>
      <c r="T493" s="118"/>
      <c r="U493" s="118"/>
    </row>
    <row r="494" spans="1:21" s="57" customFormat="1" ht="11.25">
      <c r="A494" s="75"/>
      <c r="B494" s="69"/>
      <c r="C494" s="121"/>
      <c r="D494" s="123"/>
      <c r="E494" s="123"/>
      <c r="F494" s="123"/>
      <c r="G494" s="69"/>
      <c r="H494" s="64"/>
      <c r="I494" s="64"/>
      <c r="J494" s="123"/>
      <c r="K494" s="64"/>
      <c r="L494" s="64"/>
      <c r="M494" s="64"/>
      <c r="N494" s="123"/>
      <c r="O494" s="123"/>
      <c r="P494" s="149"/>
      <c r="Q494" s="64"/>
      <c r="R494" s="64"/>
      <c r="S494" s="64"/>
      <c r="T494" s="118"/>
      <c r="U494" s="118"/>
    </row>
    <row r="495" spans="1:21" s="57" customFormat="1" ht="11.25">
      <c r="A495" s="75"/>
      <c r="B495" s="69"/>
      <c r="C495" s="121"/>
      <c r="D495" s="123"/>
      <c r="E495" s="123"/>
      <c r="F495" s="123"/>
      <c r="G495" s="69"/>
      <c r="H495" s="64"/>
      <c r="I495" s="64"/>
      <c r="J495" s="123"/>
      <c r="K495" s="64"/>
      <c r="L495" s="64"/>
      <c r="M495" s="64"/>
      <c r="N495" s="123"/>
      <c r="O495" s="123"/>
      <c r="P495" s="149"/>
      <c r="Q495" s="64"/>
      <c r="R495" s="64"/>
      <c r="S495" s="64"/>
      <c r="T495" s="118"/>
      <c r="U495" s="118"/>
    </row>
    <row r="496" spans="1:21" s="57" customFormat="1" ht="11.25">
      <c r="A496" s="75"/>
      <c r="B496" s="69"/>
      <c r="C496" s="121"/>
      <c r="D496" s="123"/>
      <c r="E496" s="123"/>
      <c r="F496" s="123"/>
      <c r="G496" s="69"/>
      <c r="H496" s="64"/>
      <c r="I496" s="64"/>
      <c r="J496" s="123"/>
      <c r="K496" s="64"/>
      <c r="L496" s="64"/>
      <c r="M496" s="64"/>
      <c r="N496" s="123"/>
      <c r="O496" s="123"/>
      <c r="P496" s="149"/>
      <c r="Q496" s="64"/>
      <c r="R496" s="64"/>
      <c r="S496" s="64"/>
      <c r="T496" s="118"/>
      <c r="U496" s="118"/>
    </row>
    <row r="497" spans="1:21" s="57" customFormat="1" ht="11.25">
      <c r="A497" s="75"/>
      <c r="B497" s="69"/>
      <c r="C497" s="121"/>
      <c r="D497" s="123"/>
      <c r="E497" s="123"/>
      <c r="F497" s="123"/>
      <c r="G497" s="69"/>
      <c r="H497" s="64"/>
      <c r="I497" s="64"/>
      <c r="J497" s="123"/>
      <c r="K497" s="64"/>
      <c r="L497" s="64"/>
      <c r="M497" s="64"/>
      <c r="N497" s="123"/>
      <c r="O497" s="123"/>
      <c r="P497" s="149"/>
      <c r="Q497" s="64"/>
      <c r="R497" s="64"/>
      <c r="S497" s="64"/>
      <c r="T497" s="118"/>
      <c r="U497" s="118"/>
    </row>
    <row r="498" spans="1:21" s="57" customFormat="1" ht="11.25">
      <c r="A498" s="75"/>
      <c r="B498" s="69"/>
      <c r="C498" s="121"/>
      <c r="D498" s="123"/>
      <c r="E498" s="123"/>
      <c r="F498" s="123"/>
      <c r="G498" s="69"/>
      <c r="H498" s="64"/>
      <c r="I498" s="64"/>
      <c r="J498" s="123"/>
      <c r="K498" s="64"/>
      <c r="L498" s="64"/>
      <c r="M498" s="64"/>
      <c r="N498" s="123"/>
      <c r="O498" s="123"/>
      <c r="P498" s="149"/>
      <c r="Q498" s="64"/>
      <c r="R498" s="64"/>
      <c r="S498" s="64"/>
      <c r="T498" s="118"/>
      <c r="U498" s="118"/>
    </row>
    <row r="499" spans="1:21" s="57" customFormat="1" ht="11.25">
      <c r="A499" s="75"/>
      <c r="B499" s="69"/>
      <c r="C499" s="121"/>
      <c r="D499" s="123"/>
      <c r="E499" s="123"/>
      <c r="F499" s="123"/>
      <c r="G499" s="69"/>
      <c r="H499" s="64"/>
      <c r="I499" s="64"/>
      <c r="J499" s="123"/>
      <c r="K499" s="64"/>
      <c r="L499" s="64"/>
      <c r="M499" s="64"/>
      <c r="N499" s="123"/>
      <c r="O499" s="123"/>
      <c r="P499" s="149"/>
      <c r="Q499" s="64"/>
      <c r="R499" s="64"/>
      <c r="S499" s="64"/>
      <c r="T499" s="118"/>
      <c r="U499" s="118"/>
    </row>
    <row r="500" spans="1:21" s="57" customFormat="1" ht="11.25">
      <c r="A500" s="69"/>
      <c r="B500" s="69"/>
      <c r="C500" s="121"/>
      <c r="D500" s="123"/>
      <c r="E500" s="123"/>
      <c r="F500" s="123"/>
      <c r="G500" s="69"/>
      <c r="H500" s="64"/>
      <c r="I500" s="64"/>
      <c r="J500" s="123"/>
      <c r="K500" s="64"/>
      <c r="L500" s="64"/>
      <c r="M500" s="64"/>
      <c r="N500" s="123"/>
      <c r="O500" s="123"/>
      <c r="P500" s="149"/>
      <c r="Q500" s="64"/>
      <c r="R500" s="64"/>
      <c r="S500" s="64"/>
      <c r="T500" s="118"/>
      <c r="U500" s="118"/>
    </row>
    <row r="501" spans="1:21" s="57" customFormat="1" ht="11.25">
      <c r="A501" s="69"/>
      <c r="B501" s="69"/>
      <c r="C501" s="121"/>
      <c r="D501" s="123"/>
      <c r="E501" s="123"/>
      <c r="F501" s="123"/>
      <c r="G501" s="69"/>
      <c r="H501" s="64"/>
      <c r="I501" s="64"/>
      <c r="J501" s="123"/>
      <c r="K501" s="64"/>
      <c r="L501" s="64"/>
      <c r="M501" s="64"/>
      <c r="N501" s="123"/>
      <c r="O501" s="123"/>
      <c r="P501" s="149"/>
      <c r="Q501" s="64"/>
      <c r="R501" s="64"/>
      <c r="S501" s="64"/>
      <c r="T501" s="118"/>
      <c r="U501" s="118"/>
    </row>
    <row r="502" spans="1:21" s="57" customFormat="1" ht="11.25">
      <c r="A502" s="69"/>
      <c r="B502" s="69"/>
      <c r="C502" s="121"/>
      <c r="D502" s="123"/>
      <c r="E502" s="123"/>
      <c r="F502" s="123"/>
      <c r="G502" s="69"/>
      <c r="H502" s="64"/>
      <c r="I502" s="64"/>
      <c r="J502" s="123"/>
      <c r="K502" s="64"/>
      <c r="L502" s="64"/>
      <c r="M502" s="64"/>
      <c r="N502" s="123"/>
      <c r="O502" s="123"/>
      <c r="P502" s="149"/>
      <c r="Q502" s="64"/>
      <c r="R502" s="64"/>
      <c r="S502" s="64"/>
      <c r="T502" s="118"/>
      <c r="U502" s="118"/>
    </row>
    <row r="503" spans="1:21" s="57" customFormat="1" ht="11.25">
      <c r="C503" s="121"/>
      <c r="D503" s="123"/>
      <c r="E503" s="123"/>
      <c r="F503" s="123"/>
      <c r="G503" s="69"/>
      <c r="H503" s="64"/>
      <c r="I503" s="64"/>
      <c r="J503" s="123"/>
      <c r="K503" s="64"/>
      <c r="L503" s="64"/>
      <c r="M503" s="64"/>
      <c r="N503" s="123"/>
      <c r="O503" s="123"/>
      <c r="P503" s="149"/>
      <c r="Q503" s="64"/>
      <c r="R503" s="64"/>
      <c r="S503" s="64"/>
      <c r="T503" s="118"/>
      <c r="U503" s="118"/>
    </row>
    <row r="504" spans="1:21" s="57" customFormat="1" ht="11.25">
      <c r="C504" s="121"/>
      <c r="D504" s="123"/>
      <c r="E504" s="123"/>
      <c r="F504" s="123"/>
      <c r="G504" s="69"/>
      <c r="H504" s="64"/>
      <c r="I504" s="64"/>
      <c r="J504" s="123"/>
      <c r="K504" s="64"/>
      <c r="L504" s="64"/>
      <c r="M504" s="64"/>
      <c r="N504" s="123"/>
      <c r="O504" s="123"/>
      <c r="P504" s="149"/>
      <c r="Q504" s="64"/>
      <c r="R504" s="64"/>
      <c r="S504" s="64"/>
      <c r="T504" s="118"/>
      <c r="U504" s="118"/>
    </row>
    <row r="505" spans="1:21" s="57" customFormat="1" ht="11.25">
      <c r="C505" s="121"/>
      <c r="D505" s="123"/>
      <c r="E505" s="123"/>
      <c r="F505" s="123"/>
      <c r="G505" s="69"/>
      <c r="H505" s="64"/>
      <c r="I505" s="64"/>
      <c r="J505" s="123"/>
      <c r="K505" s="64"/>
      <c r="L505" s="64"/>
      <c r="M505" s="64"/>
      <c r="N505" s="123"/>
      <c r="O505" s="123"/>
      <c r="P505" s="149"/>
      <c r="Q505" s="64"/>
      <c r="R505" s="64"/>
      <c r="S505" s="64"/>
      <c r="T505" s="118"/>
      <c r="U505" s="118"/>
    </row>
    <row r="506" spans="1:21" s="57" customFormat="1" ht="11.25">
      <c r="C506" s="121"/>
      <c r="D506" s="123"/>
      <c r="E506" s="123"/>
      <c r="F506" s="123"/>
      <c r="G506" s="69"/>
      <c r="H506" s="64"/>
      <c r="I506" s="64"/>
      <c r="J506" s="123"/>
      <c r="K506" s="64"/>
      <c r="L506" s="64"/>
      <c r="M506" s="64"/>
      <c r="N506" s="123"/>
      <c r="O506" s="123"/>
      <c r="P506" s="149"/>
      <c r="Q506" s="64"/>
      <c r="R506" s="64"/>
      <c r="S506" s="64"/>
      <c r="T506" s="118"/>
      <c r="U506" s="118"/>
    </row>
    <row r="507" spans="1:21" s="57" customFormat="1" ht="11.25">
      <c r="C507" s="121"/>
      <c r="D507" s="123"/>
      <c r="E507" s="123"/>
      <c r="F507" s="123"/>
      <c r="G507" s="69"/>
      <c r="H507" s="64"/>
      <c r="I507" s="64"/>
      <c r="J507" s="123"/>
      <c r="K507" s="64"/>
      <c r="L507" s="64"/>
      <c r="M507" s="64"/>
      <c r="N507" s="123"/>
      <c r="O507" s="123"/>
      <c r="P507" s="149"/>
      <c r="Q507" s="64"/>
      <c r="R507" s="64"/>
      <c r="S507" s="64"/>
      <c r="T507" s="118"/>
      <c r="U507" s="118"/>
    </row>
    <row r="508" spans="1:21" s="57" customFormat="1" ht="11.25">
      <c r="C508" s="121"/>
      <c r="D508" s="123"/>
      <c r="E508" s="123"/>
      <c r="F508" s="123"/>
      <c r="G508" s="69"/>
      <c r="H508" s="64"/>
      <c r="I508" s="64"/>
      <c r="J508" s="123"/>
      <c r="K508" s="64"/>
      <c r="L508" s="64"/>
      <c r="M508" s="64"/>
      <c r="N508" s="123"/>
      <c r="O508" s="123"/>
      <c r="P508" s="149"/>
      <c r="Q508" s="64"/>
      <c r="R508" s="64"/>
      <c r="S508" s="64"/>
      <c r="T508" s="118"/>
      <c r="U508" s="118"/>
    </row>
    <row r="509" spans="1:21" s="57" customFormat="1" ht="11.25">
      <c r="C509" s="82"/>
      <c r="D509" s="82"/>
      <c r="E509" s="82"/>
      <c r="F509" s="82"/>
      <c r="G509" s="69"/>
      <c r="H509" s="64"/>
      <c r="I509" s="64"/>
      <c r="J509" s="123"/>
      <c r="K509" s="64"/>
      <c r="L509" s="64"/>
      <c r="M509" s="64"/>
      <c r="N509" s="123"/>
      <c r="O509" s="123"/>
      <c r="P509" s="149"/>
      <c r="Q509" s="64"/>
      <c r="R509" s="64"/>
      <c r="S509" s="64"/>
      <c r="T509" s="118"/>
      <c r="U509" s="118"/>
    </row>
    <row r="510" spans="1:21" s="57" customFormat="1" ht="11.25">
      <c r="C510" s="82"/>
      <c r="D510" s="82"/>
      <c r="E510" s="82"/>
      <c r="F510" s="82"/>
      <c r="G510" s="69"/>
      <c r="H510" s="64"/>
      <c r="I510" s="64"/>
      <c r="J510" s="123"/>
      <c r="K510" s="64"/>
      <c r="L510" s="64"/>
      <c r="M510" s="64"/>
      <c r="N510" s="123"/>
      <c r="O510" s="123"/>
      <c r="P510" s="149"/>
      <c r="Q510" s="64"/>
      <c r="R510" s="64"/>
      <c r="S510" s="64"/>
      <c r="T510" s="118"/>
      <c r="U510" s="118"/>
    </row>
    <row r="511" spans="1:21" s="57" customFormat="1" ht="11.25">
      <c r="C511" s="82"/>
      <c r="D511" s="82"/>
      <c r="E511" s="82"/>
      <c r="F511" s="82"/>
      <c r="G511" s="69"/>
      <c r="H511" s="64"/>
      <c r="I511" s="64"/>
      <c r="J511" s="123"/>
      <c r="K511" s="64"/>
      <c r="L511" s="64"/>
      <c r="M511" s="64"/>
      <c r="N511" s="123"/>
      <c r="O511" s="123"/>
      <c r="P511" s="149"/>
      <c r="Q511" s="64"/>
      <c r="R511" s="64"/>
      <c r="S511" s="64"/>
      <c r="T511" s="118"/>
      <c r="U511" s="118"/>
    </row>
    <row r="512" spans="1:21" s="57" customFormat="1" ht="11.25">
      <c r="C512" s="82"/>
      <c r="D512" s="82"/>
      <c r="E512" s="82"/>
      <c r="F512" s="82"/>
      <c r="G512" s="69"/>
      <c r="H512" s="64"/>
      <c r="I512" s="64"/>
      <c r="J512" s="123"/>
      <c r="K512" s="64"/>
      <c r="L512" s="64"/>
      <c r="M512" s="64"/>
      <c r="N512" s="123"/>
      <c r="O512" s="123"/>
      <c r="P512" s="149"/>
      <c r="Q512" s="64"/>
      <c r="R512" s="64"/>
      <c r="S512" s="64"/>
      <c r="T512" s="118"/>
      <c r="U512" s="118"/>
    </row>
    <row r="513" spans="3:21" s="57" customFormat="1" ht="11.25">
      <c r="C513" s="82"/>
      <c r="D513" s="82"/>
      <c r="E513" s="82"/>
      <c r="F513" s="82"/>
      <c r="G513" s="69"/>
      <c r="H513" s="64"/>
      <c r="I513" s="64"/>
      <c r="J513" s="123"/>
      <c r="K513" s="64"/>
      <c r="L513" s="64"/>
      <c r="M513" s="64"/>
      <c r="N513" s="123"/>
      <c r="O513" s="123"/>
      <c r="P513" s="149"/>
      <c r="Q513" s="64"/>
      <c r="R513" s="64"/>
      <c r="S513" s="64"/>
      <c r="T513" s="118"/>
      <c r="U513" s="118"/>
    </row>
    <row r="514" spans="3:21" s="57" customFormat="1" ht="11.25">
      <c r="C514" s="82"/>
      <c r="D514" s="82"/>
      <c r="E514" s="82"/>
      <c r="F514" s="82"/>
      <c r="G514" s="69"/>
      <c r="H514" s="64"/>
      <c r="I514" s="64"/>
      <c r="J514" s="123"/>
      <c r="K514" s="64"/>
      <c r="L514" s="64"/>
      <c r="M514" s="64"/>
      <c r="N514" s="82"/>
      <c r="O514" s="82"/>
      <c r="P514" s="148"/>
      <c r="T514" s="118"/>
      <c r="U514" s="118"/>
    </row>
    <row r="515" spans="3:21" s="57" customFormat="1" ht="11.25">
      <c r="C515" s="82"/>
      <c r="D515" s="82"/>
      <c r="E515" s="82"/>
      <c r="F515" s="82"/>
      <c r="G515" s="69"/>
      <c r="H515" s="64"/>
      <c r="I515" s="64"/>
      <c r="J515" s="123"/>
      <c r="K515" s="64"/>
      <c r="L515" s="64"/>
      <c r="M515" s="64"/>
      <c r="N515" s="82"/>
      <c r="O515" s="82"/>
      <c r="P515" s="148"/>
      <c r="T515" s="118"/>
      <c r="U515" s="118"/>
    </row>
    <row r="516" spans="3:21" s="57" customFormat="1" ht="11.25">
      <c r="C516" s="82"/>
      <c r="D516" s="82"/>
      <c r="E516" s="82"/>
      <c r="F516" s="82"/>
      <c r="G516" s="69"/>
      <c r="H516" s="64"/>
      <c r="I516" s="64"/>
      <c r="J516" s="123"/>
      <c r="K516" s="64"/>
      <c r="L516" s="64"/>
      <c r="M516" s="64"/>
      <c r="N516" s="123"/>
      <c r="O516" s="123"/>
      <c r="P516" s="149"/>
      <c r="Q516" s="64"/>
      <c r="R516" s="64"/>
      <c r="S516" s="64"/>
      <c r="T516" s="118"/>
      <c r="U516" s="118"/>
    </row>
    <row r="517" spans="3:21" s="57" customFormat="1" ht="11.25">
      <c r="C517" s="82"/>
      <c r="D517" s="82"/>
      <c r="E517" s="82"/>
      <c r="F517" s="82"/>
      <c r="G517" s="69"/>
      <c r="H517" s="64"/>
      <c r="I517" s="64"/>
      <c r="J517" s="123"/>
      <c r="K517" s="64"/>
      <c r="L517" s="64"/>
      <c r="M517" s="64"/>
      <c r="N517" s="123"/>
      <c r="O517" s="123"/>
      <c r="P517" s="149"/>
      <c r="Q517" s="64"/>
      <c r="R517" s="64"/>
      <c r="S517" s="64"/>
      <c r="T517" s="118"/>
      <c r="U517" s="118"/>
    </row>
    <row r="518" spans="3:21" s="57" customFormat="1" ht="11.25">
      <c r="C518" s="82"/>
      <c r="D518" s="82"/>
      <c r="E518" s="82"/>
      <c r="F518" s="82"/>
      <c r="G518" s="69"/>
      <c r="H518" s="64"/>
      <c r="I518" s="64"/>
      <c r="J518" s="123"/>
      <c r="K518" s="64"/>
      <c r="L518" s="64"/>
      <c r="M518" s="64"/>
      <c r="N518" s="123"/>
      <c r="O518" s="123"/>
      <c r="P518" s="149"/>
      <c r="Q518" s="64"/>
      <c r="R518" s="64"/>
      <c r="S518" s="64"/>
      <c r="T518" s="118"/>
      <c r="U518" s="118"/>
    </row>
    <row r="519" spans="3:21" s="57" customFormat="1" ht="11.25">
      <c r="C519" s="82"/>
      <c r="D519" s="82"/>
      <c r="E519" s="82"/>
      <c r="F519" s="82"/>
      <c r="G519" s="69"/>
      <c r="H519" s="64"/>
      <c r="I519" s="64"/>
      <c r="J519" s="123"/>
      <c r="K519" s="64"/>
      <c r="L519" s="64"/>
      <c r="M519" s="64"/>
      <c r="N519" s="123"/>
      <c r="O519" s="123"/>
      <c r="P519" s="149"/>
      <c r="Q519" s="64"/>
      <c r="R519" s="64"/>
      <c r="S519" s="64"/>
      <c r="T519" s="118"/>
      <c r="U519" s="118"/>
    </row>
    <row r="520" spans="3:21" s="57" customFormat="1" ht="11.25">
      <c r="C520" s="82"/>
      <c r="D520" s="82"/>
      <c r="E520" s="82"/>
      <c r="F520" s="82"/>
      <c r="G520" s="69"/>
      <c r="H520" s="64"/>
      <c r="I520" s="64"/>
      <c r="J520" s="123"/>
      <c r="K520" s="64"/>
      <c r="L520" s="64"/>
      <c r="M520" s="64"/>
      <c r="N520" s="123"/>
      <c r="O520" s="123"/>
      <c r="P520" s="149"/>
      <c r="Q520" s="64"/>
      <c r="R520" s="64"/>
      <c r="S520" s="64"/>
      <c r="T520" s="118"/>
      <c r="U520" s="118"/>
    </row>
    <row r="521" spans="3:21" s="57" customFormat="1" ht="11.25">
      <c r="C521" s="82"/>
      <c r="D521" s="82"/>
      <c r="E521" s="82"/>
      <c r="F521" s="82"/>
      <c r="G521" s="69"/>
      <c r="H521" s="64"/>
      <c r="I521" s="64"/>
      <c r="J521" s="123"/>
      <c r="K521" s="64"/>
      <c r="L521" s="64"/>
      <c r="M521" s="64"/>
      <c r="N521" s="123"/>
      <c r="O521" s="123"/>
      <c r="P521" s="149"/>
      <c r="Q521" s="64"/>
      <c r="R521" s="64"/>
      <c r="S521" s="64"/>
      <c r="T521" s="118"/>
      <c r="U521" s="118"/>
    </row>
    <row r="522" spans="3:21" s="57" customFormat="1" ht="11.25">
      <c r="C522" s="82"/>
      <c r="D522" s="82"/>
      <c r="E522" s="82"/>
      <c r="F522" s="82"/>
      <c r="G522" s="69"/>
      <c r="H522" s="64"/>
      <c r="I522" s="64"/>
      <c r="J522" s="123"/>
      <c r="K522" s="64"/>
      <c r="L522" s="64"/>
      <c r="M522" s="64"/>
      <c r="N522" s="123"/>
      <c r="O522" s="123"/>
      <c r="P522" s="149"/>
      <c r="Q522" s="64"/>
      <c r="R522" s="64"/>
      <c r="S522" s="64"/>
      <c r="T522" s="118"/>
      <c r="U522" s="118"/>
    </row>
    <row r="523" spans="3:21" s="57" customFormat="1" ht="11.25">
      <c r="C523" s="82"/>
      <c r="D523" s="82"/>
      <c r="E523" s="82"/>
      <c r="F523" s="82"/>
      <c r="G523" s="69"/>
      <c r="H523" s="64"/>
      <c r="I523" s="64"/>
      <c r="J523" s="123"/>
      <c r="K523" s="64"/>
      <c r="L523" s="64"/>
      <c r="M523" s="64"/>
      <c r="N523" s="123"/>
      <c r="O523" s="123"/>
      <c r="P523" s="149"/>
      <c r="Q523" s="64"/>
      <c r="R523" s="64"/>
      <c r="S523" s="64"/>
      <c r="T523" s="118"/>
      <c r="U523" s="118"/>
    </row>
    <row r="524" spans="3:21" s="57" customFormat="1" ht="11.25">
      <c r="C524" s="82"/>
      <c r="D524" s="82"/>
      <c r="E524" s="82"/>
      <c r="F524" s="82"/>
      <c r="G524" s="69"/>
      <c r="H524" s="64"/>
      <c r="I524" s="64"/>
      <c r="J524" s="123"/>
      <c r="K524" s="64"/>
      <c r="L524" s="64"/>
      <c r="M524" s="64"/>
      <c r="N524" s="123"/>
      <c r="O524" s="123"/>
      <c r="P524" s="149"/>
      <c r="Q524" s="64"/>
      <c r="R524" s="64"/>
      <c r="S524" s="64"/>
      <c r="T524" s="118"/>
      <c r="U524" s="118"/>
    </row>
    <row r="525" spans="3:21" s="57" customFormat="1" ht="11.25">
      <c r="C525" s="121"/>
      <c r="D525" s="123"/>
      <c r="E525" s="123"/>
      <c r="F525" s="123"/>
      <c r="G525" s="69"/>
      <c r="H525" s="64"/>
      <c r="I525" s="64"/>
      <c r="J525" s="123"/>
      <c r="K525" s="64"/>
      <c r="L525" s="64"/>
      <c r="M525" s="64"/>
      <c r="N525" s="123"/>
      <c r="O525" s="123"/>
      <c r="P525" s="149"/>
      <c r="Q525" s="64"/>
      <c r="R525" s="64"/>
      <c r="S525" s="64"/>
      <c r="T525" s="118"/>
      <c r="U525" s="118"/>
    </row>
    <row r="526" spans="3:21" s="57" customFormat="1" ht="11.25">
      <c r="C526" s="121"/>
      <c r="D526" s="123"/>
      <c r="E526" s="123"/>
      <c r="F526" s="123"/>
      <c r="G526" s="69"/>
      <c r="H526" s="64"/>
      <c r="I526" s="64"/>
      <c r="J526" s="123"/>
      <c r="K526" s="64"/>
      <c r="L526" s="64"/>
      <c r="M526" s="64"/>
      <c r="N526" s="123"/>
      <c r="O526" s="123"/>
      <c r="P526" s="149"/>
      <c r="Q526" s="64"/>
      <c r="R526" s="64"/>
      <c r="S526" s="64"/>
      <c r="T526" s="118"/>
      <c r="U526" s="118"/>
    </row>
    <row r="527" spans="3:21" s="57" customFormat="1" ht="11.25">
      <c r="C527" s="121"/>
      <c r="D527" s="123"/>
      <c r="E527" s="123"/>
      <c r="F527" s="123"/>
      <c r="G527" s="69"/>
      <c r="H527" s="64"/>
      <c r="I527" s="64"/>
      <c r="J527" s="123"/>
      <c r="K527" s="64"/>
      <c r="L527" s="64"/>
      <c r="M527" s="64"/>
      <c r="N527" s="123"/>
      <c r="O527" s="123"/>
      <c r="P527" s="149"/>
      <c r="Q527" s="64"/>
      <c r="R527" s="64"/>
      <c r="S527" s="64"/>
      <c r="T527" s="118"/>
      <c r="U527" s="118"/>
    </row>
    <row r="528" spans="3:21" s="57" customFormat="1" ht="11.25">
      <c r="C528" s="121"/>
      <c r="D528" s="123"/>
      <c r="E528" s="123"/>
      <c r="F528" s="123"/>
      <c r="G528" s="69"/>
      <c r="H528" s="64"/>
      <c r="I528" s="64"/>
      <c r="J528" s="123"/>
      <c r="K528" s="64"/>
      <c r="L528" s="64"/>
      <c r="M528" s="64"/>
      <c r="N528" s="123"/>
      <c r="O528" s="123"/>
      <c r="P528" s="149"/>
      <c r="Q528" s="64"/>
      <c r="R528" s="64"/>
      <c r="S528" s="64"/>
      <c r="T528" s="118"/>
      <c r="U528" s="118"/>
    </row>
    <row r="529" spans="1:21" s="57" customFormat="1" ht="11.25">
      <c r="A529" s="75"/>
      <c r="B529" s="69"/>
      <c r="C529" s="121"/>
      <c r="D529" s="123"/>
      <c r="E529" s="123"/>
      <c r="F529" s="123"/>
      <c r="G529" s="69"/>
      <c r="H529" s="64"/>
      <c r="I529" s="64"/>
      <c r="J529" s="123"/>
      <c r="K529" s="64"/>
      <c r="L529" s="64"/>
      <c r="M529" s="64"/>
      <c r="N529" s="123"/>
      <c r="O529" s="123"/>
      <c r="P529" s="149"/>
      <c r="Q529" s="64"/>
      <c r="R529" s="64"/>
      <c r="S529" s="64"/>
      <c r="T529" s="118"/>
      <c r="U529" s="118"/>
    </row>
    <row r="530" spans="1:21" s="57" customFormat="1" ht="11.25">
      <c r="A530" s="75"/>
      <c r="B530" s="69"/>
      <c r="C530" s="121"/>
      <c r="D530" s="123"/>
      <c r="E530" s="123"/>
      <c r="F530" s="123"/>
      <c r="G530" s="69"/>
      <c r="H530" s="64"/>
      <c r="I530" s="64"/>
      <c r="J530" s="123"/>
      <c r="K530" s="64"/>
      <c r="L530" s="64"/>
      <c r="M530" s="64"/>
      <c r="N530" s="123"/>
      <c r="O530" s="123"/>
      <c r="P530" s="149"/>
      <c r="Q530" s="64"/>
      <c r="R530" s="64"/>
      <c r="S530" s="64"/>
      <c r="T530" s="118"/>
      <c r="U530" s="118"/>
    </row>
    <row r="531" spans="1:21" s="57" customFormat="1" ht="11.25">
      <c r="A531" s="75"/>
      <c r="B531" s="69"/>
      <c r="C531" s="121"/>
      <c r="D531" s="123"/>
      <c r="E531" s="123"/>
      <c r="F531" s="123"/>
      <c r="G531" s="69"/>
      <c r="H531" s="64"/>
      <c r="I531" s="64"/>
      <c r="J531" s="123"/>
      <c r="K531" s="64"/>
      <c r="L531" s="64"/>
      <c r="M531" s="64"/>
      <c r="N531" s="123"/>
      <c r="O531" s="123"/>
      <c r="P531" s="149"/>
      <c r="Q531" s="64"/>
      <c r="R531" s="64"/>
      <c r="S531" s="64"/>
      <c r="T531" s="118"/>
      <c r="U531" s="118"/>
    </row>
    <row r="532" spans="1:21" s="57" customFormat="1" ht="11.25">
      <c r="A532" s="75"/>
      <c r="B532" s="69"/>
      <c r="C532" s="121"/>
      <c r="D532" s="123"/>
      <c r="E532" s="123"/>
      <c r="F532" s="123"/>
      <c r="G532" s="69"/>
      <c r="H532" s="64"/>
      <c r="I532" s="64"/>
      <c r="J532" s="123"/>
      <c r="K532" s="64"/>
      <c r="L532" s="64"/>
      <c r="M532" s="64"/>
      <c r="N532" s="123"/>
      <c r="O532" s="123"/>
      <c r="P532" s="149"/>
      <c r="Q532" s="64"/>
      <c r="R532" s="64"/>
      <c r="S532" s="64"/>
      <c r="T532" s="118"/>
      <c r="U532" s="118"/>
    </row>
    <row r="533" spans="1:21" s="57" customFormat="1" ht="11.25">
      <c r="A533" s="75"/>
      <c r="B533" s="69"/>
      <c r="C533" s="121"/>
      <c r="D533" s="123"/>
      <c r="E533" s="123"/>
      <c r="F533" s="123"/>
      <c r="G533" s="69"/>
      <c r="H533" s="64"/>
      <c r="I533" s="64"/>
      <c r="J533" s="123"/>
      <c r="K533" s="64"/>
      <c r="L533" s="64"/>
      <c r="M533" s="64"/>
      <c r="N533" s="123"/>
      <c r="O533" s="123"/>
      <c r="P533" s="149"/>
      <c r="Q533" s="64"/>
      <c r="R533" s="64"/>
      <c r="S533" s="64"/>
      <c r="T533" s="118"/>
      <c r="U533" s="118"/>
    </row>
    <row r="534" spans="1:21" s="57" customFormat="1" ht="11.25">
      <c r="C534" s="121"/>
      <c r="D534" s="130"/>
      <c r="E534" s="130"/>
      <c r="F534" s="130"/>
      <c r="G534" s="110"/>
      <c r="H534" s="76"/>
      <c r="I534" s="76"/>
      <c r="J534" s="123"/>
      <c r="K534" s="64"/>
      <c r="L534" s="64"/>
      <c r="M534" s="64"/>
      <c r="N534" s="130"/>
      <c r="O534" s="130"/>
      <c r="P534" s="153"/>
      <c r="Q534" s="76"/>
      <c r="R534" s="76"/>
      <c r="S534" s="76"/>
      <c r="T534" s="118"/>
      <c r="U534" s="118"/>
    </row>
    <row r="535" spans="1:21" s="57" customFormat="1" ht="11.25">
      <c r="C535" s="121"/>
      <c r="D535" s="123"/>
      <c r="E535" s="123"/>
      <c r="F535" s="123"/>
      <c r="G535" s="69"/>
      <c r="H535" s="64"/>
      <c r="I535" s="64"/>
      <c r="J535" s="123"/>
      <c r="K535" s="64"/>
      <c r="L535" s="64"/>
      <c r="M535" s="64"/>
      <c r="N535" s="123"/>
      <c r="O535" s="123"/>
      <c r="P535" s="149"/>
      <c r="Q535" s="64"/>
      <c r="R535" s="64"/>
      <c r="S535" s="64"/>
      <c r="T535" s="118"/>
      <c r="U535" s="118"/>
    </row>
    <row r="536" spans="1:21" s="57" customFormat="1" ht="11.25">
      <c r="C536" s="121"/>
      <c r="D536" s="130"/>
      <c r="E536" s="130"/>
      <c r="F536" s="130"/>
      <c r="G536" s="110"/>
      <c r="H536" s="76"/>
      <c r="I536" s="76"/>
      <c r="J536" s="123"/>
      <c r="K536" s="64"/>
      <c r="L536" s="64"/>
      <c r="M536" s="64"/>
      <c r="N536" s="130"/>
      <c r="O536" s="130"/>
      <c r="P536" s="153"/>
      <c r="Q536" s="76"/>
      <c r="R536" s="76"/>
      <c r="S536" s="76"/>
      <c r="T536" s="118"/>
      <c r="U536" s="118"/>
    </row>
    <row r="537" spans="1:21" s="57" customFormat="1" ht="11.25">
      <c r="C537" s="121"/>
      <c r="D537" s="123"/>
      <c r="E537" s="123"/>
      <c r="F537" s="123"/>
      <c r="H537" s="64"/>
      <c r="I537" s="64"/>
      <c r="J537" s="123"/>
      <c r="K537" s="64"/>
      <c r="L537" s="64"/>
      <c r="M537" s="64"/>
      <c r="N537" s="123"/>
      <c r="O537" s="123"/>
      <c r="P537" s="149"/>
      <c r="Q537" s="64"/>
      <c r="R537" s="64"/>
      <c r="S537" s="64"/>
      <c r="T537" s="118"/>
      <c r="U537" s="118"/>
    </row>
    <row r="538" spans="1:21" s="57" customFormat="1" ht="11.25">
      <c r="A538" s="75"/>
      <c r="B538" s="69"/>
      <c r="C538" s="121"/>
      <c r="D538" s="123"/>
      <c r="E538" s="123"/>
      <c r="F538" s="123"/>
      <c r="G538" s="69"/>
      <c r="H538" s="64"/>
      <c r="I538" s="64"/>
      <c r="J538" s="123"/>
      <c r="K538" s="64"/>
      <c r="L538" s="64"/>
      <c r="M538" s="64"/>
      <c r="N538" s="123"/>
      <c r="O538" s="123"/>
      <c r="P538" s="149"/>
      <c r="Q538" s="64"/>
      <c r="R538" s="64"/>
      <c r="S538" s="64"/>
      <c r="T538" s="118"/>
      <c r="U538" s="118"/>
    </row>
    <row r="539" spans="1:21" s="57" customFormat="1" ht="11.25">
      <c r="A539" s="75"/>
      <c r="B539" s="69"/>
      <c r="C539" s="121"/>
      <c r="D539" s="123"/>
      <c r="E539" s="123"/>
      <c r="F539" s="123"/>
      <c r="G539" s="69"/>
      <c r="H539" s="64"/>
      <c r="I539" s="64"/>
      <c r="J539" s="123"/>
      <c r="K539" s="64"/>
      <c r="L539" s="64"/>
      <c r="M539" s="64"/>
      <c r="N539" s="123"/>
      <c r="O539" s="123"/>
      <c r="P539" s="149"/>
      <c r="Q539" s="64"/>
      <c r="R539" s="64"/>
      <c r="S539" s="64"/>
      <c r="T539" s="118"/>
      <c r="U539" s="118"/>
    </row>
    <row r="540" spans="1:21" s="57" customFormat="1" ht="11.25">
      <c r="A540" s="75"/>
      <c r="B540" s="69"/>
      <c r="C540" s="121"/>
      <c r="D540" s="123"/>
      <c r="E540" s="123"/>
      <c r="F540" s="123"/>
      <c r="G540" s="69"/>
      <c r="H540" s="64"/>
      <c r="I540" s="64"/>
      <c r="J540" s="123"/>
      <c r="K540" s="64"/>
      <c r="L540" s="64"/>
      <c r="M540" s="64"/>
      <c r="N540" s="123"/>
      <c r="O540" s="123"/>
      <c r="P540" s="149"/>
      <c r="Q540" s="64"/>
      <c r="R540" s="64"/>
      <c r="S540" s="64"/>
      <c r="T540" s="118"/>
      <c r="U540" s="118"/>
    </row>
    <row r="541" spans="1:21" s="57" customFormat="1" ht="11.25">
      <c r="A541" s="75"/>
      <c r="B541" s="69"/>
      <c r="C541" s="121"/>
      <c r="D541" s="123"/>
      <c r="E541" s="123"/>
      <c r="F541" s="123"/>
      <c r="G541" s="69"/>
      <c r="H541" s="64"/>
      <c r="I541" s="64"/>
      <c r="J541" s="123"/>
      <c r="K541" s="64"/>
      <c r="L541" s="64"/>
      <c r="M541" s="64"/>
      <c r="N541" s="123"/>
      <c r="O541" s="123"/>
      <c r="P541" s="149"/>
      <c r="Q541" s="64"/>
      <c r="R541" s="64"/>
      <c r="S541" s="64"/>
      <c r="T541" s="118"/>
      <c r="U541" s="118"/>
    </row>
    <row r="542" spans="1:21" s="57" customFormat="1" ht="11.25">
      <c r="A542" s="75"/>
      <c r="B542" s="69"/>
      <c r="C542" s="121"/>
      <c r="D542" s="123"/>
      <c r="E542" s="123"/>
      <c r="F542" s="123"/>
      <c r="G542" s="69"/>
      <c r="H542" s="64"/>
      <c r="I542" s="64"/>
      <c r="J542" s="123"/>
      <c r="K542" s="64"/>
      <c r="L542" s="64"/>
      <c r="M542" s="64"/>
      <c r="N542" s="123"/>
      <c r="O542" s="123"/>
      <c r="P542" s="149"/>
      <c r="Q542" s="64"/>
      <c r="R542" s="64"/>
      <c r="S542" s="64"/>
      <c r="T542" s="118"/>
      <c r="U542" s="118"/>
    </row>
    <row r="543" spans="1:21" s="57" customFormat="1" ht="11.25">
      <c r="A543" s="75"/>
      <c r="B543" s="69"/>
      <c r="C543" s="121"/>
      <c r="D543" s="123"/>
      <c r="E543" s="123"/>
      <c r="F543" s="123"/>
      <c r="G543" s="69"/>
      <c r="H543" s="64"/>
      <c r="I543" s="64"/>
      <c r="J543" s="123"/>
      <c r="K543" s="64"/>
      <c r="L543" s="64"/>
      <c r="M543" s="64"/>
      <c r="N543" s="123"/>
      <c r="O543" s="123"/>
      <c r="P543" s="149"/>
      <c r="Q543" s="64"/>
      <c r="R543" s="64"/>
      <c r="S543" s="64"/>
      <c r="T543" s="118"/>
      <c r="U543" s="118"/>
    </row>
    <row r="544" spans="1:21" s="57" customFormat="1" ht="11.25">
      <c r="A544" s="75"/>
      <c r="B544" s="69"/>
      <c r="C544" s="121"/>
      <c r="D544" s="123"/>
      <c r="E544" s="123"/>
      <c r="F544" s="123"/>
      <c r="G544" s="69"/>
      <c r="H544" s="64"/>
      <c r="I544" s="64"/>
      <c r="J544" s="130"/>
      <c r="K544" s="76"/>
      <c r="L544" s="76"/>
      <c r="M544" s="76"/>
      <c r="N544" s="123"/>
      <c r="O544" s="123"/>
      <c r="P544" s="149"/>
      <c r="Q544" s="64"/>
      <c r="R544" s="64"/>
      <c r="S544" s="64"/>
      <c r="T544" s="118"/>
      <c r="U544" s="118"/>
    </row>
    <row r="545" spans="1:29" s="57" customFormat="1" ht="11.25">
      <c r="A545" s="75"/>
      <c r="B545" s="69"/>
      <c r="C545" s="121"/>
      <c r="D545" s="123"/>
      <c r="E545" s="123"/>
      <c r="F545" s="123"/>
      <c r="G545" s="69"/>
      <c r="H545" s="64"/>
      <c r="I545" s="64"/>
      <c r="J545" s="123"/>
      <c r="K545" s="64"/>
      <c r="L545" s="64"/>
      <c r="M545" s="64"/>
      <c r="N545" s="123"/>
      <c r="O545" s="123"/>
      <c r="P545" s="149"/>
      <c r="Q545" s="64"/>
      <c r="R545" s="64"/>
      <c r="S545" s="64"/>
      <c r="T545" s="118"/>
      <c r="U545" s="118"/>
    </row>
    <row r="546" spans="1:29">
      <c r="A546" s="533"/>
      <c r="B546" s="42"/>
      <c r="G546" s="42"/>
      <c r="J546" s="131"/>
      <c r="K546" s="37"/>
      <c r="L546" s="37"/>
      <c r="M546" s="37"/>
      <c r="T546" s="362"/>
      <c r="U546" s="362"/>
    </row>
    <row r="547" spans="1:29">
      <c r="D547" s="131"/>
      <c r="E547" s="131"/>
      <c r="F547" s="131"/>
      <c r="G547" s="111"/>
      <c r="H547" s="37"/>
      <c r="I547" s="37"/>
      <c r="N547" s="131"/>
      <c r="O547" s="131"/>
      <c r="P547" s="212"/>
      <c r="Q547" s="37"/>
      <c r="R547" s="37"/>
      <c r="S547" s="179"/>
      <c r="T547" s="362"/>
      <c r="U547" s="362"/>
    </row>
    <row r="548" spans="1:29">
      <c r="G548" s="42"/>
      <c r="T548" s="362"/>
      <c r="U548" s="362"/>
    </row>
    <row r="549" spans="1:29">
      <c r="D549" s="131"/>
      <c r="E549" s="131"/>
      <c r="F549" s="131"/>
      <c r="G549" s="112"/>
      <c r="H549" s="37"/>
      <c r="I549" s="37"/>
      <c r="N549" s="131"/>
      <c r="O549" s="131"/>
      <c r="P549" s="212"/>
      <c r="Q549" s="37"/>
      <c r="R549" s="37"/>
      <c r="S549" s="179"/>
      <c r="T549" s="362"/>
      <c r="U549" s="362"/>
    </row>
    <row r="550" spans="1:29">
      <c r="G550" s="42"/>
      <c r="T550" s="362"/>
      <c r="U550" s="362"/>
      <c r="V550" s="42"/>
      <c r="W550" s="42"/>
      <c r="X550" s="42"/>
      <c r="Y550" s="42"/>
      <c r="Z550" s="42"/>
      <c r="AA550" s="42"/>
      <c r="AB550" s="42"/>
      <c r="AC550" s="42"/>
    </row>
    <row r="551" spans="1:29">
      <c r="D551" s="131"/>
      <c r="E551" s="131"/>
      <c r="F551" s="131"/>
      <c r="G551" s="43"/>
      <c r="H551" s="37"/>
      <c r="I551" s="37"/>
      <c r="N551" s="131"/>
      <c r="O551" s="131"/>
      <c r="P551" s="212"/>
      <c r="Q551" s="37"/>
      <c r="R551" s="37"/>
      <c r="S551" s="179"/>
      <c r="T551" s="362"/>
      <c r="U551" s="362"/>
      <c r="V551" s="42"/>
      <c r="W551" s="42"/>
      <c r="X551" s="42"/>
      <c r="Y551" s="42"/>
      <c r="Z551" s="42"/>
      <c r="AA551" s="42"/>
      <c r="AB551" s="42"/>
      <c r="AC551" s="42"/>
    </row>
    <row r="552" spans="1:29">
      <c r="C552" s="125"/>
      <c r="G552" s="42"/>
      <c r="T552" s="362"/>
      <c r="U552" s="362"/>
      <c r="V552" s="42"/>
      <c r="W552" s="42"/>
      <c r="X552" s="42"/>
      <c r="Y552" s="42"/>
      <c r="Z552" s="42"/>
      <c r="AA552" s="42"/>
      <c r="AB552" s="42"/>
      <c r="AC552" s="42"/>
    </row>
    <row r="553" spans="1:29">
      <c r="C553" s="125"/>
      <c r="D553" s="131"/>
      <c r="E553" s="131"/>
      <c r="F553" s="131"/>
      <c r="G553" s="43"/>
      <c r="H553" s="37"/>
      <c r="I553" s="37"/>
      <c r="N553" s="131"/>
      <c r="O553" s="131"/>
      <c r="P553" s="212"/>
      <c r="Q553" s="37"/>
      <c r="R553" s="37"/>
      <c r="S553" s="179"/>
      <c r="T553" s="362"/>
      <c r="U553" s="362"/>
    </row>
    <row r="554" spans="1:29">
      <c r="C554" s="125"/>
      <c r="G554" s="42"/>
      <c r="T554" s="362"/>
      <c r="U554" s="362"/>
    </row>
    <row r="555" spans="1:29">
      <c r="C555" s="125"/>
      <c r="G555" s="42"/>
      <c r="T555" s="362"/>
      <c r="U555" s="362"/>
    </row>
    <row r="556" spans="1:29">
      <c r="C556" s="125"/>
      <c r="G556" s="42"/>
      <c r="T556" s="362"/>
      <c r="U556" s="362"/>
    </row>
    <row r="557" spans="1:29">
      <c r="C557" s="125"/>
      <c r="G557" s="42"/>
      <c r="J557" s="131"/>
      <c r="K557" s="37"/>
      <c r="L557" s="37"/>
      <c r="M557" s="37"/>
      <c r="T557" s="362"/>
      <c r="U557" s="362"/>
    </row>
    <row r="558" spans="1:29">
      <c r="C558" s="125"/>
      <c r="G558" s="42"/>
      <c r="T558" s="362"/>
      <c r="U558" s="362"/>
    </row>
    <row r="559" spans="1:29">
      <c r="C559" s="125"/>
      <c r="G559" s="42"/>
      <c r="J559" s="131"/>
      <c r="K559" s="37"/>
      <c r="L559" s="37"/>
      <c r="M559" s="37"/>
      <c r="T559" s="362"/>
      <c r="U559" s="362"/>
    </row>
    <row r="560" spans="1:29">
      <c r="C560" s="125"/>
      <c r="G560" s="42"/>
      <c r="T560" s="362"/>
      <c r="U560" s="362"/>
    </row>
    <row r="561" spans="3:21">
      <c r="C561" s="125"/>
      <c r="G561" s="42"/>
      <c r="J561" s="131"/>
      <c r="K561" s="37"/>
      <c r="L561" s="37"/>
      <c r="M561" s="37"/>
      <c r="T561" s="362"/>
      <c r="U561" s="362"/>
    </row>
    <row r="562" spans="3:21">
      <c r="C562" s="125"/>
      <c r="D562" s="125"/>
      <c r="E562" s="125"/>
      <c r="F562" s="125"/>
      <c r="G562" s="42"/>
      <c r="N562" s="125"/>
      <c r="O562" s="125"/>
      <c r="P562" s="150"/>
      <c r="Q562"/>
      <c r="R562"/>
      <c r="S562" s="45"/>
      <c r="T562" s="362"/>
      <c r="U562" s="362"/>
    </row>
    <row r="563" spans="3:21">
      <c r="C563" s="125"/>
      <c r="D563" s="125"/>
      <c r="E563" s="125"/>
      <c r="F563" s="125"/>
      <c r="G563" s="42"/>
      <c r="J563" s="131"/>
      <c r="K563" s="37"/>
      <c r="L563" s="37"/>
      <c r="M563" s="37"/>
      <c r="N563" s="125"/>
      <c r="O563" s="125"/>
      <c r="P563" s="150"/>
      <c r="Q563"/>
      <c r="R563"/>
      <c r="S563" s="45"/>
      <c r="T563" s="362"/>
      <c r="U563" s="362"/>
    </row>
    <row r="564" spans="3:21">
      <c r="C564" s="125"/>
      <c r="G564" s="42"/>
      <c r="T564" s="362"/>
      <c r="U564" s="362"/>
    </row>
    <row r="565" spans="3:21">
      <c r="C565" s="125"/>
      <c r="G565" s="42"/>
      <c r="T565" s="362"/>
      <c r="U565" s="362"/>
    </row>
    <row r="566" spans="3:21">
      <c r="C566" s="125"/>
      <c r="G566" s="42"/>
      <c r="T566" s="362"/>
      <c r="U566" s="362"/>
    </row>
    <row r="567" spans="3:21">
      <c r="C567" s="125"/>
      <c r="G567" s="42"/>
      <c r="T567" s="362"/>
      <c r="U567" s="362"/>
    </row>
    <row r="568" spans="3:21">
      <c r="C568" s="125"/>
      <c r="D568" s="125"/>
      <c r="E568" s="125"/>
      <c r="F568" s="125"/>
      <c r="G568" s="42"/>
      <c r="H568"/>
      <c r="I568"/>
      <c r="J568" s="125"/>
      <c r="K568"/>
      <c r="L568"/>
      <c r="M568"/>
      <c r="N568" s="125"/>
      <c r="O568" s="125"/>
      <c r="P568" s="150"/>
      <c r="Q568"/>
      <c r="R568"/>
      <c r="S568" s="45"/>
      <c r="T568" s="362"/>
      <c r="U568" s="362"/>
    </row>
    <row r="569" spans="3:21">
      <c r="C569" s="125"/>
      <c r="D569" s="125"/>
      <c r="E569" s="125"/>
      <c r="F569" s="125"/>
      <c r="G569" s="42"/>
      <c r="H569"/>
      <c r="I569"/>
      <c r="J569" s="125"/>
      <c r="K569"/>
      <c r="L569"/>
      <c r="M569"/>
      <c r="N569" s="125"/>
      <c r="O569" s="125"/>
      <c r="P569" s="150"/>
      <c r="Q569"/>
      <c r="R569"/>
      <c r="S569" s="45"/>
      <c r="T569" s="362"/>
      <c r="U569" s="362"/>
    </row>
    <row r="570" spans="3:21">
      <c r="C570" s="125"/>
      <c r="D570" s="125"/>
      <c r="E570" s="125"/>
      <c r="F570" s="125"/>
      <c r="G570" s="42"/>
      <c r="H570"/>
      <c r="I570"/>
      <c r="J570" s="125"/>
      <c r="K570"/>
      <c r="L570"/>
      <c r="M570"/>
      <c r="N570" s="125"/>
      <c r="O570" s="125"/>
      <c r="P570" s="150"/>
      <c r="Q570"/>
      <c r="R570"/>
      <c r="S570" s="45"/>
      <c r="T570" s="362"/>
      <c r="U570" s="362"/>
    </row>
    <row r="571" spans="3:21">
      <c r="C571" s="125"/>
      <c r="D571" s="125"/>
      <c r="E571" s="125"/>
      <c r="F571" s="125"/>
      <c r="G571" s="42"/>
      <c r="H571"/>
      <c r="I571"/>
      <c r="J571" s="125"/>
      <c r="K571"/>
      <c r="L571"/>
      <c r="M571"/>
      <c r="N571" s="125"/>
      <c r="O571" s="125"/>
      <c r="P571" s="150"/>
      <c r="Q571"/>
      <c r="R571"/>
      <c r="S571" s="45"/>
      <c r="T571" s="362"/>
      <c r="U571" s="362"/>
    </row>
    <row r="572" spans="3:21">
      <c r="C572" s="125"/>
      <c r="D572" s="125"/>
      <c r="E572" s="125"/>
      <c r="F572" s="125"/>
      <c r="G572" s="42"/>
      <c r="H572"/>
      <c r="I572"/>
      <c r="J572" s="125"/>
      <c r="K572"/>
      <c r="L572"/>
      <c r="M572"/>
      <c r="N572" s="125"/>
      <c r="O572" s="125"/>
      <c r="P572" s="150"/>
      <c r="Q572"/>
      <c r="R572"/>
      <c r="S572" s="45"/>
      <c r="T572" s="362"/>
      <c r="U572" s="362"/>
    </row>
    <row r="573" spans="3:21">
      <c r="C573" s="125"/>
      <c r="D573" s="125"/>
      <c r="E573" s="125"/>
      <c r="F573" s="125"/>
      <c r="G573" s="42"/>
      <c r="H573"/>
      <c r="I573"/>
      <c r="J573" s="125"/>
      <c r="K573"/>
      <c r="L573"/>
      <c r="M573"/>
      <c r="N573" s="125"/>
      <c r="O573" s="125"/>
      <c r="P573" s="150"/>
      <c r="Q573"/>
      <c r="R573"/>
      <c r="S573" s="45"/>
      <c r="T573" s="362"/>
      <c r="U573" s="362"/>
    </row>
    <row r="574" spans="3:21">
      <c r="C574" s="125"/>
      <c r="D574" s="125"/>
      <c r="E574" s="125"/>
      <c r="F574" s="125"/>
      <c r="G574" s="42"/>
      <c r="H574"/>
      <c r="I574"/>
      <c r="J574" s="125"/>
      <c r="K574"/>
      <c r="L574"/>
      <c r="M574"/>
      <c r="N574" s="125"/>
      <c r="O574" s="125"/>
      <c r="P574" s="150"/>
      <c r="Q574"/>
      <c r="R574"/>
      <c r="S574" s="45"/>
      <c r="T574" s="362"/>
      <c r="U574" s="362"/>
    </row>
    <row r="575" spans="3:21">
      <c r="C575" s="125"/>
      <c r="D575" s="125"/>
      <c r="E575" s="125"/>
      <c r="F575" s="125"/>
      <c r="G575" s="42"/>
      <c r="H575"/>
      <c r="I575"/>
      <c r="J575" s="125"/>
      <c r="K575"/>
      <c r="L575"/>
      <c r="M575"/>
      <c r="N575" s="125"/>
      <c r="O575" s="125"/>
      <c r="P575" s="150"/>
      <c r="Q575"/>
      <c r="R575"/>
      <c r="S575" s="45"/>
      <c r="T575" s="362"/>
      <c r="U575" s="362"/>
    </row>
    <row r="576" spans="3:21">
      <c r="C576" s="125"/>
      <c r="D576" s="125"/>
      <c r="E576" s="125"/>
      <c r="F576" s="125"/>
      <c r="G576" s="42"/>
      <c r="H576"/>
      <c r="I576"/>
      <c r="J576" s="125"/>
      <c r="K576"/>
      <c r="L576"/>
      <c r="M576"/>
      <c r="N576" s="125"/>
      <c r="O576" s="125"/>
      <c r="P576" s="150"/>
      <c r="Q576"/>
      <c r="R576"/>
      <c r="S576" s="45"/>
      <c r="T576" s="362"/>
      <c r="U576" s="362"/>
    </row>
    <row r="577" spans="3:21">
      <c r="C577" s="125"/>
      <c r="D577" s="125"/>
      <c r="E577" s="125"/>
      <c r="F577" s="125"/>
      <c r="G577" s="42"/>
      <c r="H577"/>
      <c r="I577"/>
      <c r="J577" s="125"/>
      <c r="K577"/>
      <c r="L577"/>
      <c r="M577"/>
      <c r="N577" s="125"/>
      <c r="O577" s="125"/>
      <c r="P577" s="150"/>
      <c r="Q577"/>
      <c r="R577"/>
      <c r="S577" s="45"/>
      <c r="T577" s="362"/>
      <c r="U577" s="362"/>
    </row>
    <row r="578" spans="3:21">
      <c r="C578" s="125"/>
      <c r="D578" s="125"/>
      <c r="E578" s="125"/>
      <c r="F578" s="125"/>
      <c r="G578" s="42"/>
      <c r="H578"/>
      <c r="I578"/>
      <c r="J578" s="125"/>
      <c r="K578"/>
      <c r="L578"/>
      <c r="M578"/>
      <c r="N578" s="125"/>
      <c r="O578" s="125"/>
      <c r="P578" s="150"/>
      <c r="Q578"/>
      <c r="R578"/>
      <c r="S578" s="45"/>
      <c r="T578" s="362"/>
      <c r="U578" s="362"/>
    </row>
    <row r="579" spans="3:21">
      <c r="C579" s="125"/>
      <c r="D579" s="125"/>
      <c r="E579" s="125"/>
      <c r="F579" s="125"/>
      <c r="G579" s="42"/>
      <c r="H579"/>
      <c r="I579"/>
      <c r="J579" s="125"/>
      <c r="K579"/>
      <c r="L579"/>
      <c r="M579"/>
      <c r="N579" s="125"/>
      <c r="O579" s="125"/>
      <c r="P579" s="150"/>
      <c r="Q579"/>
      <c r="R579"/>
      <c r="S579" s="45"/>
      <c r="T579" s="362"/>
      <c r="U579" s="362"/>
    </row>
    <row r="580" spans="3:21">
      <c r="C580" s="125"/>
      <c r="D580" s="125"/>
      <c r="E580" s="125"/>
      <c r="F580" s="125"/>
      <c r="G580" s="42"/>
      <c r="H580"/>
      <c r="I580"/>
      <c r="J580" s="125"/>
      <c r="K580"/>
      <c r="L580"/>
      <c r="M580"/>
      <c r="N580" s="125"/>
      <c r="O580" s="125"/>
      <c r="P580" s="150"/>
      <c r="Q580"/>
      <c r="R580"/>
      <c r="S580" s="45"/>
      <c r="T580" s="362"/>
      <c r="U580" s="362"/>
    </row>
    <row r="581" spans="3:21">
      <c r="C581" s="125"/>
      <c r="D581" s="125"/>
      <c r="E581" s="125"/>
      <c r="F581" s="125"/>
      <c r="G581" s="42"/>
      <c r="H581"/>
      <c r="I581"/>
      <c r="J581" s="125"/>
      <c r="K581"/>
      <c r="L581"/>
      <c r="M581"/>
      <c r="N581" s="125"/>
      <c r="O581" s="125"/>
      <c r="P581" s="150"/>
      <c r="Q581"/>
      <c r="R581"/>
      <c r="S581" s="45"/>
      <c r="T581" s="362"/>
      <c r="U581" s="362"/>
    </row>
    <row r="582" spans="3:21">
      <c r="C582" s="125"/>
      <c r="D582" s="125"/>
      <c r="E582" s="125"/>
      <c r="F582" s="125"/>
      <c r="G582" s="42"/>
      <c r="H582"/>
      <c r="I582"/>
      <c r="J582" s="125"/>
      <c r="K582"/>
      <c r="L582"/>
      <c r="M582"/>
      <c r="N582" s="125"/>
      <c r="O582" s="125"/>
      <c r="P582" s="150"/>
      <c r="Q582"/>
      <c r="R582"/>
      <c r="S582" s="45"/>
      <c r="T582" s="362"/>
      <c r="U582" s="362"/>
    </row>
    <row r="583" spans="3:21">
      <c r="C583" s="125"/>
      <c r="D583" s="125"/>
      <c r="E583" s="125"/>
      <c r="F583" s="125"/>
      <c r="G583" s="42"/>
      <c r="H583"/>
      <c r="I583"/>
      <c r="J583" s="125"/>
      <c r="K583"/>
      <c r="L583"/>
      <c r="M583"/>
      <c r="N583" s="125"/>
      <c r="O583" s="125"/>
      <c r="P583" s="150"/>
      <c r="Q583"/>
      <c r="R583"/>
      <c r="S583" s="45"/>
      <c r="T583" s="362"/>
      <c r="U583" s="362"/>
    </row>
    <row r="584" spans="3:21">
      <c r="C584" s="125"/>
      <c r="D584" s="125"/>
      <c r="E584" s="125"/>
      <c r="F584" s="125"/>
      <c r="G584" s="42"/>
      <c r="H584"/>
      <c r="I584"/>
      <c r="J584" s="125"/>
      <c r="K584"/>
      <c r="L584"/>
      <c r="M584"/>
      <c r="N584" s="125"/>
      <c r="O584" s="125"/>
      <c r="P584" s="150"/>
      <c r="Q584"/>
      <c r="R584"/>
      <c r="S584" s="45"/>
      <c r="T584" s="362"/>
      <c r="U584" s="362"/>
    </row>
    <row r="585" spans="3:21">
      <c r="C585" s="125"/>
      <c r="D585" s="125"/>
      <c r="E585" s="125"/>
      <c r="F585" s="125"/>
      <c r="G585" s="42"/>
      <c r="H585"/>
      <c r="I585"/>
      <c r="J585" s="125"/>
      <c r="K585"/>
      <c r="L585"/>
      <c r="M585"/>
      <c r="N585" s="125"/>
      <c r="O585" s="125"/>
      <c r="P585" s="150"/>
      <c r="Q585"/>
      <c r="R585"/>
      <c r="S585" s="45"/>
      <c r="T585" s="362"/>
      <c r="U585" s="362"/>
    </row>
    <row r="586" spans="3:21">
      <c r="C586" s="125"/>
      <c r="D586" s="125"/>
      <c r="E586" s="125"/>
      <c r="F586" s="125"/>
      <c r="G586" s="42"/>
      <c r="H586"/>
      <c r="I586"/>
      <c r="J586" s="125"/>
      <c r="K586"/>
      <c r="L586"/>
      <c r="M586"/>
      <c r="N586" s="125"/>
      <c r="O586" s="125"/>
      <c r="P586" s="150"/>
      <c r="Q586"/>
      <c r="R586"/>
      <c r="S586" s="45"/>
      <c r="T586" s="362"/>
      <c r="U586" s="362"/>
    </row>
    <row r="587" spans="3:21">
      <c r="C587" s="125"/>
      <c r="D587" s="125"/>
      <c r="E587" s="125"/>
      <c r="F587" s="125"/>
      <c r="G587" s="42"/>
      <c r="H587"/>
      <c r="I587"/>
      <c r="J587" s="125"/>
      <c r="K587"/>
      <c r="L587"/>
      <c r="M587"/>
      <c r="N587" s="125"/>
      <c r="O587" s="125"/>
      <c r="P587" s="150"/>
      <c r="Q587"/>
      <c r="R587"/>
      <c r="S587" s="45"/>
      <c r="T587" s="362"/>
      <c r="U587" s="362"/>
    </row>
    <row r="588" spans="3:21">
      <c r="C588" s="125"/>
      <c r="D588" s="125"/>
      <c r="E588" s="125"/>
      <c r="F588" s="125"/>
      <c r="G588" s="42"/>
      <c r="H588"/>
      <c r="I588"/>
      <c r="J588" s="125"/>
      <c r="K588"/>
      <c r="L588"/>
      <c r="M588"/>
      <c r="N588" s="125"/>
      <c r="O588" s="125"/>
      <c r="P588" s="150"/>
      <c r="Q588"/>
      <c r="R588"/>
      <c r="S588" s="45"/>
      <c r="T588" s="362"/>
      <c r="U588" s="362"/>
    </row>
    <row r="589" spans="3:21">
      <c r="C589" s="125"/>
      <c r="D589" s="125"/>
      <c r="E589" s="125"/>
      <c r="F589" s="125"/>
      <c r="G589" s="42"/>
      <c r="H589"/>
      <c r="I589"/>
      <c r="J589" s="125"/>
      <c r="K589"/>
      <c r="L589"/>
      <c r="M589"/>
      <c r="N589" s="125"/>
      <c r="O589" s="125"/>
      <c r="P589" s="150"/>
      <c r="Q589"/>
      <c r="R589"/>
      <c r="S589" s="45"/>
      <c r="T589" s="362"/>
      <c r="U589" s="362"/>
    </row>
    <row r="590" spans="3:21">
      <c r="C590" s="125"/>
      <c r="D590" s="125"/>
      <c r="E590" s="125"/>
      <c r="F590" s="125"/>
      <c r="G590" s="42"/>
      <c r="H590"/>
      <c r="I590"/>
      <c r="J590" s="125"/>
      <c r="K590"/>
      <c r="L590"/>
      <c r="M590"/>
      <c r="N590" s="125"/>
      <c r="O590" s="125"/>
      <c r="P590" s="150"/>
      <c r="Q590"/>
      <c r="R590"/>
      <c r="S590" s="45"/>
      <c r="T590" s="362"/>
      <c r="U590" s="362"/>
    </row>
    <row r="591" spans="3:21">
      <c r="C591" s="125"/>
      <c r="D591" s="125"/>
      <c r="E591" s="125"/>
      <c r="F591" s="125"/>
      <c r="G591" s="42"/>
      <c r="H591"/>
      <c r="I591"/>
      <c r="J591" s="125"/>
      <c r="K591"/>
      <c r="L591"/>
      <c r="M591"/>
      <c r="N591" s="125"/>
      <c r="O591" s="125"/>
      <c r="P591" s="150"/>
      <c r="Q591"/>
      <c r="R591"/>
      <c r="S591" s="45"/>
      <c r="T591" s="362"/>
      <c r="U591" s="362"/>
    </row>
    <row r="592" spans="3:21">
      <c r="C592" s="125"/>
      <c r="D592" s="125"/>
      <c r="E592" s="125"/>
      <c r="F592" s="125"/>
      <c r="G592" s="42"/>
      <c r="H592"/>
      <c r="I592"/>
      <c r="J592" s="125"/>
      <c r="K592"/>
      <c r="L592"/>
      <c r="M592"/>
      <c r="N592" s="125"/>
      <c r="O592" s="125"/>
      <c r="P592" s="150"/>
      <c r="Q592"/>
      <c r="R592"/>
      <c r="S592" s="45"/>
      <c r="T592" s="362"/>
      <c r="U592" s="362"/>
    </row>
    <row r="593" spans="3:21">
      <c r="C593" s="125"/>
      <c r="D593" s="125"/>
      <c r="E593" s="125"/>
      <c r="F593" s="125"/>
      <c r="G593" s="42"/>
      <c r="H593"/>
      <c r="I593"/>
      <c r="J593" s="125"/>
      <c r="K593"/>
      <c r="L593"/>
      <c r="M593"/>
      <c r="N593" s="125"/>
      <c r="O593" s="125"/>
      <c r="P593" s="150"/>
      <c r="Q593"/>
      <c r="R593"/>
      <c r="S593" s="45"/>
      <c r="T593" s="362"/>
      <c r="U593" s="362"/>
    </row>
    <row r="594" spans="3:21">
      <c r="C594" s="125"/>
      <c r="D594" s="125"/>
      <c r="E594" s="125"/>
      <c r="F594" s="125"/>
      <c r="G594" s="42"/>
      <c r="H594"/>
      <c r="I594"/>
      <c r="J594" s="125"/>
      <c r="K594"/>
      <c r="L594"/>
      <c r="M594"/>
      <c r="N594" s="125"/>
      <c r="O594" s="125"/>
      <c r="P594" s="150"/>
      <c r="Q594"/>
      <c r="R594"/>
      <c r="S594" s="45"/>
      <c r="T594" s="362"/>
      <c r="U594" s="362"/>
    </row>
    <row r="595" spans="3:21">
      <c r="C595" s="125"/>
      <c r="D595" s="125"/>
      <c r="E595" s="125"/>
      <c r="F595" s="125"/>
      <c r="G595" s="42"/>
      <c r="H595"/>
      <c r="I595"/>
      <c r="J595" s="125"/>
      <c r="K595"/>
      <c r="L595"/>
      <c r="M595"/>
      <c r="N595" s="125"/>
      <c r="O595" s="125"/>
      <c r="P595" s="150"/>
      <c r="Q595"/>
      <c r="R595"/>
      <c r="S595" s="45"/>
      <c r="T595" s="362"/>
      <c r="U595" s="362"/>
    </row>
    <row r="596" spans="3:21">
      <c r="C596" s="125"/>
      <c r="D596" s="125"/>
      <c r="E596" s="125"/>
      <c r="F596" s="125"/>
      <c r="G596" s="42"/>
      <c r="H596"/>
      <c r="I596"/>
      <c r="J596" s="125"/>
      <c r="K596"/>
      <c r="L596"/>
      <c r="M596"/>
      <c r="N596" s="125"/>
      <c r="O596" s="125"/>
      <c r="P596" s="150"/>
      <c r="Q596"/>
      <c r="R596"/>
      <c r="S596" s="45"/>
      <c r="T596" s="362"/>
      <c r="U596" s="362"/>
    </row>
    <row r="597" spans="3:21">
      <c r="C597" s="125"/>
      <c r="D597" s="125"/>
      <c r="E597" s="125"/>
      <c r="F597" s="125"/>
      <c r="G597" s="42"/>
      <c r="H597"/>
      <c r="I597"/>
      <c r="J597" s="125"/>
      <c r="K597"/>
      <c r="L597"/>
      <c r="M597"/>
      <c r="N597" s="125"/>
      <c r="O597" s="125"/>
      <c r="P597" s="150"/>
      <c r="Q597"/>
      <c r="R597"/>
      <c r="S597" s="45"/>
      <c r="T597" s="362"/>
      <c r="U597" s="362"/>
    </row>
    <row r="598" spans="3:21">
      <c r="C598" s="125"/>
      <c r="D598" s="125"/>
      <c r="E598" s="125"/>
      <c r="F598" s="125"/>
      <c r="G598" s="42"/>
      <c r="H598"/>
      <c r="I598"/>
      <c r="J598" s="125"/>
      <c r="K598"/>
      <c r="L598"/>
      <c r="M598"/>
      <c r="N598" s="125"/>
      <c r="O598" s="125"/>
      <c r="P598" s="150"/>
      <c r="Q598"/>
      <c r="R598"/>
      <c r="S598" s="45"/>
      <c r="T598" s="362"/>
      <c r="U598" s="362"/>
    </row>
    <row r="599" spans="3:21">
      <c r="C599" s="125"/>
      <c r="D599" s="125"/>
      <c r="E599" s="125"/>
      <c r="F599" s="125"/>
      <c r="G599" s="42"/>
      <c r="H599"/>
      <c r="I599"/>
      <c r="J599" s="125"/>
      <c r="K599"/>
      <c r="L599"/>
      <c r="M599"/>
      <c r="N599" s="125"/>
      <c r="O599" s="125"/>
      <c r="P599" s="150"/>
      <c r="Q599"/>
      <c r="R599"/>
      <c r="S599" s="45"/>
      <c r="T599" s="362"/>
      <c r="U599" s="362"/>
    </row>
    <row r="600" spans="3:21">
      <c r="C600" s="125"/>
      <c r="D600" s="125"/>
      <c r="E600" s="125"/>
      <c r="F600" s="125"/>
      <c r="G600" s="42"/>
      <c r="H600"/>
      <c r="I600"/>
      <c r="J600" s="125"/>
      <c r="K600"/>
      <c r="L600"/>
      <c r="M600"/>
      <c r="N600" s="125"/>
      <c r="O600" s="125"/>
      <c r="P600" s="150"/>
      <c r="Q600"/>
      <c r="R600"/>
      <c r="S600" s="45"/>
      <c r="T600" s="362"/>
      <c r="U600" s="362"/>
    </row>
    <row r="601" spans="3:21">
      <c r="C601" s="125"/>
      <c r="D601" s="125"/>
      <c r="E601" s="125"/>
      <c r="F601" s="125"/>
      <c r="G601" s="42"/>
      <c r="H601"/>
      <c r="I601"/>
      <c r="J601" s="125"/>
      <c r="K601"/>
      <c r="L601"/>
      <c r="M601"/>
      <c r="N601" s="125"/>
      <c r="O601" s="125"/>
      <c r="P601" s="150"/>
      <c r="Q601"/>
      <c r="R601"/>
      <c r="S601" s="45"/>
      <c r="T601" s="362"/>
      <c r="U601" s="362"/>
    </row>
    <row r="602" spans="3:21">
      <c r="C602" s="125"/>
      <c r="D602" s="125"/>
      <c r="E602" s="125"/>
      <c r="F602" s="125"/>
      <c r="G602" s="42"/>
      <c r="H602"/>
      <c r="I602"/>
      <c r="J602" s="125"/>
      <c r="K602"/>
      <c r="L602"/>
      <c r="M602"/>
      <c r="N602" s="125"/>
      <c r="O602" s="125"/>
      <c r="P602" s="150"/>
      <c r="Q602"/>
      <c r="R602"/>
      <c r="S602" s="45"/>
      <c r="T602" s="362"/>
      <c r="U602" s="362"/>
    </row>
    <row r="603" spans="3:21">
      <c r="C603" s="125"/>
      <c r="D603" s="125"/>
      <c r="E603" s="125"/>
      <c r="F603" s="125"/>
      <c r="G603" s="42"/>
      <c r="H603"/>
      <c r="I603"/>
      <c r="J603" s="125"/>
      <c r="K603"/>
      <c r="L603"/>
      <c r="M603"/>
      <c r="N603" s="125"/>
      <c r="O603" s="125"/>
      <c r="P603" s="150"/>
      <c r="Q603"/>
      <c r="R603"/>
      <c r="S603" s="45"/>
      <c r="T603" s="362"/>
      <c r="U603" s="362"/>
    </row>
    <row r="604" spans="3:21">
      <c r="C604" s="125"/>
      <c r="D604" s="125"/>
      <c r="E604" s="125"/>
      <c r="F604" s="125"/>
      <c r="G604" s="42"/>
      <c r="H604"/>
      <c r="I604"/>
      <c r="J604" s="125"/>
      <c r="K604"/>
      <c r="L604"/>
      <c r="M604"/>
      <c r="N604" s="125"/>
      <c r="O604" s="125"/>
      <c r="P604" s="150"/>
      <c r="Q604"/>
      <c r="R604"/>
      <c r="S604" s="45"/>
      <c r="T604" s="362"/>
      <c r="U604" s="362"/>
    </row>
    <row r="605" spans="3:21">
      <c r="C605" s="125"/>
      <c r="D605" s="125"/>
      <c r="E605" s="125"/>
      <c r="F605" s="125"/>
      <c r="G605" s="42"/>
      <c r="H605"/>
      <c r="I605"/>
      <c r="J605" s="125"/>
      <c r="K605"/>
      <c r="L605"/>
      <c r="M605"/>
      <c r="N605" s="125"/>
      <c r="O605" s="125"/>
      <c r="P605" s="150"/>
      <c r="Q605"/>
      <c r="R605"/>
      <c r="S605" s="45"/>
      <c r="T605" s="362"/>
      <c r="U605" s="362"/>
    </row>
    <row r="606" spans="3:21">
      <c r="C606" s="125"/>
      <c r="D606" s="125"/>
      <c r="E606" s="125"/>
      <c r="F606" s="125"/>
      <c r="G606" s="42"/>
      <c r="H606"/>
      <c r="I606"/>
      <c r="J606" s="125"/>
      <c r="K606"/>
      <c r="L606"/>
      <c r="M606"/>
      <c r="N606" s="125"/>
      <c r="O606" s="125"/>
      <c r="P606" s="150"/>
      <c r="Q606"/>
      <c r="R606"/>
      <c r="S606" s="45"/>
      <c r="T606" s="362"/>
      <c r="U606" s="362"/>
    </row>
    <row r="607" spans="3:21">
      <c r="C607" s="125"/>
      <c r="D607" s="125"/>
      <c r="E607" s="125"/>
      <c r="F607" s="125"/>
      <c r="G607" s="42"/>
      <c r="H607"/>
      <c r="I607"/>
      <c r="J607" s="125"/>
      <c r="K607"/>
      <c r="L607"/>
      <c r="M607"/>
      <c r="N607" s="125"/>
      <c r="O607" s="125"/>
      <c r="P607" s="150"/>
      <c r="Q607"/>
      <c r="R607"/>
      <c r="S607" s="45"/>
      <c r="T607" s="362"/>
      <c r="U607" s="362"/>
    </row>
    <row r="608" spans="3:21">
      <c r="C608" s="125"/>
      <c r="D608" s="125"/>
      <c r="E608" s="125"/>
      <c r="F608" s="125"/>
      <c r="G608" s="42"/>
      <c r="H608"/>
      <c r="I608"/>
      <c r="J608" s="125"/>
      <c r="K608"/>
      <c r="L608"/>
      <c r="M608"/>
      <c r="N608" s="125"/>
      <c r="O608" s="125"/>
      <c r="P608" s="150"/>
      <c r="Q608"/>
      <c r="R608"/>
      <c r="S608" s="45"/>
      <c r="T608" s="362"/>
      <c r="U608" s="362"/>
    </row>
    <row r="609" spans="3:21">
      <c r="C609" s="125"/>
      <c r="D609" s="125"/>
      <c r="E609" s="125"/>
      <c r="F609" s="125"/>
      <c r="G609" s="42"/>
      <c r="H609"/>
      <c r="I609"/>
      <c r="J609" s="125"/>
      <c r="K609"/>
      <c r="L609"/>
      <c r="M609"/>
      <c r="N609" s="125"/>
      <c r="O609" s="125"/>
      <c r="P609" s="150"/>
      <c r="Q609"/>
      <c r="R609"/>
      <c r="S609" s="45"/>
      <c r="T609" s="362"/>
      <c r="U609" s="362"/>
    </row>
    <row r="610" spans="3:21">
      <c r="C610" s="125"/>
      <c r="D610" s="125"/>
      <c r="E610" s="125"/>
      <c r="F610" s="125"/>
      <c r="G610" s="42"/>
      <c r="H610"/>
      <c r="I610"/>
      <c r="J610" s="125"/>
      <c r="K610"/>
      <c r="L610"/>
      <c r="M610"/>
      <c r="N610" s="125"/>
      <c r="O610" s="125"/>
      <c r="P610" s="150"/>
      <c r="Q610"/>
      <c r="R610"/>
      <c r="S610" s="45"/>
      <c r="T610" s="362"/>
      <c r="U610" s="362"/>
    </row>
    <row r="611" spans="3:21">
      <c r="C611" s="125"/>
      <c r="D611" s="125"/>
      <c r="E611" s="125"/>
      <c r="F611" s="125"/>
      <c r="G611" s="42"/>
      <c r="H611"/>
      <c r="I611"/>
      <c r="J611" s="125"/>
      <c r="K611"/>
      <c r="L611"/>
      <c r="M611"/>
      <c r="N611" s="125"/>
      <c r="O611" s="125"/>
      <c r="P611" s="150"/>
      <c r="Q611"/>
      <c r="R611"/>
      <c r="S611" s="45"/>
      <c r="T611" s="362"/>
      <c r="U611" s="362"/>
    </row>
    <row r="612" spans="3:21">
      <c r="C612" s="125"/>
      <c r="D612" s="125"/>
      <c r="E612" s="125"/>
      <c r="F612" s="125"/>
      <c r="G612" s="42"/>
      <c r="H612"/>
      <c r="I612"/>
      <c r="J612" s="125"/>
      <c r="K612"/>
      <c r="L612"/>
      <c r="M612"/>
      <c r="N612" s="125"/>
      <c r="O612" s="125"/>
      <c r="P612" s="150"/>
      <c r="Q612"/>
      <c r="R612"/>
      <c r="S612" s="45"/>
      <c r="T612" s="362"/>
      <c r="U612" s="362"/>
    </row>
    <row r="613" spans="3:21">
      <c r="C613" s="125"/>
      <c r="D613" s="125"/>
      <c r="E613" s="125"/>
      <c r="F613" s="125"/>
      <c r="G613" s="42"/>
      <c r="H613"/>
      <c r="I613"/>
      <c r="J613" s="125"/>
      <c r="K613"/>
      <c r="L613"/>
      <c r="M613"/>
      <c r="N613" s="125"/>
      <c r="O613" s="125"/>
      <c r="P613" s="150"/>
      <c r="Q613"/>
      <c r="R613"/>
      <c r="S613" s="45"/>
      <c r="T613" s="362"/>
      <c r="U613" s="362"/>
    </row>
    <row r="614" spans="3:21">
      <c r="C614" s="125"/>
      <c r="D614" s="125"/>
      <c r="E614" s="125"/>
      <c r="F614" s="125"/>
      <c r="G614" s="42"/>
      <c r="H614"/>
      <c r="I614"/>
      <c r="J614" s="125"/>
      <c r="K614"/>
      <c r="L614"/>
      <c r="M614"/>
      <c r="N614" s="125"/>
      <c r="O614" s="125"/>
      <c r="P614" s="150"/>
      <c r="Q614"/>
      <c r="R614"/>
      <c r="S614" s="45"/>
      <c r="T614" s="362"/>
      <c r="U614" s="362"/>
    </row>
    <row r="615" spans="3:21">
      <c r="C615" s="125"/>
      <c r="D615" s="125"/>
      <c r="E615" s="125"/>
      <c r="F615" s="125"/>
      <c r="G615" s="42"/>
      <c r="H615"/>
      <c r="I615"/>
      <c r="J615" s="125"/>
      <c r="K615"/>
      <c r="L615"/>
      <c r="M615"/>
      <c r="N615" s="125"/>
      <c r="O615" s="125"/>
      <c r="P615" s="150"/>
      <c r="Q615"/>
      <c r="R615"/>
      <c r="S615" s="45"/>
      <c r="T615" s="362"/>
      <c r="U615" s="362"/>
    </row>
    <row r="616" spans="3:21">
      <c r="C616" s="125"/>
      <c r="D616" s="125"/>
      <c r="E616" s="125"/>
      <c r="F616" s="125"/>
      <c r="G616" s="42"/>
      <c r="H616"/>
      <c r="I616"/>
      <c r="J616" s="125"/>
      <c r="K616"/>
      <c r="L616"/>
      <c r="M616"/>
      <c r="N616" s="125"/>
      <c r="O616" s="125"/>
      <c r="P616" s="150"/>
      <c r="Q616"/>
      <c r="R616"/>
      <c r="S616" s="45"/>
      <c r="T616" s="362"/>
      <c r="U616" s="362"/>
    </row>
    <row r="617" spans="3:21">
      <c r="C617" s="125"/>
      <c r="D617" s="125"/>
      <c r="E617" s="125"/>
      <c r="F617" s="125"/>
      <c r="G617" s="42"/>
      <c r="H617"/>
      <c r="I617"/>
      <c r="J617" s="125"/>
      <c r="K617"/>
      <c r="L617"/>
      <c r="M617"/>
      <c r="N617" s="125"/>
      <c r="O617" s="125"/>
      <c r="P617" s="150"/>
      <c r="Q617"/>
      <c r="R617"/>
      <c r="S617" s="45"/>
      <c r="T617" s="362"/>
      <c r="U617" s="362"/>
    </row>
    <row r="618" spans="3:21">
      <c r="C618" s="125"/>
      <c r="D618" s="125"/>
      <c r="E618" s="125"/>
      <c r="F618" s="125"/>
      <c r="G618" s="42"/>
      <c r="H618"/>
      <c r="I618"/>
      <c r="J618" s="125"/>
      <c r="K618"/>
      <c r="L618"/>
      <c r="M618"/>
      <c r="N618" s="125"/>
      <c r="O618" s="125"/>
      <c r="P618" s="150"/>
      <c r="Q618"/>
      <c r="R618"/>
      <c r="S618" s="45"/>
      <c r="T618" s="362"/>
      <c r="U618" s="362"/>
    </row>
    <row r="619" spans="3:21">
      <c r="C619" s="125"/>
      <c r="D619" s="125"/>
      <c r="E619" s="125"/>
      <c r="F619" s="125"/>
      <c r="G619" s="42"/>
      <c r="H619"/>
      <c r="I619"/>
      <c r="J619" s="125"/>
      <c r="K619"/>
      <c r="L619"/>
      <c r="M619"/>
      <c r="N619" s="125"/>
      <c r="O619" s="125"/>
      <c r="P619" s="150"/>
      <c r="Q619"/>
      <c r="R619"/>
      <c r="S619" s="45"/>
      <c r="T619" s="362"/>
      <c r="U619" s="362"/>
    </row>
    <row r="620" spans="3:21">
      <c r="C620" s="125"/>
      <c r="D620" s="125"/>
      <c r="E620" s="125"/>
      <c r="F620" s="125"/>
      <c r="G620" s="42"/>
      <c r="H620"/>
      <c r="I620"/>
      <c r="J620" s="125"/>
      <c r="K620"/>
      <c r="L620"/>
      <c r="M620"/>
      <c r="N620" s="125"/>
      <c r="O620" s="125"/>
      <c r="P620" s="150"/>
      <c r="Q620"/>
      <c r="R620"/>
      <c r="S620" s="45"/>
      <c r="T620" s="362"/>
      <c r="U620" s="362"/>
    </row>
    <row r="621" spans="3:21">
      <c r="C621" s="125"/>
      <c r="D621" s="125"/>
      <c r="E621" s="125"/>
      <c r="F621" s="125"/>
      <c r="G621" s="42"/>
      <c r="H621"/>
      <c r="I621"/>
      <c r="J621" s="125"/>
      <c r="K621"/>
      <c r="L621"/>
      <c r="M621"/>
      <c r="N621" s="125"/>
      <c r="O621" s="125"/>
      <c r="P621" s="150"/>
      <c r="Q621"/>
      <c r="R621"/>
      <c r="S621" s="45"/>
      <c r="T621" s="362"/>
      <c r="U621" s="362"/>
    </row>
    <row r="622" spans="3:21">
      <c r="C622" s="125"/>
      <c r="D622" s="125"/>
      <c r="E622" s="125"/>
      <c r="F622" s="125"/>
      <c r="G622" s="42"/>
      <c r="H622"/>
      <c r="I622"/>
      <c r="J622" s="125"/>
      <c r="K622"/>
      <c r="L622"/>
      <c r="M622"/>
      <c r="N622" s="125"/>
      <c r="O622" s="125"/>
      <c r="P622" s="150"/>
      <c r="Q622"/>
      <c r="R622"/>
      <c r="S622" s="45"/>
      <c r="T622" s="362"/>
      <c r="U622" s="362"/>
    </row>
    <row r="623" spans="3:21">
      <c r="C623" s="125"/>
      <c r="D623" s="125"/>
      <c r="E623" s="125"/>
      <c r="F623" s="125"/>
      <c r="G623" s="42"/>
      <c r="H623"/>
      <c r="I623"/>
      <c r="J623" s="125"/>
      <c r="K623"/>
      <c r="L623"/>
      <c r="M623"/>
      <c r="N623" s="125"/>
      <c r="O623" s="125"/>
      <c r="P623" s="150"/>
      <c r="Q623"/>
      <c r="R623"/>
      <c r="S623" s="45"/>
      <c r="T623" s="362"/>
      <c r="U623" s="362"/>
    </row>
    <row r="624" spans="3:21">
      <c r="C624" s="125"/>
      <c r="D624" s="125"/>
      <c r="E624" s="125"/>
      <c r="F624" s="125"/>
      <c r="G624" s="42"/>
      <c r="H624"/>
      <c r="I624"/>
      <c r="J624" s="125"/>
      <c r="K624"/>
      <c r="L624"/>
      <c r="M624"/>
      <c r="N624" s="125"/>
      <c r="O624" s="125"/>
      <c r="P624" s="150"/>
      <c r="Q624"/>
      <c r="R624"/>
      <c r="S624" s="45"/>
      <c r="T624" s="362"/>
      <c r="U624" s="362"/>
    </row>
    <row r="625" spans="3:21">
      <c r="C625" s="125"/>
      <c r="D625" s="125"/>
      <c r="E625" s="125"/>
      <c r="F625" s="125"/>
      <c r="G625" s="42"/>
      <c r="H625"/>
      <c r="I625"/>
      <c r="J625" s="125"/>
      <c r="K625"/>
      <c r="L625"/>
      <c r="M625"/>
      <c r="N625" s="125"/>
      <c r="O625" s="125"/>
      <c r="P625" s="150"/>
      <c r="Q625"/>
      <c r="R625"/>
      <c r="S625" s="45"/>
      <c r="T625" s="362"/>
      <c r="U625" s="362"/>
    </row>
    <row r="626" spans="3:21">
      <c r="C626" s="125"/>
      <c r="D626" s="125"/>
      <c r="E626" s="125"/>
      <c r="F626" s="125"/>
      <c r="G626" s="42"/>
      <c r="H626"/>
      <c r="I626"/>
      <c r="J626" s="125"/>
      <c r="K626"/>
      <c r="L626"/>
      <c r="M626"/>
      <c r="N626" s="125"/>
      <c r="O626" s="125"/>
      <c r="P626" s="150"/>
      <c r="Q626"/>
      <c r="R626"/>
      <c r="S626" s="45"/>
      <c r="T626" s="362"/>
      <c r="U626" s="362"/>
    </row>
    <row r="627" spans="3:21">
      <c r="C627" s="125"/>
      <c r="D627" s="125"/>
      <c r="E627" s="125"/>
      <c r="F627" s="125"/>
      <c r="G627" s="42"/>
      <c r="H627"/>
      <c r="I627"/>
      <c r="J627" s="125"/>
      <c r="K627"/>
      <c r="L627"/>
      <c r="M627"/>
      <c r="N627" s="125"/>
      <c r="O627" s="125"/>
      <c r="P627" s="150"/>
      <c r="Q627"/>
      <c r="R627"/>
      <c r="S627" s="45"/>
      <c r="T627" s="362"/>
      <c r="U627" s="362"/>
    </row>
    <row r="628" spans="3:21">
      <c r="C628" s="125"/>
      <c r="D628" s="125"/>
      <c r="E628" s="125"/>
      <c r="F628" s="125"/>
      <c r="G628" s="42"/>
      <c r="H628"/>
      <c r="I628"/>
      <c r="J628" s="125"/>
      <c r="K628"/>
      <c r="L628"/>
      <c r="M628"/>
      <c r="N628" s="125"/>
      <c r="O628" s="125"/>
      <c r="P628" s="150"/>
      <c r="Q628"/>
      <c r="R628"/>
      <c r="S628" s="45"/>
      <c r="T628" s="362"/>
      <c r="U628" s="362"/>
    </row>
    <row r="629" spans="3:21">
      <c r="C629" s="125"/>
      <c r="D629" s="125"/>
      <c r="E629" s="125"/>
      <c r="F629" s="125"/>
      <c r="G629" s="42"/>
      <c r="H629"/>
      <c r="I629"/>
      <c r="J629" s="125"/>
      <c r="K629"/>
      <c r="L629"/>
      <c r="M629"/>
      <c r="N629" s="125"/>
      <c r="O629" s="125"/>
      <c r="P629" s="150"/>
      <c r="Q629"/>
      <c r="R629"/>
      <c r="S629" s="45"/>
      <c r="T629" s="362"/>
      <c r="U629" s="362"/>
    </row>
    <row r="630" spans="3:21">
      <c r="C630" s="125"/>
      <c r="D630" s="125"/>
      <c r="E630" s="125"/>
      <c r="F630" s="125"/>
      <c r="G630" s="42"/>
      <c r="H630"/>
      <c r="I630"/>
      <c r="J630" s="125"/>
      <c r="K630"/>
      <c r="L630"/>
      <c r="M630"/>
      <c r="N630" s="125"/>
      <c r="O630" s="125"/>
      <c r="P630" s="150"/>
      <c r="Q630"/>
      <c r="R630"/>
      <c r="S630" s="45"/>
      <c r="T630" s="362"/>
      <c r="U630" s="362"/>
    </row>
    <row r="631" spans="3:21">
      <c r="C631" s="125"/>
      <c r="D631" s="125"/>
      <c r="E631" s="125"/>
      <c r="F631" s="125"/>
      <c r="G631" s="42"/>
      <c r="H631"/>
      <c r="I631"/>
      <c r="J631" s="125"/>
      <c r="K631"/>
      <c r="L631"/>
      <c r="M631"/>
      <c r="N631" s="125"/>
      <c r="O631" s="125"/>
      <c r="P631" s="150"/>
      <c r="Q631"/>
      <c r="R631"/>
      <c r="S631" s="45"/>
      <c r="T631" s="362"/>
      <c r="U631" s="362"/>
    </row>
    <row r="632" spans="3:21">
      <c r="C632" s="125"/>
      <c r="D632" s="125"/>
      <c r="E632" s="125"/>
      <c r="F632" s="125"/>
      <c r="G632" s="42"/>
      <c r="H632"/>
      <c r="I632"/>
      <c r="J632" s="125"/>
      <c r="K632"/>
      <c r="L632"/>
      <c r="M632"/>
      <c r="N632" s="125"/>
      <c r="O632" s="125"/>
      <c r="P632" s="150"/>
      <c r="Q632"/>
      <c r="R632"/>
      <c r="S632" s="45"/>
      <c r="T632" s="362"/>
      <c r="U632" s="362"/>
    </row>
    <row r="633" spans="3:21">
      <c r="C633" s="125"/>
      <c r="D633" s="125"/>
      <c r="E633" s="125"/>
      <c r="F633" s="125"/>
      <c r="G633" s="42"/>
      <c r="H633"/>
      <c r="I633"/>
      <c r="J633" s="125"/>
      <c r="K633"/>
      <c r="L633"/>
      <c r="M633"/>
      <c r="N633" s="125"/>
      <c r="O633" s="125"/>
      <c r="P633" s="150"/>
      <c r="Q633"/>
      <c r="R633"/>
      <c r="S633" s="45"/>
      <c r="T633" s="362"/>
      <c r="U633" s="362"/>
    </row>
    <row r="634" spans="3:21">
      <c r="C634" s="125"/>
      <c r="D634" s="125"/>
      <c r="E634" s="125"/>
      <c r="F634" s="125"/>
      <c r="G634" s="42"/>
      <c r="H634"/>
      <c r="I634"/>
      <c r="J634" s="125"/>
      <c r="K634"/>
      <c r="L634"/>
      <c r="M634"/>
      <c r="N634" s="125"/>
      <c r="O634" s="125"/>
      <c r="P634" s="150"/>
      <c r="Q634"/>
      <c r="R634"/>
      <c r="S634" s="45"/>
      <c r="T634" s="362"/>
      <c r="U634" s="362"/>
    </row>
    <row r="635" spans="3:21">
      <c r="C635" s="125"/>
      <c r="D635" s="125"/>
      <c r="E635" s="125"/>
      <c r="F635" s="125"/>
      <c r="G635" s="42"/>
      <c r="H635"/>
      <c r="I635"/>
      <c r="J635" s="125"/>
      <c r="K635"/>
      <c r="L635"/>
      <c r="M635"/>
      <c r="N635" s="125"/>
      <c r="O635" s="125"/>
      <c r="P635" s="150"/>
      <c r="Q635"/>
      <c r="R635"/>
      <c r="S635" s="45"/>
      <c r="T635" s="362"/>
      <c r="U635" s="362"/>
    </row>
    <row r="636" spans="3:21">
      <c r="C636" s="125"/>
      <c r="D636" s="125"/>
      <c r="E636" s="125"/>
      <c r="F636" s="125"/>
      <c r="G636" s="42"/>
      <c r="H636"/>
      <c r="I636"/>
      <c r="J636" s="125"/>
      <c r="K636"/>
      <c r="L636"/>
      <c r="M636"/>
      <c r="N636" s="125"/>
      <c r="O636" s="125"/>
      <c r="P636" s="150"/>
      <c r="Q636"/>
      <c r="R636"/>
      <c r="S636" s="45"/>
      <c r="T636" s="362"/>
      <c r="U636" s="362"/>
    </row>
    <row r="637" spans="3:21">
      <c r="C637" s="125"/>
      <c r="D637" s="125"/>
      <c r="E637" s="125"/>
      <c r="F637" s="125"/>
      <c r="G637" s="42"/>
      <c r="H637"/>
      <c r="I637"/>
      <c r="J637" s="125"/>
      <c r="K637"/>
      <c r="L637"/>
      <c r="M637"/>
      <c r="N637" s="125"/>
      <c r="O637" s="125"/>
      <c r="P637" s="150"/>
      <c r="Q637"/>
      <c r="R637"/>
      <c r="S637" s="45"/>
      <c r="T637" s="362"/>
      <c r="U637" s="362"/>
    </row>
    <row r="638" spans="3:21">
      <c r="C638" s="125"/>
      <c r="D638" s="125"/>
      <c r="E638" s="125"/>
      <c r="F638" s="125"/>
      <c r="G638" s="42"/>
      <c r="H638"/>
      <c r="I638"/>
      <c r="J638" s="125"/>
      <c r="K638"/>
      <c r="L638"/>
      <c r="M638"/>
      <c r="N638" s="125"/>
      <c r="O638" s="125"/>
      <c r="P638" s="150"/>
      <c r="Q638"/>
      <c r="R638"/>
      <c r="S638" s="45"/>
      <c r="T638" s="362"/>
      <c r="U638" s="362"/>
    </row>
    <row r="639" spans="3:21">
      <c r="C639" s="125"/>
      <c r="D639" s="125"/>
      <c r="E639" s="125"/>
      <c r="F639" s="125"/>
      <c r="G639" s="42"/>
      <c r="H639"/>
      <c r="I639"/>
      <c r="J639" s="125"/>
      <c r="K639"/>
      <c r="L639"/>
      <c r="M639"/>
      <c r="N639" s="125"/>
      <c r="O639" s="125"/>
      <c r="P639" s="150"/>
      <c r="Q639"/>
      <c r="R639"/>
      <c r="S639" s="45"/>
      <c r="T639" s="362"/>
      <c r="U639" s="362"/>
    </row>
    <row r="640" spans="3:21">
      <c r="C640" s="125"/>
      <c r="D640" s="125"/>
      <c r="E640" s="125"/>
      <c r="F640" s="125"/>
      <c r="G640" s="42"/>
      <c r="H640"/>
      <c r="I640"/>
      <c r="J640" s="125"/>
      <c r="K640"/>
      <c r="L640"/>
      <c r="M640"/>
      <c r="N640" s="125"/>
      <c r="O640" s="125"/>
      <c r="P640" s="150"/>
      <c r="Q640"/>
      <c r="R640"/>
      <c r="S640" s="45"/>
      <c r="T640" s="362"/>
      <c r="U640" s="362"/>
    </row>
    <row r="641" spans="3:21">
      <c r="C641" s="125"/>
      <c r="D641" s="125"/>
      <c r="E641" s="125"/>
      <c r="F641" s="125"/>
      <c r="G641" s="42"/>
      <c r="H641"/>
      <c r="I641"/>
      <c r="J641" s="125"/>
      <c r="K641"/>
      <c r="L641"/>
      <c r="M641"/>
      <c r="N641" s="125"/>
      <c r="O641" s="125"/>
      <c r="P641" s="150"/>
      <c r="Q641"/>
      <c r="R641"/>
      <c r="S641" s="45"/>
      <c r="T641" s="362"/>
      <c r="U641" s="362"/>
    </row>
    <row r="642" spans="3:21">
      <c r="C642" s="125"/>
      <c r="D642" s="125"/>
      <c r="E642" s="125"/>
      <c r="F642" s="125"/>
      <c r="G642" s="42"/>
      <c r="H642"/>
      <c r="I642"/>
      <c r="J642" s="125"/>
      <c r="K642"/>
      <c r="L642"/>
      <c r="M642"/>
      <c r="N642" s="125"/>
      <c r="O642" s="125"/>
      <c r="P642" s="150"/>
      <c r="Q642"/>
      <c r="R642"/>
      <c r="S642" s="45"/>
      <c r="T642" s="362"/>
      <c r="U642" s="362"/>
    </row>
    <row r="643" spans="3:21">
      <c r="C643" s="125"/>
      <c r="D643" s="125"/>
      <c r="E643" s="125"/>
      <c r="F643" s="125"/>
      <c r="G643" s="42"/>
      <c r="H643"/>
      <c r="I643"/>
      <c r="J643" s="125"/>
      <c r="K643"/>
      <c r="L643"/>
      <c r="M643"/>
      <c r="N643" s="125"/>
      <c r="O643" s="125"/>
      <c r="P643" s="150"/>
      <c r="Q643"/>
      <c r="R643"/>
      <c r="S643" s="45"/>
      <c r="T643" s="362"/>
      <c r="U643" s="362"/>
    </row>
    <row r="644" spans="3:21">
      <c r="C644" s="125"/>
      <c r="D644" s="125"/>
      <c r="E644" s="125"/>
      <c r="F644" s="125"/>
      <c r="G644" s="42"/>
      <c r="H644"/>
      <c r="I644"/>
      <c r="J644" s="125"/>
      <c r="K644"/>
      <c r="L644"/>
      <c r="M644"/>
      <c r="N644" s="125"/>
      <c r="O644" s="125"/>
      <c r="P644" s="150"/>
      <c r="Q644"/>
      <c r="R644"/>
      <c r="S644" s="45"/>
      <c r="T644" s="362"/>
      <c r="U644" s="362"/>
    </row>
    <row r="645" spans="3:21">
      <c r="C645" s="125"/>
      <c r="D645" s="125"/>
      <c r="E645" s="125"/>
      <c r="F645" s="125"/>
      <c r="G645" s="42"/>
      <c r="H645"/>
      <c r="I645"/>
      <c r="J645" s="125"/>
      <c r="K645"/>
      <c r="L645"/>
      <c r="M645"/>
      <c r="N645" s="125"/>
      <c r="O645" s="125"/>
      <c r="P645" s="150"/>
      <c r="Q645"/>
      <c r="R645"/>
      <c r="S645" s="45"/>
      <c r="T645" s="362"/>
      <c r="U645" s="362"/>
    </row>
    <row r="646" spans="3:21">
      <c r="C646" s="125"/>
      <c r="D646" s="125"/>
      <c r="E646" s="125"/>
      <c r="F646" s="125"/>
      <c r="G646" s="42"/>
      <c r="H646"/>
      <c r="I646"/>
      <c r="J646" s="125"/>
      <c r="K646"/>
      <c r="L646"/>
      <c r="M646"/>
      <c r="N646" s="125"/>
      <c r="O646" s="125"/>
      <c r="P646" s="150"/>
      <c r="Q646"/>
      <c r="R646"/>
      <c r="S646" s="45"/>
      <c r="T646" s="362"/>
      <c r="U646" s="362"/>
    </row>
    <row r="647" spans="3:21">
      <c r="C647" s="125"/>
      <c r="D647" s="125"/>
      <c r="E647" s="125"/>
      <c r="F647" s="125"/>
      <c r="G647" s="42"/>
      <c r="H647"/>
      <c r="I647"/>
      <c r="J647" s="125"/>
      <c r="K647"/>
      <c r="L647"/>
      <c r="M647"/>
      <c r="N647" s="125"/>
      <c r="O647" s="125"/>
      <c r="P647" s="150"/>
      <c r="Q647"/>
      <c r="R647"/>
      <c r="S647" s="45"/>
      <c r="T647" s="362"/>
      <c r="U647" s="362"/>
    </row>
    <row r="648" spans="3:21">
      <c r="C648" s="125"/>
      <c r="D648" s="125"/>
      <c r="E648" s="125"/>
      <c r="F648" s="125"/>
      <c r="G648" s="42"/>
      <c r="H648"/>
      <c r="I648"/>
      <c r="J648" s="125"/>
      <c r="K648"/>
      <c r="L648"/>
      <c r="M648"/>
      <c r="N648" s="125"/>
      <c r="O648" s="125"/>
      <c r="P648" s="150"/>
      <c r="Q648"/>
      <c r="R648"/>
      <c r="S648" s="45"/>
      <c r="T648" s="362"/>
      <c r="U648" s="362"/>
    </row>
    <row r="649" spans="3:21">
      <c r="C649" s="125"/>
      <c r="D649" s="125"/>
      <c r="E649" s="125"/>
      <c r="F649" s="125"/>
      <c r="G649" s="42"/>
      <c r="H649"/>
      <c r="I649"/>
      <c r="J649" s="125"/>
      <c r="K649"/>
      <c r="L649"/>
      <c r="M649"/>
      <c r="N649" s="125"/>
      <c r="O649" s="125"/>
      <c r="P649" s="150"/>
      <c r="Q649"/>
      <c r="R649"/>
      <c r="S649" s="45"/>
      <c r="T649" s="362"/>
      <c r="U649" s="362"/>
    </row>
    <row r="650" spans="3:21">
      <c r="C650" s="125"/>
      <c r="D650" s="125"/>
      <c r="E650" s="125"/>
      <c r="F650" s="125"/>
      <c r="G650" s="42"/>
      <c r="H650"/>
      <c r="I650"/>
      <c r="J650" s="125"/>
      <c r="K650"/>
      <c r="L650"/>
      <c r="M650"/>
      <c r="N650" s="125"/>
      <c r="O650" s="125"/>
      <c r="P650" s="150"/>
      <c r="Q650"/>
      <c r="R650"/>
      <c r="S650" s="45"/>
      <c r="T650" s="362"/>
      <c r="U650" s="362"/>
    </row>
    <row r="651" spans="3:21">
      <c r="C651" s="125"/>
      <c r="D651" s="125"/>
      <c r="E651" s="125"/>
      <c r="F651" s="125"/>
      <c r="G651" s="42"/>
      <c r="H651"/>
      <c r="I651"/>
      <c r="J651" s="125"/>
      <c r="K651"/>
      <c r="L651"/>
      <c r="M651"/>
      <c r="N651" s="125"/>
      <c r="O651" s="125"/>
      <c r="P651" s="150"/>
      <c r="Q651"/>
      <c r="R651"/>
      <c r="S651" s="45"/>
      <c r="T651" s="362"/>
      <c r="U651" s="362"/>
    </row>
    <row r="652" spans="3:21">
      <c r="C652" s="125"/>
      <c r="D652" s="125"/>
      <c r="E652" s="125"/>
      <c r="F652" s="125"/>
      <c r="G652" s="42"/>
      <c r="H652"/>
      <c r="I652"/>
      <c r="J652" s="125"/>
      <c r="K652"/>
      <c r="L652"/>
      <c r="M652"/>
      <c r="N652" s="125"/>
      <c r="O652" s="125"/>
      <c r="P652" s="150"/>
      <c r="Q652"/>
      <c r="R652"/>
      <c r="S652" s="45"/>
      <c r="T652" s="362"/>
      <c r="U652" s="362"/>
    </row>
    <row r="653" spans="3:21">
      <c r="C653" s="125"/>
      <c r="D653" s="125"/>
      <c r="E653" s="125"/>
      <c r="F653" s="125"/>
      <c r="G653" s="42"/>
      <c r="H653"/>
      <c r="I653"/>
      <c r="J653" s="125"/>
      <c r="K653"/>
      <c r="L653"/>
      <c r="M653"/>
      <c r="N653" s="125"/>
      <c r="O653" s="125"/>
      <c r="P653" s="150"/>
      <c r="Q653"/>
      <c r="R653"/>
      <c r="S653" s="45"/>
      <c r="T653" s="362"/>
      <c r="U653" s="362"/>
    </row>
    <row r="654" spans="3:21">
      <c r="C654" s="125"/>
      <c r="D654" s="125"/>
      <c r="E654" s="125"/>
      <c r="F654" s="125"/>
      <c r="G654" s="42"/>
      <c r="H654"/>
      <c r="I654"/>
      <c r="J654" s="125"/>
      <c r="K654"/>
      <c r="L654"/>
      <c r="M654"/>
      <c r="N654" s="125"/>
      <c r="O654" s="125"/>
      <c r="P654" s="150"/>
      <c r="Q654"/>
      <c r="R654"/>
      <c r="S654" s="45"/>
      <c r="T654" s="362"/>
      <c r="U654" s="362"/>
    </row>
    <row r="655" spans="3:21">
      <c r="T655" s="362"/>
      <c r="U655" s="362"/>
    </row>
    <row r="656" spans="3:21">
      <c r="T656" s="362"/>
      <c r="U656" s="362"/>
    </row>
    <row r="657" spans="20:21">
      <c r="T657" s="362"/>
      <c r="U657" s="362"/>
    </row>
    <row r="658" spans="20:21">
      <c r="T658" s="362"/>
      <c r="U658" s="362"/>
    </row>
    <row r="659" spans="20:21">
      <c r="T659" s="362"/>
      <c r="U659" s="362"/>
    </row>
    <row r="660" spans="20:21">
      <c r="T660" s="362"/>
      <c r="U660" s="362"/>
    </row>
    <row r="661" spans="20:21">
      <c r="T661" s="362"/>
      <c r="U661" s="362"/>
    </row>
    <row r="662" spans="20:21">
      <c r="T662" s="362"/>
      <c r="U662" s="362"/>
    </row>
    <row r="663" spans="20:21">
      <c r="T663" s="362"/>
      <c r="U663" s="362"/>
    </row>
    <row r="664" spans="20:21">
      <c r="T664" s="362"/>
      <c r="U664" s="362"/>
    </row>
    <row r="665" spans="20:21">
      <c r="T665" s="362"/>
      <c r="U665" s="362"/>
    </row>
    <row r="666" spans="20:21">
      <c r="T666" s="362"/>
      <c r="U666" s="362"/>
    </row>
    <row r="667" spans="20:21">
      <c r="T667" s="362"/>
      <c r="U667" s="362"/>
    </row>
    <row r="668" spans="20:21">
      <c r="T668" s="362"/>
      <c r="U668" s="362"/>
    </row>
    <row r="669" spans="20:21">
      <c r="T669" s="362"/>
      <c r="U669" s="362"/>
    </row>
    <row r="670" spans="20:21">
      <c r="T670" s="362"/>
      <c r="U670" s="362"/>
    </row>
    <row r="671" spans="20:21">
      <c r="T671" s="362"/>
      <c r="U671" s="362"/>
    </row>
    <row r="672" spans="20:21">
      <c r="T672" s="362"/>
      <c r="U672" s="362"/>
    </row>
    <row r="673" spans="20:21">
      <c r="T673" s="362"/>
      <c r="U673" s="362"/>
    </row>
    <row r="674" spans="20:21">
      <c r="T674" s="362"/>
      <c r="U674" s="362"/>
    </row>
    <row r="675" spans="20:21">
      <c r="T675" s="362"/>
      <c r="U675" s="362"/>
    </row>
    <row r="676" spans="20:21">
      <c r="T676" s="362"/>
      <c r="U676" s="362"/>
    </row>
    <row r="677" spans="20:21">
      <c r="T677" s="362"/>
      <c r="U677" s="362"/>
    </row>
    <row r="678" spans="20:21">
      <c r="T678" s="362"/>
      <c r="U678" s="362"/>
    </row>
    <row r="679" spans="20:21">
      <c r="T679" s="362"/>
      <c r="U679" s="362"/>
    </row>
    <row r="680" spans="20:21">
      <c r="T680" s="362"/>
      <c r="U680" s="362"/>
    </row>
    <row r="681" spans="20:21">
      <c r="T681" s="362"/>
      <c r="U681" s="362"/>
    </row>
    <row r="682" spans="20:21">
      <c r="T682" s="362"/>
      <c r="U682" s="362"/>
    </row>
    <row r="683" spans="20:21">
      <c r="T683" s="362"/>
      <c r="U683" s="362"/>
    </row>
    <row r="684" spans="20:21">
      <c r="T684" s="362"/>
      <c r="U684" s="362"/>
    </row>
    <row r="685" spans="20:21">
      <c r="T685" s="362"/>
      <c r="U685" s="362"/>
    </row>
    <row r="686" spans="20:21">
      <c r="T686" s="362"/>
      <c r="U686" s="362"/>
    </row>
    <row r="687" spans="20:21">
      <c r="T687" s="362"/>
      <c r="U687" s="362"/>
    </row>
    <row r="688" spans="20:21">
      <c r="T688" s="362"/>
      <c r="U688" s="362"/>
    </row>
  </sheetData>
  <sortState xmlns:xlrd2="http://schemas.microsoft.com/office/spreadsheetml/2017/richdata2" ref="C508:C516">
    <sortCondition ref="C508"/>
  </sortState>
  <phoneticPr fontId="2" type="noConversion"/>
  <pageMargins left="0" right="0.25" top="0.25" bottom="0.3" header="0" footer="0.1"/>
  <pageSetup paperSize="5" scale="80" fitToHeight="0" orientation="landscape" r:id="rId1"/>
  <headerFooter alignWithMargins="0">
    <oddFooter>&amp;L&amp;"Arial Narrow,Regular"&amp;8&amp;Z&amp;F&amp;R&amp;"Arial Narrow,Regular"&amp;8&amp;P/&amp;N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152"/>
  <sheetViews>
    <sheetView zoomScaleNormal="100" workbookViewId="0">
      <pane ySplit="7" topLeftCell="A123" activePane="bottomLeft" state="frozen"/>
      <selection activeCell="A3" sqref="A3"/>
      <selection pane="bottomLeft" activeCell="O150" sqref="O150"/>
    </sheetView>
  </sheetViews>
  <sheetFormatPr defaultRowHeight="12.75"/>
  <cols>
    <col min="1" max="1" width="2.7109375" customWidth="1"/>
    <col min="2" max="2" width="10.140625" bestFit="1" customWidth="1"/>
    <col min="3" max="3" width="15.5703125" customWidth="1"/>
    <col min="4" max="4" width="13.28515625" bestFit="1" customWidth="1"/>
    <col min="5" max="5" width="15" bestFit="1" customWidth="1"/>
    <col min="6" max="6" width="13.7109375" customWidth="1"/>
    <col min="7" max="7" width="13.28515625" bestFit="1" customWidth="1"/>
    <col min="8" max="8" width="16" customWidth="1"/>
    <col min="9" max="10" width="12.7109375" customWidth="1"/>
    <col min="11" max="11" width="15.5703125" bestFit="1" customWidth="1"/>
    <col min="12" max="12" width="14" customWidth="1"/>
    <col min="13" max="13" width="15.5703125" bestFit="1" customWidth="1"/>
    <col min="14" max="15" width="12.7109375" customWidth="1"/>
  </cols>
  <sheetData>
    <row r="1" spans="1:15" ht="20.25">
      <c r="A1" s="1" t="s">
        <v>42</v>
      </c>
      <c r="B1" s="2"/>
      <c r="C1" s="2"/>
      <c r="D1" s="3"/>
      <c r="E1" s="3"/>
      <c r="F1" s="4"/>
      <c r="G1" s="4"/>
      <c r="H1" s="4"/>
      <c r="I1" s="4"/>
      <c r="J1" s="5"/>
      <c r="K1" s="4"/>
      <c r="L1" s="4"/>
      <c r="M1" s="4"/>
      <c r="N1" s="4"/>
    </row>
    <row r="2" spans="1:15" ht="15.75">
      <c r="A2" s="6" t="s">
        <v>37</v>
      </c>
      <c r="B2" s="2"/>
      <c r="C2" s="2"/>
      <c r="D2" s="3"/>
      <c r="E2" s="3"/>
      <c r="F2" s="4"/>
      <c r="G2" s="4"/>
      <c r="H2" s="4"/>
      <c r="I2" s="4"/>
      <c r="J2" s="5"/>
      <c r="K2" s="4"/>
      <c r="L2" s="4"/>
      <c r="M2" s="4"/>
      <c r="N2" s="4"/>
    </row>
    <row r="3" spans="1:15" ht="15.75">
      <c r="A3" s="6" t="str">
        <f>+GAAP!A4</f>
        <v>For the Month Period Ended 12/31/2025</v>
      </c>
      <c r="B3" s="2"/>
      <c r="C3" s="5"/>
      <c r="D3" s="3"/>
      <c r="E3" s="3"/>
      <c r="F3" s="7"/>
      <c r="G3" s="7"/>
      <c r="H3" s="7"/>
      <c r="I3" s="7"/>
      <c r="J3" s="8"/>
      <c r="K3" s="7"/>
      <c r="L3" s="7"/>
      <c r="M3" s="7"/>
      <c r="N3" s="7"/>
    </row>
    <row r="4" spans="1:15" ht="15">
      <c r="A4" s="44"/>
      <c r="B4" s="2"/>
      <c r="C4" s="5"/>
      <c r="D4" s="3"/>
      <c r="E4" s="3"/>
      <c r="F4" s="7"/>
      <c r="G4" s="7"/>
      <c r="H4" s="7"/>
      <c r="I4" s="7"/>
      <c r="J4" s="8"/>
      <c r="K4" s="7"/>
      <c r="L4" s="7"/>
      <c r="M4" s="7"/>
      <c r="N4" s="7"/>
    </row>
    <row r="5" spans="1:15">
      <c r="B5" s="9"/>
      <c r="C5" s="9" t="s">
        <v>0</v>
      </c>
      <c r="D5" s="10" t="s">
        <v>46</v>
      </c>
      <c r="E5" s="11" t="s">
        <v>1</v>
      </c>
      <c r="F5" s="11" t="s">
        <v>2</v>
      </c>
      <c r="G5" s="12" t="s">
        <v>3</v>
      </c>
      <c r="H5" s="12" t="s">
        <v>1</v>
      </c>
      <c r="I5" s="12" t="s">
        <v>1</v>
      </c>
      <c r="J5" s="12" t="s">
        <v>4</v>
      </c>
      <c r="K5" s="13"/>
      <c r="L5" s="12" t="s">
        <v>5</v>
      </c>
      <c r="M5" s="12"/>
      <c r="N5" s="13"/>
      <c r="O5" s="15"/>
    </row>
    <row r="6" spans="1:15">
      <c r="A6" s="16"/>
      <c r="B6" s="9"/>
      <c r="C6" s="17" t="s">
        <v>6</v>
      </c>
      <c r="D6" s="10" t="s">
        <v>7</v>
      </c>
      <c r="E6" s="18" t="s">
        <v>3</v>
      </c>
      <c r="F6" s="11" t="s">
        <v>8</v>
      </c>
      <c r="G6" s="19" t="s">
        <v>9</v>
      </c>
      <c r="H6" s="12" t="s">
        <v>3</v>
      </c>
      <c r="I6" s="19" t="s">
        <v>3</v>
      </c>
      <c r="J6" s="19" t="s">
        <v>10</v>
      </c>
      <c r="K6" s="173" t="s">
        <v>134</v>
      </c>
      <c r="L6" s="12" t="s">
        <v>11</v>
      </c>
      <c r="M6" s="12"/>
      <c r="N6" s="14"/>
      <c r="O6" s="15"/>
    </row>
    <row r="7" spans="1:15">
      <c r="A7" s="20"/>
      <c r="B7" s="21" t="s">
        <v>14</v>
      </c>
      <c r="C7" s="21" t="s">
        <v>15</v>
      </c>
      <c r="D7" s="22" t="s">
        <v>6</v>
      </c>
      <c r="E7" s="23" t="s">
        <v>16</v>
      </c>
      <c r="F7" s="24" t="s">
        <v>15</v>
      </c>
      <c r="G7" s="25" t="s">
        <v>12</v>
      </c>
      <c r="H7" s="25" t="s">
        <v>2</v>
      </c>
      <c r="I7" s="25" t="s">
        <v>17</v>
      </c>
      <c r="J7" s="26" t="s">
        <v>18</v>
      </c>
      <c r="K7" s="174" t="s">
        <v>135</v>
      </c>
      <c r="L7" s="26" t="s">
        <v>28</v>
      </c>
      <c r="M7" s="28"/>
      <c r="N7" s="27"/>
      <c r="O7" s="27"/>
    </row>
    <row r="8" spans="1:15">
      <c r="A8" s="17"/>
      <c r="B8" s="260">
        <f>+Bonus!A9</f>
        <v>51.110799999999998</v>
      </c>
      <c r="C8" s="30">
        <f>IF(Bonus!$G9&lt;2,+Bonus!J9," " )</f>
        <v>94045647.859999999</v>
      </c>
      <c r="D8" s="30">
        <f>IF(Bonus!$G9&lt;2,+Bonus!M9," " )</f>
        <v>150450.1400000006</v>
      </c>
      <c r="E8" s="30">
        <f>IF(Bonus!$G9&lt;2,+Bonus!C9," " )</f>
        <v>94196098</v>
      </c>
      <c r="F8" s="30">
        <f>IF(Bonus!$G9&lt;2,+Bonus!F9," " )</f>
        <v>89805617.799999997</v>
      </c>
      <c r="G8" s="30">
        <f>IF(Bonus!$G9&lt;2,+Bonus!L9," " )</f>
        <v>2211.2000000029802</v>
      </c>
      <c r="H8" s="30">
        <f>IF(Bonus!$G9&lt;2,+Bonus!D9," " )</f>
        <v>89807829</v>
      </c>
      <c r="I8" s="30">
        <f>IF(Bonus!$G9&lt;2,+Bonus!E9," " )</f>
        <v>4388269</v>
      </c>
      <c r="J8" s="31">
        <f>IF(Bonus!$G9&lt;2,+Bonus!G9," " )</f>
        <v>0.9999753785385459</v>
      </c>
      <c r="K8" s="30">
        <f>IF(Bonus!$G9&lt;2,+Bonus!H9," " )</f>
        <v>4320758.91</v>
      </c>
      <c r="L8" s="30">
        <f>+Bonus!K9</f>
        <v>-80728.84999999404</v>
      </c>
      <c r="M8" s="427"/>
      <c r="N8" s="428"/>
      <c r="O8" s="428"/>
    </row>
    <row r="9" spans="1:15">
      <c r="A9" s="17"/>
      <c r="B9" s="260">
        <f>+Bonus!A10</f>
        <v>51.112900000000003</v>
      </c>
      <c r="C9" s="30">
        <f>IF(Bonus!$G10&lt;2,+Bonus!J10," " )</f>
        <v>96918206.900000006</v>
      </c>
      <c r="D9" s="30">
        <f>IF(Bonus!$G10&lt;2,+Bonus!M10," " )</f>
        <v>29565373.939999998</v>
      </c>
      <c r="E9" s="30">
        <f>IF(Bonus!$G10&lt;2,+Bonus!C10," " )</f>
        <v>126483580.84</v>
      </c>
      <c r="F9" s="30">
        <f>IF(Bonus!$G10&lt;2,+Bonus!F10," " )</f>
        <v>87315159.219999999</v>
      </c>
      <c r="G9" s="30">
        <f>IF(Bonus!$G10&lt;2,+Bonus!L10," " )</f>
        <v>27918421.620000005</v>
      </c>
      <c r="H9" s="30">
        <f>IF(Bonus!$G10&lt;2,+Bonus!D10," " )</f>
        <v>115233580.84</v>
      </c>
      <c r="I9" s="30">
        <f>IF(Bonus!$G10&lt;2,+Bonus!E10," " )</f>
        <v>11250000</v>
      </c>
      <c r="J9" s="31">
        <f>IF(Bonus!$G10&lt;2,+Bonus!G10," " )</f>
        <v>0.75772321387144703</v>
      </c>
      <c r="K9" s="30">
        <f>IF(Bonus!$G10&lt;2,+Bonus!H10," " )</f>
        <v>9058793.1560537815</v>
      </c>
      <c r="L9" s="30">
        <f>+Bonus!K10</f>
        <v>544254.52394622564</v>
      </c>
      <c r="M9" s="427"/>
      <c r="N9" s="428"/>
      <c r="O9" s="428"/>
    </row>
    <row r="10" spans="1:15">
      <c r="A10" s="17"/>
      <c r="B10" s="260">
        <f>+Bonus!A11</f>
        <v>51.113700000000001</v>
      </c>
      <c r="C10" s="30">
        <f>IF(Bonus!$G11&lt;2,+Bonus!J11," " )</f>
        <v>1121900.01</v>
      </c>
      <c r="D10" s="30">
        <f>IF(Bonus!$G11&lt;2,+Bonus!M11," " )</f>
        <v>190251.44999999995</v>
      </c>
      <c r="E10" s="30">
        <f>IF(Bonus!$G11&lt;2,+Bonus!C11," " )</f>
        <v>1312151.46</v>
      </c>
      <c r="F10" s="30">
        <f>IF(Bonus!$G11&lt;2,+Bonus!F11," " )</f>
        <v>1042229.29</v>
      </c>
      <c r="G10" s="30">
        <f>IF(Bonus!$G11&lt;2,+Bonus!L11," " )</f>
        <v>156282.16999999993</v>
      </c>
      <c r="H10" s="30">
        <f>IF(Bonus!$G11&lt;2,+Bonus!D11," " )</f>
        <v>1198511.46</v>
      </c>
      <c r="I10" s="30">
        <f>IF(Bonus!$G11&lt;2,+Bonus!E11," " )</f>
        <v>113640</v>
      </c>
      <c r="J10" s="31">
        <f>IF(Bonus!$G11&lt;2,+Bonus!G11," " )</f>
        <v>0.86960310750804171</v>
      </c>
      <c r="K10" s="30">
        <f>IF(Bonus!$G11&lt;2,+Bonus!H11," " )</f>
        <v>98821.697137213865</v>
      </c>
      <c r="L10" s="30">
        <f>+Bonus!K11</f>
        <v>-19150.977137213806</v>
      </c>
      <c r="M10" s="427"/>
      <c r="N10" s="428"/>
      <c r="O10" s="428"/>
    </row>
    <row r="11" spans="1:15">
      <c r="A11" s="17"/>
      <c r="B11" s="260">
        <f>+Bonus!A12</f>
        <v>51.114400000000003</v>
      </c>
      <c r="C11" s="30">
        <f>IF(Bonus!$G12&lt;2,+Bonus!J12," " )</f>
        <v>9667725.7699999996</v>
      </c>
      <c r="D11" s="30">
        <f>IF(Bonus!$G12&lt;2,+Bonus!M12," " )</f>
        <v>5301840.2300000004</v>
      </c>
      <c r="E11" s="30">
        <f>IF(Bonus!$G12&lt;2,+Bonus!C12," " )</f>
        <v>14969566</v>
      </c>
      <c r="F11" s="30">
        <f>IF(Bonus!$G12&lt;2,+Bonus!F12," " )</f>
        <v>8406760.8000000007</v>
      </c>
      <c r="G11" s="30">
        <f>IF(Bonus!$G12&lt;2,+Bonus!L12," " )</f>
        <v>5432856.1999999993</v>
      </c>
      <c r="H11" s="30">
        <f>IF(Bonus!$G12&lt;2,+Bonus!D12," " )</f>
        <v>13839617</v>
      </c>
      <c r="I11" s="30">
        <f>IF(Bonus!$G12&lt;2,+Bonus!E12," " )</f>
        <v>1129949</v>
      </c>
      <c r="J11" s="31">
        <f>IF(Bonus!$G12&lt;2,+Bonus!G12," " )</f>
        <v>0.60744172327890289</v>
      </c>
      <c r="K11" s="30">
        <f>IF(Bonus!$G12&lt;2,+Bonus!H12," " )</f>
        <v>686378.16777727299</v>
      </c>
      <c r="L11" s="30">
        <f>+Bonus!K12</f>
        <v>574586.802222725</v>
      </c>
      <c r="M11" s="427"/>
      <c r="N11" s="428"/>
      <c r="O11" s="428"/>
    </row>
    <row r="12" spans="1:15">
      <c r="A12" s="17"/>
      <c r="B12" s="260">
        <f>+Bonus!A13</f>
        <v>51.114600000000003</v>
      </c>
      <c r="C12" s="30">
        <f>IF(Bonus!$G13&lt;2,+Bonus!J13," " )</f>
        <v>60980234</v>
      </c>
      <c r="D12" s="30">
        <f>IF(Bonus!$G13&lt;2,+Bonus!M13," " )</f>
        <v>0</v>
      </c>
      <c r="E12" s="30">
        <f>IF(Bonus!$G13&lt;2,+Bonus!C13," " )</f>
        <v>60980234</v>
      </c>
      <c r="F12" s="30">
        <f>IF(Bonus!$G13&lt;2,+Bonus!F13," " )</f>
        <v>40950686.5</v>
      </c>
      <c r="G12" s="30">
        <f>IF(Bonus!$G13&lt;2,+Bonus!L13," " )</f>
        <v>3246167.5300000012</v>
      </c>
      <c r="H12" s="30">
        <f>IF(Bonus!$G13&lt;2,+Bonus!D13," " )</f>
        <v>44196854.030000001</v>
      </c>
      <c r="I12" s="30">
        <f>IF(Bonus!$G13&lt;2,+Bonus!E13," " )</f>
        <v>16783379.969999999</v>
      </c>
      <c r="J12" s="31">
        <f>IF(Bonus!$G13&lt;2,+Bonus!G13," " )</f>
        <v>0.92655206798663625</v>
      </c>
      <c r="K12" s="30">
        <f>IF(Bonus!$G13&lt;2,+Bonus!H13," " )</f>
        <v>15724392.037272211</v>
      </c>
      <c r="L12" s="30">
        <f>+Bonus!K13</f>
        <v>4305155.4627277851</v>
      </c>
      <c r="M12" s="427"/>
      <c r="N12" s="428"/>
      <c r="O12" s="428"/>
    </row>
    <row r="13" spans="1:15">
      <c r="A13" s="17"/>
      <c r="B13" s="260">
        <f>+Bonus!A14</f>
        <v>51.115099999999998</v>
      </c>
      <c r="C13" s="30">
        <f>IF(Bonus!$G14&lt;2,+Bonus!J14," " )</f>
        <v>5009265.21</v>
      </c>
      <c r="D13" s="30">
        <f>IF(Bonus!$G14&lt;2,+Bonus!M14," " )</f>
        <v>5648934.79</v>
      </c>
      <c r="E13" s="30">
        <f>IF(Bonus!$G14&lt;2,+Bonus!C14," " )</f>
        <v>10658200</v>
      </c>
      <c r="F13" s="30">
        <f>IF(Bonus!$G14&lt;2,+Bonus!F14," " )</f>
        <v>4923435.18</v>
      </c>
      <c r="G13" s="30">
        <f>IF(Bonus!$G14&lt;2,+Bonus!L14," " )</f>
        <v>5155916.82</v>
      </c>
      <c r="H13" s="30">
        <f>IF(Bonus!$G14&lt;2,+Bonus!D14," " )</f>
        <v>10079352</v>
      </c>
      <c r="I13" s="30">
        <f>IF(Bonus!$G14&lt;2,+Bonus!E14," " )</f>
        <v>578848</v>
      </c>
      <c r="J13" s="31">
        <f>IF(Bonus!$G14&lt;2,+Bonus!G14," " )</f>
        <v>0.48846743123962727</v>
      </c>
      <c r="K13" s="30">
        <f>IF(Bonus!$G14&lt;2,+Bonus!H14," " )</f>
        <v>282748.39563819574</v>
      </c>
      <c r="L13" s="30">
        <f>+Bonus!K14</f>
        <v>-196918.36563819554</v>
      </c>
      <c r="M13" s="427"/>
      <c r="N13" s="428"/>
      <c r="O13" s="428"/>
    </row>
    <row r="14" spans="1:15">
      <c r="A14" s="17"/>
      <c r="B14" s="260">
        <f>+Bonus!A15</f>
        <v>51.115200000000002</v>
      </c>
      <c r="C14" s="30">
        <f>IF(Bonus!$G15&lt;2,+Bonus!J15," " )</f>
        <v>15610649.01</v>
      </c>
      <c r="D14" s="30">
        <f>IF(Bonus!$G15&lt;2,+Bonus!M15," " )</f>
        <v>4363840.33</v>
      </c>
      <c r="E14" s="30">
        <f>IF(Bonus!$G15&lt;2,+Bonus!C15," " )</f>
        <v>19974489.34</v>
      </c>
      <c r="F14" s="30">
        <f>IF(Bonus!$G15&lt;2,+Bonus!F15," " )</f>
        <v>13474808.539999999</v>
      </c>
      <c r="G14" s="30">
        <f>IF(Bonus!$G15&lt;2,+Bonus!L15," " )</f>
        <v>5154139.8000000007</v>
      </c>
      <c r="H14" s="30">
        <f>IF(Bonus!$G15&lt;2,+Bonus!D15," " )</f>
        <v>18628948.34</v>
      </c>
      <c r="I14" s="30">
        <f>IF(Bonus!$G15&lt;2,+Bonus!E15," " )</f>
        <v>1345541</v>
      </c>
      <c r="J14" s="31">
        <f>IF(Bonus!$G15&lt;2,+Bonus!G15," " )</f>
        <v>0.72332631418956417</v>
      </c>
      <c r="K14" s="30">
        <f>IF(Bonus!$G15&lt;2,+Bonus!H15," " )</f>
        <v>973265.21212094033</v>
      </c>
      <c r="L14" s="30">
        <f>+Bonus!K15</f>
        <v>1162575.2578790598</v>
      </c>
      <c r="M14" s="427"/>
      <c r="N14" s="428"/>
      <c r="O14" s="428"/>
    </row>
    <row r="15" spans="1:15">
      <c r="A15" s="17"/>
      <c r="B15" s="260">
        <f>+Bonus!A16</f>
        <v>51.115299999999998</v>
      </c>
      <c r="C15" s="30">
        <f>IF(Bonus!$G16&lt;2,+Bonus!J16," " )</f>
        <v>549548.82999999996</v>
      </c>
      <c r="D15" s="30">
        <f>IF(Bonus!$G16&lt;2,+Bonus!M16," " )</f>
        <v>13275.850000000093</v>
      </c>
      <c r="E15" s="30">
        <f>IF(Bonus!$G16&lt;2,+Bonus!C16," " )</f>
        <v>562824.68000000005</v>
      </c>
      <c r="F15" s="30">
        <f>IF(Bonus!$G16&lt;2,+Bonus!F16," " )</f>
        <v>334550.81</v>
      </c>
      <c r="G15" s="30">
        <f>IF(Bonus!$G16&lt;2,+Bonus!L16," " )</f>
        <v>119969.87000000005</v>
      </c>
      <c r="H15" s="30">
        <f>IF(Bonus!$G16&lt;2,+Bonus!D16," " )</f>
        <v>454520.68000000005</v>
      </c>
      <c r="I15" s="30">
        <f>IF(Bonus!$G16&lt;2,+Bonus!E16," " )</f>
        <v>108304</v>
      </c>
      <c r="J15" s="31">
        <f>IF(Bonus!$G16&lt;2,+Bonus!G16," " )</f>
        <v>0.7360518997727451</v>
      </c>
      <c r="K15" s="30">
        <f>IF(Bonus!$G16&lt;2,+Bonus!H16," " )</f>
        <v>79717.36495298738</v>
      </c>
      <c r="L15" s="30">
        <f>+Bonus!K16</f>
        <v>135280.65504701261</v>
      </c>
      <c r="M15" s="427"/>
      <c r="N15" s="428"/>
      <c r="O15" s="428"/>
    </row>
    <row r="16" spans="1:15">
      <c r="A16" s="17"/>
      <c r="B16" s="260">
        <f>+Bonus!A17</f>
        <v>51.115400000000001</v>
      </c>
      <c r="C16" s="30">
        <f>IF(Bonus!$G17&lt;2,+Bonus!J17," " )</f>
        <v>13340008</v>
      </c>
      <c r="D16" s="30">
        <f>IF(Bonus!$G17&lt;2,+Bonus!M17," " )</f>
        <v>23827</v>
      </c>
      <c r="E16" s="30">
        <f>IF(Bonus!$G17&lt;2,+Bonus!C17," " )</f>
        <v>13363835</v>
      </c>
      <c r="F16" s="30">
        <f>IF(Bonus!$G17&lt;2,+Bonus!F17," " )</f>
        <v>11872342.6</v>
      </c>
      <c r="G16" s="30">
        <f>IF(Bonus!$G17&lt;2,+Bonus!L17," " )</f>
        <v>616492.40000000037</v>
      </c>
      <c r="H16" s="30">
        <f>IF(Bonus!$G17&lt;2,+Bonus!D17," " )</f>
        <v>12488835</v>
      </c>
      <c r="I16" s="30">
        <f>IF(Bonus!$G17&lt;2,+Bonus!E17," " )</f>
        <v>875000</v>
      </c>
      <c r="J16" s="31">
        <f>IF(Bonus!$G17&lt;2,+Bonus!G17," " )</f>
        <v>0.95063651653657044</v>
      </c>
      <c r="K16" s="30">
        <f>IF(Bonus!$G17&lt;2,+Bonus!H17," " )</f>
        <v>831806.95196949912</v>
      </c>
      <c r="L16" s="30">
        <f>+Bonus!K17</f>
        <v>635858.4480305016</v>
      </c>
      <c r="M16" s="427"/>
      <c r="N16" s="428"/>
      <c r="O16" s="428"/>
    </row>
    <row r="17" spans="1:15">
      <c r="A17" s="17"/>
      <c r="B17" s="260">
        <f>+Bonus!A18</f>
        <v>51.1158</v>
      </c>
      <c r="C17" s="30">
        <f>IF(Bonus!$G18&lt;2,+Bonus!J18," " )</f>
        <v>32282</v>
      </c>
      <c r="D17" s="30">
        <f>IF(Bonus!$G18&lt;2,+Bonus!M18," " )</f>
        <v>72164</v>
      </c>
      <c r="E17" s="30">
        <f>IF(Bonus!$G18&lt;2,+Bonus!C18," " )</f>
        <v>104446</v>
      </c>
      <c r="F17" s="30">
        <f>IF(Bonus!$G18&lt;2,+Bonus!F18," " )</f>
        <v>56960.69</v>
      </c>
      <c r="G17" s="30">
        <f>IF(Bonus!$G18&lt;2,+Bonus!L18," " )</f>
        <v>47485.31</v>
      </c>
      <c r="H17" s="30">
        <f>IF(Bonus!$G18&lt;2,+Bonus!D18," " )</f>
        <v>104446</v>
      </c>
      <c r="I17" s="30">
        <f>IF(Bonus!$G18&lt;2,+Bonus!E18," " )</f>
        <v>0</v>
      </c>
      <c r="J17" s="31">
        <f>IF(Bonus!$G18&lt;2,+Bonus!G18," " )</f>
        <v>0.54536018612488757</v>
      </c>
      <c r="K17" s="30">
        <f>IF(Bonus!$G18&lt;2,+Bonus!H18," " )</f>
        <v>0</v>
      </c>
      <c r="L17" s="30">
        <f>+Bonus!K18</f>
        <v>-24678.690000000002</v>
      </c>
      <c r="M17" s="427"/>
      <c r="N17" s="428"/>
      <c r="O17" s="428"/>
    </row>
    <row r="18" spans="1:15">
      <c r="A18" s="17"/>
      <c r="B18" s="260">
        <f>+Bonus!A19</f>
        <v>51.115900000000003</v>
      </c>
      <c r="C18" s="30">
        <f>IF(Bonus!$G19&lt;2,+Bonus!J19," " )</f>
        <v>732995</v>
      </c>
      <c r="D18" s="30">
        <f>IF(Bonus!$G19&lt;2,+Bonus!M19," " )</f>
        <v>466005</v>
      </c>
      <c r="E18" s="30">
        <f>IF(Bonus!$G19&lt;2,+Bonus!C19," " )</f>
        <v>1199000</v>
      </c>
      <c r="F18" s="30">
        <f>IF(Bonus!$G19&lt;2,+Bonus!F19," " )</f>
        <v>790051.12</v>
      </c>
      <c r="G18" s="30">
        <f>IF(Bonus!$G19&lt;2,+Bonus!L19," " )</f>
        <v>289188.88</v>
      </c>
      <c r="H18" s="30">
        <f>IF(Bonus!$G19&lt;2,+Bonus!D19," " )</f>
        <v>1079240</v>
      </c>
      <c r="I18" s="30">
        <f>IF(Bonus!$G19&lt;2,+Bonus!E19," " )</f>
        <v>119760</v>
      </c>
      <c r="J18" s="31">
        <f>IF(Bonus!$G19&lt;2,+Bonus!G19," " )</f>
        <v>0.73204395685853008</v>
      </c>
      <c r="K18" s="30">
        <f>IF(Bonus!$G19&lt;2,+Bonus!H19," " )</f>
        <v>87669.584273377564</v>
      </c>
      <c r="L18" s="30">
        <f>+Bonus!K19</f>
        <v>-144725.70427337755</v>
      </c>
      <c r="M18" s="427"/>
      <c r="N18" s="428"/>
      <c r="O18" s="428"/>
    </row>
    <row r="19" spans="1:15">
      <c r="A19" s="17"/>
      <c r="B19" s="260">
        <f>+Bonus!A20</f>
        <v>51.116</v>
      </c>
      <c r="C19" s="30">
        <f>IF(Bonus!$G20&lt;2,+Bonus!J20," " )</f>
        <v>223725</v>
      </c>
      <c r="D19" s="30">
        <f>IF(Bonus!$G20&lt;2,+Bonus!M20," " )</f>
        <v>1533275</v>
      </c>
      <c r="E19" s="30">
        <f>IF(Bonus!$G20&lt;2,+Bonus!C20," " )</f>
        <v>1757000</v>
      </c>
      <c r="F19" s="30">
        <f>IF(Bonus!$G20&lt;2,+Bonus!F20," " )</f>
        <v>250518.05</v>
      </c>
      <c r="G19" s="30">
        <f>IF(Bonus!$G20&lt;2,+Bonus!L20," " )</f>
        <v>1439481.95</v>
      </c>
      <c r="H19" s="30">
        <f>IF(Bonus!$G20&lt;2,+Bonus!D20," " )</f>
        <v>1690000</v>
      </c>
      <c r="I19" s="30">
        <f>IF(Bonus!$G20&lt;2,+Bonus!E20," " )</f>
        <v>67000</v>
      </c>
      <c r="J19" s="31">
        <f>IF(Bonus!$G20&lt;2,+Bonus!G20," " )</f>
        <v>0.14823553254437868</v>
      </c>
      <c r="K19" s="30">
        <f>IF(Bonus!$G20&lt;2,+Bonus!H20," " )</f>
        <v>0</v>
      </c>
      <c r="L19" s="30">
        <f>+Bonus!K20</f>
        <v>-26793.049999999988</v>
      </c>
      <c r="M19" s="427"/>
      <c r="N19" s="428"/>
      <c r="O19" s="428"/>
    </row>
    <row r="20" spans="1:15">
      <c r="A20" s="17"/>
      <c r="B20" s="260">
        <f>+Bonus!A21</f>
        <v>51.116100000000003</v>
      </c>
      <c r="C20" s="30">
        <f>IF(Bonus!$G21&lt;2,+Bonus!J21," " )</f>
        <v>745707.2</v>
      </c>
      <c r="D20" s="30">
        <f>IF(Bonus!$G21&lt;2,+Bonus!M21," " )</f>
        <v>10102892.25</v>
      </c>
      <c r="E20" s="30">
        <f>IF(Bonus!$G21&lt;2,+Bonus!C21," " )</f>
        <v>10848599.449999999</v>
      </c>
      <c r="F20" s="30">
        <f>IF(Bonus!$G21&lt;2,+Bonus!F21," " )</f>
        <v>601852.17000000004</v>
      </c>
      <c r="G20" s="30">
        <f>IF(Bonus!$G21&lt;2,+Bonus!L21," " )</f>
        <v>9659400.2799999993</v>
      </c>
      <c r="H20" s="30">
        <f>IF(Bonus!$G21&lt;2,+Bonus!D21," " )</f>
        <v>10261252.449999999</v>
      </c>
      <c r="I20" s="30">
        <f>IF(Bonus!$G21&lt;2,+Bonus!E21," " )</f>
        <v>587347</v>
      </c>
      <c r="J20" s="31">
        <f>IF(Bonus!$G21&lt;2,+Bonus!G21," " )</f>
        <v>5.8652895729117367E-2</v>
      </c>
      <c r="K20" s="30">
        <f>IF(Bonus!$G21&lt;2,+Bonus!H21," " )</f>
        <v>0</v>
      </c>
      <c r="L20" s="30">
        <f>+Bonus!K21</f>
        <v>143855.02999999991</v>
      </c>
      <c r="M20" s="427"/>
      <c r="N20" s="428"/>
      <c r="O20" s="428"/>
    </row>
    <row r="21" spans="1:15">
      <c r="A21" s="17"/>
      <c r="B21" s="260">
        <f>+Bonus!A22</f>
        <v>51.116199999999999</v>
      </c>
      <c r="C21" s="30">
        <f>IF(Bonus!$G22&lt;2,+Bonus!J22," " )</f>
        <v>0</v>
      </c>
      <c r="D21" s="30">
        <f>IF(Bonus!$G22&lt;2,+Bonus!M22," " )</f>
        <v>6029750</v>
      </c>
      <c r="E21" s="30">
        <f>IF(Bonus!$G22&lt;2,+Bonus!C22," " )</f>
        <v>6029750</v>
      </c>
      <c r="F21" s="30">
        <f>IF(Bonus!$G22&lt;2,+Bonus!F22," " )</f>
        <v>85941.38</v>
      </c>
      <c r="G21" s="30">
        <f>IF(Bonus!$G22&lt;2,+Bonus!L22," " )</f>
        <v>5759321.6200000001</v>
      </c>
      <c r="H21" s="30">
        <f>IF(Bonus!$G22&lt;2,+Bonus!D22," " )</f>
        <v>5845263</v>
      </c>
      <c r="I21" s="30">
        <f>IF(Bonus!$G22&lt;2,+Bonus!E22," " )</f>
        <v>184487</v>
      </c>
      <c r="J21" s="31">
        <f>IF(Bonus!$G22&lt;2,+Bonus!G22," " )</f>
        <v>1.4702739637207087E-2</v>
      </c>
      <c r="K21" s="30">
        <f>IF(Bonus!$G22&lt;2,+Bonus!H22," " )</f>
        <v>0</v>
      </c>
      <c r="L21" s="30">
        <f>+Bonus!K22</f>
        <v>-85941.38</v>
      </c>
      <c r="M21" s="427"/>
      <c r="N21" s="428"/>
      <c r="O21" s="428"/>
    </row>
    <row r="22" spans="1:15">
      <c r="A22" s="17"/>
      <c r="B22" s="260">
        <f>+Bonus!A23</f>
        <v>51.116399999999999</v>
      </c>
      <c r="C22" s="30">
        <f>IF(Bonus!$G23&lt;2,+Bonus!J23," " )</f>
        <v>0</v>
      </c>
      <c r="D22" s="30">
        <f>IF(Bonus!$G23&lt;2,+Bonus!M23," " )</f>
        <v>387260</v>
      </c>
      <c r="E22" s="30">
        <f>IF(Bonus!$G23&lt;2,+Bonus!C23," " )</f>
        <v>387260</v>
      </c>
      <c r="F22" s="30">
        <f>IF(Bonus!$G23&lt;2,+Bonus!F23," " )</f>
        <v>4363.25</v>
      </c>
      <c r="G22" s="30">
        <f>IF(Bonus!$G23&lt;2,+Bonus!L23," " )</f>
        <v>379023.75</v>
      </c>
      <c r="H22" s="30">
        <f>IF(Bonus!$G23&lt;2,+Bonus!D23," " )</f>
        <v>383387</v>
      </c>
      <c r="I22" s="30">
        <f>IF(Bonus!$G23&lt;2,+Bonus!E23," " )</f>
        <v>3873</v>
      </c>
      <c r="J22" s="31">
        <f>IF(Bonus!$G23&lt;2,+Bonus!G23," " )</f>
        <v>1.1380797992628857E-2</v>
      </c>
      <c r="K22" s="30">
        <f>IF(Bonus!$G23&lt;2,+Bonus!H23," " )</f>
        <v>0</v>
      </c>
      <c r="L22" s="30">
        <f>+Bonus!K23</f>
        <v>-4363.25</v>
      </c>
      <c r="M22" s="427"/>
      <c r="N22" s="428"/>
      <c r="O22" s="428"/>
    </row>
    <row r="23" spans="1:15">
      <c r="A23" s="17"/>
      <c r="B23" s="260">
        <f>+Bonus!A24</f>
        <v>51.116500000000002</v>
      </c>
      <c r="C23" s="30">
        <f>IF(Bonus!$G24&lt;2,+Bonus!J24," " )</f>
        <v>0</v>
      </c>
      <c r="D23" s="30">
        <f>IF(Bonus!$G24&lt;2,+Bonus!M24," " )</f>
        <v>5304500</v>
      </c>
      <c r="E23" s="30">
        <f>IF(Bonus!$G24&lt;2,+Bonus!C24," " )</f>
        <v>5304500</v>
      </c>
      <c r="F23" s="30">
        <f>IF(Bonus!$G24&lt;2,+Bonus!F24," " )</f>
        <v>23330.33</v>
      </c>
      <c r="G23" s="30">
        <f>IF(Bonus!$G24&lt;2,+Bonus!L24," " )</f>
        <v>4863112.67</v>
      </c>
      <c r="H23" s="30">
        <f>IF(Bonus!$G24&lt;2,+Bonus!D24," " )</f>
        <v>4886443</v>
      </c>
      <c r="I23" s="30">
        <f>IF(Bonus!$G24&lt;2,+Bonus!E24," " )</f>
        <v>418057</v>
      </c>
      <c r="J23" s="31">
        <f>IF(Bonus!$G24&lt;2,+Bonus!G24," " )</f>
        <v>4.7745016160016607E-3</v>
      </c>
      <c r="K23" s="30">
        <f>IF(Bonus!$G24&lt;2,+Bonus!H24," " )</f>
        <v>0</v>
      </c>
      <c r="L23" s="30">
        <f>+Bonus!K24</f>
        <v>-23330.33</v>
      </c>
      <c r="M23" s="427"/>
      <c r="N23" s="428"/>
      <c r="O23" s="428"/>
    </row>
    <row r="24" spans="1:15">
      <c r="A24" s="17"/>
      <c r="B24" s="9"/>
      <c r="C24" s="9"/>
      <c r="D24" s="422"/>
      <c r="E24" s="423"/>
      <c r="F24" s="11"/>
      <c r="G24" s="424"/>
      <c r="H24" s="424"/>
      <c r="I24" s="424"/>
      <c r="J24" s="425"/>
      <c r="K24" s="426"/>
      <c r="L24" s="425"/>
      <c r="M24" s="427"/>
      <c r="N24" s="428"/>
      <c r="O24" s="428"/>
    </row>
    <row r="25" spans="1:15">
      <c r="A25" s="29"/>
      <c r="B25" s="260">
        <f>+Bonus!A44</f>
        <v>52.856299999999997</v>
      </c>
      <c r="C25" s="30">
        <f>IF(Bonus!$G44&lt;2,+Bonus!J44," " )</f>
        <v>1134038.1299999999</v>
      </c>
      <c r="D25" s="30">
        <f>IF(Bonus!$G44&lt;2,+Bonus!M44," " )</f>
        <v>40144.600000000093</v>
      </c>
      <c r="E25" s="30">
        <f>IF(Bonus!$G44&lt;2,+Bonus!C44," " )</f>
        <v>1174182.73</v>
      </c>
      <c r="F25" s="30">
        <f>IF(Bonus!$G44&lt;2,+Bonus!F44," " )</f>
        <v>859077.05</v>
      </c>
      <c r="G25" s="30">
        <f>IF(Bonus!$G44&lt;2,+Bonus!L44," " )</f>
        <v>21713.04999999993</v>
      </c>
      <c r="H25" s="30">
        <f>IF(Bonus!$G44&lt;2,+Bonus!D44," " )</f>
        <v>880790.1</v>
      </c>
      <c r="I25" s="30">
        <f>IF(Bonus!$G44&lt;2,+Bonus!E44," " )</f>
        <v>293392.63</v>
      </c>
      <c r="J25" s="31">
        <f>IF(Bonus!$G44&lt;2,+Bonus!G44," " )</f>
        <v>0.97534821292836971</v>
      </c>
      <c r="K25" s="30">
        <f>IF(Bonus!$G44&lt;2,+Bonus!H44," " )</f>
        <v>293385.24</v>
      </c>
      <c r="L25" s="30">
        <f>+Bonus!K44</f>
        <v>-18424.160000000149</v>
      </c>
      <c r="M25" s="32"/>
      <c r="N25" s="30"/>
      <c r="O25" s="30"/>
    </row>
    <row r="26" spans="1:15">
      <c r="A26" s="29"/>
      <c r="B26" s="260">
        <f>+Bonus!A45</f>
        <v>52.8566</v>
      </c>
      <c r="C26" s="30">
        <f>IF(Bonus!$G45&lt;2,+Bonus!J45," " )</f>
        <v>1242053</v>
      </c>
      <c r="D26" s="30">
        <f>IF(Bonus!$G45&lt;2,+Bonus!M45," " )</f>
        <v>17345</v>
      </c>
      <c r="E26" s="30">
        <f>IF(Bonus!$G45&lt;2,+Bonus!C45," " )</f>
        <v>1259398</v>
      </c>
      <c r="F26" s="30">
        <f>IF(Bonus!$G45&lt;2,+Bonus!F45," " )</f>
        <v>1023821.05</v>
      </c>
      <c r="G26" s="30">
        <f>IF(Bonus!$G45&lt;2,+Bonus!L45," " )</f>
        <v>5576.9499999999534</v>
      </c>
      <c r="H26" s="30">
        <f>IF(Bonus!$G45&lt;2,+Bonus!D45," " )</f>
        <v>1029398</v>
      </c>
      <c r="I26" s="30">
        <f>IF(Bonus!$G45&lt;2,+Bonus!E45," " )</f>
        <v>230000</v>
      </c>
      <c r="J26" s="31">
        <f>IF(Bonus!$G45&lt;2,+Bonus!G45," " )</f>
        <v>0.99458231898643679</v>
      </c>
      <c r="K26" s="30">
        <f>IF(Bonus!$G45&lt;2,+Bonus!H45," " )</f>
        <v>228753.93336688046</v>
      </c>
      <c r="L26" s="30">
        <f>+Bonus!K45</f>
        <v>-10521.983366880566</v>
      </c>
      <c r="M26" s="32"/>
      <c r="N26" s="30"/>
      <c r="O26" s="30"/>
    </row>
    <row r="27" spans="1:15">
      <c r="A27" s="29"/>
      <c r="B27" s="260">
        <f>+Bonus!A46</f>
        <v>52.858600000000003</v>
      </c>
      <c r="C27" s="30">
        <f>IF(Bonus!$G46&lt;2,+Bonus!J46," " )</f>
        <v>12611349</v>
      </c>
      <c r="D27" s="30">
        <f>IF(Bonus!$G46&lt;2,+Bonus!M46," " )</f>
        <v>0</v>
      </c>
      <c r="E27" s="30">
        <f>IF(Bonus!$G46&lt;2,+Bonus!C46," " )</f>
        <v>12611349</v>
      </c>
      <c r="F27" s="30">
        <f>IF(Bonus!$G46&lt;2,+Bonus!F46," " )</f>
        <v>10565460.74</v>
      </c>
      <c r="G27" s="30">
        <f>IF(Bonus!$G46&lt;2,+Bonus!L46," " )</f>
        <v>95888.259999999776</v>
      </c>
      <c r="H27" s="30">
        <f>IF(Bonus!$G46&lt;2,+Bonus!D46," " )</f>
        <v>10661349</v>
      </c>
      <c r="I27" s="30">
        <f>IF(Bonus!$G46&lt;2,+Bonus!E46," " )</f>
        <v>1950000</v>
      </c>
      <c r="J27" s="31">
        <f>IF(Bonus!$G46&lt;2,+Bonus!G46," " )</f>
        <v>0.99100599183086491</v>
      </c>
      <c r="K27" s="30">
        <f>IF(Bonus!$G46&lt;2,+Bonus!H46," " )</f>
        <v>1932461.6840701865</v>
      </c>
      <c r="L27" s="30">
        <f>+Bonus!K46</f>
        <v>113426.57592981309</v>
      </c>
      <c r="M27" s="32"/>
      <c r="N27" s="30"/>
      <c r="O27" s="30"/>
    </row>
    <row r="28" spans="1:15">
      <c r="A28" s="29"/>
      <c r="B28" s="260">
        <f>+Bonus!A47</f>
        <v>52.863399999999999</v>
      </c>
      <c r="C28" s="30">
        <f>IF(Bonus!$G47&lt;2,+Bonus!J47," " )</f>
        <v>12576768.039999999</v>
      </c>
      <c r="D28" s="30">
        <f>IF(Bonus!$G47&lt;2,+Bonus!M47," " )</f>
        <v>1315954.7000000011</v>
      </c>
      <c r="E28" s="30">
        <f>IF(Bonus!$G47&lt;2,+Bonus!C47," " )</f>
        <v>13892722.74</v>
      </c>
      <c r="F28" s="30">
        <f>IF(Bonus!$G47&lt;2,+Bonus!F47," " )</f>
        <v>11707058.24</v>
      </c>
      <c r="G28" s="30">
        <f>IF(Bonus!$G47&lt;2,+Bonus!L47," " )</f>
        <v>1483664.5</v>
      </c>
      <c r="H28" s="30">
        <f>IF(Bonus!$G47&lt;2,+Bonus!D47," " )</f>
        <v>13190722.74</v>
      </c>
      <c r="I28" s="30">
        <f>IF(Bonus!$G47&lt;2,+Bonus!E47," " )</f>
        <v>702000</v>
      </c>
      <c r="J28" s="31">
        <f>IF(Bonus!$G47&lt;2,+Bonus!G47," " )</f>
        <v>0.8875221222336146</v>
      </c>
      <c r="K28" s="30">
        <f>IF(Bonus!$G47&lt;2,+Bonus!H47," " )</f>
        <v>623040.5298079974</v>
      </c>
      <c r="L28" s="30">
        <f>+Bonus!K47</f>
        <v>246669.27019200101</v>
      </c>
      <c r="M28" s="32"/>
      <c r="N28" s="30"/>
      <c r="O28" s="30"/>
    </row>
    <row r="29" spans="1:15">
      <c r="A29" s="29"/>
      <c r="B29" s="260">
        <f>+Bonus!A48</f>
        <v>52.863599999999998</v>
      </c>
      <c r="C29" s="30">
        <f>IF(Bonus!$G48&lt;2,+Bonus!J48," " )</f>
        <v>3065635.6</v>
      </c>
      <c r="D29" s="30">
        <f>IF(Bonus!$G48&lt;2,+Bonus!M48," " )</f>
        <v>576561.39999999991</v>
      </c>
      <c r="E29" s="30">
        <f>IF(Bonus!$G48&lt;2,+Bonus!C48," " )</f>
        <v>3642197</v>
      </c>
      <c r="F29" s="30">
        <f>IF(Bonus!$G48&lt;2,+Bonus!F48," " )</f>
        <v>3367047.36</v>
      </c>
      <c r="G29" s="30">
        <f>IF(Bonus!$G48&lt;2,+Bonus!L48," " )</f>
        <v>149.64000000013039</v>
      </c>
      <c r="H29" s="30">
        <f>IF(Bonus!$G48&lt;2,+Bonus!D48," " )</f>
        <v>3367197</v>
      </c>
      <c r="I29" s="30">
        <f>IF(Bonus!$G48&lt;2,+Bonus!E48," " )</f>
        <v>275000</v>
      </c>
      <c r="J29" s="31">
        <f>IF(Bonus!$G48&lt;2,+Bonus!G48," " )</f>
        <v>0.99995555947573012</v>
      </c>
      <c r="K29" s="30">
        <f>IF(Bonus!$G48&lt;2,+Bonus!H48," " )</f>
        <v>274987.77885582577</v>
      </c>
      <c r="L29" s="30">
        <f>+Bonus!K48</f>
        <v>-576399.53885582555</v>
      </c>
      <c r="M29" s="32"/>
      <c r="N29" s="30"/>
      <c r="O29" s="30"/>
    </row>
    <row r="30" spans="1:15">
      <c r="A30" s="29"/>
      <c r="B30" s="260">
        <f>+Bonus!A49</f>
        <v>52.863700000000001</v>
      </c>
      <c r="C30" s="30">
        <f>IF(Bonus!$G49&lt;2,+Bonus!J49," " )</f>
        <v>26148625</v>
      </c>
      <c r="D30" s="30">
        <f>IF(Bonus!$G49&lt;2,+Bonus!M49," " )</f>
        <v>115952.64999999851</v>
      </c>
      <c r="E30" s="30">
        <f>IF(Bonus!$G49&lt;2,+Bonus!C49," " )</f>
        <v>26264577.649999999</v>
      </c>
      <c r="F30" s="30">
        <f>IF(Bonus!$G49&lt;2,+Bonus!F49," " )</f>
        <v>24374299.030000001</v>
      </c>
      <c r="G30" s="30">
        <f>IF(Bonus!$G49&lt;2,+Bonus!L49," " )</f>
        <v>240278.61999999732</v>
      </c>
      <c r="H30" s="30">
        <f>IF(Bonus!$G49&lt;2,+Bonus!D49," " )</f>
        <v>24614577.649999999</v>
      </c>
      <c r="I30" s="30">
        <f>IF(Bonus!$G49&lt;2,+Bonus!E49," " )</f>
        <v>1650000</v>
      </c>
      <c r="J30" s="31">
        <f>IF(Bonus!$G49&lt;2,+Bonus!G49," " )</f>
        <v>0.99023836104699536</v>
      </c>
      <c r="K30" s="30">
        <f>IF(Bonus!$G49&lt;2,+Bonus!H49," " )</f>
        <v>1633893.2957275424</v>
      </c>
      <c r="L30" s="30">
        <f>+Bonus!K49</f>
        <v>140432.67427245528</v>
      </c>
      <c r="M30" s="32"/>
      <c r="N30" s="30"/>
      <c r="O30" s="30"/>
    </row>
    <row r="31" spans="1:15">
      <c r="A31" s="29"/>
      <c r="B31" s="260">
        <f>+Bonus!A50</f>
        <v>52.863999999999997</v>
      </c>
      <c r="C31" s="30">
        <f>IF(Bonus!$G50&lt;2,+Bonus!J50," " )</f>
        <v>34176041.859999999</v>
      </c>
      <c r="D31" s="30">
        <f>IF(Bonus!$G50&lt;2,+Bonus!M50," " )</f>
        <v>4470321.299999997</v>
      </c>
      <c r="E31" s="30">
        <f>IF(Bonus!$G50&lt;2,+Bonus!C50," " )</f>
        <v>38646363.159999996</v>
      </c>
      <c r="F31" s="30">
        <f>IF(Bonus!$G50&lt;2,+Bonus!F50," " )</f>
        <v>32158781.48</v>
      </c>
      <c r="G31" s="30">
        <f>IF(Bonus!$G50&lt;2,+Bonus!L50," " )</f>
        <v>4614258.679999996</v>
      </c>
      <c r="H31" s="30">
        <f>IF(Bonus!$G50&lt;2,+Bonus!D50," " )</f>
        <v>36773040.159999996</v>
      </c>
      <c r="I31" s="30">
        <f>IF(Bonus!$G50&lt;2,+Bonus!E50," " )</f>
        <v>1873323</v>
      </c>
      <c r="J31" s="31">
        <f>IF(Bonus!$G50&lt;2,+Bonus!G50," " )</f>
        <v>0.87452060912224572</v>
      </c>
      <c r="K31" s="30">
        <f>IF(Bonus!$G50&lt;2,+Bonus!H50," " )</f>
        <v>1638259.5710427128</v>
      </c>
      <c r="L31" s="30">
        <f>+Bonus!K50</f>
        <v>379000.80895728618</v>
      </c>
      <c r="M31" s="32"/>
      <c r="N31" s="30"/>
      <c r="O31" s="30"/>
    </row>
    <row r="32" spans="1:15">
      <c r="A32" s="29"/>
      <c r="B32" s="260">
        <f>+Bonus!A51</f>
        <v>52.866799999999998</v>
      </c>
      <c r="C32" s="30">
        <f>IF(Bonus!$G51&lt;2,+Bonus!J51," " )</f>
        <v>349622.76</v>
      </c>
      <c r="D32" s="30">
        <f>IF(Bonus!$G51&lt;2,+Bonus!M51," " )</f>
        <v>62228.239999999991</v>
      </c>
      <c r="E32" s="30">
        <f>IF(Bonus!$G51&lt;2,+Bonus!C51," " )</f>
        <v>411851</v>
      </c>
      <c r="F32" s="30">
        <f>IF(Bonus!$G51&lt;2,+Bonus!F51," " )</f>
        <v>357710.67</v>
      </c>
      <c r="G32" s="30">
        <f>IF(Bonus!$G51&lt;2,+Bonus!L51," " )</f>
        <v>19285.330000000016</v>
      </c>
      <c r="H32" s="30">
        <f>IF(Bonus!$G51&lt;2,+Bonus!D51," " )</f>
        <v>376996</v>
      </c>
      <c r="I32" s="30">
        <f>IF(Bonus!$G51&lt;2,+Bonus!E51," " )</f>
        <v>34855</v>
      </c>
      <c r="J32" s="31">
        <f>IF(Bonus!$G51&lt;2,+Bonus!G51," " )</f>
        <v>0.94884473575316441</v>
      </c>
      <c r="K32" s="30">
        <f>IF(Bonus!$G51&lt;2,+Bonus!H51," " )</f>
        <v>33071.983264676543</v>
      </c>
      <c r="L32" s="30">
        <f>+Bonus!K51</f>
        <v>-41159.893264676502</v>
      </c>
      <c r="M32" s="32"/>
      <c r="N32" s="30"/>
      <c r="O32" s="30"/>
    </row>
    <row r="33" spans="1:15">
      <c r="A33" s="29"/>
      <c r="B33" s="260">
        <f>+Bonus!A52</f>
        <v>52.867800000000003</v>
      </c>
      <c r="C33" s="30">
        <f>IF(Bonus!$G52&lt;2,+Bonus!J52," " )</f>
        <v>1142122</v>
      </c>
      <c r="D33" s="30">
        <f>IF(Bonus!$G52&lt;2,+Bonus!M52," " )</f>
        <v>98199</v>
      </c>
      <c r="E33" s="30">
        <f>IF(Bonus!$G52&lt;2,+Bonus!C52," " )</f>
        <v>1240321</v>
      </c>
      <c r="F33" s="30">
        <f>IF(Bonus!$G52&lt;2,+Bonus!F52," " )</f>
        <v>926007.31</v>
      </c>
      <c r="G33" s="30">
        <f>IF(Bonus!$G52&lt;2,+Bonus!L52," " )</f>
        <v>236313.68999999994</v>
      </c>
      <c r="H33" s="30">
        <f>IF(Bonus!$G52&lt;2,+Bonus!D52," " )</f>
        <v>1162321</v>
      </c>
      <c r="I33" s="30">
        <f>IF(Bonus!$G52&lt;2,+Bonus!E52," " )</f>
        <v>78000</v>
      </c>
      <c r="J33" s="31">
        <f>IF(Bonus!$G52&lt;2,+Bonus!G52," " )</f>
        <v>0.79668810079143371</v>
      </c>
      <c r="K33" s="30">
        <f>IF(Bonus!$G52&lt;2,+Bonus!H52," " )</f>
        <v>62141.671861731826</v>
      </c>
      <c r="L33" s="30">
        <f>+Bonus!K52</f>
        <v>153973.01813826815</v>
      </c>
      <c r="M33" s="32"/>
      <c r="N33" s="30"/>
      <c r="O33" s="30"/>
    </row>
    <row r="34" spans="1:15">
      <c r="A34" s="29"/>
      <c r="B34" s="260">
        <f>+Bonus!A53</f>
        <v>52.868699999999997</v>
      </c>
      <c r="C34" s="30">
        <f>IF(Bonus!$G53&lt;2,+Bonus!J53," " )</f>
        <v>827811.95</v>
      </c>
      <c r="D34" s="30">
        <f>IF(Bonus!$G53&lt;2,+Bonus!M53," " )</f>
        <v>50142.050000000047</v>
      </c>
      <c r="E34" s="30">
        <f>IF(Bonus!$G53&lt;2,+Bonus!C53," " )</f>
        <v>877954</v>
      </c>
      <c r="F34" s="30">
        <f>IF(Bonus!$G53&lt;2,+Bonus!F53," " )</f>
        <v>740629.43</v>
      </c>
      <c r="G34" s="30">
        <f>IF(Bonus!$G53&lt;2,+Bonus!L53," " )</f>
        <v>50142.050000000047</v>
      </c>
      <c r="H34" s="30">
        <f>IF(Bonus!$G53&lt;2,+Bonus!D53," " )</f>
        <v>790771.4800000001</v>
      </c>
      <c r="I34" s="30">
        <f>IF(Bonus!$G53&lt;2,+Bonus!E53," " )</f>
        <v>87182.519999999902</v>
      </c>
      <c r="J34" s="31">
        <f>IF(Bonus!$G53&lt;2,+Bonus!G53," " )</f>
        <v>0.93659097315952766</v>
      </c>
      <c r="K34" s="30">
        <f>IF(Bonus!$G53&lt;2,+Bonus!H53," " )</f>
        <v>81654.361249299895</v>
      </c>
      <c r="L34" s="30">
        <f>+Bonus!K53</f>
        <v>5528.1587507000659</v>
      </c>
      <c r="M34" s="32"/>
      <c r="N34" s="30"/>
      <c r="O34" s="30"/>
    </row>
    <row r="35" spans="1:15">
      <c r="A35" s="29"/>
      <c r="B35" s="260">
        <f>+Bonus!A54</f>
        <v>52.869199999999999</v>
      </c>
      <c r="C35" s="30">
        <f>IF(Bonus!$G54&lt;2,+Bonus!J54," " )</f>
        <v>55135.37</v>
      </c>
      <c r="D35" s="30">
        <f>IF(Bonus!$G54&lt;2,+Bonus!M54," " )</f>
        <v>0</v>
      </c>
      <c r="E35" s="30">
        <f>IF(Bonus!$G54&lt;2,+Bonus!C54," " )</f>
        <v>55135.37</v>
      </c>
      <c r="F35" s="30">
        <f>IF(Bonus!$G54&lt;2,+Bonus!F54," " )</f>
        <v>49682.49</v>
      </c>
      <c r="G35" s="30">
        <f>IF(Bonus!$G54&lt;2,+Bonus!L54," " )</f>
        <v>0</v>
      </c>
      <c r="H35" s="30">
        <f>IF(Bonus!$G54&lt;2,+Bonus!D54," " )</f>
        <v>49682.49</v>
      </c>
      <c r="I35" s="30">
        <f>IF(Bonus!$G54&lt;2,+Bonus!E54," " )</f>
        <v>5452.8800000000047</v>
      </c>
      <c r="J35" s="31">
        <f>IF(Bonus!$G54&lt;2,+Bonus!G54," " )</f>
        <v>1</v>
      </c>
      <c r="K35" s="30">
        <f>IF(Bonus!$G54&lt;2,+Bonus!H54," " )</f>
        <v>5452.8800000000047</v>
      </c>
      <c r="L35" s="30">
        <f>+Bonus!K54</f>
        <v>0</v>
      </c>
      <c r="M35" s="32"/>
      <c r="N35" s="30"/>
      <c r="O35" s="30"/>
    </row>
    <row r="36" spans="1:15">
      <c r="A36" s="29"/>
      <c r="B36" s="260">
        <f>+Bonus!A55</f>
        <v>52.869700000000002</v>
      </c>
      <c r="C36" s="30">
        <f>IF(Bonus!$G55&lt;2,+Bonus!J55," " )</f>
        <v>1069317</v>
      </c>
      <c r="D36" s="30">
        <f>IF(Bonus!$G55&lt;2,+Bonus!M55," " )</f>
        <v>318683</v>
      </c>
      <c r="E36" s="30">
        <f>IF(Bonus!$G55&lt;2,+Bonus!C55," " )</f>
        <v>1388000</v>
      </c>
      <c r="F36" s="30">
        <f>IF(Bonus!$G55&lt;2,+Bonus!F55," " )</f>
        <v>772187.73</v>
      </c>
      <c r="G36" s="30">
        <f>IF(Bonus!$G55&lt;2,+Bonus!L55," " )</f>
        <v>553294.27</v>
      </c>
      <c r="H36" s="30">
        <f>IF(Bonus!$G55&lt;2,+Bonus!D55," " )</f>
        <v>1325482</v>
      </c>
      <c r="I36" s="30">
        <f>IF(Bonus!$G55&lt;2,+Bonus!E55," " )</f>
        <v>62518</v>
      </c>
      <c r="J36" s="31">
        <f>IF(Bonus!$G55&lt;2,+Bonus!G55," " )</f>
        <v>0.58257126841405615</v>
      </c>
      <c r="K36" s="30">
        <f>IF(Bonus!$G55&lt;2,+Bonus!H55," " )</f>
        <v>36421.190558709961</v>
      </c>
      <c r="L36" s="30">
        <f>+Bonus!K55</f>
        <v>260708.07944129012</v>
      </c>
      <c r="M36" s="32"/>
      <c r="N36" s="30"/>
      <c r="O36" s="30"/>
    </row>
    <row r="37" spans="1:15">
      <c r="A37" s="29"/>
      <c r="B37" s="260">
        <f>+Bonus!A56</f>
        <v>52.869799999999998</v>
      </c>
      <c r="C37" s="30">
        <f>IF(Bonus!$G56&lt;2,+Bonus!J56," " )</f>
        <v>0</v>
      </c>
      <c r="D37" s="30">
        <f>IF(Bonus!$G56&lt;2,+Bonus!M56," " )</f>
        <v>22713</v>
      </c>
      <c r="E37" s="30">
        <f>IF(Bonus!$G56&lt;2,+Bonus!C56," " )</f>
        <v>22713</v>
      </c>
      <c r="F37" s="30">
        <f>IF(Bonus!$G56&lt;2,+Bonus!F56," " )</f>
        <v>15264</v>
      </c>
      <c r="G37" s="30">
        <f>IF(Bonus!$G56&lt;2,+Bonus!L56," " )</f>
        <v>864</v>
      </c>
      <c r="H37" s="30">
        <f>IF(Bonus!$G56&lt;2,+Bonus!D56," " )</f>
        <v>16128</v>
      </c>
      <c r="I37" s="30">
        <f>IF(Bonus!$G56&lt;2,+Bonus!E56," " )</f>
        <v>6585</v>
      </c>
      <c r="J37" s="31">
        <f>IF(Bonus!$G56&lt;2,+Bonus!G56," " )</f>
        <v>0.9464285714285714</v>
      </c>
      <c r="K37" s="30">
        <f>IF(Bonus!$G56&lt;2,+Bonus!H56," " )</f>
        <v>6232.2321428571422</v>
      </c>
      <c r="L37" s="30">
        <f>+Bonus!K56</f>
        <v>-21496.232142857141</v>
      </c>
      <c r="M37" s="32"/>
      <c r="N37" s="30"/>
      <c r="O37" s="30"/>
    </row>
    <row r="38" spans="1:15">
      <c r="A38" s="29"/>
      <c r="B38" s="260">
        <f>+Bonus!A57</f>
        <v>52.870399999999997</v>
      </c>
      <c r="C38" s="30">
        <f>IF(Bonus!$G57&lt;2,+Bonus!J57," " )</f>
        <v>1037950</v>
      </c>
      <c r="D38" s="30">
        <f>IF(Bonus!$G57&lt;2,+Bonus!M57," " )</f>
        <v>12706050</v>
      </c>
      <c r="E38" s="30">
        <f>IF(Bonus!$G57&lt;2,+Bonus!C57," " )</f>
        <v>13744000</v>
      </c>
      <c r="F38" s="30">
        <f>IF(Bonus!$G57&lt;2,+Bonus!F57," " )</f>
        <v>820988.3</v>
      </c>
      <c r="G38" s="30">
        <f>IF(Bonus!$G57&lt;2,+Bonus!L57," " )</f>
        <v>12670138.699999999</v>
      </c>
      <c r="H38" s="30">
        <f>IF(Bonus!$G57&lt;2,+Bonus!D57," " )</f>
        <v>13491127</v>
      </c>
      <c r="I38" s="30">
        <f>IF(Bonus!$G57&lt;2,+Bonus!E57," " )</f>
        <v>252873</v>
      </c>
      <c r="J38" s="31">
        <f>IF(Bonus!$G57&lt;2,+Bonus!G57," " )</f>
        <v>6.0853944966940125E-2</v>
      </c>
      <c r="K38" s="30">
        <f>IF(Bonus!$G57&lt;2,+Bonus!H57," " )</f>
        <v>0</v>
      </c>
      <c r="L38" s="30">
        <f>+Bonus!K57</f>
        <v>216961.69999999995</v>
      </c>
      <c r="M38" s="32"/>
      <c r="N38" s="30"/>
      <c r="O38" s="30"/>
    </row>
    <row r="39" spans="1:15">
      <c r="A39" s="29"/>
      <c r="B39" s="260">
        <f>+Bonus!A58</f>
        <v>52.8705</v>
      </c>
      <c r="C39" s="30">
        <f>IF(Bonus!$G58&lt;2,+Bonus!J58," " )</f>
        <v>261232</v>
      </c>
      <c r="D39" s="30">
        <f>IF(Bonus!$G58&lt;2,+Bonus!M58," " )</f>
        <v>513768</v>
      </c>
      <c r="E39" s="30">
        <f>IF(Bonus!$G58&lt;2,+Bonus!C58," " )</f>
        <v>775000</v>
      </c>
      <c r="F39" s="30">
        <f>IF(Bonus!$G58&lt;2,+Bonus!F58," " )</f>
        <v>285425.71999999997</v>
      </c>
      <c r="G39" s="30">
        <f>IF(Bonus!$G58&lt;2,+Bonus!L58," " )</f>
        <v>433834.28</v>
      </c>
      <c r="H39" s="30">
        <f>IF(Bonus!$G58&lt;2,+Bonus!D58," " )</f>
        <v>719260</v>
      </c>
      <c r="I39" s="30">
        <f>IF(Bonus!$G58&lt;2,+Bonus!E58," " )</f>
        <v>55740</v>
      </c>
      <c r="J39" s="31">
        <f>IF(Bonus!$G58&lt;2,+Bonus!G58," " )</f>
        <v>0.39683246670188799</v>
      </c>
      <c r="K39" s="30">
        <f>IF(Bonus!$G58&lt;2,+Bonus!H58," " )</f>
        <v>22119.441693963236</v>
      </c>
      <c r="L39" s="30">
        <f>+Bonus!K58</f>
        <v>-46313.161693963222</v>
      </c>
      <c r="M39" s="32"/>
      <c r="N39" s="30"/>
      <c r="O39" s="30"/>
    </row>
    <row r="40" spans="1:15">
      <c r="A40" s="29"/>
      <c r="B40" s="260">
        <f>+Bonus!A59</f>
        <v>52.870699999999999</v>
      </c>
      <c r="C40" s="30">
        <f>IF(Bonus!$G59&lt;2,+Bonus!J59," " )</f>
        <v>913135</v>
      </c>
      <c r="D40" s="30">
        <f>IF(Bonus!$G59&lt;2,+Bonus!M59," " )</f>
        <v>2780065</v>
      </c>
      <c r="E40" s="30">
        <f>IF(Bonus!$G59&lt;2,+Bonus!C59," " )</f>
        <v>3693200</v>
      </c>
      <c r="F40" s="30">
        <f>IF(Bonus!$G59&lt;2,+Bonus!F59," " )</f>
        <v>1012057.14</v>
      </c>
      <c r="G40" s="30">
        <f>IF(Bonus!$G59&lt;2,+Bonus!L59," " )</f>
        <v>2449519.86</v>
      </c>
      <c r="H40" s="30">
        <f>IF(Bonus!$G59&lt;2,+Bonus!D59," " )</f>
        <v>3461577</v>
      </c>
      <c r="I40" s="30">
        <f>IF(Bonus!$G59&lt;2,+Bonus!E59," " )</f>
        <v>231623</v>
      </c>
      <c r="J40" s="31">
        <f>IF(Bonus!$G59&lt;2,+Bonus!G59," " )</f>
        <v>0.29236880762727507</v>
      </c>
      <c r="K40" s="30">
        <f>IF(Bonus!$G59&lt;2,+Bonus!H59," " )</f>
        <v>67719.340329052327</v>
      </c>
      <c r="L40" s="30">
        <f>+Bonus!K59</f>
        <v>-166641.48032905231</v>
      </c>
      <c r="M40" s="32"/>
      <c r="N40" s="30"/>
      <c r="O40" s="30"/>
    </row>
    <row r="41" spans="1:15">
      <c r="A41" s="29"/>
      <c r="B41" s="260">
        <f>+Bonus!A60</f>
        <v>52.870800000000003</v>
      </c>
      <c r="C41" s="30">
        <f>IF(Bonus!$G60&lt;2,+Bonus!J60," " )</f>
        <v>0</v>
      </c>
      <c r="D41" s="30">
        <f>IF(Bonus!$G60&lt;2,+Bonus!M60," " )</f>
        <v>363833</v>
      </c>
      <c r="E41" s="30">
        <f>IF(Bonus!$G60&lt;2,+Bonus!C60," " )</f>
        <v>363833</v>
      </c>
      <c r="F41" s="30">
        <f>IF(Bonus!$G60&lt;2,+Bonus!F60," " )</f>
        <v>7682.19</v>
      </c>
      <c r="G41" s="30">
        <f>IF(Bonus!$G60&lt;2,+Bonus!L60," " )</f>
        <v>326074.81</v>
      </c>
      <c r="H41" s="30">
        <f>IF(Bonus!$G60&lt;2,+Bonus!D60," " )</f>
        <v>333757</v>
      </c>
      <c r="I41" s="30">
        <f>IF(Bonus!$G60&lt;2,+Bonus!E60," " )</f>
        <v>30076</v>
      </c>
      <c r="J41" s="31">
        <f>IF(Bonus!$G60&lt;2,+Bonus!G60," " )</f>
        <v>2.3017314992644349E-2</v>
      </c>
      <c r="K41" s="30">
        <f>IF(Bonus!$G60&lt;2,+Bonus!H60," " )</f>
        <v>0</v>
      </c>
      <c r="L41" s="30">
        <f>+Bonus!K60</f>
        <v>-7682.19</v>
      </c>
      <c r="M41" s="32"/>
      <c r="N41" s="30"/>
      <c r="O41" s="30"/>
    </row>
    <row r="42" spans="1:15">
      <c r="A42" s="29"/>
      <c r="B42" s="260">
        <f>+Bonus!A61</f>
        <v>52.871099999999998</v>
      </c>
      <c r="C42" s="30">
        <f>IF(Bonus!$G61&lt;2,+Bonus!J61," " )</f>
        <v>0</v>
      </c>
      <c r="D42" s="30">
        <f>IF(Bonus!$G61&lt;2,+Bonus!M61," " )</f>
        <v>6860</v>
      </c>
      <c r="E42" s="30">
        <f>IF(Bonus!$G61&lt;2,+Bonus!C61," " )</f>
        <v>6860</v>
      </c>
      <c r="F42" s="30">
        <f>IF(Bonus!$G61&lt;2,+Bonus!F61," " )</f>
        <v>4568.8100000000004</v>
      </c>
      <c r="G42" s="30">
        <f>IF(Bonus!$G61&lt;2,+Bonus!L61," " )</f>
        <v>1746.1899999999996</v>
      </c>
      <c r="H42" s="30">
        <f>IF(Bonus!$G61&lt;2,+Bonus!D61," " )</f>
        <v>6315</v>
      </c>
      <c r="I42" s="30">
        <f>IF(Bonus!$G61&lt;2,+Bonus!E61," " )</f>
        <v>545</v>
      </c>
      <c r="J42" s="31">
        <f>IF(Bonus!$G61&lt;2,+Bonus!G61," " )</f>
        <v>0.72348535233570865</v>
      </c>
      <c r="K42" s="30">
        <f>IF(Bonus!$G61&lt;2,+Bonus!H61," " )</f>
        <v>394.2995170229612</v>
      </c>
      <c r="L42" s="30">
        <f>+Bonus!K61</f>
        <v>-4963.1095170229619</v>
      </c>
      <c r="M42" s="32"/>
      <c r="N42" s="30"/>
      <c r="O42" s="30"/>
    </row>
    <row r="43" spans="1:15">
      <c r="A43" s="29"/>
      <c r="B43" s="260">
        <f>+Bonus!A62</f>
        <v>52.871299999999998</v>
      </c>
      <c r="C43" s="30">
        <f>IF(Bonus!$G62&lt;2,+Bonus!J62," " )</f>
        <v>0</v>
      </c>
      <c r="D43" s="30">
        <f>IF(Bonus!$G62&lt;2,+Bonus!M62," " )</f>
        <v>218842</v>
      </c>
      <c r="E43" s="30">
        <f>IF(Bonus!$G62&lt;2,+Bonus!C62," " )</f>
        <v>218842</v>
      </c>
      <c r="F43" s="30">
        <f>IF(Bonus!$G62&lt;2,+Bonus!F62," " )</f>
        <v>927.5</v>
      </c>
      <c r="G43" s="30">
        <f>IF(Bonus!$G62&lt;2,+Bonus!L62," " )</f>
        <v>189511.5</v>
      </c>
      <c r="H43" s="30">
        <f>IF(Bonus!$G62&lt;2,+Bonus!D62," " )</f>
        <v>190439</v>
      </c>
      <c r="I43" s="30">
        <f>IF(Bonus!$G62&lt;2,+Bonus!E62," " )</f>
        <v>28403</v>
      </c>
      <c r="J43" s="31">
        <f>IF(Bonus!$G62&lt;2,+Bonus!G62," " )</f>
        <v>4.8703259311380547E-3</v>
      </c>
      <c r="K43" s="30">
        <f>IF(Bonus!$G62&lt;2,+Bonus!H62," " )</f>
        <v>0</v>
      </c>
      <c r="L43" s="30">
        <f>+Bonus!K62</f>
        <v>-927.5</v>
      </c>
      <c r="M43" s="32"/>
      <c r="N43" s="30"/>
      <c r="O43" s="30"/>
    </row>
    <row r="44" spans="1:15">
      <c r="A44" s="29"/>
      <c r="B44" s="260">
        <f>+Bonus!A63</f>
        <v>52.871400000000001</v>
      </c>
      <c r="C44" s="30">
        <f>IF(Bonus!$G63&lt;2,+Bonus!J63," " )</f>
        <v>5084.9399999999996</v>
      </c>
      <c r="D44" s="30">
        <f>IF(Bonus!$G63&lt;2,+Bonus!M63," " )</f>
        <v>0</v>
      </c>
      <c r="E44" s="30">
        <f>IF(Bonus!$G63&lt;2,+Bonus!C63," " )</f>
        <v>5084.9399999999996</v>
      </c>
      <c r="F44" s="30">
        <f>IF(Bonus!$G63&lt;2,+Bonus!F63," " )</f>
        <v>4465.6099999999997</v>
      </c>
      <c r="G44" s="30">
        <f>IF(Bonus!$G63&lt;2,+Bonus!L63," " )</f>
        <v>0</v>
      </c>
      <c r="H44" s="30">
        <f>IF(Bonus!$G63&lt;2,+Bonus!D63," " )</f>
        <v>4465.6099999999997</v>
      </c>
      <c r="I44" s="30">
        <f>IF(Bonus!$G63&lt;2,+Bonus!E63," " )</f>
        <v>619.32999999999993</v>
      </c>
      <c r="J44" s="31">
        <f>IF(Bonus!$G63&lt;2,+Bonus!G63," " )</f>
        <v>1</v>
      </c>
      <c r="K44" s="30">
        <f>IF(Bonus!$G63&lt;2,+Bonus!H63," " )</f>
        <v>619.32999999999993</v>
      </c>
      <c r="L44" s="30">
        <f>+Bonus!K63</f>
        <v>0</v>
      </c>
      <c r="M44" s="32"/>
      <c r="N44" s="30"/>
      <c r="O44" s="30"/>
    </row>
    <row r="45" spans="1:15">
      <c r="A45" s="29"/>
      <c r="B45" s="260"/>
      <c r="C45" s="30"/>
      <c r="D45" s="30"/>
      <c r="E45" s="30"/>
      <c r="F45" s="30"/>
      <c r="G45" s="30"/>
      <c r="H45" s="30"/>
      <c r="I45" s="30"/>
      <c r="J45" s="31"/>
      <c r="K45" s="30"/>
      <c r="L45" s="30"/>
      <c r="M45" s="32"/>
      <c r="N45" s="30"/>
      <c r="O45" s="30"/>
    </row>
    <row r="46" spans="1:15">
      <c r="A46" s="29"/>
      <c r="B46" s="260">
        <f>+Bonus!A107</f>
        <v>53.200699999999998</v>
      </c>
      <c r="C46" s="30">
        <f>IF(Bonus!$G107&lt;2,+Bonus!J107," " )</f>
        <v>0</v>
      </c>
      <c r="D46" s="30">
        <f>IF(Bonus!$G107&lt;2,+Bonus!M107," " )</f>
        <v>324530134</v>
      </c>
      <c r="E46" s="30">
        <f>IF(Bonus!$G107&lt;2,+Bonus!C107," " )</f>
        <v>324530134</v>
      </c>
      <c r="F46" s="30">
        <f>IF(Bonus!$G107&lt;2,+Bonus!F107," " )</f>
        <v>404852.16</v>
      </c>
      <c r="G46" s="30">
        <f>IF(Bonus!$G107&lt;2,+Bonus!L107," " )</f>
        <v>291125281.83999997</v>
      </c>
      <c r="H46" s="30">
        <f>IF(Bonus!$G107&lt;2,+Bonus!D107," " )</f>
        <v>291530134</v>
      </c>
      <c r="I46" s="30">
        <f>IF(Bonus!$G107&lt;2,+Bonus!E107," " )</f>
        <v>33000000</v>
      </c>
      <c r="J46" s="31">
        <f>IF(Bonus!$G107&lt;2,+Bonus!G107," " )</f>
        <v>1.38871462255082E-3</v>
      </c>
      <c r="K46" s="30">
        <f>IF(Bonus!$G107&lt;2,+Bonus!H107," " )</f>
        <v>0</v>
      </c>
      <c r="L46" s="30">
        <f>+Bonus!K107</f>
        <v>-404852.16</v>
      </c>
      <c r="M46" s="32"/>
      <c r="N46" s="30"/>
      <c r="O46" s="30"/>
    </row>
    <row r="47" spans="1:15">
      <c r="A47" s="29"/>
      <c r="B47" s="260"/>
      <c r="C47" s="30"/>
      <c r="D47" s="30"/>
      <c r="E47" s="30"/>
      <c r="F47" s="30"/>
      <c r="G47" s="30"/>
      <c r="H47" s="30"/>
      <c r="I47" s="30"/>
      <c r="J47" s="31"/>
      <c r="K47" s="30"/>
      <c r="L47" s="30"/>
      <c r="M47" s="32"/>
      <c r="N47" s="30"/>
      <c r="O47" s="30"/>
    </row>
    <row r="48" spans="1:15">
      <c r="A48" s="29"/>
      <c r="B48" s="260">
        <f>+Bonus!A120</f>
        <v>54.903300000000002</v>
      </c>
      <c r="C48" s="30">
        <f>IF(Bonus!$G120&lt;2,+Bonus!J120," " )</f>
        <v>118278.58</v>
      </c>
      <c r="D48" s="30">
        <f>IF(Bonus!$G120&lt;2,+Bonus!M120," " )</f>
        <v>0</v>
      </c>
      <c r="E48" s="30">
        <f>IF(Bonus!$G120&lt;2,+Bonus!C120," " )</f>
        <v>118278.58</v>
      </c>
      <c r="F48" s="30">
        <f>IF(Bonus!$G120&lt;2,+Bonus!F120," " )</f>
        <v>104550.27</v>
      </c>
      <c r="G48" s="30">
        <f>IF(Bonus!$G120&lt;2,+Bonus!L120," " )</f>
        <v>0</v>
      </c>
      <c r="H48" s="30">
        <f>IF(Bonus!$G120&lt;2,+Bonus!D120," " )</f>
        <v>104550.27</v>
      </c>
      <c r="I48" s="30">
        <f>IF(Bonus!$G120&lt;2,+Bonus!E120," " )</f>
        <v>13728.309999999998</v>
      </c>
      <c r="J48" s="31">
        <f>IF(Bonus!$G120&lt;2,+Bonus!G120," " )</f>
        <v>1</v>
      </c>
      <c r="K48" s="30">
        <f>IF(Bonus!$G120&lt;2,+Bonus!H120," " )</f>
        <v>13728.309999999998</v>
      </c>
      <c r="L48" s="30">
        <f>+Bonus!K120</f>
        <v>0</v>
      </c>
      <c r="M48" s="32"/>
      <c r="N48" s="30"/>
      <c r="O48" s="30"/>
    </row>
    <row r="49" spans="1:15">
      <c r="A49" s="29"/>
      <c r="B49" s="260">
        <f>+Bonus!A121</f>
        <v>54.913499999999999</v>
      </c>
      <c r="C49" s="30">
        <f>IF(Bonus!$G121&lt;2,+Bonus!J121," " )</f>
        <v>9470658.6199999992</v>
      </c>
      <c r="D49" s="30">
        <f>IF(Bonus!$G121&lt;2,+Bonus!M121," " )</f>
        <v>0</v>
      </c>
      <c r="E49" s="30">
        <f>IF(Bonus!$G121&lt;2,+Bonus!C121," " )</f>
        <v>9470658.6199999992</v>
      </c>
      <c r="F49" s="30">
        <f>IF(Bonus!$G121&lt;2,+Bonus!F121," " )</f>
        <v>9050951.8599999994</v>
      </c>
      <c r="G49" s="30">
        <f>IF(Bonus!$G121&lt;2,+Bonus!L121," " )</f>
        <v>0</v>
      </c>
      <c r="H49" s="30">
        <f>IF(Bonus!$G121&lt;2,+Bonus!D121," " )</f>
        <v>9050951.8599999994</v>
      </c>
      <c r="I49" s="30">
        <f>IF(Bonus!$G121&lt;2,+Bonus!E121," " )</f>
        <v>419706.75999999978</v>
      </c>
      <c r="J49" s="31">
        <f>IF(Bonus!$G121&lt;2,+Bonus!G121," " )</f>
        <v>1</v>
      </c>
      <c r="K49" s="30">
        <f>IF(Bonus!$G121&lt;2,+Bonus!H121," " )</f>
        <v>419706.75999999978</v>
      </c>
      <c r="L49" s="30">
        <f>+Bonus!K121</f>
        <v>0</v>
      </c>
      <c r="M49" s="32"/>
      <c r="N49" s="30"/>
      <c r="O49" s="30"/>
    </row>
    <row r="50" spans="1:15">
      <c r="A50" s="29"/>
      <c r="B50" s="260">
        <f>+Bonus!A122</f>
        <v>54.925699999999999</v>
      </c>
      <c r="C50" s="30">
        <f>IF(Bonus!$G122&lt;2,+Bonus!J122," " )</f>
        <v>890983</v>
      </c>
      <c r="D50" s="30">
        <f>IF(Bonus!$G122&lt;2,+Bonus!M122," " )</f>
        <v>580345</v>
      </c>
      <c r="E50" s="30">
        <f>IF(Bonus!$G122&lt;2,+Bonus!C122," " )</f>
        <v>1471328</v>
      </c>
      <c r="F50" s="30">
        <f>IF(Bonus!$G122&lt;2,+Bonus!F122," " )</f>
        <v>762211.05</v>
      </c>
      <c r="G50" s="30">
        <f>IF(Bonus!$G122&lt;2,+Bonus!L122," " )</f>
        <v>664116.94999999995</v>
      </c>
      <c r="H50" s="30">
        <f>IF(Bonus!$G122&lt;2,+Bonus!D122," " )</f>
        <v>1426328</v>
      </c>
      <c r="I50" s="30">
        <f>IF(Bonus!$G122&lt;2,+Bonus!E122," " )</f>
        <v>45000</v>
      </c>
      <c r="J50" s="31">
        <f>IF(Bonus!$G122&lt;2,+Bonus!G122," " )</f>
        <v>0.5343869362446787</v>
      </c>
      <c r="K50" s="30">
        <f>IF(Bonus!$G122&lt;2,+Bonus!H122," " )</f>
        <v>24047.41213101054</v>
      </c>
      <c r="L50" s="30">
        <f>+Bonus!K122</f>
        <v>104724.5378689894</v>
      </c>
      <c r="M50" s="32"/>
      <c r="N50" s="30"/>
      <c r="O50" s="30"/>
    </row>
    <row r="51" spans="1:15">
      <c r="A51" s="29"/>
      <c r="B51" s="260">
        <f>+Bonus!A123</f>
        <v>54.9268</v>
      </c>
      <c r="C51" s="30">
        <f>IF(Bonus!$G123&lt;2,+Bonus!J123," " )</f>
        <v>907298</v>
      </c>
      <c r="D51" s="30">
        <f>IF(Bonus!$G123&lt;2,+Bonus!M123," " )</f>
        <v>42269.989999999991</v>
      </c>
      <c r="E51" s="30">
        <f>IF(Bonus!$G123&lt;2,+Bonus!C123," " )</f>
        <v>949567.99</v>
      </c>
      <c r="F51" s="30">
        <f>IF(Bonus!$G123&lt;2,+Bonus!F123," " )</f>
        <v>844648.28</v>
      </c>
      <c r="G51" s="30">
        <f>IF(Bonus!$G123&lt;2,+Bonus!L123," " )</f>
        <v>39919.709999999963</v>
      </c>
      <c r="H51" s="30">
        <f>IF(Bonus!$G123&lt;2,+Bonus!D123," " )</f>
        <v>884567.99</v>
      </c>
      <c r="I51" s="30">
        <f>IF(Bonus!$G123&lt;2,+Bonus!E123," " )</f>
        <v>65000</v>
      </c>
      <c r="J51" s="31">
        <f>IF(Bonus!$G123&lt;2,+Bonus!G123," " )</f>
        <v>0.95487095344700412</v>
      </c>
      <c r="K51" s="30">
        <f>IF(Bonus!$G123&lt;2,+Bonus!H123," " )</f>
        <v>65000</v>
      </c>
      <c r="L51" s="30">
        <f>+Bonus!K123</f>
        <v>-2350.2800000000279</v>
      </c>
      <c r="M51" s="32"/>
      <c r="N51" s="30"/>
      <c r="O51" s="30"/>
    </row>
    <row r="52" spans="1:15">
      <c r="A52" s="29"/>
      <c r="B52" s="260">
        <f>+Bonus!A124</f>
        <v>54.926900000000003</v>
      </c>
      <c r="C52" s="30">
        <f>IF(Bonus!$G124&lt;2,+Bonus!J124," " )</f>
        <v>625819.17000000004</v>
      </c>
      <c r="D52" s="30">
        <f>IF(Bonus!$G124&lt;2,+Bonus!M124," " )</f>
        <v>0</v>
      </c>
      <c r="E52" s="30">
        <f>IF(Bonus!$G124&lt;2,+Bonus!C124," " )</f>
        <v>625819.17000000004</v>
      </c>
      <c r="F52" s="30">
        <f>IF(Bonus!$G124&lt;2,+Bonus!F124," " )</f>
        <v>549817.74</v>
      </c>
      <c r="G52" s="30">
        <f>IF(Bonus!$G124&lt;2,+Bonus!L124," " )</f>
        <v>41752.380000000005</v>
      </c>
      <c r="H52" s="30">
        <f>IF(Bonus!$G124&lt;2,+Bonus!D124," " )</f>
        <v>591570.12</v>
      </c>
      <c r="I52" s="30">
        <f>IF(Bonus!$G124&lt;2,+Bonus!E124," " )</f>
        <v>34249.050000000003</v>
      </c>
      <c r="J52" s="31">
        <f>IF(Bonus!$G124&lt;2,+Bonus!G124," " )</f>
        <v>0.92942108029391346</v>
      </c>
      <c r="K52" s="30">
        <f>IF(Bonus!$G124&lt;2,+Bonus!H124," " )</f>
        <v>34249.050000000047</v>
      </c>
      <c r="L52" s="30">
        <f>+Bonus!K124</f>
        <v>41752.380000000005</v>
      </c>
      <c r="M52" s="32"/>
      <c r="N52" s="30"/>
      <c r="O52" s="30"/>
    </row>
    <row r="53" spans="1:15">
      <c r="A53" s="29"/>
      <c r="B53" s="260">
        <f>+Bonus!A125</f>
        <v>54.9285</v>
      </c>
      <c r="C53" s="30">
        <f>IF(Bonus!$G125&lt;2,+Bonus!J125," " )</f>
        <v>427226</v>
      </c>
      <c r="D53" s="30">
        <f>IF(Bonus!$G125&lt;2,+Bonus!M125," " )</f>
        <v>34796</v>
      </c>
      <c r="E53" s="30">
        <f>IF(Bonus!$G125&lt;2,+Bonus!C125," " )</f>
        <v>462022</v>
      </c>
      <c r="F53" s="30">
        <f>IF(Bonus!$G125&lt;2,+Bonus!F125," " )</f>
        <v>312939.77</v>
      </c>
      <c r="G53" s="30">
        <f>IF(Bonus!$G125&lt;2,+Bonus!L125," " )</f>
        <v>74082.229999999981</v>
      </c>
      <c r="H53" s="30">
        <f>IF(Bonus!$G125&lt;2,+Bonus!D125," " )</f>
        <v>387022</v>
      </c>
      <c r="I53" s="30">
        <f>IF(Bonus!$G125&lt;2,+Bonus!E125," " )</f>
        <v>75000</v>
      </c>
      <c r="J53" s="31">
        <f>IF(Bonus!$G125&lt;2,+Bonus!G125," " )</f>
        <v>0.80858393062926659</v>
      </c>
      <c r="K53" s="30">
        <f>IF(Bonus!$G125&lt;2,+Bonus!H125," " )</f>
        <v>60643.794797194991</v>
      </c>
      <c r="L53" s="30">
        <f>+Bonus!K125</f>
        <v>53642.435202804976</v>
      </c>
      <c r="M53" s="32"/>
      <c r="N53" s="30"/>
      <c r="O53" s="30"/>
    </row>
    <row r="54" spans="1:15">
      <c r="A54" s="29"/>
      <c r="B54" s="260">
        <f>+Bonus!A126</f>
        <v>54.9313</v>
      </c>
      <c r="C54" s="30">
        <f>IF(Bonus!$G126&lt;2,+Bonus!J126," " )</f>
        <v>7886885</v>
      </c>
      <c r="D54" s="30">
        <f>IF(Bonus!$G126&lt;2,+Bonus!M126," " )</f>
        <v>4.0000000037252903E-2</v>
      </c>
      <c r="E54" s="30">
        <f>IF(Bonus!$G126&lt;2,+Bonus!C126," " )</f>
        <v>7886885.04</v>
      </c>
      <c r="F54" s="30">
        <f>IF(Bonus!$G126&lt;2,+Bonus!F126," " )</f>
        <v>6449205.2199999997</v>
      </c>
      <c r="G54" s="30">
        <f>IF(Bonus!$G126&lt;2,+Bonus!L126," " )</f>
        <v>427679.8200000003</v>
      </c>
      <c r="H54" s="30">
        <f>IF(Bonus!$G126&lt;2,+Bonus!D126," " )</f>
        <v>6876885.04</v>
      </c>
      <c r="I54" s="30">
        <f>IF(Bonus!$G126&lt;2,+Bonus!E126," " )</f>
        <v>1010000</v>
      </c>
      <c r="J54" s="31">
        <f>IF(Bonus!$G126&lt;2,+Bonus!G126," " )</f>
        <v>0.93780907816367975</v>
      </c>
      <c r="K54" s="30">
        <f>IF(Bonus!$G126&lt;2,+Bonus!H126," " )</f>
        <v>947187.16894531657</v>
      </c>
      <c r="L54" s="30">
        <f>+Bonus!K126</f>
        <v>490492.61105468404</v>
      </c>
      <c r="M54" s="32"/>
      <c r="N54" s="30"/>
      <c r="O54" s="30"/>
    </row>
    <row r="55" spans="1:15">
      <c r="A55" s="29"/>
      <c r="B55" s="260">
        <f>+Bonus!A127</f>
        <v>54.933</v>
      </c>
      <c r="C55" s="30">
        <f>IF(Bonus!$G127&lt;2,+Bonus!J127," " )</f>
        <v>324900</v>
      </c>
      <c r="D55" s="30">
        <f>IF(Bonus!$G127&lt;2,+Bonus!M127," " )</f>
        <v>0</v>
      </c>
      <c r="E55" s="30">
        <f>IF(Bonus!$G127&lt;2,+Bonus!C127," " )</f>
        <v>324900</v>
      </c>
      <c r="F55" s="30">
        <f>IF(Bonus!$G127&lt;2,+Bonus!F127," " )</f>
        <v>306221.40999999997</v>
      </c>
      <c r="G55" s="30">
        <f>IF(Bonus!$G127&lt;2,+Bonus!L127," " )</f>
        <v>1419.5900000000256</v>
      </c>
      <c r="H55" s="30">
        <f>IF(Bonus!$G127&lt;2,+Bonus!D127," " )</f>
        <v>307641</v>
      </c>
      <c r="I55" s="30">
        <f>IF(Bonus!$G127&lt;2,+Bonus!E127," " )</f>
        <v>17259</v>
      </c>
      <c r="J55" s="31">
        <f>IF(Bonus!$G127&lt;2,+Bonus!G127," " )</f>
        <v>0.99538556304263726</v>
      </c>
      <c r="K55" s="30">
        <f>IF(Bonus!$G127&lt;2,+Bonus!H127," " )</f>
        <v>17179.359432552876</v>
      </c>
      <c r="L55" s="30">
        <f>+Bonus!K127</f>
        <v>1499.2305674471427</v>
      </c>
      <c r="M55" s="32"/>
      <c r="N55" s="30"/>
      <c r="O55" s="30"/>
    </row>
    <row r="56" spans="1:15">
      <c r="A56" s="29"/>
      <c r="B56" s="260">
        <f>+Bonus!A128</f>
        <v>54.933599999999998</v>
      </c>
      <c r="C56" s="30">
        <f>IF(Bonus!$G128&lt;2,+Bonus!J128," " )</f>
        <v>14176592.91</v>
      </c>
      <c r="D56" s="30">
        <f>IF(Bonus!$G128&lt;2,+Bonus!M128," " )</f>
        <v>11014583.73</v>
      </c>
      <c r="E56" s="30">
        <f>IF(Bonus!$G128&lt;2,+Bonus!C128," " )</f>
        <v>25191176.640000001</v>
      </c>
      <c r="F56" s="30">
        <f>IF(Bonus!$G128&lt;2,+Bonus!F128," " )</f>
        <v>12340864.27</v>
      </c>
      <c r="G56" s="30">
        <f>IF(Bonus!$G128&lt;2,+Bonus!L128," " )</f>
        <v>10930312.370000001</v>
      </c>
      <c r="H56" s="30">
        <f>IF(Bonus!$G128&lt;2,+Bonus!D128," " )</f>
        <v>23271176.640000001</v>
      </c>
      <c r="I56" s="30">
        <f>IF(Bonus!$G128&lt;2,+Bonus!E128," " )</f>
        <v>1920000</v>
      </c>
      <c r="J56" s="31">
        <f>IF(Bonus!$G128&lt;2,+Bonus!G128," " )</f>
        <v>0.53030684528378014</v>
      </c>
      <c r="K56" s="30">
        <f>IF(Bonus!$G128&lt;2,+Bonus!H128," " )</f>
        <v>1018189.1429448578</v>
      </c>
      <c r="L56" s="30">
        <f>+Bonus!K128</f>
        <v>817539.49705514312</v>
      </c>
      <c r="M56" s="32"/>
      <c r="N56" s="30"/>
      <c r="O56" s="30"/>
    </row>
    <row r="57" spans="1:15">
      <c r="A57" s="29"/>
      <c r="B57" s="260">
        <f>+Bonus!A129</f>
        <v>54.933700000000002</v>
      </c>
      <c r="C57" s="30">
        <f>IF(Bonus!$G129&lt;2,+Bonus!J129," " )</f>
        <v>520441.66</v>
      </c>
      <c r="D57" s="30">
        <f>IF(Bonus!$G129&lt;2,+Bonus!M129," " )</f>
        <v>3584406.34</v>
      </c>
      <c r="E57" s="30">
        <f>IF(Bonus!$G129&lt;2,+Bonus!C129," " )</f>
        <v>4104848</v>
      </c>
      <c r="F57" s="30">
        <f>IF(Bonus!$G129&lt;2,+Bonus!F129," " )</f>
        <v>1509066.73</v>
      </c>
      <c r="G57" s="30">
        <f>IF(Bonus!$G129&lt;2,+Bonus!L129," " )</f>
        <v>2435781.27</v>
      </c>
      <c r="H57" s="30">
        <f>IF(Bonus!$G129&lt;2,+Bonus!D129," " )</f>
        <v>3944848</v>
      </c>
      <c r="I57" s="30">
        <f>IF(Bonus!$G129&lt;2,+Bonus!E129," " )</f>
        <v>160000</v>
      </c>
      <c r="J57" s="31">
        <f>IF(Bonus!$G129&lt;2,+Bonus!G129," " )</f>
        <v>0.38254116001427685</v>
      </c>
      <c r="K57" s="30">
        <f>IF(Bonus!$G129&lt;2,+Bonus!H129," " )</f>
        <v>61206.585602284293</v>
      </c>
      <c r="L57" s="30">
        <f>+Bonus!K129</f>
        <v>-1049831.6556022845</v>
      </c>
      <c r="M57" s="32"/>
      <c r="N57" s="30"/>
      <c r="O57" s="30"/>
    </row>
    <row r="58" spans="1:15">
      <c r="A58" s="29"/>
      <c r="B58" s="260">
        <f>+Bonus!A130</f>
        <v>54.9343</v>
      </c>
      <c r="C58" s="30">
        <f>IF(Bonus!$G130&lt;2,+Bonus!J130," " )</f>
        <v>3954560</v>
      </c>
      <c r="D58" s="30">
        <f>IF(Bonus!$G130&lt;2,+Bonus!M130," " )</f>
        <v>2926740</v>
      </c>
      <c r="E58" s="30">
        <f>IF(Bonus!$G130&lt;2,+Bonus!C130," " )</f>
        <v>6881300</v>
      </c>
      <c r="F58" s="30">
        <f>IF(Bonus!$G130&lt;2,+Bonus!F130," " )</f>
        <v>3415344.08</v>
      </c>
      <c r="G58" s="30">
        <f>IF(Bonus!$G130&lt;2,+Bonus!L130," " )</f>
        <v>2565955.92</v>
      </c>
      <c r="H58" s="30">
        <f>IF(Bonus!$G130&lt;2,+Bonus!D130," " )</f>
        <v>5981300</v>
      </c>
      <c r="I58" s="30">
        <f>IF(Bonus!$G130&lt;2,+Bonus!E130," " )</f>
        <v>900000</v>
      </c>
      <c r="J58" s="31">
        <f>IF(Bonus!$G130&lt;2,+Bonus!G130," " )</f>
        <v>0.57100364134887061</v>
      </c>
      <c r="K58" s="30">
        <f>IF(Bonus!$G130&lt;2,+Bonus!H130," " )</f>
        <v>513903.27721398353</v>
      </c>
      <c r="L58" s="30">
        <f>+Bonus!K130</f>
        <v>25312.642786016222</v>
      </c>
      <c r="M58" s="32"/>
      <c r="N58" s="30"/>
      <c r="O58" s="30"/>
    </row>
    <row r="59" spans="1:15">
      <c r="A59" s="29"/>
      <c r="B59" s="260">
        <f>+Bonus!A131</f>
        <v>54.935600000000001</v>
      </c>
      <c r="C59" s="30">
        <f>IF(Bonus!$G131&lt;2,+Bonus!J131," " )</f>
        <v>685017</v>
      </c>
      <c r="D59" s="30">
        <f>IF(Bonus!$G131&lt;2,+Bonus!M131," " )</f>
        <v>613313</v>
      </c>
      <c r="E59" s="30">
        <f>IF(Bonus!$G131&lt;2,+Bonus!C131," " )</f>
        <v>1298330</v>
      </c>
      <c r="F59" s="30">
        <f>IF(Bonus!$G131&lt;2,+Bonus!F131," " )</f>
        <v>775780.75</v>
      </c>
      <c r="G59" s="30">
        <f>IF(Bonus!$G131&lt;2,+Bonus!L131," " )</f>
        <v>137549.25</v>
      </c>
      <c r="H59" s="30">
        <f>IF(Bonus!$G131&lt;2,+Bonus!D131," " )</f>
        <v>913330</v>
      </c>
      <c r="I59" s="30">
        <f>IF(Bonus!$G131&lt;2,+Bonus!E131," " )</f>
        <v>385000</v>
      </c>
      <c r="J59" s="31">
        <f>IF(Bonus!$G131&lt;2,+Bonus!G131," " )</f>
        <v>0.8493980817448239</v>
      </c>
      <c r="K59" s="30">
        <f>IF(Bonus!$G131&lt;2,+Bonus!H131," " )</f>
        <v>327018.2614717572</v>
      </c>
      <c r="L59" s="30">
        <f>+Bonus!K131</f>
        <v>-417782.0114717572</v>
      </c>
      <c r="M59" s="32"/>
      <c r="N59" s="30"/>
      <c r="O59" s="30"/>
    </row>
    <row r="60" spans="1:15">
      <c r="A60" s="29"/>
      <c r="B60" s="260">
        <f>+Bonus!A132</f>
        <v>54.936599999999999</v>
      </c>
      <c r="C60" s="30">
        <f>IF(Bonus!$G132&lt;2,+Bonus!J132," " )</f>
        <v>1160831</v>
      </c>
      <c r="D60" s="30">
        <f>IF(Bonus!$G132&lt;2,+Bonus!M132," " )</f>
        <v>69300</v>
      </c>
      <c r="E60" s="30">
        <f>IF(Bonus!$G132&lt;2,+Bonus!C132," " )</f>
        <v>1230131</v>
      </c>
      <c r="F60" s="30">
        <f>IF(Bonus!$G132&lt;2,+Bonus!F132," " )</f>
        <v>923220.5</v>
      </c>
      <c r="G60" s="30">
        <f>IF(Bonus!$G132&lt;2,+Bonus!L132," " )</f>
        <v>156910.5</v>
      </c>
      <c r="H60" s="30">
        <f>IF(Bonus!$G132&lt;2,+Bonus!D132," " )</f>
        <v>1080131</v>
      </c>
      <c r="I60" s="30">
        <f>IF(Bonus!$G132&lt;2,+Bonus!E132," " )</f>
        <v>150000</v>
      </c>
      <c r="J60" s="31">
        <f>IF(Bonus!$G132&lt;2,+Bonus!G132," " )</f>
        <v>0.85473012069832266</v>
      </c>
      <c r="K60" s="30">
        <f>IF(Bonus!$G132&lt;2,+Bonus!H132," " )</f>
        <v>128209.51810474839</v>
      </c>
      <c r="L60" s="30">
        <f>+Bonus!K132</f>
        <v>109400.98189525167</v>
      </c>
      <c r="M60" s="32"/>
      <c r="N60" s="30"/>
      <c r="O60" s="30"/>
    </row>
    <row r="61" spans="1:15">
      <c r="A61" s="29"/>
      <c r="B61" s="260">
        <f>+Bonus!A133</f>
        <v>54.936900000000001</v>
      </c>
      <c r="C61" s="30">
        <f>IF(Bonus!$G133&lt;2,+Bonus!J133," " )</f>
        <v>2927422.95</v>
      </c>
      <c r="D61" s="30">
        <f>IF(Bonus!$G133&lt;2,+Bonus!M133," " )</f>
        <v>25623201.75</v>
      </c>
      <c r="E61" s="30">
        <f>IF(Bonus!$G133&lt;2,+Bonus!C133," " )</f>
        <v>28550624.699999999</v>
      </c>
      <c r="F61" s="30">
        <f>IF(Bonus!$G133&lt;2,+Bonus!F133," " )</f>
        <v>2787466.66</v>
      </c>
      <c r="G61" s="30">
        <f>IF(Bonus!$G133&lt;2,+Bonus!L133," " )</f>
        <v>23392315.039999999</v>
      </c>
      <c r="H61" s="30">
        <f>IF(Bonus!$G133&lt;2,+Bonus!D133," " )</f>
        <v>26179781.699999999</v>
      </c>
      <c r="I61" s="30">
        <f>IF(Bonus!$G133&lt;2,+Bonus!E133," " )</f>
        <v>2370843</v>
      </c>
      <c r="J61" s="31">
        <f>IF(Bonus!$G133&lt;2,+Bonus!G133," " )</f>
        <v>0.106474022279567</v>
      </c>
      <c r="K61" s="30">
        <f>IF(Bonus!$G133&lt;2,+Bonus!H133," " )</f>
        <v>0</v>
      </c>
      <c r="L61" s="30">
        <f>+Bonus!K133</f>
        <v>139956.29000000004</v>
      </c>
      <c r="M61" s="32"/>
      <c r="N61" s="30"/>
      <c r="O61" s="30"/>
    </row>
    <row r="62" spans="1:15">
      <c r="A62" s="29"/>
      <c r="B62" s="260">
        <f>+Bonus!A134</f>
        <v>54.9373</v>
      </c>
      <c r="C62" s="30">
        <f>IF(Bonus!$G134&lt;2,+Bonus!J134," " )</f>
        <v>0</v>
      </c>
      <c r="D62" s="30">
        <f>IF(Bonus!$G134&lt;2,+Bonus!M134," " )</f>
        <v>1524766</v>
      </c>
      <c r="E62" s="30">
        <f>IF(Bonus!$G134&lt;2,+Bonus!C134," " )</f>
        <v>1524766</v>
      </c>
      <c r="F62" s="30">
        <f>IF(Bonus!$G134&lt;2,+Bonus!F134," " )</f>
        <v>50303.97</v>
      </c>
      <c r="G62" s="30">
        <f>IF(Bonus!$G134&lt;2,+Bonus!L134," " )</f>
        <v>1343022.03</v>
      </c>
      <c r="H62" s="30">
        <f>IF(Bonus!$G134&lt;2,+Bonus!D134," " )</f>
        <v>1393326</v>
      </c>
      <c r="I62" s="30">
        <f>IF(Bonus!$G134&lt;2,+Bonus!E134," " )</f>
        <v>131440</v>
      </c>
      <c r="J62" s="31">
        <f>IF(Bonus!$G134&lt;2,+Bonus!G134," " )</f>
        <v>3.6103517769710748E-2</v>
      </c>
      <c r="K62" s="30">
        <f>IF(Bonus!$G134&lt;2,+Bonus!H134," " )</f>
        <v>0</v>
      </c>
      <c r="L62" s="30">
        <f>+Bonus!K134</f>
        <v>-50303.97</v>
      </c>
      <c r="M62" s="32"/>
      <c r="N62" s="30"/>
      <c r="O62" s="30"/>
    </row>
    <row r="63" spans="1:15">
      <c r="A63" s="29"/>
      <c r="B63" s="260">
        <f>+Bonus!A135</f>
        <v>54.938899999999997</v>
      </c>
      <c r="C63" s="30">
        <f>IF(Bonus!$G135&lt;2,+Bonus!J135," " )</f>
        <v>291620</v>
      </c>
      <c r="D63" s="30">
        <f>IF(Bonus!$G135&lt;2,+Bonus!M135," " )</f>
        <v>8160</v>
      </c>
      <c r="E63" s="30">
        <f>IF(Bonus!$G135&lt;2,+Bonus!C135," " )</f>
        <v>299780</v>
      </c>
      <c r="F63" s="30">
        <f>IF(Bonus!$G135&lt;2,+Bonus!F135," " )</f>
        <v>311891.84999999998</v>
      </c>
      <c r="G63" s="30">
        <f>IF(Bonus!$G135&lt;2,+Bonus!L135," " )</f>
        <v>2888.1500000000233</v>
      </c>
      <c r="H63" s="30">
        <f>IF(Bonus!$G135&lt;2,+Bonus!D135," " )</f>
        <v>314780</v>
      </c>
      <c r="I63" s="30">
        <f>IF(Bonus!$G135&lt;2,+Bonus!E135," " )</f>
        <v>-15000</v>
      </c>
      <c r="J63" s="31">
        <f>IF(Bonus!$G135&lt;2,+Bonus!G135," " )</f>
        <v>0.99082486180824692</v>
      </c>
      <c r="K63" s="30">
        <f>IF(Bonus!$G135&lt;2,+Bonus!H135," " )</f>
        <v>-15000</v>
      </c>
      <c r="L63" s="30">
        <f>+Bonus!K135</f>
        <v>-5271.8499999999767</v>
      </c>
      <c r="M63" s="32"/>
      <c r="N63" s="30"/>
      <c r="O63" s="30"/>
    </row>
    <row r="64" spans="1:15">
      <c r="A64" s="29"/>
      <c r="B64" s="260">
        <f>+Bonus!A136</f>
        <v>54.939100000000003</v>
      </c>
      <c r="C64" s="30">
        <f>IF(Bonus!$G136&lt;2,+Bonus!J136," " )</f>
        <v>532604.56999999995</v>
      </c>
      <c r="D64" s="30">
        <f>IF(Bonus!$G136&lt;2,+Bonus!M136," " )</f>
        <v>0</v>
      </c>
      <c r="E64" s="30">
        <f>IF(Bonus!$G136&lt;2,+Bonus!C136," " )</f>
        <v>532604.56999999995</v>
      </c>
      <c r="F64" s="30">
        <f>IF(Bonus!$G136&lt;2,+Bonus!F136," " )</f>
        <v>512057.34</v>
      </c>
      <c r="G64" s="30">
        <f>IF(Bonus!$G136&lt;2,+Bonus!L136," " )</f>
        <v>0</v>
      </c>
      <c r="H64" s="30">
        <f>IF(Bonus!$G136&lt;2,+Bonus!D136," " )</f>
        <v>512057.34</v>
      </c>
      <c r="I64" s="30">
        <f>IF(Bonus!$G136&lt;2,+Bonus!E136," " )</f>
        <v>20547.229999999923</v>
      </c>
      <c r="J64" s="31">
        <f>IF(Bonus!$G136&lt;2,+Bonus!G136," " )</f>
        <v>1</v>
      </c>
      <c r="K64" s="30">
        <f>IF(Bonus!$G136&lt;2,+Bonus!H136," " )</f>
        <v>20547.229999999923</v>
      </c>
      <c r="L64" s="30">
        <f>+Bonus!K136</f>
        <v>0</v>
      </c>
      <c r="M64" s="32"/>
      <c r="N64" s="30"/>
      <c r="O64" s="30"/>
    </row>
    <row r="65" spans="1:15">
      <c r="A65" s="29"/>
      <c r="B65" s="260">
        <f>+Bonus!A137</f>
        <v>54.939500000000002</v>
      </c>
      <c r="C65" s="30">
        <f>IF(Bonus!$G137&lt;2,+Bonus!J137," " )</f>
        <v>1374448.17</v>
      </c>
      <c r="D65" s="30">
        <f>IF(Bonus!$G137&lt;2,+Bonus!M137," " )</f>
        <v>421204.49</v>
      </c>
      <c r="E65" s="30">
        <f>IF(Bonus!$G137&lt;2,+Bonus!C137," " )</f>
        <v>1795652.66</v>
      </c>
      <c r="F65" s="30">
        <f>IF(Bonus!$G137&lt;2,+Bonus!F137," " )</f>
        <v>1349601.92</v>
      </c>
      <c r="G65" s="30">
        <f>IF(Bonus!$G137&lt;2,+Bonus!L137," " )</f>
        <v>344050.74</v>
      </c>
      <c r="H65" s="30">
        <f>IF(Bonus!$G137&lt;2,+Bonus!D137," " )</f>
        <v>1693652.66</v>
      </c>
      <c r="I65" s="30">
        <f>IF(Bonus!$G137&lt;2,+Bonus!E137," " )</f>
        <v>102000</v>
      </c>
      <c r="J65" s="31">
        <f>IF(Bonus!$G137&lt;2,+Bonus!G137," " )</f>
        <v>0.79685873725726031</v>
      </c>
      <c r="K65" s="30">
        <f>IF(Bonus!$G137&lt;2,+Bonus!H137," " )</f>
        <v>81279.591200240553</v>
      </c>
      <c r="L65" s="30">
        <f>+Bonus!K137</f>
        <v>-56433.341200240655</v>
      </c>
      <c r="M65" s="32"/>
      <c r="N65" s="30"/>
      <c r="O65" s="30"/>
    </row>
    <row r="66" spans="1:15">
      <c r="A66" s="29"/>
      <c r="B66" s="260">
        <f>+Bonus!A138</f>
        <v>54.939599999999999</v>
      </c>
      <c r="C66" s="30">
        <f>IF(Bonus!$G138&lt;2,+Bonus!J138," " )</f>
        <v>0</v>
      </c>
      <c r="D66" s="30">
        <f>IF(Bonus!$G138&lt;2,+Bonus!M138," " )</f>
        <v>157746.09</v>
      </c>
      <c r="E66" s="30">
        <f>IF(Bonus!$G138&lt;2,+Bonus!C138," " )</f>
        <v>157746.09</v>
      </c>
      <c r="F66" s="30">
        <f>IF(Bonus!$G138&lt;2,+Bonus!F138," " )</f>
        <v>157746.09</v>
      </c>
      <c r="G66" s="30">
        <f>IF(Bonus!$G138&lt;2,+Bonus!L138," " )</f>
        <v>0</v>
      </c>
      <c r="H66" s="30">
        <f>IF(Bonus!$G138&lt;2,+Bonus!D138," " )</f>
        <v>157746.09</v>
      </c>
      <c r="I66" s="30">
        <f>IF(Bonus!$G138&lt;2,+Bonus!E138," " )</f>
        <v>0</v>
      </c>
      <c r="J66" s="31">
        <f>IF(Bonus!$G138&lt;2,+Bonus!G138," " )</f>
        <v>1</v>
      </c>
      <c r="K66" s="30">
        <f>IF(Bonus!$G138&lt;2,+Bonus!H138," " )</f>
        <v>0</v>
      </c>
      <c r="L66" s="30">
        <f>+Bonus!K138</f>
        <v>-157746.09</v>
      </c>
      <c r="M66" s="32"/>
      <c r="N66" s="30"/>
      <c r="O66" s="30"/>
    </row>
    <row r="67" spans="1:15">
      <c r="A67" s="29"/>
      <c r="B67" s="260">
        <f>+Bonus!A139</f>
        <v>54.939700000000002</v>
      </c>
      <c r="C67" s="30">
        <f>IF(Bonus!$G139&lt;2,+Bonus!J139," " )</f>
        <v>1033150.21</v>
      </c>
      <c r="D67" s="30">
        <f>IF(Bonus!$G139&lt;2,+Bonus!M139," " )</f>
        <v>2657494.79</v>
      </c>
      <c r="E67" s="30">
        <f>IF(Bonus!$G139&lt;2,+Bonus!C139," " )</f>
        <v>3690645</v>
      </c>
      <c r="F67" s="30">
        <f>IF(Bonus!$G139&lt;2,+Bonus!F139," " )</f>
        <v>1035065.41</v>
      </c>
      <c r="G67" s="30">
        <f>IF(Bonus!$G139&lt;2,+Bonus!L139," " )</f>
        <v>2355579.59</v>
      </c>
      <c r="H67" s="30">
        <f>IF(Bonus!$G139&lt;2,+Bonus!D139," " )</f>
        <v>3390645</v>
      </c>
      <c r="I67" s="30">
        <f>IF(Bonus!$G139&lt;2,+Bonus!E139," " )</f>
        <v>300000</v>
      </c>
      <c r="J67" s="31">
        <f>IF(Bonus!$G139&lt;2,+Bonus!G139," " )</f>
        <v>0.305270946973216</v>
      </c>
      <c r="K67" s="30">
        <f>IF(Bonus!$G139&lt;2,+Bonus!H139," " )</f>
        <v>91581.284091964801</v>
      </c>
      <c r="L67" s="30">
        <f>+Bonus!K139</f>
        <v>-93496.484091964783</v>
      </c>
      <c r="M67" s="32"/>
      <c r="N67" s="30"/>
      <c r="O67" s="30"/>
    </row>
    <row r="68" spans="1:15">
      <c r="A68" s="29"/>
      <c r="B68" s="260">
        <f>+Bonus!A140</f>
        <v>54.940300000000001</v>
      </c>
      <c r="C68" s="30">
        <f>IF(Bonus!$G140&lt;2,+Bonus!J140," " )</f>
        <v>140100</v>
      </c>
      <c r="D68" s="30">
        <f>IF(Bonus!$G140&lt;2,+Bonus!M140," " )</f>
        <v>241500</v>
      </c>
      <c r="E68" s="30">
        <f>IF(Bonus!$G140&lt;2,+Bonus!C140," " )</f>
        <v>381600</v>
      </c>
      <c r="F68" s="30">
        <f>IF(Bonus!$G140&lt;2,+Bonus!F140," " )</f>
        <v>129004.89</v>
      </c>
      <c r="G68" s="30">
        <f>IF(Bonus!$G140&lt;2,+Bonus!L140," " )</f>
        <v>209096.11</v>
      </c>
      <c r="H68" s="30">
        <f>IF(Bonus!$G140&lt;2,+Bonus!D140," " )</f>
        <v>338101</v>
      </c>
      <c r="I68" s="30">
        <f>IF(Bonus!$G140&lt;2,+Bonus!E140," " )</f>
        <v>43499</v>
      </c>
      <c r="J68" s="31">
        <f>IF(Bonus!$G140&lt;2,+Bonus!G140," " )</f>
        <v>0.38155725655943046</v>
      </c>
      <c r="K68" s="30">
        <f>IF(Bonus!$G140&lt;2,+Bonus!H140," " )</f>
        <v>16597.359103078667</v>
      </c>
      <c r="L68" s="30">
        <f>+Bonus!K140</f>
        <v>-5502.2491030786769</v>
      </c>
      <c r="M68" s="32"/>
      <c r="N68" s="30"/>
      <c r="O68" s="30"/>
    </row>
    <row r="69" spans="1:15">
      <c r="A69" s="29"/>
      <c r="B69" s="260">
        <f>+Bonus!A141</f>
        <v>54.940399999999997</v>
      </c>
      <c r="C69" s="30">
        <f>IF(Bonus!$G141&lt;2,+Bonus!J141," " )</f>
        <v>1746890</v>
      </c>
      <c r="D69" s="30">
        <f>IF(Bonus!$G141&lt;2,+Bonus!M141," " )</f>
        <v>1973110</v>
      </c>
      <c r="E69" s="30">
        <f>IF(Bonus!$G141&lt;2,+Bonus!C141," " )</f>
        <v>3720000</v>
      </c>
      <c r="F69" s="30">
        <f>IF(Bonus!$G141&lt;2,+Bonus!F141," " )</f>
        <v>1939024.63</v>
      </c>
      <c r="G69" s="30">
        <f>IF(Bonus!$G141&lt;2,+Bonus!L141," " )</f>
        <v>1646367.37</v>
      </c>
      <c r="H69" s="30">
        <f>IF(Bonus!$G141&lt;2,+Bonus!D141," " )</f>
        <v>3585392</v>
      </c>
      <c r="I69" s="30">
        <f>IF(Bonus!$G141&lt;2,+Bonus!E141," " )</f>
        <v>134608</v>
      </c>
      <c r="J69" s="31">
        <f>IF(Bonus!$G141&lt;2,+Bonus!G141," " )</f>
        <v>0.54081244951737495</v>
      </c>
      <c r="K69" s="30">
        <f>IF(Bonus!$G141&lt;2,+Bonus!H141," " )</f>
        <v>72797.68220463481</v>
      </c>
      <c r="L69" s="30">
        <f>+Bonus!K141</f>
        <v>-264932.31220463477</v>
      </c>
      <c r="M69" s="32"/>
      <c r="N69" s="30"/>
      <c r="O69" s="30"/>
    </row>
    <row r="70" spans="1:15">
      <c r="A70" s="29"/>
      <c r="B70" s="260">
        <f>+Bonus!A142</f>
        <v>54.9405</v>
      </c>
      <c r="C70" s="30">
        <f>IF(Bonus!$G142&lt;2,+Bonus!J142," " )</f>
        <v>746125</v>
      </c>
      <c r="D70" s="30">
        <f>IF(Bonus!$G142&lt;2,+Bonus!M142," " )</f>
        <v>195875</v>
      </c>
      <c r="E70" s="30">
        <f>IF(Bonus!$G142&lt;2,+Bonus!C142," " )</f>
        <v>942000</v>
      </c>
      <c r="F70" s="30">
        <f>IF(Bonus!$G142&lt;2,+Bonus!F142," " )</f>
        <v>577796.16</v>
      </c>
      <c r="G70" s="30">
        <f>IF(Bonus!$G142&lt;2,+Bonus!L142," " )</f>
        <v>234203.83999999997</v>
      </c>
      <c r="H70" s="30">
        <f>IF(Bonus!$G142&lt;2,+Bonus!D142," " )</f>
        <v>812000</v>
      </c>
      <c r="I70" s="30">
        <f>IF(Bonus!$G142&lt;2,+Bonus!E142," " )</f>
        <v>130000</v>
      </c>
      <c r="J70" s="31">
        <f>IF(Bonus!$G142&lt;2,+Bonus!G142," " )</f>
        <v>0.71157162561576359</v>
      </c>
      <c r="K70" s="30">
        <f>IF(Bonus!$G142&lt;2,+Bonus!H142," " )</f>
        <v>92504.31133004927</v>
      </c>
      <c r="L70" s="30">
        <f>+Bonus!K142</f>
        <v>75824.528669950669</v>
      </c>
      <c r="M70" s="32"/>
      <c r="N70" s="30"/>
      <c r="O70" s="30"/>
    </row>
    <row r="71" spans="1:15">
      <c r="A71" s="29"/>
      <c r="B71" s="260">
        <f>+Bonus!A143</f>
        <v>54.940600000000003</v>
      </c>
      <c r="C71" s="30">
        <f>IF(Bonus!$G143&lt;2,+Bonus!J143," " )</f>
        <v>0</v>
      </c>
      <c r="D71" s="30">
        <f>IF(Bonus!$G143&lt;2,+Bonus!M143," " )</f>
        <v>1120.6500000000001</v>
      </c>
      <c r="E71" s="30">
        <f>IF(Bonus!$G143&lt;2,+Bonus!C143," " )</f>
        <v>1120.6500000000001</v>
      </c>
      <c r="F71" s="30">
        <f>IF(Bonus!$G143&lt;2,+Bonus!F143," " )</f>
        <v>1120.6500000000001</v>
      </c>
      <c r="G71" s="30">
        <f>IF(Bonus!$G143&lt;2,+Bonus!L143," " )</f>
        <v>0</v>
      </c>
      <c r="H71" s="30">
        <f>IF(Bonus!$G143&lt;2,+Bonus!D143," " )</f>
        <v>1120.6500000000001</v>
      </c>
      <c r="I71" s="30">
        <f>IF(Bonus!$G143&lt;2,+Bonus!E143," " )</f>
        <v>0</v>
      </c>
      <c r="J71" s="31">
        <f>IF(Bonus!$G143&lt;2,+Bonus!G143," " )</f>
        <v>1</v>
      </c>
      <c r="K71" s="30">
        <f>IF(Bonus!$G143&lt;2,+Bonus!H143," " )</f>
        <v>0</v>
      </c>
      <c r="L71" s="30">
        <f>+Bonus!K143</f>
        <v>-1120.6500000000001</v>
      </c>
      <c r="M71" s="32"/>
      <c r="N71" s="30"/>
      <c r="O71" s="30"/>
    </row>
    <row r="72" spans="1:15">
      <c r="A72" s="29"/>
      <c r="B72" s="260">
        <f>+Bonus!A144</f>
        <v>54.940800000000003</v>
      </c>
      <c r="C72" s="30">
        <f>IF(Bonus!$G144&lt;2,+Bonus!J144," " )</f>
        <v>0</v>
      </c>
      <c r="D72" s="30">
        <f>IF(Bonus!$G144&lt;2,+Bonus!M144," " )</f>
        <v>3777777</v>
      </c>
      <c r="E72" s="30">
        <f>IF(Bonus!$G144&lt;2,+Bonus!C144," " )</f>
        <v>3777777</v>
      </c>
      <c r="F72" s="30">
        <f>IF(Bonus!$G144&lt;2,+Bonus!F144," " )</f>
        <v>41652.43</v>
      </c>
      <c r="G72" s="30">
        <f>IF(Bonus!$G144&lt;2,+Bonus!L144," " )</f>
        <v>3495532.57</v>
      </c>
      <c r="H72" s="30">
        <f>IF(Bonus!$G144&lt;2,+Bonus!D144," " )</f>
        <v>3537185</v>
      </c>
      <c r="I72" s="30">
        <f>IF(Bonus!$G144&lt;2,+Bonus!E144," " )</f>
        <v>240592</v>
      </c>
      <c r="J72" s="31">
        <f>IF(Bonus!$G144&lt;2,+Bonus!G144," " )</f>
        <v>1.1775587084079572E-2</v>
      </c>
      <c r="K72" s="30">
        <f>IF(Bonus!$G144&lt;2,+Bonus!H144," " )</f>
        <v>0</v>
      </c>
      <c r="L72" s="30">
        <f>+Bonus!K144</f>
        <v>-41652.43</v>
      </c>
      <c r="M72" s="32"/>
      <c r="N72" s="30"/>
      <c r="O72" s="30"/>
    </row>
    <row r="73" spans="1:15">
      <c r="A73" s="29"/>
      <c r="B73" s="260">
        <f>+Bonus!A145</f>
        <v>54.941099999999999</v>
      </c>
      <c r="C73" s="30">
        <f>IF(Bonus!$G145&lt;2,+Bonus!J145," " )</f>
        <v>103000</v>
      </c>
      <c r="D73" s="30">
        <f>IF(Bonus!$G145&lt;2,+Bonus!M145," " )</f>
        <v>300</v>
      </c>
      <c r="E73" s="30">
        <f>IF(Bonus!$G145&lt;2,+Bonus!C145," " )</f>
        <v>103300</v>
      </c>
      <c r="F73" s="30">
        <f>IF(Bonus!$G145&lt;2,+Bonus!F145," " )</f>
        <v>71370.850000000006</v>
      </c>
      <c r="G73" s="30">
        <f>IF(Bonus!$G145&lt;2,+Bonus!L145," " )</f>
        <v>6929.1499999999942</v>
      </c>
      <c r="H73" s="30">
        <f>IF(Bonus!$G145&lt;2,+Bonus!D145," " )</f>
        <v>78300</v>
      </c>
      <c r="I73" s="30">
        <f>IF(Bonus!$G145&lt;2,+Bonus!E145," " )</f>
        <v>25000</v>
      </c>
      <c r="J73" s="31">
        <f>IF(Bonus!$G145&lt;2,+Bonus!G145," " )</f>
        <v>0.91150510855683275</v>
      </c>
      <c r="K73" s="30">
        <f>IF(Bonus!$G145&lt;2,+Bonus!H145," " )</f>
        <v>22787.627713920818</v>
      </c>
      <c r="L73" s="30">
        <f>+Bonus!K145</f>
        <v>8841.5222860791837</v>
      </c>
      <c r="M73" s="32"/>
      <c r="N73" s="30"/>
      <c r="O73" s="30"/>
    </row>
    <row r="74" spans="1:15">
      <c r="A74" s="29"/>
      <c r="B74" s="260">
        <f>+Bonus!A146</f>
        <v>54.941200000000002</v>
      </c>
      <c r="C74" s="30">
        <f>IF(Bonus!$G146&lt;2,+Bonus!J146," " )</f>
        <v>116752.04</v>
      </c>
      <c r="D74" s="30">
        <f>IF(Bonus!$G146&lt;2,+Bonus!M146," " )</f>
        <v>0</v>
      </c>
      <c r="E74" s="30">
        <f>IF(Bonus!$G146&lt;2,+Bonus!C146," " )</f>
        <v>116752.04</v>
      </c>
      <c r="F74" s="30">
        <f>IF(Bonus!$G146&lt;2,+Bonus!F146," " )</f>
        <v>115708.88</v>
      </c>
      <c r="G74" s="30">
        <f>IF(Bonus!$G146&lt;2,+Bonus!L146," " )</f>
        <v>0</v>
      </c>
      <c r="H74" s="30">
        <f>IF(Bonus!$G146&lt;2,+Bonus!D146," " )</f>
        <v>115708.88</v>
      </c>
      <c r="I74" s="30">
        <f>IF(Bonus!$G146&lt;2,+Bonus!E146," " )</f>
        <v>1043.1599999999889</v>
      </c>
      <c r="J74" s="31">
        <f>IF(Bonus!$G146&lt;2,+Bonus!G146," " )</f>
        <v>1</v>
      </c>
      <c r="K74" s="30">
        <f>IF(Bonus!$G146&lt;2,+Bonus!H146," " )</f>
        <v>1043.1599999999889</v>
      </c>
      <c r="L74" s="30">
        <f>+Bonus!K146</f>
        <v>0</v>
      </c>
      <c r="M74" s="32"/>
      <c r="N74" s="30"/>
      <c r="O74" s="30"/>
    </row>
    <row r="75" spans="1:15">
      <c r="A75" s="29"/>
      <c r="B75" s="260">
        <f>+Bonus!A147</f>
        <v>54.941299999999998</v>
      </c>
      <c r="C75" s="30">
        <f>IF(Bonus!$G147&lt;2,+Bonus!J147," " )</f>
        <v>149366.82999999999</v>
      </c>
      <c r="D75" s="30">
        <f>IF(Bonus!$G147&lt;2,+Bonus!M147," " )</f>
        <v>0</v>
      </c>
      <c r="E75" s="30">
        <f>IF(Bonus!$G147&lt;2,+Bonus!C147," " )</f>
        <v>149366.82999999999</v>
      </c>
      <c r="F75" s="30">
        <f>IF(Bonus!$G147&lt;2,+Bonus!F147," " )</f>
        <v>132138.74</v>
      </c>
      <c r="G75" s="30">
        <f>IF(Bonus!$G147&lt;2,+Bonus!L147," " )</f>
        <v>0</v>
      </c>
      <c r="H75" s="30">
        <f>IF(Bonus!$G147&lt;2,+Bonus!D147," " )</f>
        <v>132138.74</v>
      </c>
      <c r="I75" s="30">
        <f>IF(Bonus!$G147&lt;2,+Bonus!E147," " )</f>
        <v>17228.089999999997</v>
      </c>
      <c r="J75" s="31">
        <f>IF(Bonus!$G147&lt;2,+Bonus!G147," " )</f>
        <v>1</v>
      </c>
      <c r="K75" s="30">
        <f>IF(Bonus!$G147&lt;2,+Bonus!H147," " )</f>
        <v>17228.089999999997</v>
      </c>
      <c r="L75" s="30">
        <f>+Bonus!K147</f>
        <v>0</v>
      </c>
      <c r="M75" s="32"/>
      <c r="N75" s="30"/>
      <c r="O75" s="30"/>
    </row>
    <row r="76" spans="1:15">
      <c r="A76" s="29"/>
      <c r="B76" s="260">
        <f>+Bonus!A148</f>
        <v>54.941400000000002</v>
      </c>
      <c r="C76" s="30">
        <f>IF(Bonus!$G148&lt;2,+Bonus!J148," " )</f>
        <v>0</v>
      </c>
      <c r="D76" s="30">
        <f>IF(Bonus!$G148&lt;2,+Bonus!M148," " )</f>
        <v>358674.83</v>
      </c>
      <c r="E76" s="30">
        <f>IF(Bonus!$G148&lt;2,+Bonus!C148," " )</f>
        <v>358674.83</v>
      </c>
      <c r="F76" s="30">
        <f>IF(Bonus!$G148&lt;2,+Bonus!F148," " )</f>
        <v>337485.68</v>
      </c>
      <c r="G76" s="30">
        <f>IF(Bonus!$G148&lt;2,+Bonus!L148," " )</f>
        <v>1189.1500000000233</v>
      </c>
      <c r="H76" s="30">
        <f>IF(Bonus!$G148&lt;2,+Bonus!D148," " )</f>
        <v>338674.83</v>
      </c>
      <c r="I76" s="30">
        <f>IF(Bonus!$G148&lt;2,+Bonus!E148," " )</f>
        <v>20000</v>
      </c>
      <c r="J76" s="31">
        <f>IF(Bonus!$G148&lt;2,+Bonus!G148," " )</f>
        <v>0.99648881494972619</v>
      </c>
      <c r="K76" s="30">
        <f>IF(Bonus!$G148&lt;2,+Bonus!H148," " )</f>
        <v>19929.776298994522</v>
      </c>
      <c r="L76" s="30">
        <f>+Bonus!K148</f>
        <v>-357415.45629899454</v>
      </c>
      <c r="M76" s="32"/>
      <c r="N76" s="30"/>
      <c r="O76" s="30"/>
    </row>
    <row r="77" spans="1:15">
      <c r="A77" s="29"/>
      <c r="B77" s="260">
        <f>+Bonus!A149</f>
        <v>54.941600000000001</v>
      </c>
      <c r="C77" s="30">
        <f>IF(Bonus!$G149&lt;2,+Bonus!J149," " )</f>
        <v>0</v>
      </c>
      <c r="D77" s="30">
        <f>IF(Bonus!$G149&lt;2,+Bonus!M149," " )</f>
        <v>1260000</v>
      </c>
      <c r="E77" s="30">
        <f>IF(Bonus!$G149&lt;2,+Bonus!C149," " )</f>
        <v>1260000</v>
      </c>
      <c r="F77" s="30">
        <f>IF(Bonus!$G149&lt;2,+Bonus!F149," " )</f>
        <v>7257.82</v>
      </c>
      <c r="G77" s="30">
        <f>IF(Bonus!$G149&lt;2,+Bonus!L149," " )</f>
        <v>1125140.18</v>
      </c>
      <c r="H77" s="30">
        <f>IF(Bonus!$G149&lt;2,+Bonus!D149," " )</f>
        <v>1132398</v>
      </c>
      <c r="I77" s="30">
        <f>IF(Bonus!$G149&lt;2,+Bonus!E149," " )</f>
        <v>127602</v>
      </c>
      <c r="J77" s="31">
        <f>IF(Bonus!$G149&lt;2,+Bonus!G149," " )</f>
        <v>6.4092483384816995E-3</v>
      </c>
      <c r="K77" s="30">
        <f>IF(Bonus!$G149&lt;2,+Bonus!H149," " )</f>
        <v>0</v>
      </c>
      <c r="L77" s="30">
        <f>+Bonus!K149</f>
        <v>-7257.82</v>
      </c>
      <c r="M77" s="32"/>
      <c r="N77" s="30"/>
      <c r="O77" s="30"/>
    </row>
    <row r="78" spans="1:15">
      <c r="A78" s="29"/>
      <c r="B78" s="260">
        <f>+Bonus!A150</f>
        <v>54.941699999999997</v>
      </c>
      <c r="C78" s="30">
        <f>IF(Bonus!$G150&lt;2,+Bonus!J150," " )</f>
        <v>0</v>
      </c>
      <c r="D78" s="30">
        <f>IF(Bonus!$G150&lt;2,+Bonus!M150," " )</f>
        <v>48439</v>
      </c>
      <c r="E78" s="30">
        <f>IF(Bonus!$G150&lt;2,+Bonus!C150," " )</f>
        <v>48439</v>
      </c>
      <c r="F78" s="30">
        <f>IF(Bonus!$G150&lt;2,+Bonus!F150," " )</f>
        <v>2299.41</v>
      </c>
      <c r="G78" s="30">
        <f>IF(Bonus!$G150&lt;2,+Bonus!L150," " )</f>
        <v>40593.589999999997</v>
      </c>
      <c r="H78" s="30">
        <f>IF(Bonus!$G150&lt;2,+Bonus!D150," " )</f>
        <v>42893</v>
      </c>
      <c r="I78" s="30">
        <f>IF(Bonus!$G150&lt;2,+Bonus!E150," " )</f>
        <v>5546</v>
      </c>
      <c r="J78" s="31">
        <f>IF(Bonus!$G150&lt;2,+Bonus!G150," " )</f>
        <v>5.3608047933229194E-2</v>
      </c>
      <c r="K78" s="30">
        <f>IF(Bonus!$G150&lt;2,+Bonus!H150," " )</f>
        <v>0</v>
      </c>
      <c r="L78" s="30">
        <f>+Bonus!K150</f>
        <v>-2299.41</v>
      </c>
      <c r="M78" s="32"/>
      <c r="N78" s="30"/>
      <c r="O78" s="30"/>
    </row>
    <row r="79" spans="1:15">
      <c r="A79" s="29"/>
      <c r="B79" s="260">
        <f>+Bonus!A151</f>
        <v>54.941800000000001</v>
      </c>
      <c r="C79" s="30">
        <f>IF(Bonus!$G151&lt;2,+Bonus!J151," " )</f>
        <v>0</v>
      </c>
      <c r="D79" s="30">
        <f>IF(Bonus!$G151&lt;2,+Bonus!M151," " )</f>
        <v>15739</v>
      </c>
      <c r="E79" s="30">
        <f>IF(Bonus!$G151&lt;2,+Bonus!C151," " )</f>
        <v>15739</v>
      </c>
      <c r="F79" s="30">
        <f>IF(Bonus!$G151&lt;2,+Bonus!F151," " )</f>
        <v>15739</v>
      </c>
      <c r="G79" s="30">
        <f>IF(Bonus!$G151&lt;2,+Bonus!L151," " )</f>
        <v>0</v>
      </c>
      <c r="H79" s="30">
        <f>IF(Bonus!$G151&lt;2,+Bonus!D151," " )</f>
        <v>15739</v>
      </c>
      <c r="I79" s="30">
        <f>IF(Bonus!$G151&lt;2,+Bonus!E151," " )</f>
        <v>0</v>
      </c>
      <c r="J79" s="31">
        <f>IF(Bonus!$G151&lt;2,+Bonus!G151," " )</f>
        <v>1</v>
      </c>
      <c r="K79" s="30">
        <f>IF(Bonus!$G151&lt;2,+Bonus!H151," " )</f>
        <v>0</v>
      </c>
      <c r="L79" s="30">
        <f>+Bonus!K151</f>
        <v>-15739</v>
      </c>
      <c r="M79" s="32"/>
      <c r="N79" s="30"/>
      <c r="O79" s="30"/>
    </row>
    <row r="80" spans="1:15">
      <c r="A80" s="29"/>
      <c r="B80" s="260">
        <f>+Bonus!A152</f>
        <v>54.942100000000003</v>
      </c>
      <c r="C80" s="30">
        <f>IF(Bonus!$G152&lt;2,+Bonus!J152," " )</f>
        <v>0</v>
      </c>
      <c r="D80" s="30">
        <f>IF(Bonus!$G152&lt;2,+Bonus!M152," " )</f>
        <v>3703.18</v>
      </c>
      <c r="E80" s="30">
        <f>IF(Bonus!$G152&lt;2,+Bonus!C152," " )</f>
        <v>3703.18</v>
      </c>
      <c r="F80" s="30">
        <f>IF(Bonus!$G152&lt;2,+Bonus!F152," " )</f>
        <v>3703.18</v>
      </c>
      <c r="G80" s="30">
        <f>IF(Bonus!$G152&lt;2,+Bonus!L152," " )</f>
        <v>0</v>
      </c>
      <c r="H80" s="30">
        <f>IF(Bonus!$G152&lt;2,+Bonus!D152," " )</f>
        <v>3703.18</v>
      </c>
      <c r="I80" s="30">
        <f>IF(Bonus!$G152&lt;2,+Bonus!E152," " )</f>
        <v>0</v>
      </c>
      <c r="J80" s="31">
        <f>IF(Bonus!$G152&lt;2,+Bonus!G152," " )</f>
        <v>1</v>
      </c>
      <c r="K80" s="30">
        <f>IF(Bonus!$G152&lt;2,+Bonus!H152," " )</f>
        <v>0</v>
      </c>
      <c r="L80" s="30">
        <f>+Bonus!K152</f>
        <v>-3703.18</v>
      </c>
      <c r="M80" s="32"/>
      <c r="N80" s="30"/>
      <c r="O80" s="30"/>
    </row>
    <row r="81" spans="1:15" ht="12" customHeight="1">
      <c r="A81" s="29"/>
      <c r="B81" s="260"/>
      <c r="C81" s="30"/>
      <c r="D81" s="30"/>
      <c r="E81" s="30"/>
      <c r="F81" s="30"/>
      <c r="G81" s="30"/>
      <c r="H81" s="30"/>
      <c r="I81" s="30"/>
      <c r="J81" s="31"/>
      <c r="K81" s="30"/>
      <c r="L81" s="30"/>
      <c r="M81" s="32"/>
      <c r="N81" s="30"/>
      <c r="O81" s="30"/>
    </row>
    <row r="82" spans="1:15" ht="14.1" customHeight="1">
      <c r="A82" s="29"/>
      <c r="B82" s="260">
        <f>+Bonus!A223</f>
        <v>55.109000000000002</v>
      </c>
      <c r="C82" s="30">
        <f>IF(Bonus!$G223&lt;2,+Bonus!J223," " )</f>
        <v>5235272.3600000003</v>
      </c>
      <c r="D82" s="30">
        <f>IF(Bonus!$G223&lt;2,+Bonus!M223," " )</f>
        <v>164727.63999999966</v>
      </c>
      <c r="E82" s="30">
        <f>IF(Bonus!$G223&lt;2,+Bonus!C223," " )</f>
        <v>5400000</v>
      </c>
      <c r="F82" s="30">
        <f>IF(Bonus!$G223&lt;2,+Bonus!F223," " )</f>
        <v>3834064.05</v>
      </c>
      <c r="G82" s="30">
        <f>IF(Bonus!$G223&lt;2,+Bonus!L223," " )</f>
        <v>65935.950000000186</v>
      </c>
      <c r="H82" s="30">
        <f>IF(Bonus!$G223&lt;2,+Bonus!D223," " )</f>
        <v>3900000</v>
      </c>
      <c r="I82" s="30">
        <f>IF(Bonus!$G223&lt;2,+Bonus!E223," " )</f>
        <v>1500000</v>
      </c>
      <c r="J82" s="31">
        <f>IF(Bonus!$G223&lt;2,+Bonus!G223," " )</f>
        <v>0.98309334615384614</v>
      </c>
      <c r="K82" s="30">
        <f>IF(Bonus!$G223&lt;2,+Bonus!H223," " )</f>
        <v>1474640.0192307692</v>
      </c>
      <c r="L82" s="30">
        <f>+Bonus!K223</f>
        <v>-73431.709230768494</v>
      </c>
      <c r="M82" s="32"/>
      <c r="N82" s="30"/>
      <c r="O82" s="30"/>
    </row>
    <row r="83" spans="1:15" ht="14.1" customHeight="1">
      <c r="A83" s="29"/>
      <c r="B83" s="260">
        <f>+Bonus!A224</f>
        <v>55.119100000000003</v>
      </c>
      <c r="C83" s="30">
        <f>IF(Bonus!$G224&lt;2,+Bonus!J224," " )</f>
        <v>296634984.50999999</v>
      </c>
      <c r="D83" s="30">
        <f>IF(Bonus!$G224&lt;2,+Bonus!M224," " )</f>
        <v>44808149.199999988</v>
      </c>
      <c r="E83" s="30">
        <f>IF(Bonus!$G224&lt;2,+Bonus!C224," " )</f>
        <v>341443133.70999998</v>
      </c>
      <c r="F83" s="30">
        <f>IF(Bonus!$G224&lt;2,+Bonus!F224," " )</f>
        <v>299179624.83999997</v>
      </c>
      <c r="G83" s="30">
        <f>IF(Bonus!$G224&lt;2,+Bonus!L224," " )</f>
        <v>38553010.870000005</v>
      </c>
      <c r="H83" s="30">
        <f>IF(Bonus!$G224&lt;2,+Bonus!D224," " )</f>
        <v>337732635.70999998</v>
      </c>
      <c r="I83" s="30">
        <f>IF(Bonus!$G224&lt;2,+Bonus!E224," " )</f>
        <v>3710498</v>
      </c>
      <c r="J83" s="31">
        <f>IF(Bonus!$G224&lt;2,+Bonus!G224," " )</f>
        <v>0.88584754094329154</v>
      </c>
      <c r="K83" s="30">
        <f>IF(Bonus!$G224&lt;2,+Bonus!H224," " )</f>
        <v>3710498</v>
      </c>
      <c r="L83" s="30">
        <f>+Bonus!K224</f>
        <v>-6255138.3299999833</v>
      </c>
      <c r="M83" s="32"/>
      <c r="N83" s="30"/>
      <c r="O83" s="30"/>
    </row>
    <row r="84" spans="1:15" ht="14.1" customHeight="1">
      <c r="A84" s="29"/>
      <c r="B84" s="260">
        <f>+Bonus!A225</f>
        <v>55.119199999999999</v>
      </c>
      <c r="C84" s="30">
        <f>IF(Bonus!$G225&lt;2,+Bonus!J225," " )</f>
        <v>6645760.5099999998</v>
      </c>
      <c r="D84" s="30">
        <f>IF(Bonus!$G225&lt;2,+Bonus!M225," " )</f>
        <v>6043.0200000004843</v>
      </c>
      <c r="E84" s="30">
        <f>IF(Bonus!$G225&lt;2,+Bonus!C225," " )</f>
        <v>6651803.5300000003</v>
      </c>
      <c r="F84" s="30">
        <f>IF(Bonus!$G225&lt;2,+Bonus!F225," " )</f>
        <v>6393992.6900000004</v>
      </c>
      <c r="G84" s="30">
        <f>IF(Bonus!$G225&lt;2,+Bonus!L225," " )</f>
        <v>7810.839999999851</v>
      </c>
      <c r="H84" s="30">
        <f>IF(Bonus!$G225&lt;2,+Bonus!D225," " )</f>
        <v>6401803.5300000003</v>
      </c>
      <c r="I84" s="30">
        <f>IF(Bonus!$G225&lt;2,+Bonus!E225," " )</f>
        <v>250000</v>
      </c>
      <c r="J84" s="31">
        <f>IF(Bonus!$G225&lt;2,+Bonus!G225," " )</f>
        <v>0.99877990007606499</v>
      </c>
      <c r="K84" s="30">
        <f>IF(Bonus!$G225&lt;2,+Bonus!H225," " )</f>
        <v>250000</v>
      </c>
      <c r="L84" s="30">
        <f>+Bonus!K225</f>
        <v>1767.8199999993667</v>
      </c>
      <c r="M84" s="366"/>
      <c r="N84" s="30"/>
      <c r="O84" s="30"/>
    </row>
    <row r="85" spans="1:15" ht="14.1" customHeight="1">
      <c r="A85" s="29"/>
      <c r="B85" s="260">
        <f>+Bonus!A226</f>
        <v>55.12</v>
      </c>
      <c r="C85" s="30">
        <f>IF(Bonus!$G226&lt;2,+Bonus!J226," " )</f>
        <v>197175877</v>
      </c>
      <c r="D85" s="30">
        <f>IF(Bonus!$G226&lt;2,+Bonus!M226," " )</f>
        <v>900000</v>
      </c>
      <c r="E85" s="30">
        <f>IF(Bonus!$G226&lt;2,+Bonus!C226," " )</f>
        <v>198075877</v>
      </c>
      <c r="F85" s="30">
        <f>IF(Bonus!$G226&lt;2,+Bonus!F226," " )</f>
        <v>189971137.49000001</v>
      </c>
      <c r="G85" s="30">
        <f>IF(Bonus!$G226&lt;2,+Bonus!L226," " )</f>
        <v>4739.5099999904633</v>
      </c>
      <c r="H85" s="30">
        <f>IF(Bonus!$G226&lt;2,+Bonus!D226," " )</f>
        <v>189975877</v>
      </c>
      <c r="I85" s="30">
        <f>IF(Bonus!$G226&lt;2,+Bonus!E226," " )</f>
        <v>8100000</v>
      </c>
      <c r="J85" s="31">
        <f>IF(Bonus!$G226&lt;2,+Bonus!G226," " )</f>
        <v>0.99997505204305492</v>
      </c>
      <c r="K85" s="30">
        <f>IF(Bonus!$G226&lt;2,+Bonus!H226," " )</f>
        <v>7779994.2800000003</v>
      </c>
      <c r="L85" s="30">
        <f>+Bonus!K226</f>
        <v>-575254.77000001073</v>
      </c>
      <c r="M85" s="32"/>
      <c r="N85" s="30"/>
      <c r="O85" s="30"/>
    </row>
    <row r="86" spans="1:15" ht="14.1" customHeight="1">
      <c r="A86" s="29"/>
      <c r="B86" s="260">
        <f>+Bonus!A227</f>
        <v>55.120199999999997</v>
      </c>
      <c r="C86" s="30">
        <f>IF(Bonus!$G227&lt;2,+Bonus!J227," " )</f>
        <v>10912272.58</v>
      </c>
      <c r="D86" s="30">
        <f>IF(Bonus!$G227&lt;2,+Bonus!M227," " )</f>
        <v>5483779</v>
      </c>
      <c r="E86" s="30">
        <f>IF(Bonus!$G227&lt;2,+Bonus!C227," " )</f>
        <v>16396051.58</v>
      </c>
      <c r="F86" s="30">
        <f>IF(Bonus!$G227&lt;2,+Bonus!F227," " )</f>
        <v>9590124.3499999996</v>
      </c>
      <c r="G86" s="30">
        <f>IF(Bonus!$G227&lt;2,+Bonus!L227," " )</f>
        <v>5630518.2300000004</v>
      </c>
      <c r="H86" s="30">
        <f>IF(Bonus!$G227&lt;2,+Bonus!D227," " )</f>
        <v>15220642.58</v>
      </c>
      <c r="I86" s="30">
        <f>IF(Bonus!$G227&lt;2,+Bonus!E227," " )</f>
        <v>1175409</v>
      </c>
      <c r="J86" s="31">
        <f>IF(Bonus!$G227&lt;2,+Bonus!G227," " )</f>
        <v>0.63007355304443391</v>
      </c>
      <c r="K86" s="30">
        <f>IF(Bonus!$G227&lt;2,+Bonus!H227," " )</f>
        <v>740594.12491040502</v>
      </c>
      <c r="L86" s="30">
        <f>+Bonus!K227</f>
        <v>581554.10508959554</v>
      </c>
      <c r="M86" s="32"/>
      <c r="N86" s="30"/>
      <c r="O86" s="30"/>
    </row>
    <row r="87" spans="1:15" ht="14.1" customHeight="1">
      <c r="A87" s="29"/>
      <c r="B87" s="260">
        <f>+Bonus!A228</f>
        <v>55.120399999999997</v>
      </c>
      <c r="C87" s="30">
        <f>IF(Bonus!$G228&lt;2,+Bonus!J228," " )</f>
        <v>57142227</v>
      </c>
      <c r="D87" s="30">
        <f>IF(Bonus!$G228&lt;2,+Bonus!M228," " )</f>
        <v>580000</v>
      </c>
      <c r="E87" s="30">
        <f>IF(Bonus!$G228&lt;2,+Bonus!C228," " )</f>
        <v>57722227</v>
      </c>
      <c r="F87" s="30">
        <f>IF(Bonus!$G228&lt;2,+Bonus!F228," " )</f>
        <v>55213329.210000001</v>
      </c>
      <c r="G87" s="30">
        <f>IF(Bonus!$G228&lt;2,+Bonus!L228," " )</f>
        <v>8897.7899999991059</v>
      </c>
      <c r="H87" s="30">
        <f>IF(Bonus!$G228&lt;2,+Bonus!D228," " )</f>
        <v>55222227</v>
      </c>
      <c r="I87" s="30">
        <f>IF(Bonus!$G228&lt;2,+Bonus!E228," " )</f>
        <v>2500000</v>
      </c>
      <c r="J87" s="31">
        <f>IF(Bonus!$G228&lt;2,+Bonus!G228," " )</f>
        <v>0.99983887303204921</v>
      </c>
      <c r="K87" s="30">
        <f>IF(Bonus!$G228&lt;2,+Bonus!H228," " )</f>
        <v>2362039.0099999998</v>
      </c>
      <c r="L87" s="30">
        <f>+Bonus!K228</f>
        <v>-433141.21999999881</v>
      </c>
      <c r="M87" s="32"/>
      <c r="N87" s="30"/>
      <c r="O87" s="30"/>
    </row>
    <row r="88" spans="1:15" ht="14.1" customHeight="1">
      <c r="A88" s="29"/>
      <c r="B88" s="260">
        <f>+Bonus!A229</f>
        <v>55.122700000000002</v>
      </c>
      <c r="C88" s="30">
        <f>IF(Bonus!$G229&lt;2,+Bonus!J229," " )</f>
        <v>41483406.390000001</v>
      </c>
      <c r="D88" s="30">
        <f>IF(Bonus!$G229&lt;2,+Bonus!M229," " )</f>
        <v>20800</v>
      </c>
      <c r="E88" s="30">
        <f>IF(Bonus!$G229&lt;2,+Bonus!C229," " )</f>
        <v>41504206.390000001</v>
      </c>
      <c r="F88" s="30">
        <f>IF(Bonus!$G229&lt;2,+Bonus!F229," " )</f>
        <v>36953022.960000001</v>
      </c>
      <c r="G88" s="30">
        <f>IF(Bonus!$G229&lt;2,+Bonus!L229," " )</f>
        <v>201183.4299999997</v>
      </c>
      <c r="H88" s="30">
        <f>IF(Bonus!$G229&lt;2,+Bonus!D229," " )</f>
        <v>37154206.390000001</v>
      </c>
      <c r="I88" s="30">
        <f>IF(Bonus!$G229&lt;2,+Bonus!E229," " )</f>
        <v>4350000</v>
      </c>
      <c r="J88" s="31">
        <f>IF(Bonus!$G229&lt;2,+Bonus!G229," " )</f>
        <v>0.99458517757348341</v>
      </c>
      <c r="K88" s="30">
        <f>IF(Bonus!$G229&lt;2,+Bonus!H229," " )</f>
        <v>4326445.5224446524</v>
      </c>
      <c r="L88" s="30">
        <f>+Bonus!K229</f>
        <v>203937.90755534917</v>
      </c>
      <c r="M88" s="32"/>
      <c r="N88" s="30"/>
      <c r="O88" s="30"/>
    </row>
    <row r="89" spans="1:15" ht="14.1" customHeight="1">
      <c r="A89" s="29"/>
      <c r="B89" s="260">
        <f>+Bonus!A230</f>
        <v>55.1233</v>
      </c>
      <c r="C89" s="30">
        <f>IF(Bonus!$G230&lt;2,+Bonus!J230," " )</f>
        <v>123617</v>
      </c>
      <c r="D89" s="30">
        <f>IF(Bonus!$G230&lt;2,+Bonus!M230," " )</f>
        <v>9714570</v>
      </c>
      <c r="E89" s="30">
        <f>IF(Bonus!$G230&lt;2,+Bonus!C230," " )</f>
        <v>9838187</v>
      </c>
      <c r="F89" s="30">
        <f>IF(Bonus!$G230&lt;2,+Bonus!F230," " )</f>
        <v>126077.16</v>
      </c>
      <c r="G89" s="30">
        <f>IF(Bonus!$G230&lt;2,+Bonus!L230," " )</f>
        <v>9712109.8399999999</v>
      </c>
      <c r="H89" s="30">
        <f>IF(Bonus!$G230&lt;2,+Bonus!D230," " )</f>
        <v>9838187</v>
      </c>
      <c r="I89" s="30">
        <f>IF(Bonus!$G230&lt;2,+Bonus!E230," " )</f>
        <v>0</v>
      </c>
      <c r="J89" s="31">
        <f>IF(Bonus!$G230&lt;2,+Bonus!G230," " )</f>
        <v>1.2815080664760692E-2</v>
      </c>
      <c r="K89" s="30">
        <f>IF(Bonus!$G230&lt;2,+Bonus!H230," " )</f>
        <v>8429</v>
      </c>
      <c r="L89" s="30">
        <f>+Bonus!K230</f>
        <v>-10889.160000000003</v>
      </c>
      <c r="M89" s="32"/>
      <c r="N89" s="30"/>
      <c r="O89" s="30"/>
    </row>
    <row r="90" spans="1:15" ht="14.1" customHeight="1">
      <c r="A90" s="29"/>
      <c r="B90" s="260">
        <f>+Bonus!A231</f>
        <v>55.1248</v>
      </c>
      <c r="C90" s="30">
        <f>IF(Bonus!$G231&lt;2,+Bonus!J231," " )</f>
        <v>4861991.8099999996</v>
      </c>
      <c r="D90" s="30">
        <f>IF(Bonus!$G231&lt;2,+Bonus!M231," " )</f>
        <v>897310</v>
      </c>
      <c r="E90" s="30">
        <f>IF(Bonus!$G231&lt;2,+Bonus!C231," " )</f>
        <v>5759301.8099999996</v>
      </c>
      <c r="F90" s="30">
        <f>IF(Bonus!$G231&lt;2,+Bonus!F231," " )</f>
        <v>3621770.22</v>
      </c>
      <c r="G90" s="30">
        <f>IF(Bonus!$G231&lt;2,+Bonus!L231," " )</f>
        <v>1312531.5899999994</v>
      </c>
      <c r="H90" s="30">
        <f>IF(Bonus!$G231&lt;2,+Bonus!D231," " )</f>
        <v>4934301.8099999996</v>
      </c>
      <c r="I90" s="30">
        <f>IF(Bonus!$G231&lt;2,+Bonus!E231," " )</f>
        <v>825000</v>
      </c>
      <c r="J90" s="31">
        <f>IF(Bonus!$G231&lt;2,+Bonus!G231," " )</f>
        <v>0.73399851882996203</v>
      </c>
      <c r="K90" s="30">
        <f>IF(Bonus!$G231&lt;2,+Bonus!H231," " )</f>
        <v>605548.77803471871</v>
      </c>
      <c r="L90" s="30">
        <f>+Bonus!K231</f>
        <v>634672.81196528021</v>
      </c>
      <c r="M90" s="32"/>
      <c r="N90" s="30"/>
      <c r="O90" s="30"/>
    </row>
    <row r="91" spans="1:15" ht="14.1" customHeight="1">
      <c r="A91" s="29"/>
      <c r="B91" s="260">
        <f>+Bonus!A232</f>
        <v>55.124899999999997</v>
      </c>
      <c r="C91" s="30">
        <f>IF(Bonus!$G232&lt;2,+Bonus!J232," " )</f>
        <v>15047042.84</v>
      </c>
      <c r="D91" s="30">
        <f>IF(Bonus!$G232&lt;2,+Bonus!M232," " )</f>
        <v>132478070.16</v>
      </c>
      <c r="E91" s="30">
        <f>IF(Bonus!$G232&lt;2,+Bonus!C232," " )</f>
        <v>147525113</v>
      </c>
      <c r="F91" s="30">
        <f>IF(Bonus!$G232&lt;2,+Bonus!F232," " )</f>
        <v>15046313.77</v>
      </c>
      <c r="G91" s="30">
        <f>IF(Bonus!$G232&lt;2,+Bonus!L232," " )</f>
        <v>124657591.23</v>
      </c>
      <c r="H91" s="30">
        <f>IF(Bonus!$G232&lt;2,+Bonus!D232," " )</f>
        <v>139703905</v>
      </c>
      <c r="I91" s="30">
        <f>IF(Bonus!$G232&lt;2,+Bonus!E232," " )</f>
        <v>7821208</v>
      </c>
      <c r="J91" s="31">
        <f>IF(Bonus!$G232&lt;2,+Bonus!G232," " )</f>
        <v>0.10770145451553412</v>
      </c>
      <c r="K91" s="30">
        <f>IF(Bonus!$G232&lt;2,+Bonus!H232," " )</f>
        <v>0</v>
      </c>
      <c r="L91" s="30">
        <f>+Bonus!K232</f>
        <v>729.07000000029802</v>
      </c>
      <c r="M91" s="32"/>
      <c r="N91" s="30"/>
      <c r="O91" s="30"/>
    </row>
    <row r="92" spans="1:15" ht="14.1" customHeight="1">
      <c r="A92" s="29"/>
      <c r="B92" s="260">
        <f>+Bonus!A233</f>
        <v>55.125399999999999</v>
      </c>
      <c r="C92" s="30">
        <f>IF(Bonus!$G233&lt;2,+Bonus!J233," " )</f>
        <v>158952.89000000001</v>
      </c>
      <c r="D92" s="30">
        <f>IF(Bonus!$G233&lt;2,+Bonus!M233," " )</f>
        <v>312943.35999999999</v>
      </c>
      <c r="E92" s="30">
        <f>IF(Bonus!$G233&lt;2,+Bonus!C233," " )</f>
        <v>471896.25</v>
      </c>
      <c r="F92" s="30">
        <f>IF(Bonus!$G233&lt;2,+Bonus!F233," " )</f>
        <v>156561.66</v>
      </c>
      <c r="G92" s="30">
        <f>IF(Bonus!$G233&lt;2,+Bonus!L233," " )</f>
        <v>315334.58999999997</v>
      </c>
      <c r="H92" s="30">
        <f>IF(Bonus!$G233&lt;2,+Bonus!D233," " )</f>
        <v>471896.25</v>
      </c>
      <c r="I92" s="30">
        <f>IF(Bonus!$G233&lt;2,+Bonus!E233," " )</f>
        <v>0</v>
      </c>
      <c r="J92" s="31">
        <f>IF(Bonus!$G233&lt;2,+Bonus!G233," " )</f>
        <v>0.33177135864080293</v>
      </c>
      <c r="K92" s="30">
        <f>IF(Bonus!$G233&lt;2,+Bonus!H233," " )</f>
        <v>0</v>
      </c>
      <c r="L92" s="30">
        <f>+Bonus!K233</f>
        <v>2391.2300000000105</v>
      </c>
      <c r="M92" s="32"/>
      <c r="N92" s="30"/>
      <c r="O92" s="30"/>
    </row>
    <row r="93" spans="1:15" ht="14.1" customHeight="1">
      <c r="A93" s="29"/>
      <c r="B93" s="260">
        <f>+Bonus!A234</f>
        <v>55.125500000000002</v>
      </c>
      <c r="C93" s="30">
        <f>IF(Bonus!$G234&lt;2,+Bonus!J234," " )</f>
        <v>0</v>
      </c>
      <c r="D93" s="30">
        <f>IF(Bonus!$G234&lt;2,+Bonus!M234," " )</f>
        <v>14160.81</v>
      </c>
      <c r="E93" s="30">
        <f>IF(Bonus!$G234&lt;2,+Bonus!C234," " )</f>
        <v>14160.81</v>
      </c>
      <c r="F93" s="30">
        <f>IF(Bonus!$G234&lt;2,+Bonus!F234," " )</f>
        <v>14160.81</v>
      </c>
      <c r="G93" s="30">
        <f>IF(Bonus!$G234&lt;2,+Bonus!L234," " )</f>
        <v>0</v>
      </c>
      <c r="H93" s="30">
        <f>IF(Bonus!$G234&lt;2,+Bonus!D234," " )</f>
        <v>14160.81</v>
      </c>
      <c r="I93" s="30">
        <f>IF(Bonus!$G234&lt;2,+Bonus!E234," " )</f>
        <v>0</v>
      </c>
      <c r="J93" s="31">
        <f>IF(Bonus!$G234&lt;2,+Bonus!G234," " )</f>
        <v>1</v>
      </c>
      <c r="K93" s="30">
        <f>IF(Bonus!$G234&lt;2,+Bonus!H234," " )</f>
        <v>0</v>
      </c>
      <c r="L93" s="30">
        <f>+Bonus!K234</f>
        <v>-14160.81</v>
      </c>
      <c r="M93" s="32"/>
      <c r="N93" s="30"/>
      <c r="O93" s="30"/>
    </row>
    <row r="94" spans="1:15" ht="14.1" customHeight="1">
      <c r="A94" s="29"/>
      <c r="B94" s="260">
        <f>+Bonus!A235</f>
        <v>55.125599999999999</v>
      </c>
      <c r="C94" s="30">
        <f>IF(Bonus!$G235&lt;2,+Bonus!J235," " )</f>
        <v>101150</v>
      </c>
      <c r="D94" s="30">
        <f>IF(Bonus!$G235&lt;2,+Bonus!M235," " )</f>
        <v>2786950</v>
      </c>
      <c r="E94" s="30">
        <f>IF(Bonus!$G235&lt;2,+Bonus!C235," " )</f>
        <v>2888100</v>
      </c>
      <c r="F94" s="30">
        <f>IF(Bonus!$G235&lt;2,+Bonus!F235," " )</f>
        <v>94989.88</v>
      </c>
      <c r="G94" s="30">
        <f>IF(Bonus!$G235&lt;2,+Bonus!L235," " )</f>
        <v>2618110.12</v>
      </c>
      <c r="H94" s="30">
        <f>IF(Bonus!$G235&lt;2,+Bonus!D235," " )</f>
        <v>2713100</v>
      </c>
      <c r="I94" s="30">
        <f>IF(Bonus!$G235&lt;2,+Bonus!E235," " )</f>
        <v>175000</v>
      </c>
      <c r="J94" s="31">
        <f>IF(Bonus!$G235&lt;2,+Bonus!G235," " )</f>
        <v>3.501156610519332E-2</v>
      </c>
      <c r="K94" s="30">
        <f>IF(Bonus!$G235&lt;2,+Bonus!H235," " )</f>
        <v>0</v>
      </c>
      <c r="L94" s="30">
        <f>+Bonus!K235</f>
        <v>6160.1199999999953</v>
      </c>
      <c r="M94" s="32"/>
      <c r="N94" s="30"/>
      <c r="O94" s="30"/>
    </row>
    <row r="95" spans="1:15" ht="12" customHeight="1">
      <c r="A95" s="29"/>
      <c r="B95" s="260"/>
      <c r="C95" s="30"/>
      <c r="D95" s="30"/>
      <c r="E95" s="30"/>
      <c r="F95" s="30"/>
      <c r="G95" s="30"/>
      <c r="H95" s="30"/>
      <c r="I95" s="30"/>
      <c r="J95" s="31"/>
      <c r="K95" s="30"/>
      <c r="L95" s="30"/>
      <c r="M95" s="32"/>
      <c r="N95" s="30"/>
      <c r="O95" s="30"/>
    </row>
    <row r="96" spans="1:15" ht="14.1" customHeight="1">
      <c r="A96" s="29"/>
      <c r="B96" s="260">
        <f>+Bonus!A252</f>
        <v>57.000300000000003</v>
      </c>
      <c r="C96" s="30">
        <f>IF(Bonus!$G252&lt;2,+Bonus!J252," " )</f>
        <v>6863233.25</v>
      </c>
      <c r="D96" s="30">
        <f>IF(Bonus!$G252&lt;2,+Bonus!M252," " )</f>
        <v>31302186.25</v>
      </c>
      <c r="E96" s="30">
        <f>IF(Bonus!$G252&lt;2,+Bonus!C252," " )</f>
        <v>38165419.5</v>
      </c>
      <c r="F96" s="30">
        <f>IF(Bonus!$G252&lt;2,+Bonus!F252," " )</f>
        <v>6316909.1299999999</v>
      </c>
      <c r="G96" s="30">
        <f>IF(Bonus!$G252&lt;2,+Bonus!L252," " )</f>
        <v>29441424.370000001</v>
      </c>
      <c r="H96" s="30">
        <f>IF(Bonus!$G252&lt;2,+Bonus!D252," " )</f>
        <v>35758333.5</v>
      </c>
      <c r="I96" s="30">
        <f>IF(Bonus!$G252&lt;2,+Bonus!E252," " )</f>
        <v>2407086</v>
      </c>
      <c r="J96" s="31">
        <f>IF(Bonus!$G252&lt;2,+Bonus!G252," " )</f>
        <v>0.17665557960076636</v>
      </c>
      <c r="K96" s="30">
        <f>IF(Bonus!$G252&lt;2,+Bonus!H252," " )</f>
        <v>123922.17247889005</v>
      </c>
      <c r="L96" s="30">
        <f>+Bonus!K252</f>
        <v>422401.94752111007</v>
      </c>
      <c r="M96" s="32"/>
      <c r="N96" s="30"/>
      <c r="O96" s="30"/>
    </row>
    <row r="97" spans="1:15" ht="14.1" customHeight="1">
      <c r="A97" s="29"/>
      <c r="B97" s="260">
        <f>+Bonus!A253</f>
        <v>57.000399999999999</v>
      </c>
      <c r="C97" s="30">
        <f>IF(Bonus!$G253&lt;2,+Bonus!J253," " )</f>
        <v>900072.76</v>
      </c>
      <c r="D97" s="30">
        <f>IF(Bonus!$G253&lt;2,+Bonus!M253," " )</f>
        <v>39206151.870000005</v>
      </c>
      <c r="E97" s="30">
        <f>IF(Bonus!$G253&lt;2,+Bonus!C253," " )</f>
        <v>40106224.630000003</v>
      </c>
      <c r="F97" s="30">
        <f>IF(Bonus!$G253&lt;2,+Bonus!F253," " )</f>
        <v>750298.86</v>
      </c>
      <c r="G97" s="30">
        <f>IF(Bonus!$G253&lt;2,+Bonus!L253," " )</f>
        <v>37146068.770000003</v>
      </c>
      <c r="H97" s="30">
        <f>IF(Bonus!$G253&lt;2,+Bonus!D253," " )</f>
        <v>37896367.630000003</v>
      </c>
      <c r="I97" s="30">
        <f>IF(Bonus!$G253&lt;2,+Bonus!E253," " )</f>
        <v>2209857</v>
      </c>
      <c r="J97" s="31">
        <f>IF(Bonus!$G253&lt;2,+Bonus!G253," " )</f>
        <v>1.9798701219217615E-2</v>
      </c>
      <c r="K97" s="30">
        <f>IF(Bonus!$G253&lt;2,+Bonus!H253," " )</f>
        <v>0</v>
      </c>
      <c r="L97" s="30">
        <f>+Bonus!K253</f>
        <v>149773.90000000002</v>
      </c>
      <c r="M97" s="32"/>
      <c r="N97" s="30"/>
      <c r="O97" s="30"/>
    </row>
    <row r="98" spans="1:15" ht="14.1" customHeight="1">
      <c r="A98" s="29"/>
      <c r="B98" s="260">
        <f>+Bonus!A254</f>
        <v>57.000700000000002</v>
      </c>
      <c r="C98" s="30">
        <f>IF(Bonus!$G254&lt;2,+Bonus!J254," " )</f>
        <v>153858.35999999999</v>
      </c>
      <c r="D98" s="30">
        <f>IF(Bonus!$G254&lt;2,+Bonus!M254," " )</f>
        <v>8771.640000000014</v>
      </c>
      <c r="E98" s="30">
        <f>IF(Bonus!$G254&lt;2,+Bonus!C254," " )</f>
        <v>162630</v>
      </c>
      <c r="F98" s="30">
        <f>IF(Bonus!$G254&lt;2,+Bonus!F254," " )</f>
        <v>196248.4</v>
      </c>
      <c r="G98" s="30">
        <f>IF(Bonus!$G254&lt;2,+Bonus!L254," " )</f>
        <v>0</v>
      </c>
      <c r="H98" s="30">
        <f>IF(Bonus!$G254&lt;2,+Bonus!D254," " )</f>
        <v>196248.4</v>
      </c>
      <c r="I98" s="30">
        <f>IF(Bonus!$G254&lt;2,+Bonus!E254," " )</f>
        <v>-33618.399999999994</v>
      </c>
      <c r="J98" s="31">
        <f>IF(Bonus!$G254&lt;2,+Bonus!G254," " )</f>
        <v>1</v>
      </c>
      <c r="K98" s="30">
        <f>IF(Bonus!$G254&lt;2,+Bonus!H254," " )</f>
        <v>-33618.399999999994</v>
      </c>
      <c r="L98" s="30">
        <f>+Bonus!K254</f>
        <v>-8771.640000000014</v>
      </c>
      <c r="M98" s="32"/>
      <c r="N98" s="30"/>
      <c r="O98" s="30"/>
    </row>
    <row r="99" spans="1:15" ht="14.1" customHeight="1">
      <c r="A99" s="29"/>
      <c r="B99" s="260">
        <f>+Bonus!A255</f>
        <v>57.000799999999998</v>
      </c>
      <c r="C99" s="30">
        <f>IF(Bonus!$G255&lt;2,+Bonus!J255," " )</f>
        <v>266758</v>
      </c>
      <c r="D99" s="30">
        <f>IF(Bonus!$G255&lt;2,+Bonus!M255," " )</f>
        <v>2609289</v>
      </c>
      <c r="E99" s="30">
        <f>IF(Bonus!$G255&lt;2,+Bonus!C255," " )</f>
        <v>2876047</v>
      </c>
      <c r="F99" s="30">
        <f>IF(Bonus!$G255&lt;2,+Bonus!F255," " )</f>
        <v>262382.86</v>
      </c>
      <c r="G99" s="30">
        <f>IF(Bonus!$G255&lt;2,+Bonus!L255," " )</f>
        <v>2481599.14</v>
      </c>
      <c r="H99" s="30">
        <f>IF(Bonus!$G255&lt;2,+Bonus!D255," " )</f>
        <v>2743982</v>
      </c>
      <c r="I99" s="30">
        <f>IF(Bonus!$G255&lt;2,+Bonus!E255," " )</f>
        <v>132065</v>
      </c>
      <c r="J99" s="31">
        <f>IF(Bonus!$G255&lt;2,+Bonus!G255," " )</f>
        <v>9.5621203054538986E-2</v>
      </c>
      <c r="K99" s="30">
        <f>IF(Bonus!$G255&lt;2,+Bonus!H255," " )</f>
        <v>0</v>
      </c>
      <c r="L99" s="30">
        <f>+Bonus!K255</f>
        <v>4375.140000000014</v>
      </c>
      <c r="M99" s="32"/>
      <c r="N99" s="30"/>
      <c r="O99" s="30"/>
    </row>
    <row r="100" spans="1:15" ht="12" customHeight="1">
      <c r="A100" s="29"/>
      <c r="B100" s="260"/>
      <c r="C100" s="30"/>
      <c r="D100" s="30"/>
      <c r="E100" s="30"/>
      <c r="F100" s="30"/>
      <c r="G100" s="30"/>
      <c r="H100" s="30"/>
      <c r="I100" s="30"/>
      <c r="J100" s="31"/>
      <c r="K100" s="30"/>
      <c r="L100" s="30"/>
      <c r="M100" s="32"/>
      <c r="N100" s="30"/>
      <c r="O100" s="30"/>
    </row>
    <row r="101" spans="1:15" ht="14.1" customHeight="1">
      <c r="A101" s="29"/>
      <c r="B101" s="260">
        <f>+Bonus!A267</f>
        <v>58.000300000000003</v>
      </c>
      <c r="C101" s="30">
        <f>IF(Bonus!$G267&lt;2,+Bonus!J267," " )</f>
        <v>11889201.76</v>
      </c>
      <c r="D101" s="30">
        <f>IF(Bonus!$G267&lt;2,+Bonus!M267," " )</f>
        <v>10635987.24</v>
      </c>
      <c r="E101" s="30">
        <f>IF(Bonus!$G267&lt;2,+Bonus!C267," " )</f>
        <v>22525189</v>
      </c>
      <c r="F101" s="30">
        <f>IF(Bonus!$G267&lt;2,+Bonus!F267," " )</f>
        <v>11034781.789999999</v>
      </c>
      <c r="G101" s="30">
        <f>IF(Bonus!$G267&lt;2,+Bonus!L267," " )</f>
        <v>10182392.210000001</v>
      </c>
      <c r="H101" s="30">
        <f>IF(Bonus!$G267&lt;2,+Bonus!D267," " )</f>
        <v>21217174</v>
      </c>
      <c r="I101" s="30">
        <f>IF(Bonus!$G267&lt;2,+Bonus!E267," " )</f>
        <v>1308015</v>
      </c>
      <c r="J101" s="31">
        <f>IF(Bonus!$G267&lt;2,+Bonus!G267," " )</f>
        <v>0.52008725525840527</v>
      </c>
      <c r="K101" s="30">
        <f>IF(Bonus!$G267&lt;2,+Bonus!H267," " )</f>
        <v>680281.93118682294</v>
      </c>
      <c r="L101" s="30">
        <f>+Bonus!K267</f>
        <v>174138.0388131775</v>
      </c>
      <c r="M101" s="32"/>
      <c r="N101" s="30"/>
      <c r="O101" s="30"/>
    </row>
    <row r="102" spans="1:15" ht="12" customHeight="1">
      <c r="A102" s="29"/>
      <c r="B102" s="260"/>
      <c r="C102" s="30"/>
      <c r="D102" s="30"/>
      <c r="E102" s="30"/>
      <c r="F102" s="30"/>
      <c r="G102" s="30"/>
      <c r="H102" s="30"/>
      <c r="I102" s="30"/>
      <c r="J102" s="31"/>
      <c r="K102" s="30"/>
      <c r="L102" s="30"/>
      <c r="M102" s="32"/>
      <c r="N102" s="30"/>
      <c r="O102" s="30"/>
    </row>
    <row r="103" spans="1:15" ht="14.1" customHeight="1">
      <c r="A103" s="29"/>
      <c r="B103" s="260">
        <f>+Bonus!A283</f>
        <v>56.1004</v>
      </c>
      <c r="C103" s="30">
        <f>IF(Bonus!$G283&lt;2,+Bonus!J283," " )</f>
        <v>371550</v>
      </c>
      <c r="D103" s="30">
        <f>IF(Bonus!$G283&lt;2,+Bonus!M283," " )</f>
        <v>1875</v>
      </c>
      <c r="E103" s="30">
        <f>IF(Bonus!$G283&lt;2,+Bonus!C283," " )</f>
        <v>373425</v>
      </c>
      <c r="F103" s="30">
        <f>IF(Bonus!$G283&lt;2,+Bonus!F283," " )</f>
        <v>236373.73</v>
      </c>
      <c r="G103" s="30">
        <f>IF(Bonus!$G283&lt;2,+Bonus!L283," " )</f>
        <v>33466.26999999999</v>
      </c>
      <c r="H103" s="30">
        <f>IF(Bonus!$G283&lt;2,+Bonus!D283," " )</f>
        <v>269840</v>
      </c>
      <c r="I103" s="30">
        <f>IF(Bonus!$G283&lt;2,+Bonus!E283," " )</f>
        <v>103585</v>
      </c>
      <c r="J103" s="31">
        <f>IF(Bonus!$G283&lt;2,+Bonus!G283," " )</f>
        <v>0.87597735695226808</v>
      </c>
      <c r="K103" s="30">
        <f>IF(Bonus!$G283&lt;2,+Bonus!H283," " )</f>
        <v>90738.114519900686</v>
      </c>
      <c r="L103" s="30">
        <f>+Bonus!K283</f>
        <v>44438.155480099318</v>
      </c>
      <c r="M103" s="32"/>
      <c r="N103" s="30"/>
      <c r="O103" s="30"/>
    </row>
    <row r="104" spans="1:15" ht="14.1" customHeight="1">
      <c r="A104" s="29"/>
      <c r="B104" s="260">
        <f>+Bonus!A284</f>
        <v>56.100499999999997</v>
      </c>
      <c r="C104" s="30">
        <f>IF(Bonus!$G284&lt;2,+Bonus!J284," " )</f>
        <v>135000</v>
      </c>
      <c r="D104" s="30">
        <f>IF(Bonus!$G284&lt;2,+Bonus!M284," " )</f>
        <v>0</v>
      </c>
      <c r="E104" s="30">
        <f>IF(Bonus!$G284&lt;2,+Bonus!C284," " )</f>
        <v>135000</v>
      </c>
      <c r="F104" s="30">
        <f>IF(Bonus!$G284&lt;2,+Bonus!F284," " )</f>
        <v>51037.42</v>
      </c>
      <c r="G104" s="30">
        <f>IF(Bonus!$G284&lt;2,+Bonus!L284," " )</f>
        <v>16987.580000000002</v>
      </c>
      <c r="H104" s="30">
        <f>IF(Bonus!$G284&lt;2,+Bonus!D284," " )</f>
        <v>68025</v>
      </c>
      <c r="I104" s="30">
        <f>IF(Bonus!$G284&lt;2,+Bonus!E284," " )</f>
        <v>66975</v>
      </c>
      <c r="J104" s="31">
        <f>IF(Bonus!$G284&lt;2,+Bonus!G284," " )</f>
        <v>0.75027445791988234</v>
      </c>
      <c r="K104" s="30">
        <f>IF(Bonus!$G284&lt;2,+Bonus!H284," " )</f>
        <v>50249.63181918412</v>
      </c>
      <c r="L104" s="30">
        <f>+Bonus!K284</f>
        <v>33712.948180815874</v>
      </c>
      <c r="M104" s="32"/>
      <c r="N104" s="30"/>
      <c r="O104" s="30"/>
    </row>
    <row r="105" spans="1:15" ht="14.1" customHeight="1">
      <c r="A105" s="29"/>
      <c r="B105" s="260">
        <f>+Bonus!A285</f>
        <v>56.100999999999999</v>
      </c>
      <c r="C105" s="30">
        <f>IF(Bonus!$G285&lt;2,+Bonus!J285," " )</f>
        <v>49250</v>
      </c>
      <c r="D105" s="30">
        <f>IF(Bonus!$G285&lt;2,+Bonus!M285," " )</f>
        <v>0</v>
      </c>
      <c r="E105" s="30">
        <f>IF(Bonus!$G285&lt;2,+Bonus!C285," " )</f>
        <v>49250</v>
      </c>
      <c r="F105" s="30">
        <f>IF(Bonus!$G285&lt;2,+Bonus!F285," " )</f>
        <v>36461.94</v>
      </c>
      <c r="G105" s="30">
        <f>IF(Bonus!$G285&lt;2,+Bonus!L285," " )</f>
        <v>0</v>
      </c>
      <c r="H105" s="30">
        <f>IF(Bonus!$G285&lt;2,+Bonus!D285," " )</f>
        <v>36461.94</v>
      </c>
      <c r="I105" s="30">
        <f>IF(Bonus!$G285&lt;2,+Bonus!E285," " )</f>
        <v>12788.059999999998</v>
      </c>
      <c r="J105" s="31">
        <f>IF(Bonus!$G285&lt;2,+Bonus!G285," " )</f>
        <v>1</v>
      </c>
      <c r="K105" s="30">
        <f>IF(Bonus!$G285&lt;2,+Bonus!H285," " )</f>
        <v>12788.059999999998</v>
      </c>
      <c r="L105" s="30">
        <f>+Bonus!K285</f>
        <v>0</v>
      </c>
      <c r="M105" s="32"/>
      <c r="N105" s="30"/>
      <c r="O105" s="30"/>
    </row>
    <row r="106" spans="1:15" ht="14.1" customHeight="1">
      <c r="A106" s="29"/>
      <c r="B106" s="260">
        <f>+Bonus!A286</f>
        <v>56.101500000000001</v>
      </c>
      <c r="C106" s="30">
        <f>IF(Bonus!$G286&lt;2,+Bonus!J286," " )</f>
        <v>160000</v>
      </c>
      <c r="D106" s="30">
        <f>IF(Bonus!$G286&lt;2,+Bonus!M286," " )</f>
        <v>70000</v>
      </c>
      <c r="E106" s="30">
        <f>IF(Bonus!$G286&lt;2,+Bonus!C286," " )</f>
        <v>230000</v>
      </c>
      <c r="F106" s="30">
        <f>IF(Bonus!$G286&lt;2,+Bonus!F286," " )</f>
        <v>142358.95000000001</v>
      </c>
      <c r="G106" s="30">
        <f>IF(Bonus!$G286&lt;2,+Bonus!L286," " )</f>
        <v>61161.049999999988</v>
      </c>
      <c r="H106" s="30">
        <f>IF(Bonus!$G286&lt;2,+Bonus!D286," " )</f>
        <v>203520</v>
      </c>
      <c r="I106" s="30">
        <f>IF(Bonus!$G286&lt;2,+Bonus!E286," " )</f>
        <v>26480</v>
      </c>
      <c r="J106" s="31">
        <f>IF(Bonus!$G286&lt;2,+Bonus!G286," " )</f>
        <v>0.69948383451257867</v>
      </c>
      <c r="K106" s="30">
        <f>IF(Bonus!$G286&lt;2,+Bonus!H286," " )</f>
        <v>18522.331937893083</v>
      </c>
      <c r="L106" s="30">
        <f>+Bonus!K286</f>
        <v>-881.28193789310171</v>
      </c>
      <c r="M106" s="32"/>
      <c r="N106" s="30"/>
      <c r="O106" s="30"/>
    </row>
    <row r="107" spans="1:15" ht="14.1" customHeight="1">
      <c r="A107" s="29"/>
      <c r="B107" s="260">
        <f>+Bonus!A287</f>
        <v>56.101700000000001</v>
      </c>
      <c r="C107" s="30">
        <f>IF(Bonus!$G287&lt;2,+Bonus!J287," " )</f>
        <v>99118</v>
      </c>
      <c r="D107" s="30">
        <f>IF(Bonus!$G287&lt;2,+Bonus!M287," " )</f>
        <v>3750</v>
      </c>
      <c r="E107" s="30">
        <f>IF(Bonus!$G287&lt;2,+Bonus!C287," " )</f>
        <v>102868</v>
      </c>
      <c r="F107" s="30">
        <f>IF(Bonus!$G287&lt;2,+Bonus!F287," " )</f>
        <v>95450.46</v>
      </c>
      <c r="G107" s="30">
        <f>IF(Bonus!$G287&lt;2,+Bonus!L287," " )</f>
        <v>19444.539999999994</v>
      </c>
      <c r="H107" s="30">
        <f>IF(Bonus!$G287&lt;2,+Bonus!D287," " )</f>
        <v>114895</v>
      </c>
      <c r="I107" s="30">
        <f>IF(Bonus!$G287&lt;2,+Bonus!E287," " )</f>
        <v>-12027</v>
      </c>
      <c r="J107" s="31">
        <f>IF(Bonus!$G287&lt;2,+Bonus!G287," " )</f>
        <v>0.83076252230297232</v>
      </c>
      <c r="K107" s="30">
        <f>IF(Bonus!$G287&lt;2,+Bonus!H287," " )</f>
        <v>-12027</v>
      </c>
      <c r="L107" s="30">
        <f>+Bonus!K287</f>
        <v>15694.539999999994</v>
      </c>
      <c r="M107" s="32"/>
      <c r="N107" s="30"/>
      <c r="O107" s="30"/>
    </row>
    <row r="108" spans="1:15" ht="14.1" customHeight="1">
      <c r="A108" s="29"/>
      <c r="B108" s="260">
        <f>+Bonus!A288</f>
        <v>56.101799999999997</v>
      </c>
      <c r="C108" s="30">
        <f>IF(Bonus!$G288&lt;2,+Bonus!J288," " )</f>
        <v>50000</v>
      </c>
      <c r="D108" s="30">
        <f>IF(Bonus!$G288&lt;2,+Bonus!M288," " )</f>
        <v>103913</v>
      </c>
      <c r="E108" s="30">
        <f>IF(Bonus!$G288&lt;2,+Bonus!C288," " )</f>
        <v>153913</v>
      </c>
      <c r="F108" s="30">
        <f>IF(Bonus!$G288&lt;2,+Bonus!F288," " )</f>
        <v>41991.15</v>
      </c>
      <c r="G108" s="30">
        <f>IF(Bonus!$G288&lt;2,+Bonus!L288," " )</f>
        <v>29053.85</v>
      </c>
      <c r="H108" s="30">
        <f>IF(Bonus!$G288&lt;2,+Bonus!D288," " )</f>
        <v>71045</v>
      </c>
      <c r="I108" s="30">
        <f>IF(Bonus!$G288&lt;2,+Bonus!E288," " )</f>
        <v>82868</v>
      </c>
      <c r="J108" s="31">
        <f>IF(Bonus!$G288&lt;2,+Bonus!G288," " )</f>
        <v>0.59105003870786121</v>
      </c>
      <c r="K108" s="30">
        <f>IF(Bonus!$G288&lt;2,+Bonus!H288," " )</f>
        <v>48979.134607643042</v>
      </c>
      <c r="L108" s="30">
        <f>+Bonus!K288</f>
        <v>-40970.284607643043</v>
      </c>
      <c r="M108" s="32"/>
      <c r="N108" s="30"/>
      <c r="O108" s="30"/>
    </row>
    <row r="109" spans="1:15" ht="14.1" customHeight="1">
      <c r="A109" s="29"/>
      <c r="B109" s="260">
        <f>+Bonus!A289</f>
        <v>56.103200000000001</v>
      </c>
      <c r="C109" s="30">
        <f>IF(Bonus!$G289&lt;2,+Bonus!J289," " )</f>
        <v>0</v>
      </c>
      <c r="D109" s="30">
        <f>IF(Bonus!$G289&lt;2,+Bonus!M289," " )</f>
        <v>85000</v>
      </c>
      <c r="E109" s="30">
        <f>IF(Bonus!$G289&lt;2,+Bonus!C289," " )</f>
        <v>85000</v>
      </c>
      <c r="F109" s="30">
        <f>IF(Bonus!$G289&lt;2,+Bonus!F289," " )</f>
        <v>35024.339999999997</v>
      </c>
      <c r="G109" s="30">
        <f>IF(Bonus!$G289&lt;2,+Bonus!L289," " )</f>
        <v>47950.66</v>
      </c>
      <c r="H109" s="30">
        <f>IF(Bonus!$G289&lt;2,+Bonus!D289," " )</f>
        <v>82975</v>
      </c>
      <c r="I109" s="30">
        <f>IF(Bonus!$G289&lt;2,+Bonus!E289," " )</f>
        <v>2025</v>
      </c>
      <c r="J109" s="31">
        <f>IF(Bonus!$G289&lt;2,+Bonus!G289," " )</f>
        <v>0.42210714070503158</v>
      </c>
      <c r="K109" s="30">
        <f>IF(Bonus!$G289&lt;2,+Bonus!H289," " )</f>
        <v>854.76695992768896</v>
      </c>
      <c r="L109" s="30">
        <f>+Bonus!K289</f>
        <v>-35879.106959927689</v>
      </c>
      <c r="M109" s="32"/>
      <c r="N109" s="30"/>
      <c r="O109" s="30"/>
    </row>
    <row r="110" spans="1:15" ht="14.1" customHeight="1">
      <c r="A110" s="29"/>
      <c r="B110" s="260">
        <f>+Bonus!A290</f>
        <v>56.1036</v>
      </c>
      <c r="C110" s="30">
        <f>IF(Bonus!$G290&lt;2,+Bonus!J290," " )</f>
        <v>48000</v>
      </c>
      <c r="D110" s="30">
        <f>IF(Bonus!$G290&lt;2,+Bonus!M290," " )</f>
        <v>228000</v>
      </c>
      <c r="E110" s="30">
        <f>IF(Bonus!$G290&lt;2,+Bonus!C290," " )</f>
        <v>276000</v>
      </c>
      <c r="F110" s="30">
        <f>IF(Bonus!$G290&lt;2,+Bonus!F290," " )</f>
        <v>107051.95</v>
      </c>
      <c r="G110" s="30">
        <f>IF(Bonus!$G290&lt;2,+Bonus!L290," " )</f>
        <v>101972.05</v>
      </c>
      <c r="H110" s="30">
        <f>IF(Bonus!$G290&lt;2,+Bonus!D290," " )</f>
        <v>209024</v>
      </c>
      <c r="I110" s="30">
        <f>IF(Bonus!$G290&lt;2,+Bonus!E290," " )</f>
        <v>66976</v>
      </c>
      <c r="J110" s="31">
        <f>IF(Bonus!$G290&lt;2,+Bonus!G290," " )</f>
        <v>0.51215147542865891</v>
      </c>
      <c r="K110" s="30">
        <f>IF(Bonus!$G290&lt;2,+Bonus!H290," " )</f>
        <v>34301.857218309859</v>
      </c>
      <c r="L110" s="30">
        <f>+Bonus!K290</f>
        <v>-93353.807218309841</v>
      </c>
      <c r="M110" s="32"/>
      <c r="N110" s="30"/>
      <c r="O110" s="30"/>
    </row>
    <row r="111" spans="1:15" ht="14.1" customHeight="1">
      <c r="A111" s="29"/>
      <c r="B111" s="260">
        <f>+Bonus!A291</f>
        <v>56.103700000000003</v>
      </c>
      <c r="C111" s="30">
        <f>IF(Bonus!$G291&lt;2,+Bonus!J291," " )</f>
        <v>36491</v>
      </c>
      <c r="D111" s="30">
        <f>IF(Bonus!$G291&lt;2,+Bonus!M291," " )</f>
        <v>0</v>
      </c>
      <c r="E111" s="30">
        <f>IF(Bonus!$G291&lt;2,+Bonus!C291," " )</f>
        <v>36491</v>
      </c>
      <c r="F111" s="30">
        <f>IF(Bonus!$G291&lt;2,+Bonus!F291," " )</f>
        <v>21674.2</v>
      </c>
      <c r="G111" s="30">
        <f>IF(Bonus!$G291&lt;2,+Bonus!L291," " )</f>
        <v>0</v>
      </c>
      <c r="H111" s="30">
        <f>IF(Bonus!$G291&lt;2,+Bonus!D291," " )</f>
        <v>21674.2</v>
      </c>
      <c r="I111" s="30">
        <f>IF(Bonus!$G291&lt;2,+Bonus!E291," " )</f>
        <v>14816.8</v>
      </c>
      <c r="J111" s="31">
        <f>IF(Bonus!$G291&lt;2,+Bonus!G291," " )</f>
        <v>1</v>
      </c>
      <c r="K111" s="30">
        <f>IF(Bonus!$G291&lt;2,+Bonus!H291," " )</f>
        <v>14816.8</v>
      </c>
      <c r="L111" s="30">
        <f>+Bonus!K291</f>
        <v>0</v>
      </c>
      <c r="M111" s="32"/>
      <c r="N111" s="30"/>
      <c r="O111" s="30"/>
    </row>
    <row r="112" spans="1:15" ht="14.1" customHeight="1">
      <c r="A112" s="29"/>
      <c r="B112" s="260">
        <f>+Bonus!A292</f>
        <v>56.1038</v>
      </c>
      <c r="C112" s="30">
        <f>IF(Bonus!$G292&lt;2,+Bonus!J292," " )</f>
        <v>0</v>
      </c>
      <c r="D112" s="30">
        <f>IF(Bonus!$G292&lt;2,+Bonus!M292," " )</f>
        <v>95000</v>
      </c>
      <c r="E112" s="30">
        <f>IF(Bonus!$G292&lt;2,+Bonus!C292," " )</f>
        <v>95000</v>
      </c>
      <c r="F112" s="30">
        <f>IF(Bonus!$G292&lt;2,+Bonus!F292," " )</f>
        <v>100049.89</v>
      </c>
      <c r="G112" s="30">
        <f>IF(Bonus!$G292&lt;2,+Bonus!L292," " )</f>
        <v>17326.11</v>
      </c>
      <c r="H112" s="30">
        <f>IF(Bonus!$G292&lt;2,+Bonus!D292," " )</f>
        <v>117376</v>
      </c>
      <c r="I112" s="30">
        <f>IF(Bonus!$G292&lt;2,+Bonus!E292," " )</f>
        <v>-22376</v>
      </c>
      <c r="J112" s="31">
        <f>IF(Bonus!$G292&lt;2,+Bonus!G292," " )</f>
        <v>0.85238796687568152</v>
      </c>
      <c r="K112" s="30">
        <f>IF(Bonus!$G292&lt;2,+Bonus!H292," " )</f>
        <v>-22376</v>
      </c>
      <c r="L112" s="30">
        <f>+Bonus!K292</f>
        <v>-77673.89</v>
      </c>
      <c r="M112" s="32"/>
      <c r="N112" s="30"/>
      <c r="O112" s="30"/>
    </row>
    <row r="113" spans="1:15" ht="14.1" customHeight="1">
      <c r="A113" s="29"/>
      <c r="B113" s="260">
        <f>+Bonus!A293</f>
        <v>56.103900000000003</v>
      </c>
      <c r="C113" s="30">
        <f>IF(Bonus!$G293&lt;2,+Bonus!J293," " )</f>
        <v>330000</v>
      </c>
      <c r="D113" s="30">
        <f>IF(Bonus!$G293&lt;2,+Bonus!M293," " )</f>
        <v>45000</v>
      </c>
      <c r="E113" s="30">
        <f>IF(Bonus!$G293&lt;2,+Bonus!C293," " )</f>
        <v>375000</v>
      </c>
      <c r="F113" s="30">
        <f>IF(Bonus!$G293&lt;2,+Bonus!F293," " )</f>
        <v>324049.23</v>
      </c>
      <c r="G113" s="30">
        <f>IF(Bonus!$G293&lt;2,+Bonus!L293," " )</f>
        <v>8234.7700000000186</v>
      </c>
      <c r="H113" s="30">
        <f>IF(Bonus!$G293&lt;2,+Bonus!D293," " )</f>
        <v>332284</v>
      </c>
      <c r="I113" s="30">
        <f>IF(Bonus!$G293&lt;2,+Bonus!E293," " )</f>
        <v>42716</v>
      </c>
      <c r="J113" s="31">
        <f>IF(Bonus!$G293&lt;2,+Bonus!G293," " )</f>
        <v>0.9752176752416607</v>
      </c>
      <c r="K113" s="30">
        <f>IF(Bonus!$G293&lt;2,+Bonus!H293," " )</f>
        <v>41657.398215622779</v>
      </c>
      <c r="L113" s="30">
        <f>+Bonus!K293</f>
        <v>-35706.628215622739</v>
      </c>
      <c r="M113" s="32"/>
      <c r="N113" s="30"/>
      <c r="O113" s="30"/>
    </row>
    <row r="114" spans="1:15" ht="14.1" customHeight="1">
      <c r="A114" s="29"/>
      <c r="B114" s="260">
        <f>+Bonus!A294</f>
        <v>56.104199999999999</v>
      </c>
      <c r="C114" s="30">
        <f>IF(Bonus!$G294&lt;2,+Bonus!J294," " )</f>
        <v>217715</v>
      </c>
      <c r="D114" s="30">
        <f>IF(Bonus!$G294&lt;2,+Bonus!M294," " )</f>
        <v>59850</v>
      </c>
      <c r="E114" s="30">
        <f>IF(Bonus!$G294&lt;2,+Bonus!C294," " )</f>
        <v>277565</v>
      </c>
      <c r="F114" s="30">
        <f>IF(Bonus!$G294&lt;2,+Bonus!F294," " )</f>
        <v>172683.27</v>
      </c>
      <c r="G114" s="30">
        <f>IF(Bonus!$G294&lt;2,+Bonus!L294," " )</f>
        <v>45604.73000000001</v>
      </c>
      <c r="H114" s="30">
        <f>IF(Bonus!$G294&lt;2,+Bonus!D294," " )</f>
        <v>218288</v>
      </c>
      <c r="I114" s="30">
        <f>IF(Bonus!$G294&lt;2,+Bonus!E294," " )</f>
        <v>59277</v>
      </c>
      <c r="J114" s="31">
        <f>IF(Bonus!$G294&lt;2,+Bonus!G294," " )</f>
        <v>0.79107999523565198</v>
      </c>
      <c r="K114" s="30">
        <f>IF(Bonus!$G294&lt;2,+Bonus!H294," " )</f>
        <v>46892.84887758374</v>
      </c>
      <c r="L114" s="30">
        <f>+Bonus!K294</f>
        <v>-1861.1188775837363</v>
      </c>
      <c r="M114" s="32"/>
      <c r="N114" s="30"/>
      <c r="O114" s="30"/>
    </row>
    <row r="115" spans="1:15" ht="14.1" customHeight="1">
      <c r="A115" s="29"/>
      <c r="B115" s="260">
        <f>+Bonus!A295</f>
        <v>56.104300000000002</v>
      </c>
      <c r="C115" s="30">
        <f>IF(Bonus!$G295&lt;2,+Bonus!J295," " )</f>
        <v>0</v>
      </c>
      <c r="D115" s="30">
        <f>IF(Bonus!$G295&lt;2,+Bonus!M295," " )</f>
        <v>336610</v>
      </c>
      <c r="E115" s="30">
        <f>IF(Bonus!$G295&lt;2,+Bonus!C295," " )</f>
        <v>336610</v>
      </c>
      <c r="F115" s="30">
        <f>IF(Bonus!$G295&lt;2,+Bonus!F295," " )</f>
        <v>214994.3</v>
      </c>
      <c r="G115" s="30">
        <f>IF(Bonus!$G295&lt;2,+Bonus!L295," " )</f>
        <v>96396.700000000012</v>
      </c>
      <c r="H115" s="30">
        <f>IF(Bonus!$G295&lt;2,+Bonus!D295," " )</f>
        <v>311391</v>
      </c>
      <c r="I115" s="30">
        <f>IF(Bonus!$G295&lt;2,+Bonus!E295," " )</f>
        <v>25219</v>
      </c>
      <c r="J115" s="31">
        <f>IF(Bonus!$G295&lt;2,+Bonus!G295," " )</f>
        <v>0.69043196495724024</v>
      </c>
      <c r="K115" s="30">
        <f>IF(Bonus!$G295&lt;2,+Bonus!H295," " )</f>
        <v>17412.003724256643</v>
      </c>
      <c r="L115" s="30">
        <f>+Bonus!K295</f>
        <v>-232406.30372425664</v>
      </c>
      <c r="M115" s="32"/>
      <c r="N115" s="30"/>
      <c r="O115" s="30"/>
    </row>
    <row r="116" spans="1:15" ht="14.1" customHeight="1">
      <c r="A116" s="29"/>
      <c r="B116" s="260">
        <f>+Bonus!A296</f>
        <v>56.104599999999998</v>
      </c>
      <c r="C116" s="30">
        <f>IF(Bonus!$G296&lt;2,+Bonus!J296," " )</f>
        <v>75120</v>
      </c>
      <c r="D116" s="30">
        <f>IF(Bonus!$G296&lt;2,+Bonus!M296," " )</f>
        <v>2000</v>
      </c>
      <c r="E116" s="30">
        <f>IF(Bonus!$G296&lt;2,+Bonus!C296," " )</f>
        <v>77120</v>
      </c>
      <c r="F116" s="30">
        <f>IF(Bonus!$G296&lt;2,+Bonus!F296," " )</f>
        <v>77765.8</v>
      </c>
      <c r="G116" s="30">
        <f>IF(Bonus!$G296&lt;2,+Bonus!L296," " )</f>
        <v>2190.1999999999971</v>
      </c>
      <c r="H116" s="30">
        <f>IF(Bonus!$G296&lt;2,+Bonus!D296," " )</f>
        <v>79956</v>
      </c>
      <c r="I116" s="30">
        <f>IF(Bonus!$G296&lt;2,+Bonus!E296," " )</f>
        <v>-2836</v>
      </c>
      <c r="J116" s="31">
        <f>IF(Bonus!$G296&lt;2,+Bonus!G296," " )</f>
        <v>0.97260743408874883</v>
      </c>
      <c r="K116" s="30">
        <f>IF(Bonus!$G296&lt;2,+Bonus!H296," " )</f>
        <v>-2836</v>
      </c>
      <c r="L116" s="30">
        <f>+Bonus!K296</f>
        <v>190.19999999999709</v>
      </c>
      <c r="M116" s="32"/>
      <c r="N116" s="30"/>
      <c r="O116" s="30"/>
    </row>
    <row r="117" spans="1:15" ht="14.1" customHeight="1">
      <c r="A117" s="29"/>
      <c r="B117" s="260">
        <f>+Bonus!A297</f>
        <v>56.104700000000001</v>
      </c>
      <c r="C117" s="30">
        <f>IF(Bonus!$G297&lt;2,+Bonus!J297," " )</f>
        <v>1905218.25</v>
      </c>
      <c r="D117" s="30">
        <f>IF(Bonus!$G297&lt;2,+Bonus!M297," " )</f>
        <v>489539.75</v>
      </c>
      <c r="E117" s="30">
        <f>IF(Bonus!$G297&lt;2,+Bonus!C297," " )</f>
        <v>2394758</v>
      </c>
      <c r="F117" s="30">
        <f>IF(Bonus!$G297&lt;2,+Bonus!F297," " )</f>
        <v>1602869.63</v>
      </c>
      <c r="G117" s="30">
        <f>IF(Bonus!$G297&lt;2,+Bonus!L297," " )</f>
        <v>437685.37000000011</v>
      </c>
      <c r="H117" s="30">
        <f>IF(Bonus!$G297&lt;2,+Bonus!D297," " )</f>
        <v>2040555</v>
      </c>
      <c r="I117" s="30">
        <f>IF(Bonus!$G297&lt;2,+Bonus!E297," " )</f>
        <v>354203</v>
      </c>
      <c r="J117" s="31">
        <f>IF(Bonus!$G297&lt;2,+Bonus!G297," " )</f>
        <v>0.78550670283329771</v>
      </c>
      <c r="K117" s="30">
        <f>IF(Bonus!$G297&lt;2,+Bonus!H297," " )</f>
        <v>278228.83066366252</v>
      </c>
      <c r="L117" s="30">
        <f>+Bonus!K297</f>
        <v>24119.789336337708</v>
      </c>
      <c r="M117" s="32"/>
      <c r="N117" s="30"/>
      <c r="O117" s="30"/>
    </row>
    <row r="118" spans="1:15" ht="14.1" customHeight="1">
      <c r="A118" s="29"/>
      <c r="B118" s="260">
        <f>+Bonus!A298</f>
        <v>56.104799999999997</v>
      </c>
      <c r="C118" s="30">
        <f>IF(Bonus!$G298&lt;2,+Bonus!J298," " )</f>
        <v>187500</v>
      </c>
      <c r="D118" s="30">
        <f>IF(Bonus!$G298&lt;2,+Bonus!M298," " )</f>
        <v>12500</v>
      </c>
      <c r="E118" s="30">
        <f>IF(Bonus!$G298&lt;2,+Bonus!C298," " )</f>
        <v>200000</v>
      </c>
      <c r="F118" s="30">
        <f>IF(Bonus!$G298&lt;2,+Bonus!F298," " )</f>
        <v>157916.15</v>
      </c>
      <c r="G118" s="30">
        <f>IF(Bonus!$G298&lt;2,+Bonus!L298," " )</f>
        <v>3202.8500000000058</v>
      </c>
      <c r="H118" s="30">
        <f>IF(Bonus!$G298&lt;2,+Bonus!D298," " )</f>
        <v>161119</v>
      </c>
      <c r="I118" s="30">
        <f>IF(Bonus!$G298&lt;2,+Bonus!E298," " )</f>
        <v>38881</v>
      </c>
      <c r="J118" s="31">
        <f>IF(Bonus!$G298&lt;2,+Bonus!G298," " )</f>
        <v>0.98012121475431202</v>
      </c>
      <c r="K118" s="30">
        <f>IF(Bonus!$G298&lt;2,+Bonus!H298," " )</f>
        <v>38108.092950862403</v>
      </c>
      <c r="L118" s="30">
        <f>+Bonus!K298</f>
        <v>-8524.24295086239</v>
      </c>
      <c r="M118" s="32"/>
      <c r="N118" s="30"/>
      <c r="O118" s="30"/>
    </row>
    <row r="119" spans="1:15" ht="14.1" customHeight="1">
      <c r="A119" s="29"/>
      <c r="B119" s="260">
        <f>+Bonus!A299</f>
        <v>56.104900000000001</v>
      </c>
      <c r="C119" s="30">
        <f>IF(Bonus!$G299&lt;2,+Bonus!J299," " )</f>
        <v>291725</v>
      </c>
      <c r="D119" s="30">
        <f>IF(Bonus!$G299&lt;2,+Bonus!M299," " )</f>
        <v>17000</v>
      </c>
      <c r="E119" s="30">
        <f>IF(Bonus!$G299&lt;2,+Bonus!C299," " )</f>
        <v>308725</v>
      </c>
      <c r="F119" s="30">
        <f>IF(Bonus!$G299&lt;2,+Bonus!F299," " )</f>
        <v>214423.06</v>
      </c>
      <c r="G119" s="30">
        <f>IF(Bonus!$G299&lt;2,+Bonus!L299," " )</f>
        <v>34449.94</v>
      </c>
      <c r="H119" s="30">
        <f>IF(Bonus!$G299&lt;2,+Bonus!D299," " )</f>
        <v>248873</v>
      </c>
      <c r="I119" s="30">
        <f>IF(Bonus!$G299&lt;2,+Bonus!E299," " )</f>
        <v>59852</v>
      </c>
      <c r="J119" s="31">
        <f>IF(Bonus!$G299&lt;2,+Bonus!G299," " )</f>
        <v>0.86157622562511804</v>
      </c>
      <c r="K119" s="30">
        <f>IF(Bonus!$G299&lt;2,+Bonus!H299," " )</f>
        <v>51567.060256114564</v>
      </c>
      <c r="L119" s="30">
        <f>+Bonus!K299</f>
        <v>25734.879743885424</v>
      </c>
      <c r="M119" s="32"/>
      <c r="N119" s="30"/>
      <c r="O119" s="30"/>
    </row>
    <row r="120" spans="1:15" ht="14.1" customHeight="1">
      <c r="A120" s="29"/>
      <c r="B120" s="260">
        <f>+Bonus!A300</f>
        <v>56.104999999999997</v>
      </c>
      <c r="C120" s="30">
        <f>IF(Bonus!$G300&lt;2,+Bonus!J300," " )</f>
        <v>675979.5</v>
      </c>
      <c r="D120" s="30">
        <f>IF(Bonus!$G300&lt;2,+Bonus!M300," " )</f>
        <v>3116579.5</v>
      </c>
      <c r="E120" s="30">
        <f>IF(Bonus!$G300&lt;2,+Bonus!C300," " )</f>
        <v>3792559</v>
      </c>
      <c r="F120" s="30">
        <f>IF(Bonus!$G300&lt;2,+Bonus!F300," " )</f>
        <v>925847.53</v>
      </c>
      <c r="G120" s="30">
        <f>IF(Bonus!$G300&lt;2,+Bonus!L300," " )</f>
        <v>2439719.4699999997</v>
      </c>
      <c r="H120" s="30">
        <f>IF(Bonus!$G300&lt;2,+Bonus!D300," " )</f>
        <v>3365567</v>
      </c>
      <c r="I120" s="30">
        <f>IF(Bonus!$G300&lt;2,+Bonus!E300," " )</f>
        <v>426992</v>
      </c>
      <c r="J120" s="31">
        <f>IF(Bonus!$G300&lt;2,+Bonus!G300," " )</f>
        <v>0.27509407181613083</v>
      </c>
      <c r="K120" s="30">
        <f>IF(Bonus!$G300&lt;2,+Bonus!H300," " )</f>
        <v>117462.96791291333</v>
      </c>
      <c r="L120" s="30">
        <f>+Bonus!K300</f>
        <v>-367330.99791291333</v>
      </c>
      <c r="M120" s="32"/>
      <c r="N120" s="30"/>
      <c r="O120" s="30"/>
    </row>
    <row r="121" spans="1:15" ht="14.1" customHeight="1">
      <c r="A121" s="29"/>
      <c r="B121" s="260">
        <f>+Bonus!A301</f>
        <v>56.105499999999999</v>
      </c>
      <c r="C121" s="30">
        <f>IF(Bonus!$G301&lt;2,+Bonus!J301," " )</f>
        <v>120891</v>
      </c>
      <c r="D121" s="30">
        <f>IF(Bonus!$G301&lt;2,+Bonus!M301," " )</f>
        <v>0</v>
      </c>
      <c r="E121" s="30">
        <f>IF(Bonus!$G301&lt;2,+Bonus!C301," " )</f>
        <v>120891</v>
      </c>
      <c r="F121" s="30">
        <f>IF(Bonus!$G301&lt;2,+Bonus!F301," " )</f>
        <v>78736.44</v>
      </c>
      <c r="G121" s="30">
        <f>IF(Bonus!$G301&lt;2,+Bonus!L301," " )</f>
        <v>14111.559999999998</v>
      </c>
      <c r="H121" s="30">
        <f>IF(Bonus!$G301&lt;2,+Bonus!D301," " )</f>
        <v>92848</v>
      </c>
      <c r="I121" s="30">
        <f>IF(Bonus!$G301&lt;2,+Bonus!E301," " )</f>
        <v>28043</v>
      </c>
      <c r="J121" s="31">
        <f>IF(Bonus!$G301&lt;2,+Bonus!G301," " )</f>
        <v>0.84801438910908156</v>
      </c>
      <c r="K121" s="30">
        <f>IF(Bonus!$G301&lt;2,+Bonus!H301," " )</f>
        <v>23780.867513785975</v>
      </c>
      <c r="L121" s="30">
        <f>+Bonus!K301</f>
        <v>18373.692486214015</v>
      </c>
      <c r="M121" s="32"/>
      <c r="N121" s="30"/>
      <c r="O121" s="30"/>
    </row>
    <row r="122" spans="1:15" ht="14.1" customHeight="1">
      <c r="A122" s="29"/>
      <c r="B122" s="260">
        <f>+Bonus!A302</f>
        <v>56.105899999999998</v>
      </c>
      <c r="C122" s="30">
        <f>IF(Bonus!$G302&lt;2,+Bonus!J302," " )</f>
        <v>0</v>
      </c>
      <c r="D122" s="30">
        <f>IF(Bonus!$G302&lt;2,+Bonus!M302," " )</f>
        <v>399389</v>
      </c>
      <c r="E122" s="30">
        <f>IF(Bonus!$G302&lt;2,+Bonus!C302," " )</f>
        <v>399389</v>
      </c>
      <c r="F122" s="30">
        <f>IF(Bonus!$G302&lt;2,+Bonus!F302," " )</f>
        <v>235841.92000000001</v>
      </c>
      <c r="G122" s="30">
        <f>IF(Bonus!$G302&lt;2,+Bonus!L302," " )</f>
        <v>93364.079999999987</v>
      </c>
      <c r="H122" s="30">
        <f>IF(Bonus!$G302&lt;2,+Bonus!D302," " )</f>
        <v>329206</v>
      </c>
      <c r="I122" s="30">
        <f>IF(Bonus!$G302&lt;2,+Bonus!E302," " )</f>
        <v>70183</v>
      </c>
      <c r="J122" s="31">
        <f>IF(Bonus!$G302&lt;2,+Bonus!G302," " )</f>
        <v>0.71639617746942652</v>
      </c>
      <c r="K122" s="30">
        <f>IF(Bonus!$G302&lt;2,+Bonus!H302," " )</f>
        <v>50278.832923336762</v>
      </c>
      <c r="L122" s="30">
        <f>+Bonus!K302</f>
        <v>-286120.75292333675</v>
      </c>
      <c r="M122" s="32"/>
      <c r="N122" s="30"/>
      <c r="O122" s="30"/>
    </row>
    <row r="123" spans="1:15" ht="14.1" customHeight="1">
      <c r="A123" s="29"/>
      <c r="B123" s="260">
        <f>+Bonus!A303</f>
        <v>56.106000000000002</v>
      </c>
      <c r="C123" s="30">
        <f>IF(Bonus!$G303&lt;2,+Bonus!J303," " )</f>
        <v>0</v>
      </c>
      <c r="D123" s="30">
        <f>IF(Bonus!$G303&lt;2,+Bonus!M303," " )</f>
        <v>404663</v>
      </c>
      <c r="E123" s="30">
        <f>IF(Bonus!$G303&lt;2,+Bonus!C303," " )</f>
        <v>404663</v>
      </c>
      <c r="F123" s="30">
        <f>IF(Bonus!$G303&lt;2,+Bonus!F303," " )</f>
        <v>145563.35999999999</v>
      </c>
      <c r="G123" s="30">
        <f>IF(Bonus!$G303&lt;2,+Bonus!L303," " )</f>
        <v>176927.64</v>
      </c>
      <c r="H123" s="30">
        <f>IF(Bonus!$G303&lt;2,+Bonus!D303," " )</f>
        <v>322491</v>
      </c>
      <c r="I123" s="30">
        <f>IF(Bonus!$G303&lt;2,+Bonus!E303," " )</f>
        <v>82172</v>
      </c>
      <c r="J123" s="31">
        <f>IF(Bonus!$G303&lt;2,+Bonus!G303," " )</f>
        <v>0.45137185223773685</v>
      </c>
      <c r="K123" s="30">
        <f>IF(Bonus!$G303&lt;2,+Bonus!H303," " )</f>
        <v>37090.12784207931</v>
      </c>
      <c r="L123" s="30">
        <f>+Bonus!K303</f>
        <v>-182653.48784207931</v>
      </c>
      <c r="M123" s="32"/>
      <c r="N123" s="30"/>
      <c r="O123" s="30"/>
    </row>
    <row r="124" spans="1:15" ht="14.1" customHeight="1">
      <c r="A124" s="29"/>
      <c r="B124" s="260">
        <f>+Bonus!A304</f>
        <v>56.106299999999997</v>
      </c>
      <c r="C124" s="30">
        <f>IF(Bonus!$G304&lt;2,+Bonus!J304," " )</f>
        <v>10000</v>
      </c>
      <c r="D124" s="30">
        <f>IF(Bonus!$G304&lt;2,+Bonus!M304," " )</f>
        <v>98000</v>
      </c>
      <c r="E124" s="30">
        <f>IF(Bonus!$G304&lt;2,+Bonus!C304," " )</f>
        <v>108000</v>
      </c>
      <c r="F124" s="30">
        <f>IF(Bonus!$G304&lt;2,+Bonus!F304," " )</f>
        <v>74040.41</v>
      </c>
      <c r="G124" s="30">
        <f>IF(Bonus!$G304&lt;2,+Bonus!L304," " )</f>
        <v>23880.589999999997</v>
      </c>
      <c r="H124" s="30">
        <f>IF(Bonus!$G304&lt;2,+Bonus!D304," " )</f>
        <v>97921</v>
      </c>
      <c r="I124" s="30">
        <f>IF(Bonus!$G304&lt;2,+Bonus!E304," " )</f>
        <v>10079</v>
      </c>
      <c r="J124" s="31">
        <f>IF(Bonus!$G304&lt;2,+Bonus!G304," " )</f>
        <v>0.75612391621817587</v>
      </c>
      <c r="K124" s="30">
        <f>IF(Bonus!$G304&lt;2,+Bonus!H304," " )</f>
        <v>7620.9729515629942</v>
      </c>
      <c r="L124" s="30">
        <f>+Bonus!K304</f>
        <v>-71661.382951562991</v>
      </c>
      <c r="M124" s="32"/>
      <c r="N124" s="30"/>
      <c r="O124" s="30"/>
    </row>
    <row r="125" spans="1:15" ht="14.1" customHeight="1">
      <c r="A125" s="29"/>
      <c r="B125" s="260">
        <f>+Bonus!A305</f>
        <v>56.1066</v>
      </c>
      <c r="C125" s="30">
        <f>IF(Bonus!$G305&lt;2,+Bonus!J305," " )</f>
        <v>570000</v>
      </c>
      <c r="D125" s="30">
        <f>IF(Bonus!$G305&lt;2,+Bonus!M305," " )</f>
        <v>25000</v>
      </c>
      <c r="E125" s="30">
        <f>IF(Bonus!$G305&lt;2,+Bonus!C305," " )</f>
        <v>595000</v>
      </c>
      <c r="F125" s="30">
        <f>IF(Bonus!$G305&lt;2,+Bonus!F305," " )</f>
        <v>476030.06</v>
      </c>
      <c r="G125" s="30">
        <f>IF(Bonus!$G305&lt;2,+Bonus!L305," " )</f>
        <v>55459.94</v>
      </c>
      <c r="H125" s="30">
        <f>IF(Bonus!$G305&lt;2,+Bonus!D305," " )</f>
        <v>531490</v>
      </c>
      <c r="I125" s="30">
        <f>IF(Bonus!$G305&lt;2,+Bonus!E305," " )</f>
        <v>63510</v>
      </c>
      <c r="J125" s="31">
        <f>IF(Bonus!$G305&lt;2,+Bonus!G305," " )</f>
        <v>0.89565195958531674</v>
      </c>
      <c r="K125" s="30">
        <f>IF(Bonus!$G305&lt;2,+Bonus!H305," " )</f>
        <v>56882.855953263468</v>
      </c>
      <c r="L125" s="30">
        <f>+Bonus!K305</f>
        <v>37087.084046736592</v>
      </c>
      <c r="M125" s="32"/>
      <c r="N125" s="30"/>
      <c r="O125" s="30"/>
    </row>
    <row r="126" spans="1:15" ht="14.1" customHeight="1">
      <c r="A126" s="29"/>
      <c r="B126" s="260">
        <f>+Bonus!A306</f>
        <v>56.106699999999996</v>
      </c>
      <c r="C126" s="30">
        <f>IF(Bonus!$G306&lt;2,+Bonus!J306," " )</f>
        <v>217000</v>
      </c>
      <c r="D126" s="30">
        <f>IF(Bonus!$G306&lt;2,+Bonus!M306," " )</f>
        <v>261000</v>
      </c>
      <c r="E126" s="30">
        <f>IF(Bonus!$G306&lt;2,+Bonus!C306," " )</f>
        <v>478000</v>
      </c>
      <c r="F126" s="30">
        <f>IF(Bonus!$G306&lt;2,+Bonus!F306," " )</f>
        <v>104751.99</v>
      </c>
      <c r="G126" s="30">
        <f>IF(Bonus!$G306&lt;2,+Bonus!L306," " )</f>
        <v>311126.01</v>
      </c>
      <c r="H126" s="30">
        <f>IF(Bonus!$G306&lt;2,+Bonus!D306," " )</f>
        <v>415878</v>
      </c>
      <c r="I126" s="30">
        <f>IF(Bonus!$G306&lt;2,+Bonus!E306," " )</f>
        <v>62122</v>
      </c>
      <c r="J126" s="31">
        <f>IF(Bonus!$G306&lt;2,+Bonus!G306," " )</f>
        <v>0.25188153737394142</v>
      </c>
      <c r="K126" s="30">
        <f>IF(Bonus!$G306&lt;2,+Bonus!H306," " )</f>
        <v>15647.384864743988</v>
      </c>
      <c r="L126" s="30">
        <f>+Bonus!K306</f>
        <v>96600.625135256007</v>
      </c>
      <c r="M126" s="32"/>
      <c r="N126" s="30"/>
      <c r="O126" s="30"/>
    </row>
    <row r="127" spans="1:15" ht="14.1" customHeight="1">
      <c r="A127" s="29"/>
      <c r="B127" s="260">
        <f>+Bonus!A307</f>
        <v>56.107300000000002</v>
      </c>
      <c r="C127" s="30">
        <f>IF(Bonus!$G307&lt;2,+Bonus!J307," " )</f>
        <v>0</v>
      </c>
      <c r="D127" s="30">
        <f>IF(Bonus!$G307&lt;2,+Bonus!M307," " )</f>
        <v>122210</v>
      </c>
      <c r="E127" s="30">
        <f>IF(Bonus!$G307&lt;2,+Bonus!C307," " )</f>
        <v>122210</v>
      </c>
      <c r="F127" s="30">
        <f>IF(Bonus!$G307&lt;2,+Bonus!F307," " )</f>
        <v>108855.81</v>
      </c>
      <c r="G127" s="30">
        <f>IF(Bonus!$G307&lt;2,+Bonus!L307," " )</f>
        <v>5191.1900000000023</v>
      </c>
      <c r="H127" s="30">
        <f>IF(Bonus!$G307&lt;2,+Bonus!D307," " )</f>
        <v>114047</v>
      </c>
      <c r="I127" s="30">
        <f>IF(Bonus!$G307&lt;2,+Bonus!E307," " )</f>
        <v>8163</v>
      </c>
      <c r="J127" s="31">
        <f>IF(Bonus!$G307&lt;2,+Bonus!G307," " )</f>
        <v>0.95448201180215175</v>
      </c>
      <c r="K127" s="30">
        <f>IF(Bonus!$G307&lt;2,+Bonus!H307," " )</f>
        <v>7791.4366623409651</v>
      </c>
      <c r="L127" s="30">
        <f>+Bonus!K307</f>
        <v>-116647.24666234096</v>
      </c>
      <c r="M127" s="32"/>
      <c r="N127" s="30"/>
      <c r="O127" s="30"/>
    </row>
    <row r="128" spans="1:15" ht="14.1" customHeight="1">
      <c r="A128" s="29"/>
      <c r="B128" s="260">
        <f>+Bonus!A308</f>
        <v>56.107500000000002</v>
      </c>
      <c r="C128" s="30">
        <f>IF(Bonus!$G308&lt;2,+Bonus!J308," " )</f>
        <v>0</v>
      </c>
      <c r="D128" s="30">
        <f>IF(Bonus!$G308&lt;2,+Bonus!M308," " )</f>
        <v>950000</v>
      </c>
      <c r="E128" s="30">
        <f>IF(Bonus!$G308&lt;2,+Bonus!C308," " )</f>
        <v>950000</v>
      </c>
      <c r="F128" s="30">
        <f>IF(Bonus!$G308&lt;2,+Bonus!F308," " )</f>
        <v>27665.919999999998</v>
      </c>
      <c r="G128" s="30">
        <f>IF(Bonus!$G308&lt;2,+Bonus!L308," " )</f>
        <v>751382.08</v>
      </c>
      <c r="H128" s="30">
        <f>IF(Bonus!$G308&lt;2,+Bonus!D308," " )</f>
        <v>779048</v>
      </c>
      <c r="I128" s="30">
        <f>IF(Bonus!$G308&lt;2,+Bonus!E308," " )</f>
        <v>170952</v>
      </c>
      <c r="J128" s="31">
        <f>IF(Bonus!$G308&lt;2,+Bonus!G308," " )</f>
        <v>3.5512471632043206E-2</v>
      </c>
      <c r="K128" s="30">
        <f>IF(Bonus!$G308&lt;2,+Bonus!H308," " )</f>
        <v>0</v>
      </c>
      <c r="L128" s="30">
        <f>+Bonus!K308</f>
        <v>-27665.919999999998</v>
      </c>
      <c r="M128" s="32"/>
      <c r="N128" s="30"/>
      <c r="O128" s="30"/>
    </row>
    <row r="129" spans="1:17" ht="14.1" customHeight="1">
      <c r="A129" s="29"/>
      <c r="B129" s="260">
        <f>+Bonus!A309</f>
        <v>56.107799999999997</v>
      </c>
      <c r="C129" s="30">
        <f>IF(Bonus!$G309&lt;2,+Bonus!J309," " )</f>
        <v>17050.240000000002</v>
      </c>
      <c r="D129" s="30">
        <f>IF(Bonus!$G309&lt;2,+Bonus!M309," " )</f>
        <v>8306.0099999999984</v>
      </c>
      <c r="E129" s="30">
        <f>IF(Bonus!$G309&lt;2,+Bonus!C309," " )</f>
        <v>25356.25</v>
      </c>
      <c r="F129" s="30">
        <f>IF(Bonus!$G309&lt;2,+Bonus!F309," " )</f>
        <v>25356.25</v>
      </c>
      <c r="G129" s="30">
        <f>IF(Bonus!$G309&lt;2,+Bonus!L309," " )</f>
        <v>0</v>
      </c>
      <c r="H129" s="30">
        <f>IF(Bonus!$G309&lt;2,+Bonus!D309," " )</f>
        <v>25356.25</v>
      </c>
      <c r="I129" s="30">
        <f>IF(Bonus!$G309&lt;2,+Bonus!E309," " )</f>
        <v>0</v>
      </c>
      <c r="J129" s="31">
        <f>IF(Bonus!$G309&lt;2,+Bonus!G309," " )</f>
        <v>1</v>
      </c>
      <c r="K129" s="30">
        <f>IF(Bonus!$G309&lt;2,+Bonus!H309," " )</f>
        <v>0</v>
      </c>
      <c r="L129" s="30">
        <f>+Bonus!K309</f>
        <v>-8306.0099999999984</v>
      </c>
      <c r="M129" s="32"/>
      <c r="N129" s="30"/>
      <c r="O129" s="30"/>
    </row>
    <row r="130" spans="1:17" ht="14.1" customHeight="1">
      <c r="A130" s="29"/>
      <c r="B130" s="260">
        <f>+Bonus!A310</f>
        <v>56.1081</v>
      </c>
      <c r="C130" s="30">
        <f>IF(Bonus!$G310&lt;2,+Bonus!J310," " )</f>
        <v>164416.35</v>
      </c>
      <c r="D130" s="30">
        <f>IF(Bonus!$G310&lt;2,+Bonus!M310," " )</f>
        <v>15273.649999999994</v>
      </c>
      <c r="E130" s="30">
        <f>IF(Bonus!$G310&lt;2,+Bonus!C310," " )</f>
        <v>179690</v>
      </c>
      <c r="F130" s="30">
        <f>IF(Bonus!$G310&lt;2,+Bonus!F310," " )</f>
        <v>156744.37</v>
      </c>
      <c r="G130" s="30">
        <f>IF(Bonus!$G310&lt;2,+Bonus!L310," " )</f>
        <v>3040.6300000000047</v>
      </c>
      <c r="H130" s="30">
        <f>IF(Bonus!$G310&lt;2,+Bonus!D310," " )</f>
        <v>159785</v>
      </c>
      <c r="I130" s="30">
        <f>IF(Bonus!$G310&lt;2,+Bonus!E310," " )</f>
        <v>19905</v>
      </c>
      <c r="J130" s="31">
        <f>IF(Bonus!$G310&lt;2,+Bonus!G310," " )</f>
        <v>0.98097049159808491</v>
      </c>
      <c r="K130" s="30">
        <f>IF(Bonus!$G310&lt;2,+Bonus!H310," " )</f>
        <v>19526.21763525988</v>
      </c>
      <c r="L130" s="30">
        <f>+Bonus!K310</f>
        <v>-11854.237635259866</v>
      </c>
      <c r="M130" s="32"/>
      <c r="N130" s="30"/>
      <c r="O130" s="30"/>
    </row>
    <row r="131" spans="1:17" ht="14.1" customHeight="1">
      <c r="A131" s="29"/>
      <c r="B131" s="260">
        <f>+Bonus!A311</f>
        <v>56.1083</v>
      </c>
      <c r="C131" s="30">
        <f>IF(Bonus!$G311&lt;2,+Bonus!J311," " )</f>
        <v>153616.75</v>
      </c>
      <c r="D131" s="30">
        <f>IF(Bonus!$G311&lt;2,+Bonus!M311," " )</f>
        <v>563393.25</v>
      </c>
      <c r="E131" s="30">
        <f>IF(Bonus!$G311&lt;2,+Bonus!C311," " )</f>
        <v>717010</v>
      </c>
      <c r="F131" s="30">
        <f>IF(Bonus!$G311&lt;2,+Bonus!F311," " )</f>
        <v>347967.35</v>
      </c>
      <c r="G131" s="30">
        <f>IF(Bonus!$G311&lt;2,+Bonus!L311," " )</f>
        <v>308395.65000000002</v>
      </c>
      <c r="H131" s="30">
        <f>IF(Bonus!$G311&lt;2,+Bonus!D311," " )</f>
        <v>656363</v>
      </c>
      <c r="I131" s="30">
        <f>IF(Bonus!$G311&lt;2,+Bonus!E311," " )</f>
        <v>60647</v>
      </c>
      <c r="J131" s="31">
        <f>IF(Bonus!$G311&lt;2,+Bonus!G311," " )</f>
        <v>0.5301446760405446</v>
      </c>
      <c r="K131" s="30">
        <f>IF(Bonus!$G311&lt;2,+Bonus!H311," " )</f>
        <v>32151.68416783091</v>
      </c>
      <c r="L131" s="30">
        <f>+Bonus!K311</f>
        <v>-226502.28416783089</v>
      </c>
      <c r="M131" s="32"/>
      <c r="N131" s="30"/>
      <c r="O131" s="30"/>
    </row>
    <row r="132" spans="1:17" ht="14.1" customHeight="1">
      <c r="A132" s="29"/>
      <c r="B132" s="260">
        <f>+Bonus!A312</f>
        <v>56.108499999999999</v>
      </c>
      <c r="C132" s="30">
        <f>IF(Bonus!$G312&lt;2,+Bonus!J312," " )</f>
        <v>0</v>
      </c>
      <c r="D132" s="30">
        <f>IF(Bonus!$G312&lt;2,+Bonus!M312," " )</f>
        <v>80000</v>
      </c>
      <c r="E132" s="30">
        <f>IF(Bonus!$G312&lt;2,+Bonus!C312," " )</f>
        <v>80000</v>
      </c>
      <c r="F132" s="30">
        <f>IF(Bonus!$G312&lt;2,+Bonus!F312," " )</f>
        <v>1090.31</v>
      </c>
      <c r="G132" s="30">
        <f>IF(Bonus!$G312&lt;2,+Bonus!L312," " )</f>
        <v>65864.69</v>
      </c>
      <c r="H132" s="30">
        <f>IF(Bonus!$G312&lt;2,+Bonus!D312," " )</f>
        <v>66955</v>
      </c>
      <c r="I132" s="30">
        <f>IF(Bonus!$G312&lt;2,+Bonus!E312," " )</f>
        <v>13045</v>
      </c>
      <c r="J132" s="31">
        <f>IF(Bonus!$G312&lt;2,+Bonus!G312," " )</f>
        <v>1.6284220745276679E-2</v>
      </c>
      <c r="K132" s="30">
        <f>IF(Bonus!$G312&lt;2,+Bonus!H312," " )</f>
        <v>0</v>
      </c>
      <c r="L132" s="30">
        <f>+Bonus!K312</f>
        <v>-1090.31</v>
      </c>
      <c r="M132" s="32"/>
      <c r="N132" s="30"/>
      <c r="O132" s="30"/>
    </row>
    <row r="133" spans="1:17" ht="14.1" customHeight="1">
      <c r="A133" s="29"/>
      <c r="B133" s="260">
        <f>+Bonus!A313</f>
        <v>56.108600000000003</v>
      </c>
      <c r="C133" s="30">
        <f>IF(Bonus!$G313&lt;2,+Bonus!J313," " )</f>
        <v>0</v>
      </c>
      <c r="D133" s="30">
        <f>IF(Bonus!$G313&lt;2,+Bonus!M313," " )</f>
        <v>376000</v>
      </c>
      <c r="E133" s="30">
        <f>IF(Bonus!$G313&lt;2,+Bonus!C313," " )</f>
        <v>376000</v>
      </c>
      <c r="F133" s="30">
        <f>IF(Bonus!$G313&lt;2,+Bonus!F313," " )</f>
        <v>12732.69</v>
      </c>
      <c r="G133" s="30">
        <f>IF(Bonus!$G313&lt;2,+Bonus!L313," " )</f>
        <v>282369.31</v>
      </c>
      <c r="H133" s="30">
        <f>IF(Bonus!$G313&lt;2,+Bonus!D313," " )</f>
        <v>295102</v>
      </c>
      <c r="I133" s="30">
        <f>IF(Bonus!$G313&lt;2,+Bonus!E313," " )</f>
        <v>80898</v>
      </c>
      <c r="J133" s="31">
        <f>IF(Bonus!$G313&lt;2,+Bonus!G313," " )</f>
        <v>4.3146742482260372E-2</v>
      </c>
      <c r="K133" s="30">
        <f>IF(Bonus!$G313&lt;2,+Bonus!H313," " )</f>
        <v>0</v>
      </c>
      <c r="L133" s="30">
        <f>+Bonus!K313</f>
        <v>-12732.69</v>
      </c>
      <c r="M133" s="32"/>
      <c r="N133" s="30"/>
      <c r="O133" s="30"/>
    </row>
    <row r="134" spans="1:17" ht="14.1" customHeight="1">
      <c r="A134" s="29"/>
      <c r="B134" s="260">
        <f>+Bonus!A314</f>
        <v>56.108699999999999</v>
      </c>
      <c r="C134" s="30">
        <f>IF(Bonus!$G314&lt;2,+Bonus!J314," " )</f>
        <v>37977</v>
      </c>
      <c r="D134" s="30">
        <f>IF(Bonus!$G314&lt;2,+Bonus!M314," " )</f>
        <v>11392</v>
      </c>
      <c r="E134" s="30">
        <f>IF(Bonus!$G314&lt;2,+Bonus!C314," " )</f>
        <v>49369</v>
      </c>
      <c r="F134" s="30">
        <f>IF(Bonus!$G314&lt;2,+Bonus!F314," " )</f>
        <v>39121.54</v>
      </c>
      <c r="G134" s="30">
        <f>IF(Bonus!$G314&lt;2,+Bonus!L314," " )</f>
        <v>3904.4599999999991</v>
      </c>
      <c r="H134" s="30">
        <f>IF(Bonus!$G314&lt;2,+Bonus!D314," " )</f>
        <v>43026</v>
      </c>
      <c r="I134" s="30">
        <f>IF(Bonus!$G314&lt;2,+Bonus!E314," " )</f>
        <v>6343</v>
      </c>
      <c r="J134" s="31">
        <f>IF(Bonus!$G314&lt;2,+Bonus!G314," " )</f>
        <v>0.90925347464323902</v>
      </c>
      <c r="K134" s="30">
        <f>IF(Bonus!$G314&lt;2,+Bonus!H314," " )</f>
        <v>5767.3947896620648</v>
      </c>
      <c r="L134" s="30">
        <f>+Bonus!K314</f>
        <v>-6911.9347896620675</v>
      </c>
      <c r="M134" s="32"/>
      <c r="N134" s="30"/>
      <c r="O134" s="30"/>
    </row>
    <row r="135" spans="1:17" ht="14.1" customHeight="1">
      <c r="A135" s="29"/>
      <c r="B135" s="260">
        <f>+Bonus!A315</f>
        <v>56.108800000000002</v>
      </c>
      <c r="C135" s="30">
        <f>IF(Bonus!$G315&lt;2,+Bonus!J315," " )</f>
        <v>0</v>
      </c>
      <c r="D135" s="30">
        <f>IF(Bonus!$G315&lt;2,+Bonus!M315," " )</f>
        <v>117985</v>
      </c>
      <c r="E135" s="30">
        <f>IF(Bonus!$G315&lt;2,+Bonus!C315," " )</f>
        <v>117985</v>
      </c>
      <c r="F135" s="30">
        <f>IF(Bonus!$G315&lt;2,+Bonus!F315," " )</f>
        <v>66827.490000000005</v>
      </c>
      <c r="G135" s="30">
        <f>IF(Bonus!$G315&lt;2,+Bonus!L315," " )</f>
        <v>18577.509999999995</v>
      </c>
      <c r="H135" s="30">
        <f>IF(Bonus!$G315&lt;2,+Bonus!D315," " )</f>
        <v>85405</v>
      </c>
      <c r="I135" s="30">
        <f>IF(Bonus!$G315&lt;2,+Bonus!E315," " )</f>
        <v>32580</v>
      </c>
      <c r="J135" s="31">
        <f>IF(Bonus!$G315&lt;2,+Bonus!G315," " )</f>
        <v>0.78247748960833685</v>
      </c>
      <c r="K135" s="30">
        <f>IF(Bonus!$G315&lt;2,+Bonus!H315," " )</f>
        <v>25493.116611439615</v>
      </c>
      <c r="L135" s="30">
        <f>+Bonus!K315</f>
        <v>-92320.606611439624</v>
      </c>
      <c r="M135" s="32"/>
      <c r="N135" s="30"/>
      <c r="O135" s="30"/>
    </row>
    <row r="136" spans="1:17" ht="14.1" customHeight="1">
      <c r="A136" s="29"/>
      <c r="B136" s="260"/>
      <c r="C136" s="30"/>
      <c r="D136" s="30"/>
      <c r="E136" s="30"/>
      <c r="F136" s="30"/>
      <c r="G136" s="30"/>
      <c r="H136" s="30"/>
      <c r="I136" s="30"/>
      <c r="J136" s="31"/>
      <c r="K136" s="30"/>
      <c r="L136" s="30"/>
      <c r="M136" s="32"/>
      <c r="N136" s="30"/>
      <c r="O136" s="30"/>
    </row>
    <row r="137" spans="1:17" ht="13.15" customHeight="1">
      <c r="A137" s="29"/>
      <c r="B137" s="201"/>
      <c r="C137" s="202">
        <f t="shared" ref="C137:I137" si="0">SUM(C8:C136)</f>
        <v>1107424084.2599998</v>
      </c>
      <c r="D137" s="202">
        <f t="shared" si="0"/>
        <v>764525121.14999974</v>
      </c>
      <c r="E137" s="202">
        <f t="shared" si="0"/>
        <v>1871949205.4099998</v>
      </c>
      <c r="F137" s="202">
        <f t="shared" si="0"/>
        <v>1041534998.2700002</v>
      </c>
      <c r="G137" s="202">
        <f t="shared" si="0"/>
        <v>704277095.75</v>
      </c>
      <c r="H137" s="202">
        <f t="shared" si="0"/>
        <v>1745812094.0200002</v>
      </c>
      <c r="I137" s="202">
        <f t="shared" si="0"/>
        <v>126137111.39000002</v>
      </c>
      <c r="J137" s="202"/>
      <c r="K137" s="202">
        <f>SUM(K8:K136)</f>
        <v>66272671.223135948</v>
      </c>
      <c r="L137" s="202">
        <f>SUM(L8:L136)</f>
        <v>-383585.2331359557</v>
      </c>
      <c r="M137" s="30"/>
      <c r="N137" s="30"/>
      <c r="O137" s="30"/>
      <c r="P137" s="30"/>
      <c r="Q137" s="30"/>
    </row>
    <row r="138" spans="1:17" s="100" customFormat="1" ht="13.15" customHeight="1">
      <c r="L138" s="30"/>
    </row>
    <row r="139" spans="1:17" ht="13.15" customHeight="1">
      <c r="H139" t="s">
        <v>38</v>
      </c>
    </row>
    <row r="140" spans="1:17" ht="13.15" customHeight="1">
      <c r="H140" t="s">
        <v>21</v>
      </c>
      <c r="K140" s="34">
        <f>Bonus!Q400</f>
        <v>338883768.87999994</v>
      </c>
    </row>
    <row r="141" spans="1:17" ht="13.15" customHeight="1">
      <c r="H141" t="s">
        <v>47</v>
      </c>
      <c r="K141" s="34"/>
    </row>
    <row r="142" spans="1:17" ht="13.15" customHeight="1">
      <c r="H142" t="s">
        <v>22</v>
      </c>
      <c r="K142" s="34">
        <f>Bonus!S400</f>
        <v>12136213.658275295</v>
      </c>
    </row>
    <row r="143" spans="1:17" ht="13.15" customHeight="1">
      <c r="H143" t="s">
        <v>23</v>
      </c>
      <c r="K143" s="34">
        <f>-Bonus!R400</f>
        <v>-355018357.06</v>
      </c>
      <c r="L143" s="34"/>
    </row>
    <row r="144" spans="1:17" ht="14.1" customHeight="1">
      <c r="H144" t="s">
        <v>30</v>
      </c>
      <c r="K144" s="38">
        <f>SUM(K140:K143)</f>
        <v>-3998374.5217247605</v>
      </c>
      <c r="L144" s="34"/>
      <c r="M144" s="34"/>
    </row>
    <row r="146" spans="3:14">
      <c r="C146" s="200">
        <f>C137-Bonus!J65-Bonus!J154-Bonus!J26-Bonus!J237-Bonus!J109-Bonus!J257-Bonus!J269-Bonus!J317</f>
        <v>-2.1047890186309814E-7</v>
      </c>
      <c r="D146" s="200"/>
      <c r="E146" s="200"/>
      <c r="F146" s="200">
        <f>F137-Bonus!F65-Bonus!F154-Bonus!F26-Bonus!F237-Bonus!F109-Bonus!F257-Bonus!F269-Bonus!F317</f>
        <v>2.5331974029541016E-7</v>
      </c>
      <c r="G146" s="200"/>
      <c r="H146" s="200"/>
      <c r="I146" s="200"/>
      <c r="J146" s="200"/>
      <c r="K146" s="200">
        <f>K144-'Job Summary'!N443</f>
        <v>5.1393443718552589E-3</v>
      </c>
      <c r="N146" s="45" t="s">
        <v>193</v>
      </c>
    </row>
    <row r="149" spans="3:14">
      <c r="K149" s="525"/>
    </row>
    <row r="152" spans="3:14">
      <c r="C152" s="33"/>
      <c r="D152" s="33"/>
      <c r="E152" s="33"/>
      <c r="F152" s="33"/>
      <c r="G152" s="33"/>
      <c r="H152" s="33"/>
      <c r="I152" s="33"/>
      <c r="J152" s="33"/>
      <c r="K152" s="33"/>
      <c r="L152" s="33"/>
    </row>
  </sheetData>
  <phoneticPr fontId="2" type="noConversion"/>
  <pageMargins left="0.24" right="0.27" top="0.32" bottom="0.38" header="0.19" footer="0.17"/>
  <pageSetup scale="88" fitToHeight="0" orientation="landscape" r:id="rId1"/>
  <headerFooter alignWithMargins="0">
    <oddFooter>&amp;L&amp;"Arial Narrow,Regular"&amp;8&amp;Z&amp;F&amp;R&amp;"Arial Narrow,Regular"&amp;8&amp;P/&amp;N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pageSetUpPr fitToPage="1"/>
  </sheetPr>
  <dimension ref="A1:AS661"/>
  <sheetViews>
    <sheetView zoomScaleNormal="100" zoomScaleSheetLayoutView="85" workbookViewId="0">
      <pane ySplit="7" topLeftCell="A8" activePane="bottomLeft" state="frozen"/>
      <selection activeCell="A3" sqref="A3"/>
      <selection pane="bottomLeft" activeCell="M32" sqref="M32"/>
    </sheetView>
  </sheetViews>
  <sheetFormatPr defaultColWidth="11.28515625" defaultRowHeight="12.75"/>
  <cols>
    <col min="1" max="1" width="9.28515625" customWidth="1"/>
    <col min="2" max="2" width="51.85546875" bestFit="1" customWidth="1"/>
    <col min="3" max="3" width="13.5703125" style="164" customWidth="1"/>
    <col min="4" max="4" width="12" style="33" customWidth="1"/>
    <col min="5" max="5" width="13.42578125" style="154" customWidth="1"/>
    <col min="6" max="6" width="12.42578125" style="486" customWidth="1"/>
    <col min="7" max="7" width="7" customWidth="1"/>
    <col min="8" max="8" width="13.42578125" style="154" customWidth="1"/>
    <col min="9" max="9" width="16" style="33" customWidth="1"/>
    <col min="10" max="10" width="11.42578125" style="154" customWidth="1"/>
    <col min="11" max="11" width="11.7109375" style="33" customWidth="1"/>
    <col min="12" max="12" width="12.140625" style="33" customWidth="1"/>
    <col min="13" max="13" width="11.140625" style="33" customWidth="1"/>
    <col min="14" max="14" width="14.140625" style="154" hidden="1" customWidth="1"/>
    <col min="15" max="15" width="15.7109375" style="154" hidden="1" customWidth="1"/>
    <col min="16" max="16" width="14.5703125" style="154" hidden="1" customWidth="1"/>
    <col min="17" max="17" width="11.42578125" style="33" customWidth="1"/>
    <col min="18" max="18" width="12" style="33" customWidth="1"/>
    <col min="19" max="19" width="11.5703125" style="33" customWidth="1"/>
    <col min="20" max="20" width="10" customWidth="1"/>
    <col min="21" max="21" width="10" style="15" customWidth="1"/>
    <col min="22" max="22" width="7.5703125" customWidth="1"/>
    <col min="23" max="23" width="12" style="282" customWidth="1"/>
    <col min="24" max="24" width="3.28515625" style="290" customWidth="1"/>
    <col min="25" max="25" width="12.7109375" style="311" customWidth="1"/>
    <col min="26" max="26" width="13.7109375" style="192" customWidth="1"/>
    <col min="27" max="27" width="4" customWidth="1"/>
    <col min="28" max="28" width="3" customWidth="1"/>
    <col min="29" max="29" width="11.28515625" customWidth="1"/>
    <col min="30" max="30" width="13.42578125" hidden="1" customWidth="1"/>
    <col min="31" max="31" width="2.7109375" customWidth="1"/>
    <col min="32" max="32" width="12" hidden="1" customWidth="1"/>
    <col min="33" max="40" width="11.28515625" hidden="1" customWidth="1"/>
    <col min="41" max="41" width="14.5703125" hidden="1" customWidth="1"/>
    <col min="42" max="42" width="11.28515625" hidden="1" customWidth="1"/>
    <col min="43" max="43" width="11.28515625" customWidth="1"/>
  </cols>
  <sheetData>
    <row r="1" spans="1:45" ht="20.25">
      <c r="A1" s="113" t="s">
        <v>42</v>
      </c>
      <c r="B1" s="2"/>
      <c r="C1" s="157"/>
      <c r="D1" s="36"/>
      <c r="E1" s="145"/>
      <c r="F1" s="302"/>
      <c r="G1" s="102"/>
      <c r="H1" s="145"/>
      <c r="I1" s="36"/>
      <c r="J1" s="145"/>
      <c r="K1" s="36"/>
      <c r="L1" s="36"/>
      <c r="M1" s="36"/>
      <c r="N1" s="145"/>
      <c r="O1" s="145"/>
      <c r="P1" s="145"/>
      <c r="Q1" s="36"/>
      <c r="R1" s="36"/>
      <c r="S1" s="36"/>
      <c r="T1" s="2"/>
      <c r="U1" s="119"/>
      <c r="X1" s="283"/>
      <c r="Y1" s="310"/>
      <c r="AF1" s="113" t="s">
        <v>42</v>
      </c>
    </row>
    <row r="2" spans="1:45" ht="15.75">
      <c r="A2" s="155" t="s">
        <v>126</v>
      </c>
      <c r="B2" s="2"/>
      <c r="C2" s="358"/>
      <c r="E2" s="145"/>
      <c r="F2" s="36"/>
      <c r="G2" s="102"/>
      <c r="H2" s="145"/>
      <c r="I2" s="102"/>
      <c r="J2" s="145"/>
      <c r="K2" s="36"/>
      <c r="L2" s="36"/>
      <c r="M2" s="36"/>
      <c r="N2" s="145"/>
      <c r="O2" s="145"/>
      <c r="P2" s="145"/>
      <c r="Q2" s="214"/>
      <c r="R2" s="215"/>
      <c r="S2" s="36"/>
      <c r="T2" s="2"/>
      <c r="U2" s="119"/>
      <c r="X2" s="283"/>
      <c r="Y2" s="310"/>
      <c r="AF2" s="6" t="s">
        <v>26</v>
      </c>
    </row>
    <row r="3" spans="1:45" ht="15.75">
      <c r="A3" s="6" t="s">
        <v>497</v>
      </c>
      <c r="B3" s="2"/>
      <c r="C3" s="157"/>
      <c r="D3" s="103"/>
      <c r="E3" s="301"/>
      <c r="F3" s="485"/>
      <c r="G3" s="102"/>
      <c r="I3" s="36"/>
      <c r="J3" s="145"/>
      <c r="K3" s="36"/>
      <c r="L3" s="36"/>
      <c r="M3" s="36"/>
      <c r="N3" s="145"/>
      <c r="O3" s="145"/>
      <c r="P3" s="145"/>
      <c r="Q3" s="214"/>
      <c r="R3" s="215"/>
      <c r="S3" s="36"/>
      <c r="T3" s="45"/>
      <c r="U3" s="119"/>
      <c r="X3" s="283"/>
      <c r="Y3" s="310"/>
      <c r="AF3" s="6" t="s">
        <v>497</v>
      </c>
    </row>
    <row r="4" spans="1:45" ht="15.75">
      <c r="A4" s="6" t="str">
        <f>GAAP!A4</f>
        <v>For the Month Period Ended 12/31/2025</v>
      </c>
      <c r="B4" s="2"/>
      <c r="C4" s="157"/>
      <c r="D4" s="103"/>
      <c r="E4" s="301"/>
      <c r="G4" s="102"/>
      <c r="H4" s="150"/>
      <c r="I4" s="36"/>
      <c r="J4" s="145"/>
      <c r="K4" s="36"/>
      <c r="L4" s="36"/>
      <c r="M4" s="36"/>
      <c r="N4" s="145"/>
      <c r="O4" s="145"/>
      <c r="P4" s="145"/>
      <c r="Q4" s="36"/>
      <c r="R4" s="36"/>
      <c r="S4" s="36"/>
      <c r="T4" s="2"/>
      <c r="U4" s="119"/>
      <c r="X4" s="283"/>
      <c r="Y4" s="310"/>
      <c r="AF4" s="6" t="s">
        <v>496</v>
      </c>
    </row>
    <row r="5" spans="1:45" s="57" customFormat="1" ht="18.75">
      <c r="A5" s="81"/>
      <c r="C5" s="152"/>
      <c r="D5" s="56"/>
      <c r="E5" s="172" t="s">
        <v>44</v>
      </c>
      <c r="F5" s="303"/>
      <c r="G5" s="104"/>
      <c r="H5" s="172" t="s">
        <v>44</v>
      </c>
      <c r="I5" s="56"/>
      <c r="J5" s="152"/>
      <c r="K5" s="214"/>
      <c r="L5" s="214"/>
      <c r="M5" s="214"/>
      <c r="N5" s="152" t="s">
        <v>43</v>
      </c>
      <c r="O5" s="152" t="s">
        <v>43</v>
      </c>
      <c r="P5" s="152" t="s">
        <v>43</v>
      </c>
      <c r="Q5" s="214"/>
      <c r="R5" s="214"/>
      <c r="S5" s="214"/>
      <c r="U5" s="79"/>
      <c r="W5" s="282"/>
      <c r="X5" s="284"/>
      <c r="Y5" s="310"/>
      <c r="Z5" s="192"/>
    </row>
    <row r="6" spans="1:45" s="57" customFormat="1" ht="12.75" customHeight="1">
      <c r="C6" s="158" t="s">
        <v>16</v>
      </c>
      <c r="D6" s="56" t="s">
        <v>55</v>
      </c>
      <c r="E6" s="152" t="s">
        <v>127</v>
      </c>
      <c r="F6" s="303"/>
      <c r="G6" s="104" t="s">
        <v>27</v>
      </c>
      <c r="H6" s="165" t="s">
        <v>128</v>
      </c>
      <c r="I6" s="137" t="s">
        <v>128</v>
      </c>
      <c r="J6" s="152"/>
      <c r="K6" s="116"/>
      <c r="L6" s="56" t="s">
        <v>57</v>
      </c>
      <c r="M6" s="56" t="s">
        <v>16</v>
      </c>
      <c r="N6" s="170" t="s">
        <v>61</v>
      </c>
      <c r="O6" s="170" t="s">
        <v>62</v>
      </c>
      <c r="P6" s="170" t="s">
        <v>63</v>
      </c>
      <c r="Q6" s="56"/>
      <c r="R6" s="56"/>
      <c r="S6" s="56"/>
      <c r="T6" s="184" t="s">
        <v>121</v>
      </c>
      <c r="U6" s="184" t="s">
        <v>121</v>
      </c>
      <c r="W6" s="285" t="s">
        <v>138</v>
      </c>
      <c r="X6" s="282"/>
      <c r="Y6" s="311" t="s">
        <v>167</v>
      </c>
      <c r="Z6" s="192"/>
      <c r="AF6" s="158" t="s">
        <v>16</v>
      </c>
      <c r="AG6" s="56" t="s">
        <v>55</v>
      </c>
      <c r="AH6" s="152" t="s">
        <v>127</v>
      </c>
      <c r="AI6" s="104" t="s">
        <v>27</v>
      </c>
      <c r="AJ6" s="165" t="s">
        <v>128</v>
      </c>
      <c r="AK6" s="137" t="s">
        <v>128</v>
      </c>
      <c r="AL6" s="109"/>
      <c r="AM6" s="56" t="s">
        <v>57</v>
      </c>
      <c r="AN6" s="56" t="s">
        <v>16</v>
      </c>
      <c r="AO6" s="170" t="s">
        <v>63</v>
      </c>
    </row>
    <row r="7" spans="1:45" s="57" customFormat="1" ht="12.75" customHeight="1">
      <c r="A7" s="114" t="s">
        <v>14</v>
      </c>
      <c r="B7" s="115"/>
      <c r="C7" s="159" t="s">
        <v>0</v>
      </c>
      <c r="D7" s="58" t="s">
        <v>2</v>
      </c>
      <c r="E7" s="166" t="s">
        <v>17</v>
      </c>
      <c r="F7" s="304" t="s">
        <v>64</v>
      </c>
      <c r="G7" s="105" t="s">
        <v>29</v>
      </c>
      <c r="H7" s="166" t="s">
        <v>129</v>
      </c>
      <c r="I7" s="58" t="s">
        <v>130</v>
      </c>
      <c r="J7" s="166" t="s">
        <v>56</v>
      </c>
      <c r="K7" s="106" t="s">
        <v>124</v>
      </c>
      <c r="L7" s="58" t="s">
        <v>12</v>
      </c>
      <c r="M7" s="58" t="s">
        <v>31</v>
      </c>
      <c r="N7" s="171">
        <v>45657</v>
      </c>
      <c r="O7" s="171">
        <f>+N7</f>
        <v>45657</v>
      </c>
      <c r="P7" s="171">
        <f>+N7</f>
        <v>45657</v>
      </c>
      <c r="Q7" s="58" t="s">
        <v>58</v>
      </c>
      <c r="R7" s="58" t="s">
        <v>59</v>
      </c>
      <c r="S7" s="58" t="s">
        <v>65</v>
      </c>
      <c r="T7" s="184" t="s">
        <v>189</v>
      </c>
      <c r="U7" s="184" t="s">
        <v>123</v>
      </c>
      <c r="W7" s="286" t="s">
        <v>139</v>
      </c>
      <c r="X7" s="287"/>
      <c r="Y7" s="311" t="s">
        <v>22</v>
      </c>
      <c r="Z7" s="280"/>
      <c r="AF7" s="159" t="s">
        <v>0</v>
      </c>
      <c r="AG7" s="58" t="s">
        <v>2</v>
      </c>
      <c r="AH7" s="166" t="s">
        <v>17</v>
      </c>
      <c r="AI7" s="105" t="s">
        <v>29</v>
      </c>
      <c r="AJ7" s="166" t="s">
        <v>129</v>
      </c>
      <c r="AK7" s="58" t="s">
        <v>130</v>
      </c>
      <c r="AL7" s="106" t="s">
        <v>124</v>
      </c>
      <c r="AM7" s="58" t="s">
        <v>12</v>
      </c>
      <c r="AN7" s="58" t="s">
        <v>31</v>
      </c>
      <c r="AO7" s="171">
        <f>P7</f>
        <v>45657</v>
      </c>
      <c r="AP7" s="58" t="s">
        <v>65</v>
      </c>
    </row>
    <row r="8" spans="1:45" s="57" customFormat="1" ht="12.75" customHeight="1">
      <c r="A8" s="176" t="s">
        <v>329</v>
      </c>
      <c r="B8" s="82"/>
      <c r="C8" s="221"/>
      <c r="D8" s="221"/>
      <c r="E8" s="221"/>
      <c r="F8" s="221"/>
      <c r="G8" s="221"/>
      <c r="H8" s="221"/>
      <c r="I8" s="221"/>
      <c r="J8" s="221"/>
      <c r="K8" s="221"/>
      <c r="L8" s="221"/>
      <c r="M8" s="221"/>
      <c r="N8" s="221"/>
      <c r="O8" s="221"/>
      <c r="P8" s="221"/>
      <c r="Q8" s="221"/>
      <c r="R8" s="221"/>
      <c r="S8" s="221"/>
      <c r="T8" s="185"/>
      <c r="U8" s="185"/>
      <c r="W8" s="288"/>
      <c r="X8" s="289"/>
      <c r="Y8" s="311"/>
      <c r="Z8" s="192"/>
      <c r="AA8"/>
      <c r="AB8"/>
      <c r="AD8" s="34"/>
    </row>
    <row r="9" spans="1:45" s="57" customFormat="1" ht="12.75" customHeight="1">
      <c r="A9" s="267">
        <v>51.110799999999998</v>
      </c>
      <c r="B9" s="82" t="s">
        <v>181</v>
      </c>
      <c r="C9" s="149">
        <v>94196098</v>
      </c>
      <c r="D9" s="216">
        <f>+C9-E9</f>
        <v>89807829</v>
      </c>
      <c r="E9" s="149">
        <v>4388269</v>
      </c>
      <c r="F9" s="149">
        <v>89805617.799999997</v>
      </c>
      <c r="G9" s="217">
        <f>IF(D9&lt;&gt;0,+F9/D9,0)</f>
        <v>0.9999753785385459</v>
      </c>
      <c r="H9" s="149">
        <v>4320758.91</v>
      </c>
      <c r="I9" s="214">
        <f>+F9+H9</f>
        <v>94126376.709999993</v>
      </c>
      <c r="J9" s="149">
        <v>94045647.859999999</v>
      </c>
      <c r="K9" s="214">
        <f t="shared" ref="K9" si="0">J9-I9</f>
        <v>-80728.84999999404</v>
      </c>
      <c r="L9" s="214">
        <f>+D9-F9</f>
        <v>2211.2000000029802</v>
      </c>
      <c r="M9" s="214">
        <f t="shared" ref="M9" si="1">+C9-J9</f>
        <v>150450.1400000006</v>
      </c>
      <c r="N9" s="222">
        <v>88519194.969999999</v>
      </c>
      <c r="O9" s="222">
        <v>92554957.540000007</v>
      </c>
      <c r="P9" s="222">
        <v>4328399.75</v>
      </c>
      <c r="Q9" s="214">
        <f t="shared" ref="Q9" si="2">F9-N9</f>
        <v>1286422.8299999982</v>
      </c>
      <c r="R9" s="214">
        <f t="shared" ref="R9" si="3">+J9-O9</f>
        <v>1490690.3199999928</v>
      </c>
      <c r="S9" s="214">
        <f t="shared" ref="S9" si="4">+H9-P9</f>
        <v>-7640.839999999851</v>
      </c>
      <c r="T9" s="185" t="s">
        <v>179</v>
      </c>
      <c r="U9" s="15"/>
      <c r="V9" s="57" t="str">
        <f>IF(C9&lt;250000, "&lt; 250k",".")</f>
        <v>.</v>
      </c>
      <c r="W9" s="282">
        <v>4035762.5700000077</v>
      </c>
      <c r="X9" s="290"/>
      <c r="Y9" s="311">
        <v>-7449.410000000149</v>
      </c>
      <c r="Z9" s="192">
        <f>S9-Y9</f>
        <v>-191.42999999970198</v>
      </c>
      <c r="AA9" t="str">
        <f t="shared" ref="AA9" si="5">IF(L9&lt;0,"CHECK","-")</f>
        <v>-</v>
      </c>
      <c r="AB9" t="str">
        <f t="shared" ref="AB9" si="6">IF(M9&lt;0,"CHECK","-")</f>
        <v>-</v>
      </c>
      <c r="AC9"/>
      <c r="AD9" s="34">
        <f>C9-GAAP!C9</f>
        <v>150450.1400000006</v>
      </c>
      <c r="AF9" s="64">
        <f>J9</f>
        <v>94045647.859999999</v>
      </c>
      <c r="AG9" s="64">
        <f>F9</f>
        <v>89805617.799999997</v>
      </c>
      <c r="AH9" s="63">
        <f>AF9-AG9</f>
        <v>4240030.0600000024</v>
      </c>
      <c r="AI9" s="217">
        <f t="shared" ref="AI9" si="7">IF(AG9&lt;&gt;0,+F9/AG9,0)</f>
        <v>1</v>
      </c>
      <c r="AJ9" s="98">
        <f>IF(AH9&lt;=0,AH9,IF(AI9&lt;0.1,0,IF(AI9&lt;=1,AI9*AH9,AH9)))</f>
        <v>4240030.0600000024</v>
      </c>
      <c r="AK9" s="98">
        <f t="shared" ref="AK9" si="8">+F9+AJ9</f>
        <v>94045647.859999999</v>
      </c>
      <c r="AL9" s="98">
        <f t="shared" ref="AL9" si="9">J9-AK9</f>
        <v>0</v>
      </c>
      <c r="AM9" s="98">
        <f t="shared" ref="AM9" si="10">+AG9-F9</f>
        <v>0</v>
      </c>
      <c r="AN9" s="98">
        <f t="shared" ref="AN9" si="11">+AF9-J9</f>
        <v>0</v>
      </c>
      <c r="AO9" s="222">
        <f>GAAP!P9</f>
        <v>4035762.5700000077</v>
      </c>
      <c r="AP9" s="129">
        <f>AJ9-AO9</f>
        <v>204267.48999999464</v>
      </c>
      <c r="AS9" s="410"/>
    </row>
    <row r="10" spans="1:45" s="57" customFormat="1" ht="12.75" customHeight="1">
      <c r="A10" s="267">
        <v>51.112900000000003</v>
      </c>
      <c r="B10" s="57" t="s">
        <v>226</v>
      </c>
      <c r="C10" s="149">
        <v>126483580.84</v>
      </c>
      <c r="D10" s="216">
        <f t="shared" ref="D10:D24" si="12">+C10-E10</f>
        <v>115233580.84</v>
      </c>
      <c r="E10" s="149">
        <v>11250000</v>
      </c>
      <c r="F10" s="149">
        <v>87315159.219999999</v>
      </c>
      <c r="G10" s="217">
        <f t="shared" ref="G10:G21" si="13">IF(D10&lt;&gt;0,+F10/D10,0)</f>
        <v>0.75772321387144703</v>
      </c>
      <c r="H10" s="149">
        <v>9058793.1560537815</v>
      </c>
      <c r="I10" s="214">
        <f t="shared" ref="I10:I24" si="14">+F10+H10</f>
        <v>96373952.37605378</v>
      </c>
      <c r="J10" s="149">
        <v>96918206.900000006</v>
      </c>
      <c r="K10" s="214">
        <f t="shared" ref="K10:K18" si="15">J10-I10</f>
        <v>544254.52394622564</v>
      </c>
      <c r="L10" s="214">
        <f t="shared" ref="L10:L18" si="16">+D10-F10</f>
        <v>27918421.620000005</v>
      </c>
      <c r="M10" s="214">
        <f t="shared" ref="M10:M18" si="17">+C10-J10</f>
        <v>29565373.939999998</v>
      </c>
      <c r="N10" s="222">
        <v>63757070.670000002</v>
      </c>
      <c r="O10" s="222">
        <v>66921921.329999998</v>
      </c>
      <c r="P10" s="222">
        <v>7950623.3602031171</v>
      </c>
      <c r="Q10" s="214">
        <f t="shared" ref="Q10:Q18" si="18">F10-N10</f>
        <v>23558088.549999997</v>
      </c>
      <c r="R10" s="214">
        <f t="shared" ref="R10:R18" si="19">+J10-O10</f>
        <v>29996285.570000008</v>
      </c>
      <c r="S10" s="214">
        <f t="shared" ref="S10:S18" si="20">+H10-P10</f>
        <v>1108169.7958506644</v>
      </c>
      <c r="T10" s="185" t="s">
        <v>227</v>
      </c>
      <c r="U10" s="15"/>
      <c r="V10" s="57" t="str">
        <f t="shared" ref="V10:V17" si="21">IF(C10&lt;250000, "&lt; 250k",".")</f>
        <v>.</v>
      </c>
      <c r="W10" s="282">
        <v>6957477.3602031237</v>
      </c>
      <c r="X10" s="290"/>
      <c r="Y10" s="311">
        <v>1046498.8180402666</v>
      </c>
      <c r="Z10" s="192">
        <f t="shared" ref="Z10:Z77" si="22">S10-Y10</f>
        <v>61670.977810397744</v>
      </c>
      <c r="AA10" t="str">
        <f t="shared" ref="AA10:AA77" si="23">IF(L10&lt;0,"CHECK","-")</f>
        <v>-</v>
      </c>
      <c r="AB10" t="str">
        <f t="shared" ref="AB10:AB77" si="24">IF(M10&lt;0,"CHECK","-")</f>
        <v>-</v>
      </c>
      <c r="AC10"/>
      <c r="AD10" s="34" t="e">
        <f>C10-GAAP!#REF!</f>
        <v>#REF!</v>
      </c>
      <c r="AF10" s="64">
        <f t="shared" ref="AF10" si="25">C10</f>
        <v>126483580.84</v>
      </c>
      <c r="AG10" s="64">
        <f t="shared" ref="AG10" si="26">D10</f>
        <v>115233580.84</v>
      </c>
      <c r="AH10" s="64">
        <f t="shared" ref="AH10" si="27">E10</f>
        <v>11250000</v>
      </c>
      <c r="AI10" s="217">
        <f t="shared" ref="AI10" si="28">IF(AG10&lt;&gt;0,+F10/AG10,0)</f>
        <v>0.75772321387144703</v>
      </c>
      <c r="AJ10" s="98">
        <f t="shared" ref="AJ10" si="29">IF(AH10&lt;=0,AH10,IF(G10&lt;0.1,0,IF(G10&lt;=1,G10*AH10,AH10)))</f>
        <v>8524386.1560537796</v>
      </c>
      <c r="AK10" s="98">
        <f t="shared" ref="AK10" si="30">+F10+AJ10</f>
        <v>95839545.37605378</v>
      </c>
      <c r="AL10" s="98">
        <f t="shared" ref="AL10" si="31">J10-AK10</f>
        <v>1078661.5239462256</v>
      </c>
      <c r="AM10" s="98">
        <f t="shared" ref="AM10" si="32">+AG10-F10</f>
        <v>27918421.620000005</v>
      </c>
      <c r="AN10" s="98">
        <f t="shared" ref="AN10" si="33">+AF10-J10</f>
        <v>29565373.939999998</v>
      </c>
      <c r="AO10" s="222">
        <f>GAAP!P10</f>
        <v>6957477.3602031237</v>
      </c>
      <c r="AP10" s="129">
        <f t="shared" ref="AP10" si="34">AJ10-AO10</f>
        <v>1566908.795850656</v>
      </c>
      <c r="AS10" s="410"/>
    </row>
    <row r="11" spans="1:45" s="57" customFormat="1" ht="12.75" customHeight="1">
      <c r="A11" s="267">
        <v>51.113700000000001</v>
      </c>
      <c r="B11" s="57" t="s">
        <v>243</v>
      </c>
      <c r="C11" s="149">
        <v>1312151.46</v>
      </c>
      <c r="D11" s="216">
        <f t="shared" si="12"/>
        <v>1198511.46</v>
      </c>
      <c r="E11" s="149">
        <v>113640</v>
      </c>
      <c r="F11" s="149">
        <v>1042229.29</v>
      </c>
      <c r="G11" s="217">
        <f t="shared" si="13"/>
        <v>0.86960310750804171</v>
      </c>
      <c r="H11" s="149">
        <v>98821.697137213865</v>
      </c>
      <c r="I11" s="214">
        <f t="shared" si="14"/>
        <v>1141050.9871372138</v>
      </c>
      <c r="J11" s="149">
        <v>1121900.01</v>
      </c>
      <c r="K11" s="214">
        <f t="shared" si="15"/>
        <v>-19150.977137213806</v>
      </c>
      <c r="L11" s="214">
        <f t="shared" si="16"/>
        <v>156282.16999999993</v>
      </c>
      <c r="M11" s="214">
        <f t="shared" si="17"/>
        <v>190251.44999999995</v>
      </c>
      <c r="N11" s="222">
        <v>271684.42</v>
      </c>
      <c r="O11" s="222">
        <v>78558</v>
      </c>
      <c r="P11" s="222">
        <v>27243.588658981782</v>
      </c>
      <c r="Q11" s="214">
        <f t="shared" si="18"/>
        <v>770544.87000000011</v>
      </c>
      <c r="R11" s="214">
        <f t="shared" si="19"/>
        <v>1043342.01</v>
      </c>
      <c r="S11" s="214">
        <f t="shared" si="20"/>
        <v>71578.108478232083</v>
      </c>
      <c r="T11" s="185" t="s">
        <v>237</v>
      </c>
      <c r="U11" s="15"/>
      <c r="V11" s="57" t="str">
        <f t="shared" si="21"/>
        <v>.</v>
      </c>
      <c r="W11" s="282">
        <v>27243.588658981782</v>
      </c>
      <c r="X11" s="290"/>
      <c r="Y11" s="311">
        <v>69534.590785729873</v>
      </c>
      <c r="Z11" s="192">
        <f t="shared" si="22"/>
        <v>2043.5176925022097</v>
      </c>
      <c r="AA11" t="str">
        <f t="shared" si="23"/>
        <v>-</v>
      </c>
      <c r="AB11" t="str">
        <f t="shared" si="24"/>
        <v>-</v>
      </c>
      <c r="AC11"/>
      <c r="AD11" s="34">
        <f>C11-GAAP!C13</f>
        <v>-59668082.539999999</v>
      </c>
      <c r="AF11" s="64">
        <f t="shared" ref="AF11:AF18" si="35">C11</f>
        <v>1312151.46</v>
      </c>
      <c r="AG11" s="64">
        <f t="shared" ref="AG11:AG18" si="36">D11</f>
        <v>1198511.46</v>
      </c>
      <c r="AH11" s="64">
        <f t="shared" ref="AH11:AH18" si="37">E11</f>
        <v>113640</v>
      </c>
      <c r="AI11" s="217">
        <f t="shared" ref="AI11:AI18" si="38">IF(AG11&lt;&gt;0,+F11/AG11,0)</f>
        <v>0.86960310750804171</v>
      </c>
      <c r="AJ11" s="98">
        <f t="shared" ref="AJ11:AJ18" si="39">IF(AH11&lt;=0,AH11,IF(G11&lt;0.1,0,IF(G11&lt;=1,G11*AH11,AH11)))</f>
        <v>98821.697137213865</v>
      </c>
      <c r="AK11" s="98">
        <f t="shared" ref="AK11:AK18" si="40">+F11+AJ11</f>
        <v>1141050.9871372138</v>
      </c>
      <c r="AL11" s="98">
        <f t="shared" ref="AL11:AL18" si="41">J11-AK11</f>
        <v>-19150.977137213806</v>
      </c>
      <c r="AM11" s="98">
        <f t="shared" ref="AM11:AM18" si="42">+AG11-F11</f>
        <v>156282.16999999993</v>
      </c>
      <c r="AN11" s="98">
        <f t="shared" ref="AN11:AN18" si="43">+AF11-J11</f>
        <v>190251.44999999995</v>
      </c>
      <c r="AO11" s="222">
        <f>GAAP!P12</f>
        <v>90331.451153550006</v>
      </c>
      <c r="AP11" s="129">
        <f t="shared" ref="AP11:AP18" si="44">AJ11-AO11</f>
        <v>8490.2459836638591</v>
      </c>
      <c r="AS11" s="410"/>
    </row>
    <row r="12" spans="1:45" s="57" customFormat="1" ht="12.75" customHeight="1">
      <c r="A12" s="267">
        <v>51.114400000000003</v>
      </c>
      <c r="B12" s="57" t="s">
        <v>258</v>
      </c>
      <c r="C12" s="149">
        <v>14969566</v>
      </c>
      <c r="D12" s="216">
        <f t="shared" si="12"/>
        <v>13839617</v>
      </c>
      <c r="E12" s="149">
        <v>1129949</v>
      </c>
      <c r="F12" s="149">
        <v>8406760.8000000007</v>
      </c>
      <c r="G12" s="217">
        <f t="shared" si="13"/>
        <v>0.60744172327890289</v>
      </c>
      <c r="H12" s="149">
        <v>686378.16777727299</v>
      </c>
      <c r="I12" s="214">
        <f t="shared" si="14"/>
        <v>9093138.9677772745</v>
      </c>
      <c r="J12" s="149">
        <v>9667725.7699999996</v>
      </c>
      <c r="K12" s="214">
        <f t="shared" si="15"/>
        <v>574586.802222725</v>
      </c>
      <c r="L12" s="214">
        <f t="shared" si="16"/>
        <v>5432856.1999999993</v>
      </c>
      <c r="M12" s="214">
        <f t="shared" si="17"/>
        <v>5301840.2300000004</v>
      </c>
      <c r="N12" s="222">
        <v>1353379.42</v>
      </c>
      <c r="O12" s="222">
        <v>1514359.61</v>
      </c>
      <c r="P12" s="222">
        <v>90331.451153550006</v>
      </c>
      <c r="Q12" s="214">
        <f t="shared" si="18"/>
        <v>7053381.3800000008</v>
      </c>
      <c r="R12" s="214">
        <f t="shared" si="19"/>
        <v>8153366.1599999992</v>
      </c>
      <c r="S12" s="214">
        <f t="shared" si="20"/>
        <v>596046.71662372304</v>
      </c>
      <c r="T12" s="185" t="s">
        <v>237</v>
      </c>
      <c r="U12" s="15"/>
      <c r="V12" s="57" t="str">
        <f t="shared" si="21"/>
        <v>.</v>
      </c>
      <c r="W12" s="282">
        <v>90331.451153550006</v>
      </c>
      <c r="X12" s="290"/>
      <c r="Y12" s="311">
        <v>583236.07999566966</v>
      </c>
      <c r="Z12" s="192">
        <f t="shared" si="22"/>
        <v>12810.636628053384</v>
      </c>
      <c r="AA12" t="str">
        <f t="shared" si="23"/>
        <v>-</v>
      </c>
      <c r="AB12" t="str">
        <f t="shared" si="24"/>
        <v>-</v>
      </c>
      <c r="AC12"/>
      <c r="AD12" s="34" t="e">
        <f>C12-GAAP!#REF!</f>
        <v>#REF!</v>
      </c>
      <c r="AF12" s="64">
        <f t="shared" si="35"/>
        <v>14969566</v>
      </c>
      <c r="AG12" s="64">
        <f t="shared" si="36"/>
        <v>13839617</v>
      </c>
      <c r="AH12" s="64">
        <f t="shared" si="37"/>
        <v>1129949</v>
      </c>
      <c r="AI12" s="217">
        <f t="shared" si="38"/>
        <v>0.60744172327890289</v>
      </c>
      <c r="AJ12" s="98">
        <f t="shared" si="39"/>
        <v>686378.16777727299</v>
      </c>
      <c r="AK12" s="98">
        <f t="shared" si="40"/>
        <v>9093138.9677772745</v>
      </c>
      <c r="AL12" s="98">
        <f t="shared" si="41"/>
        <v>574586.802222725</v>
      </c>
      <c r="AM12" s="98">
        <f t="shared" si="42"/>
        <v>5432856.1999999993</v>
      </c>
      <c r="AN12" s="98">
        <f t="shared" si="43"/>
        <v>5301840.2300000004</v>
      </c>
      <c r="AO12" s="222">
        <f>GAAP!P16</f>
        <v>12859.389183176303</v>
      </c>
      <c r="AP12" s="129">
        <f t="shared" si="44"/>
        <v>673518.77859409666</v>
      </c>
      <c r="AS12" s="410"/>
    </row>
    <row r="13" spans="1:45" s="57" customFormat="1" ht="12.75" customHeight="1">
      <c r="A13" s="267">
        <v>51.114600000000003</v>
      </c>
      <c r="B13" s="57" t="s">
        <v>262</v>
      </c>
      <c r="C13" s="149">
        <v>60980234</v>
      </c>
      <c r="D13" s="216">
        <f t="shared" si="12"/>
        <v>44196854.030000001</v>
      </c>
      <c r="E13" s="149">
        <v>16783379.969999999</v>
      </c>
      <c r="F13" s="149">
        <v>40950686.5</v>
      </c>
      <c r="G13" s="217">
        <f t="shared" si="13"/>
        <v>0.92655206798663625</v>
      </c>
      <c r="H13" s="149">
        <v>15724392.037272211</v>
      </c>
      <c r="I13" s="214">
        <f t="shared" si="14"/>
        <v>56675078.537272215</v>
      </c>
      <c r="J13" s="149">
        <v>60980234</v>
      </c>
      <c r="K13" s="214">
        <f>J13-I13</f>
        <v>4305155.4627277851</v>
      </c>
      <c r="L13" s="214">
        <f t="shared" si="16"/>
        <v>3246167.5300000012</v>
      </c>
      <c r="M13" s="214">
        <f>+C13-J13</f>
        <v>0</v>
      </c>
      <c r="N13" s="222">
        <v>4561081.2100000009</v>
      </c>
      <c r="O13" s="222">
        <v>9363858.4499999993</v>
      </c>
      <c r="P13" s="528">
        <v>1082047.42</v>
      </c>
      <c r="Q13" s="214">
        <f t="shared" si="18"/>
        <v>36389605.289999999</v>
      </c>
      <c r="R13" s="214">
        <f t="shared" si="19"/>
        <v>51616375.549999997</v>
      </c>
      <c r="S13" s="214">
        <f>+H13-P13</f>
        <v>14642344.617272211</v>
      </c>
      <c r="T13" s="185" t="s">
        <v>237</v>
      </c>
      <c r="U13" s="15"/>
      <c r="V13" s="57" t="str">
        <f t="shared" si="21"/>
        <v>.</v>
      </c>
      <c r="W13" s="282">
        <v>0</v>
      </c>
      <c r="X13" s="290"/>
      <c r="Y13" s="311">
        <v>12567243.872047659</v>
      </c>
      <c r="Z13" s="192">
        <f t="shared" si="22"/>
        <v>2075100.7452245522</v>
      </c>
      <c r="AA13" t="str">
        <f t="shared" si="23"/>
        <v>-</v>
      </c>
      <c r="AB13" t="str">
        <f t="shared" si="24"/>
        <v>-</v>
      </c>
      <c r="AC13"/>
      <c r="AD13" s="34" t="e">
        <f>C13-GAAP!#REF!</f>
        <v>#REF!</v>
      </c>
      <c r="AF13" s="64">
        <f t="shared" si="35"/>
        <v>60980234</v>
      </c>
      <c r="AG13" s="64">
        <f t="shared" si="36"/>
        <v>44196854.030000001</v>
      </c>
      <c r="AH13" s="64">
        <f t="shared" si="37"/>
        <v>16783379.969999999</v>
      </c>
      <c r="AI13" s="217">
        <f t="shared" si="38"/>
        <v>0.92655206798663625</v>
      </c>
      <c r="AJ13" s="98">
        <f t="shared" si="39"/>
        <v>15550675.419008989</v>
      </c>
      <c r="AK13" s="98">
        <f t="shared" si="40"/>
        <v>56501361.919008985</v>
      </c>
      <c r="AL13" s="98">
        <f t="shared" si="41"/>
        <v>4478872.0809910148</v>
      </c>
      <c r="AM13" s="98">
        <f t="shared" si="42"/>
        <v>3246167.5300000012</v>
      </c>
      <c r="AN13" s="98">
        <f t="shared" si="43"/>
        <v>0</v>
      </c>
      <c r="AO13" s="222">
        <f>GAAP!P17</f>
        <v>94320.422614429452</v>
      </c>
      <c r="AP13" s="129">
        <f t="shared" si="44"/>
        <v>15456354.99639456</v>
      </c>
      <c r="AS13" s="410"/>
    </row>
    <row r="14" spans="1:45" s="57" customFormat="1" ht="12.75" customHeight="1">
      <c r="A14" s="267">
        <v>51.115099999999998</v>
      </c>
      <c r="B14" s="57" t="s">
        <v>423</v>
      </c>
      <c r="C14" s="149">
        <v>10658200</v>
      </c>
      <c r="D14" s="216">
        <f t="shared" si="12"/>
        <v>10079352</v>
      </c>
      <c r="E14" s="149">
        <v>578848</v>
      </c>
      <c r="F14" s="149">
        <v>4923435.18</v>
      </c>
      <c r="G14" s="217">
        <f t="shared" si="13"/>
        <v>0.48846743123962727</v>
      </c>
      <c r="H14" s="149">
        <v>282748.39563819574</v>
      </c>
      <c r="I14" s="214">
        <f t="shared" si="14"/>
        <v>5206183.5756381955</v>
      </c>
      <c r="J14" s="149">
        <v>5009265.21</v>
      </c>
      <c r="K14" s="214">
        <f t="shared" si="15"/>
        <v>-196918.36563819554</v>
      </c>
      <c r="L14" s="214">
        <f t="shared" si="16"/>
        <v>5155916.82</v>
      </c>
      <c r="M14" s="214">
        <f t="shared" si="17"/>
        <v>5648934.79</v>
      </c>
      <c r="N14" s="222">
        <v>187144.08</v>
      </c>
      <c r="O14" s="222">
        <v>0</v>
      </c>
      <c r="P14" s="222">
        <v>0</v>
      </c>
      <c r="Q14" s="214">
        <f t="shared" si="18"/>
        <v>4736291.0999999996</v>
      </c>
      <c r="R14" s="214">
        <f t="shared" si="19"/>
        <v>5009265.21</v>
      </c>
      <c r="S14" s="214">
        <f t="shared" si="20"/>
        <v>282748.39563819574</v>
      </c>
      <c r="T14" s="185" t="s">
        <v>278</v>
      </c>
      <c r="U14" s="15"/>
      <c r="V14" s="57" t="str">
        <f t="shared" si="21"/>
        <v>.</v>
      </c>
      <c r="W14" s="282">
        <v>0</v>
      </c>
      <c r="X14" s="290"/>
      <c r="Y14" s="311">
        <v>237121.1833743598</v>
      </c>
      <c r="Z14" s="192">
        <f t="shared" si="22"/>
        <v>45627.212263835943</v>
      </c>
      <c r="AA14" t="str">
        <f t="shared" si="23"/>
        <v>-</v>
      </c>
      <c r="AB14" t="str">
        <f t="shared" si="24"/>
        <v>-</v>
      </c>
      <c r="AC14"/>
      <c r="AD14" s="34">
        <f>C14-GAAP!C20</f>
        <v>8901200</v>
      </c>
      <c r="AF14" s="64">
        <f t="shared" si="35"/>
        <v>10658200</v>
      </c>
      <c r="AG14" s="64">
        <f t="shared" si="36"/>
        <v>10079352</v>
      </c>
      <c r="AH14" s="64">
        <f t="shared" si="37"/>
        <v>578848</v>
      </c>
      <c r="AI14" s="217">
        <f t="shared" si="38"/>
        <v>0.48846743123962727</v>
      </c>
      <c r="AJ14" s="98">
        <f t="shared" si="39"/>
        <v>282748.39563819574</v>
      </c>
      <c r="AK14" s="98">
        <f t="shared" si="40"/>
        <v>5206183.5756381955</v>
      </c>
      <c r="AL14" s="98">
        <f t="shared" si="41"/>
        <v>-196918.36563819554</v>
      </c>
      <c r="AM14" s="98">
        <f t="shared" si="42"/>
        <v>5155916.82</v>
      </c>
      <c r="AN14" s="98">
        <f t="shared" si="43"/>
        <v>5648934.79</v>
      </c>
      <c r="AO14" s="222" t="e">
        <f>GAAP!#REF!</f>
        <v>#REF!</v>
      </c>
      <c r="AP14" s="129" t="e">
        <f t="shared" si="44"/>
        <v>#REF!</v>
      </c>
      <c r="AS14" s="410"/>
    </row>
    <row r="15" spans="1:45" s="57" customFormat="1" ht="12.75" customHeight="1">
      <c r="A15" s="267">
        <v>51.115200000000002</v>
      </c>
      <c r="B15" s="57" t="s">
        <v>426</v>
      </c>
      <c r="C15" s="149">
        <v>19974489.34</v>
      </c>
      <c r="D15" s="216">
        <f t="shared" si="12"/>
        <v>18628948.34</v>
      </c>
      <c r="E15" s="149">
        <v>1345541</v>
      </c>
      <c r="F15" s="149">
        <v>13474808.539999999</v>
      </c>
      <c r="G15" s="217">
        <f t="shared" si="13"/>
        <v>0.72332631418956417</v>
      </c>
      <c r="H15" s="149">
        <v>973265.21212094033</v>
      </c>
      <c r="I15" s="214">
        <f t="shared" si="14"/>
        <v>14448073.75212094</v>
      </c>
      <c r="J15" s="149">
        <v>15610649.01</v>
      </c>
      <c r="K15" s="214">
        <f t="shared" si="15"/>
        <v>1162575.2578790598</v>
      </c>
      <c r="L15" s="214">
        <f t="shared" si="16"/>
        <v>5154139.8000000007</v>
      </c>
      <c r="M15" s="214">
        <f t="shared" si="17"/>
        <v>4363840.33</v>
      </c>
      <c r="N15" s="222">
        <v>1446770.9</v>
      </c>
      <c r="O15" s="222">
        <v>2807450</v>
      </c>
      <c r="P15" s="222">
        <v>0</v>
      </c>
      <c r="Q15" s="214">
        <f t="shared" si="18"/>
        <v>12028037.639999999</v>
      </c>
      <c r="R15" s="214">
        <f t="shared" si="19"/>
        <v>12803199.01</v>
      </c>
      <c r="S15" s="214">
        <f t="shared" si="20"/>
        <v>973265.21212094033</v>
      </c>
      <c r="T15" s="185" t="s">
        <v>278</v>
      </c>
      <c r="U15" s="15"/>
      <c r="V15" s="57" t="str">
        <f t="shared" si="21"/>
        <v>.</v>
      </c>
      <c r="W15" s="282">
        <v>0</v>
      </c>
      <c r="X15" s="290"/>
      <c r="Y15" s="311">
        <v>886014.53559075738</v>
      </c>
      <c r="Z15" s="192">
        <f t="shared" si="22"/>
        <v>87250.676530182944</v>
      </c>
      <c r="AA15" t="str">
        <f t="shared" si="23"/>
        <v>-</v>
      </c>
      <c r="AB15" t="str">
        <f t="shared" si="24"/>
        <v>-</v>
      </c>
      <c r="AC15"/>
      <c r="AD15" s="34">
        <f>C15-GAAP!C25</f>
        <v>19974489.34</v>
      </c>
      <c r="AF15" s="64">
        <f t="shared" si="35"/>
        <v>19974489.34</v>
      </c>
      <c r="AG15" s="64">
        <f t="shared" si="36"/>
        <v>18628948.34</v>
      </c>
      <c r="AH15" s="64">
        <f t="shared" si="37"/>
        <v>1345541</v>
      </c>
      <c r="AI15" s="217">
        <f t="shared" si="38"/>
        <v>0.72332631418956417</v>
      </c>
      <c r="AJ15" s="98">
        <f t="shared" si="39"/>
        <v>973265.21212094033</v>
      </c>
      <c r="AK15" s="98">
        <f t="shared" si="40"/>
        <v>14448073.75212094</v>
      </c>
      <c r="AL15" s="98">
        <f t="shared" si="41"/>
        <v>1162575.2578790598</v>
      </c>
      <c r="AM15" s="98">
        <f t="shared" si="42"/>
        <v>5154139.8000000007</v>
      </c>
      <c r="AN15" s="98">
        <f t="shared" si="43"/>
        <v>4363840.33</v>
      </c>
      <c r="AO15" s="222">
        <f>GAAP!P18</f>
        <v>0</v>
      </c>
      <c r="AP15" s="129">
        <f t="shared" si="44"/>
        <v>973265.21212094033</v>
      </c>
      <c r="AS15" s="410"/>
    </row>
    <row r="16" spans="1:45" s="57" customFormat="1" ht="12.75" customHeight="1">
      <c r="A16" s="267">
        <v>51.115299999999998</v>
      </c>
      <c r="B16" s="57" t="s">
        <v>412</v>
      </c>
      <c r="C16" s="149">
        <v>562824.68000000005</v>
      </c>
      <c r="D16" s="216">
        <f t="shared" si="12"/>
        <v>454520.68000000005</v>
      </c>
      <c r="E16" s="149">
        <v>108304</v>
      </c>
      <c r="F16" s="149">
        <v>334550.81</v>
      </c>
      <c r="G16" s="217">
        <f t="shared" si="13"/>
        <v>0.7360518997727451</v>
      </c>
      <c r="H16" s="149">
        <v>79717.36495298738</v>
      </c>
      <c r="I16" s="214">
        <f t="shared" si="14"/>
        <v>414268.17495298735</v>
      </c>
      <c r="J16" s="149">
        <v>549548.82999999996</v>
      </c>
      <c r="K16" s="214">
        <f t="shared" si="15"/>
        <v>135280.65504701261</v>
      </c>
      <c r="L16" s="214">
        <f t="shared" si="16"/>
        <v>119969.87000000005</v>
      </c>
      <c r="M16" s="214">
        <f t="shared" si="17"/>
        <v>13275.850000000093</v>
      </c>
      <c r="N16" s="222">
        <v>98963.36</v>
      </c>
      <c r="O16" s="222">
        <v>116846.83</v>
      </c>
      <c r="P16" s="222">
        <v>12859.389183176303</v>
      </c>
      <c r="Q16" s="214">
        <f t="shared" si="18"/>
        <v>235587.45</v>
      </c>
      <c r="R16" s="214">
        <f t="shared" si="19"/>
        <v>432701.99999999994</v>
      </c>
      <c r="S16" s="214">
        <f t="shared" si="20"/>
        <v>66857.975769811077</v>
      </c>
      <c r="T16" s="185" t="s">
        <v>278</v>
      </c>
      <c r="U16" s="15"/>
      <c r="V16" s="57" t="str">
        <f t="shared" si="21"/>
        <v>.</v>
      </c>
      <c r="W16" s="282">
        <v>12859.389183176303</v>
      </c>
      <c r="X16" s="290"/>
      <c r="Y16" s="311">
        <v>69213.423209889021</v>
      </c>
      <c r="Z16" s="192">
        <f t="shared" si="22"/>
        <v>-2355.4474400779436</v>
      </c>
      <c r="AA16" t="str">
        <f t="shared" si="23"/>
        <v>-</v>
      </c>
      <c r="AB16" t="str">
        <f t="shared" si="24"/>
        <v>-</v>
      </c>
      <c r="AC16"/>
      <c r="AD16" s="34">
        <f>C16-GAAP!C26</f>
        <v>-367418259.94999993</v>
      </c>
      <c r="AF16" s="64">
        <f t="shared" si="35"/>
        <v>562824.68000000005</v>
      </c>
      <c r="AG16" s="64">
        <f t="shared" si="36"/>
        <v>454520.68000000005</v>
      </c>
      <c r="AH16" s="64">
        <f t="shared" si="37"/>
        <v>108304</v>
      </c>
      <c r="AI16" s="217">
        <f t="shared" si="38"/>
        <v>0.7360518997727451</v>
      </c>
      <c r="AJ16" s="98">
        <f t="shared" si="39"/>
        <v>79717.36495298738</v>
      </c>
      <c r="AK16" s="98">
        <f t="shared" si="40"/>
        <v>414268.17495298735</v>
      </c>
      <c r="AL16" s="98">
        <f t="shared" si="41"/>
        <v>135280.65504701261</v>
      </c>
      <c r="AM16" s="98">
        <f t="shared" si="42"/>
        <v>119969.87000000005</v>
      </c>
      <c r="AN16" s="98">
        <f t="shared" si="43"/>
        <v>13275.850000000093</v>
      </c>
      <c r="AO16" s="222">
        <f>GAAP!P19</f>
        <v>0</v>
      </c>
      <c r="AP16" s="129">
        <f t="shared" si="44"/>
        <v>79717.36495298738</v>
      </c>
      <c r="AS16" s="410"/>
    </row>
    <row r="17" spans="1:45" s="57" customFormat="1" ht="12.75" customHeight="1">
      <c r="A17" s="267">
        <v>51.115400000000001</v>
      </c>
      <c r="B17" s="57" t="s">
        <v>427</v>
      </c>
      <c r="C17" s="149">
        <v>13363835</v>
      </c>
      <c r="D17" s="216">
        <f t="shared" si="12"/>
        <v>12488835</v>
      </c>
      <c r="E17" s="149">
        <v>875000</v>
      </c>
      <c r="F17" s="149">
        <v>11872342.6</v>
      </c>
      <c r="G17" s="217">
        <f t="shared" si="13"/>
        <v>0.95063651653657044</v>
      </c>
      <c r="H17" s="149">
        <v>831806.95196949912</v>
      </c>
      <c r="I17" s="214">
        <f t="shared" si="14"/>
        <v>12704149.551969498</v>
      </c>
      <c r="J17" s="149">
        <v>13340008</v>
      </c>
      <c r="K17" s="214">
        <f t="shared" si="15"/>
        <v>635858.4480305016</v>
      </c>
      <c r="L17" s="214">
        <f t="shared" si="16"/>
        <v>616492.40000000037</v>
      </c>
      <c r="M17" s="214">
        <f t="shared" si="17"/>
        <v>23827</v>
      </c>
      <c r="N17" s="222">
        <v>2378559.16</v>
      </c>
      <c r="O17" s="222">
        <v>3186935</v>
      </c>
      <c r="P17" s="222">
        <v>0</v>
      </c>
      <c r="Q17" s="214">
        <f t="shared" si="18"/>
        <v>9493783.4399999995</v>
      </c>
      <c r="R17" s="214">
        <f t="shared" si="19"/>
        <v>10153073</v>
      </c>
      <c r="S17" s="214">
        <f t="shared" si="20"/>
        <v>831806.95196949912</v>
      </c>
      <c r="T17" s="185" t="s">
        <v>278</v>
      </c>
      <c r="U17" s="15"/>
      <c r="V17" s="57" t="str">
        <f t="shared" si="21"/>
        <v>.</v>
      </c>
      <c r="W17" s="282">
        <v>94320.422614429452</v>
      </c>
      <c r="X17" s="290"/>
      <c r="Y17" s="311">
        <v>808730.11283678585</v>
      </c>
      <c r="Z17" s="192">
        <f t="shared" si="22"/>
        <v>23076.83913271327</v>
      </c>
      <c r="AA17" t="str">
        <f t="shared" si="23"/>
        <v>-</v>
      </c>
      <c r="AB17" t="str">
        <f t="shared" si="24"/>
        <v>-</v>
      </c>
      <c r="AC17"/>
      <c r="AD17" s="34">
        <f>C17-GAAP!C27</f>
        <v>13363835</v>
      </c>
      <c r="AF17" s="64">
        <f t="shared" si="35"/>
        <v>13363835</v>
      </c>
      <c r="AG17" s="64">
        <f t="shared" si="36"/>
        <v>12488835</v>
      </c>
      <c r="AH17" s="64">
        <f t="shared" si="37"/>
        <v>875000</v>
      </c>
      <c r="AI17" s="217">
        <f t="shared" si="38"/>
        <v>0.95063651653657044</v>
      </c>
      <c r="AJ17" s="98">
        <f t="shared" si="39"/>
        <v>831806.95196949912</v>
      </c>
      <c r="AK17" s="98">
        <f t="shared" si="40"/>
        <v>12704149.551969498</v>
      </c>
      <c r="AL17" s="98">
        <f t="shared" si="41"/>
        <v>635858.4480305016</v>
      </c>
      <c r="AM17" s="98">
        <f t="shared" si="42"/>
        <v>616492.40000000037</v>
      </c>
      <c r="AN17" s="98">
        <f t="shared" si="43"/>
        <v>23827</v>
      </c>
      <c r="AO17" s="222">
        <f>GAAP!P20</f>
        <v>0</v>
      </c>
      <c r="AP17" s="129">
        <f t="shared" si="44"/>
        <v>831806.95196949912</v>
      </c>
      <c r="AS17" s="410"/>
    </row>
    <row r="18" spans="1:45" s="57" customFormat="1" ht="12.75" customHeight="1">
      <c r="A18" s="267">
        <v>51.1158</v>
      </c>
      <c r="B18" s="57" t="s">
        <v>501</v>
      </c>
      <c r="C18" s="149">
        <v>104446</v>
      </c>
      <c r="D18" s="216">
        <f t="shared" si="12"/>
        <v>104446</v>
      </c>
      <c r="E18" s="149">
        <v>0</v>
      </c>
      <c r="F18" s="149">
        <v>56960.69</v>
      </c>
      <c r="G18" s="217">
        <f t="shared" si="13"/>
        <v>0.54536018612488757</v>
      </c>
      <c r="H18" s="149">
        <v>0</v>
      </c>
      <c r="I18" s="214">
        <f t="shared" si="14"/>
        <v>56960.69</v>
      </c>
      <c r="J18" s="149">
        <v>32282</v>
      </c>
      <c r="K18" s="214">
        <f t="shared" si="15"/>
        <v>-24678.690000000002</v>
      </c>
      <c r="L18" s="214">
        <f t="shared" si="16"/>
        <v>47485.31</v>
      </c>
      <c r="M18" s="214">
        <f t="shared" si="17"/>
        <v>72164</v>
      </c>
      <c r="N18" s="222"/>
      <c r="O18" s="222"/>
      <c r="P18" s="222"/>
      <c r="Q18" s="214">
        <f t="shared" si="18"/>
        <v>56960.69</v>
      </c>
      <c r="R18" s="214">
        <f t="shared" si="19"/>
        <v>32282</v>
      </c>
      <c r="S18" s="214">
        <f t="shared" si="20"/>
        <v>0</v>
      </c>
      <c r="T18" s="185" t="s">
        <v>510</v>
      </c>
      <c r="U18" s="15"/>
      <c r="V18" s="57" t="str">
        <f t="shared" ref="V18:V24" si="45">IF(C18&lt;250000, "&lt; 250k",".")</f>
        <v>&lt; 250k</v>
      </c>
      <c r="W18" s="282"/>
      <c r="X18" s="290"/>
      <c r="Y18" s="311">
        <v>0</v>
      </c>
      <c r="Z18" s="192">
        <f t="shared" si="22"/>
        <v>0</v>
      </c>
      <c r="AA18" t="str">
        <f t="shared" si="23"/>
        <v>-</v>
      </c>
      <c r="AB18" t="str">
        <f t="shared" si="24"/>
        <v>-</v>
      </c>
      <c r="AC18"/>
      <c r="AD18" s="34"/>
      <c r="AF18" s="64">
        <f t="shared" si="35"/>
        <v>104446</v>
      </c>
      <c r="AG18" s="64">
        <f t="shared" si="36"/>
        <v>104446</v>
      </c>
      <c r="AH18" s="64">
        <f t="shared" si="37"/>
        <v>0</v>
      </c>
      <c r="AI18" s="217">
        <f t="shared" si="38"/>
        <v>0.54536018612488757</v>
      </c>
      <c r="AJ18" s="98">
        <f t="shared" si="39"/>
        <v>0</v>
      </c>
      <c r="AK18" s="98">
        <f t="shared" si="40"/>
        <v>56960.69</v>
      </c>
      <c r="AL18" s="98">
        <f t="shared" si="41"/>
        <v>-24678.690000000002</v>
      </c>
      <c r="AM18" s="98">
        <f t="shared" si="42"/>
        <v>47485.31</v>
      </c>
      <c r="AN18" s="98">
        <f t="shared" si="43"/>
        <v>72164</v>
      </c>
      <c r="AO18" s="222">
        <f>GAAP!P23</f>
        <v>0</v>
      </c>
      <c r="AP18" s="129">
        <f t="shared" si="44"/>
        <v>0</v>
      </c>
      <c r="AS18" s="410"/>
    </row>
    <row r="19" spans="1:45" s="57" customFormat="1" ht="12.75" customHeight="1">
      <c r="A19" s="267">
        <v>51.115900000000003</v>
      </c>
      <c r="B19" s="57" t="s">
        <v>578</v>
      </c>
      <c r="C19" s="149">
        <v>1199000</v>
      </c>
      <c r="D19" s="216">
        <f t="shared" si="12"/>
        <v>1079240</v>
      </c>
      <c r="E19" s="149">
        <v>119760</v>
      </c>
      <c r="F19" s="149">
        <v>790051.12</v>
      </c>
      <c r="G19" s="217">
        <f t="shared" si="13"/>
        <v>0.73204395685853008</v>
      </c>
      <c r="H19" s="149">
        <v>87669.584273377564</v>
      </c>
      <c r="I19" s="214">
        <f t="shared" si="14"/>
        <v>877720.70427337755</v>
      </c>
      <c r="J19" s="149">
        <v>732995</v>
      </c>
      <c r="K19" s="214">
        <f t="shared" ref="K19" si="46">J19-I19</f>
        <v>-144725.70427337755</v>
      </c>
      <c r="L19" s="214">
        <f t="shared" ref="L19" si="47">+D19-F19</f>
        <v>289188.88</v>
      </c>
      <c r="M19" s="214">
        <f t="shared" ref="M19" si="48">+C19-J19</f>
        <v>466005</v>
      </c>
      <c r="N19" s="222"/>
      <c r="O19" s="222"/>
      <c r="P19" s="222"/>
      <c r="Q19" s="214">
        <f t="shared" ref="Q19" si="49">F19-N19</f>
        <v>790051.12</v>
      </c>
      <c r="R19" s="214">
        <f t="shared" ref="R19" si="50">+J19-O19</f>
        <v>732995</v>
      </c>
      <c r="S19" s="214">
        <f t="shared" ref="S19" si="51">+H19-P19</f>
        <v>87669.584273377564</v>
      </c>
      <c r="T19" s="185" t="s">
        <v>510</v>
      </c>
      <c r="U19" s="15"/>
      <c r="V19" s="57" t="str">
        <f t="shared" si="45"/>
        <v>.</v>
      </c>
      <c r="W19" s="282"/>
      <c r="X19" s="290"/>
      <c r="Y19" s="311">
        <v>78896.871320558916</v>
      </c>
      <c r="Z19" s="192">
        <f t="shared" ref="Z19" si="52">S19-Y19</f>
        <v>8772.7129528186488</v>
      </c>
      <c r="AA19" t="str">
        <f t="shared" ref="AA19" si="53">IF(L19&lt;0,"CHECK","-")</f>
        <v>-</v>
      </c>
      <c r="AB19" t="str">
        <f t="shared" ref="AB19" si="54">IF(M19&lt;0,"CHECK","-")</f>
        <v>-</v>
      </c>
      <c r="AC19"/>
      <c r="AD19" s="34"/>
      <c r="AF19" s="64"/>
      <c r="AG19" s="64"/>
      <c r="AH19" s="64"/>
      <c r="AI19" s="217"/>
      <c r="AJ19" s="98"/>
      <c r="AK19" s="98"/>
      <c r="AL19" s="98"/>
      <c r="AM19" s="98"/>
      <c r="AN19" s="98"/>
      <c r="AO19" s="222"/>
      <c r="AP19" s="129"/>
      <c r="AS19" s="410"/>
    </row>
    <row r="20" spans="1:45" s="57" customFormat="1" ht="12.75" customHeight="1">
      <c r="A20" s="267">
        <v>51.116</v>
      </c>
      <c r="B20" s="57" t="s">
        <v>663</v>
      </c>
      <c r="C20" s="149">
        <v>1757000</v>
      </c>
      <c r="D20" s="216">
        <f t="shared" si="12"/>
        <v>1690000</v>
      </c>
      <c r="E20" s="149">
        <v>67000</v>
      </c>
      <c r="F20" s="149">
        <v>250518.05</v>
      </c>
      <c r="G20" s="217">
        <f t="shared" si="13"/>
        <v>0.14823553254437868</v>
      </c>
      <c r="H20" s="149">
        <v>0</v>
      </c>
      <c r="I20" s="214">
        <f t="shared" si="14"/>
        <v>250518.05</v>
      </c>
      <c r="J20" s="149">
        <v>223725</v>
      </c>
      <c r="K20" s="214">
        <f t="shared" ref="K20" si="55">J20-I20</f>
        <v>-26793.049999999988</v>
      </c>
      <c r="L20" s="214">
        <f t="shared" ref="L20" si="56">+D20-F20</f>
        <v>1439481.95</v>
      </c>
      <c r="M20" s="214">
        <f t="shared" ref="M20" si="57">+C20-J20</f>
        <v>1533275</v>
      </c>
      <c r="N20" s="222"/>
      <c r="O20" s="222"/>
      <c r="P20" s="222"/>
      <c r="Q20" s="214">
        <f t="shared" ref="Q20" si="58">F20-N20</f>
        <v>250518.05</v>
      </c>
      <c r="R20" s="214">
        <f t="shared" ref="R20" si="59">+J20-O20</f>
        <v>223725</v>
      </c>
      <c r="S20" s="214">
        <f t="shared" ref="S20" si="60">+H20-P20</f>
        <v>0</v>
      </c>
      <c r="T20" s="185" t="s">
        <v>510</v>
      </c>
      <c r="U20" s="15"/>
      <c r="V20" s="57" t="str">
        <f t="shared" si="45"/>
        <v>.</v>
      </c>
      <c r="W20" s="282"/>
      <c r="X20" s="290"/>
      <c r="Y20" s="311">
        <v>0</v>
      </c>
      <c r="Z20" s="192">
        <f t="shared" ref="Z20" si="61">S20-Y20</f>
        <v>0</v>
      </c>
      <c r="AA20" t="str">
        <f t="shared" ref="AA20" si="62">IF(L20&lt;0,"CHECK","-")</f>
        <v>-</v>
      </c>
      <c r="AB20" t="str">
        <f t="shared" ref="AB20" si="63">IF(M20&lt;0,"CHECK","-")</f>
        <v>-</v>
      </c>
      <c r="AC20"/>
      <c r="AD20" s="34"/>
      <c r="AF20" s="64"/>
      <c r="AG20" s="64"/>
      <c r="AH20" s="64"/>
      <c r="AI20" s="217"/>
      <c r="AJ20" s="98"/>
      <c r="AK20" s="98"/>
      <c r="AL20" s="98"/>
      <c r="AM20" s="98"/>
      <c r="AN20" s="98"/>
      <c r="AO20" s="222"/>
      <c r="AP20" s="129"/>
      <c r="AS20" s="410"/>
    </row>
    <row r="21" spans="1:45" s="57" customFormat="1" ht="12.75" customHeight="1">
      <c r="A21" s="267">
        <v>51.116100000000003</v>
      </c>
      <c r="B21" s="57" t="s">
        <v>672</v>
      </c>
      <c r="C21" s="149">
        <v>10848599.449999999</v>
      </c>
      <c r="D21" s="216">
        <f t="shared" si="12"/>
        <v>10261252.449999999</v>
      </c>
      <c r="E21" s="149">
        <v>587347</v>
      </c>
      <c r="F21" s="149">
        <v>601852.17000000004</v>
      </c>
      <c r="G21" s="217">
        <f t="shared" si="13"/>
        <v>5.8652895729117367E-2</v>
      </c>
      <c r="H21" s="149">
        <v>0</v>
      </c>
      <c r="I21" s="214">
        <f t="shared" si="14"/>
        <v>601852.17000000004</v>
      </c>
      <c r="J21" s="149">
        <v>745707.2</v>
      </c>
      <c r="K21" s="214">
        <f t="shared" ref="K21" si="64">J21-I21</f>
        <v>143855.02999999991</v>
      </c>
      <c r="L21" s="214">
        <f t="shared" ref="L21" si="65">+D21-F21</f>
        <v>9659400.2799999993</v>
      </c>
      <c r="M21" s="214">
        <f t="shared" ref="M21" si="66">+C21-J21</f>
        <v>10102892.25</v>
      </c>
      <c r="N21" s="222"/>
      <c r="O21" s="222"/>
      <c r="P21" s="222"/>
      <c r="Q21" s="214">
        <f t="shared" ref="Q21" si="67">F21-N21</f>
        <v>601852.17000000004</v>
      </c>
      <c r="R21" s="214">
        <f t="shared" ref="R21" si="68">+J21-O21</f>
        <v>745707.2</v>
      </c>
      <c r="S21" s="214">
        <f t="shared" ref="S21" si="69">+H21-P21</f>
        <v>0</v>
      </c>
      <c r="T21" s="185" t="s">
        <v>510</v>
      </c>
      <c r="U21" s="15"/>
      <c r="V21" s="57" t="str">
        <f t="shared" si="45"/>
        <v>.</v>
      </c>
      <c r="W21" s="282"/>
      <c r="X21" s="290"/>
      <c r="Y21" s="311">
        <v>0</v>
      </c>
      <c r="Z21" s="192">
        <f t="shared" ref="Z21" si="70">S21-Y21</f>
        <v>0</v>
      </c>
      <c r="AA21" t="str">
        <f t="shared" ref="AA21" si="71">IF(L21&lt;0,"CHECK","-")</f>
        <v>-</v>
      </c>
      <c r="AB21" t="str">
        <f t="shared" ref="AB21" si="72">IF(M21&lt;0,"CHECK","-")</f>
        <v>-</v>
      </c>
      <c r="AC21"/>
      <c r="AD21" s="34"/>
      <c r="AF21" s="64"/>
      <c r="AG21" s="64"/>
      <c r="AH21" s="64"/>
      <c r="AI21" s="217"/>
      <c r="AJ21" s="98"/>
      <c r="AK21" s="98"/>
      <c r="AL21" s="98"/>
      <c r="AM21" s="98"/>
      <c r="AN21" s="98"/>
      <c r="AO21" s="222"/>
      <c r="AP21" s="129"/>
      <c r="AS21" s="410"/>
    </row>
    <row r="22" spans="1:45" s="57" customFormat="1" ht="12.75" customHeight="1">
      <c r="A22" s="267">
        <v>51.116199999999999</v>
      </c>
      <c r="B22" s="57" t="s">
        <v>688</v>
      </c>
      <c r="C22" s="149">
        <v>6029750</v>
      </c>
      <c r="D22" s="216">
        <f t="shared" si="12"/>
        <v>5845263</v>
      </c>
      <c r="E22" s="149">
        <v>184487</v>
      </c>
      <c r="F22" s="149">
        <v>85941.38</v>
      </c>
      <c r="G22" s="217">
        <f>IF(D22&lt;&gt;0,+F22/D22,0)</f>
        <v>1.4702739637207087E-2</v>
      </c>
      <c r="H22" s="149">
        <v>0</v>
      </c>
      <c r="I22" s="214">
        <f t="shared" si="14"/>
        <v>85941.38</v>
      </c>
      <c r="J22" s="149">
        <v>0</v>
      </c>
      <c r="K22" s="214">
        <f t="shared" ref="K22" si="73">J22-I22</f>
        <v>-85941.38</v>
      </c>
      <c r="L22" s="214">
        <f t="shared" ref="L22" si="74">+D22-F22</f>
        <v>5759321.6200000001</v>
      </c>
      <c r="M22" s="214">
        <f t="shared" ref="M22" si="75">+C22-J22</f>
        <v>6029750</v>
      </c>
      <c r="N22" s="222"/>
      <c r="O22" s="222"/>
      <c r="P22" s="222"/>
      <c r="Q22" s="214">
        <f t="shared" ref="Q22" si="76">F22-N22</f>
        <v>85941.38</v>
      </c>
      <c r="R22" s="214">
        <f t="shared" ref="R22" si="77">+J22-O22</f>
        <v>0</v>
      </c>
      <c r="S22" s="214">
        <f t="shared" ref="S22" si="78">+H22-P22</f>
        <v>0</v>
      </c>
      <c r="T22" s="185" t="s">
        <v>510</v>
      </c>
      <c r="U22" s="15"/>
      <c r="V22" s="57" t="str">
        <f t="shared" si="45"/>
        <v>.</v>
      </c>
      <c r="W22" s="282"/>
      <c r="X22" s="290"/>
      <c r="Y22" s="311">
        <v>0</v>
      </c>
      <c r="Z22" s="192">
        <f t="shared" ref="Z22" si="79">S22-Y22</f>
        <v>0</v>
      </c>
      <c r="AA22" t="str">
        <f t="shared" ref="AA22" si="80">IF(L22&lt;0,"CHECK","-")</f>
        <v>-</v>
      </c>
      <c r="AB22" t="str">
        <f t="shared" ref="AB22" si="81">IF(M22&lt;0,"CHECK","-")</f>
        <v>-</v>
      </c>
      <c r="AC22"/>
      <c r="AD22" s="34"/>
      <c r="AF22" s="64"/>
      <c r="AG22" s="64"/>
      <c r="AH22" s="64"/>
      <c r="AI22" s="217"/>
      <c r="AJ22" s="98"/>
      <c r="AK22" s="98"/>
      <c r="AL22" s="98"/>
      <c r="AM22" s="98"/>
      <c r="AN22" s="98"/>
      <c r="AO22" s="222"/>
      <c r="AP22" s="129"/>
      <c r="AS22" s="410"/>
    </row>
    <row r="23" spans="1:45" s="57" customFormat="1" ht="12.75" customHeight="1">
      <c r="A23" s="267">
        <v>51.116399999999999</v>
      </c>
      <c r="B23" s="57" t="s">
        <v>706</v>
      </c>
      <c r="C23" s="149">
        <v>387260</v>
      </c>
      <c r="D23" s="216">
        <f t="shared" si="12"/>
        <v>383387</v>
      </c>
      <c r="E23" s="149">
        <v>3873</v>
      </c>
      <c r="F23" s="149">
        <v>4363.25</v>
      </c>
      <c r="G23" s="217">
        <f t="shared" ref="G23:G24" si="82">IF(D23&lt;&gt;0,+F23/D23,0)</f>
        <v>1.1380797992628857E-2</v>
      </c>
      <c r="H23" s="149">
        <v>0</v>
      </c>
      <c r="I23" s="214">
        <f t="shared" si="14"/>
        <v>4363.25</v>
      </c>
      <c r="J23" s="149">
        <v>0</v>
      </c>
      <c r="K23" s="214">
        <f t="shared" ref="K23:K24" si="83">J23-I23</f>
        <v>-4363.25</v>
      </c>
      <c r="L23" s="214">
        <f t="shared" ref="L23:L24" si="84">+D23-F23</f>
        <v>379023.75</v>
      </c>
      <c r="M23" s="214">
        <f t="shared" ref="M23:M24" si="85">+C23-J23</f>
        <v>387260</v>
      </c>
      <c r="N23" s="222"/>
      <c r="O23" s="222"/>
      <c r="P23" s="222"/>
      <c r="Q23" s="214">
        <f t="shared" ref="Q23:Q24" si="86">F23-N23</f>
        <v>4363.25</v>
      </c>
      <c r="R23" s="214">
        <f t="shared" ref="R23:R24" si="87">+J23-O23</f>
        <v>0</v>
      </c>
      <c r="S23" s="214">
        <f t="shared" ref="S23:S24" si="88">+H23-P23</f>
        <v>0</v>
      </c>
      <c r="T23" s="185" t="s">
        <v>510</v>
      </c>
      <c r="U23" s="15"/>
      <c r="V23" s="57" t="str">
        <f t="shared" si="45"/>
        <v>.</v>
      </c>
      <c r="W23" s="282"/>
      <c r="X23" s="290"/>
      <c r="Y23" s="311"/>
      <c r="Z23" s="192">
        <f t="shared" ref="Z23:Z24" si="89">S23-Y23</f>
        <v>0</v>
      </c>
      <c r="AA23" t="str">
        <f t="shared" ref="AA23:AA24" si="90">IF(L23&lt;0,"CHECK","-")</f>
        <v>-</v>
      </c>
      <c r="AB23" t="str">
        <f t="shared" ref="AB23:AB24" si="91">IF(M23&lt;0,"CHECK","-")</f>
        <v>-</v>
      </c>
      <c r="AC23"/>
      <c r="AD23" s="34"/>
      <c r="AF23" s="64"/>
      <c r="AG23" s="64"/>
      <c r="AH23" s="64"/>
      <c r="AI23" s="217"/>
      <c r="AJ23" s="98"/>
      <c r="AK23" s="98"/>
      <c r="AL23" s="98"/>
      <c r="AM23" s="98"/>
      <c r="AN23" s="98"/>
      <c r="AO23" s="222"/>
      <c r="AP23" s="129"/>
      <c r="AS23" s="410"/>
    </row>
    <row r="24" spans="1:45" s="57" customFormat="1" ht="12.75" customHeight="1">
      <c r="A24" s="267">
        <v>51.116500000000002</v>
      </c>
      <c r="B24" s="57" t="s">
        <v>707</v>
      </c>
      <c r="C24" s="149">
        <v>5304500</v>
      </c>
      <c r="D24" s="216">
        <f t="shared" si="12"/>
        <v>4886443</v>
      </c>
      <c r="E24" s="149">
        <v>418057</v>
      </c>
      <c r="F24" s="149">
        <v>23330.33</v>
      </c>
      <c r="G24" s="217">
        <f t="shared" si="82"/>
        <v>4.7745016160016607E-3</v>
      </c>
      <c r="H24" s="149">
        <v>0</v>
      </c>
      <c r="I24" s="214">
        <f t="shared" si="14"/>
        <v>23330.33</v>
      </c>
      <c r="J24" s="149">
        <v>0</v>
      </c>
      <c r="K24" s="214">
        <f t="shared" si="83"/>
        <v>-23330.33</v>
      </c>
      <c r="L24" s="214">
        <f t="shared" si="84"/>
        <v>4863112.67</v>
      </c>
      <c r="M24" s="214">
        <f t="shared" si="85"/>
        <v>5304500</v>
      </c>
      <c r="N24" s="222"/>
      <c r="O24" s="222"/>
      <c r="P24" s="222"/>
      <c r="Q24" s="214">
        <f t="shared" si="86"/>
        <v>23330.33</v>
      </c>
      <c r="R24" s="214">
        <f t="shared" si="87"/>
        <v>0</v>
      </c>
      <c r="S24" s="214">
        <f t="shared" si="88"/>
        <v>0</v>
      </c>
      <c r="T24" s="185" t="s">
        <v>510</v>
      </c>
      <c r="U24" s="15"/>
      <c r="V24" s="57" t="str">
        <f t="shared" si="45"/>
        <v>.</v>
      </c>
      <c r="W24" s="282"/>
      <c r="X24" s="290"/>
      <c r="Y24" s="311"/>
      <c r="Z24" s="192">
        <f t="shared" si="89"/>
        <v>0</v>
      </c>
      <c r="AA24" t="str">
        <f t="shared" si="90"/>
        <v>-</v>
      </c>
      <c r="AB24" t="str">
        <f t="shared" si="91"/>
        <v>-</v>
      </c>
      <c r="AC24"/>
      <c r="AD24" s="34"/>
      <c r="AF24" s="64"/>
      <c r="AG24" s="64"/>
      <c r="AH24" s="64"/>
      <c r="AI24" s="217"/>
      <c r="AJ24" s="98"/>
      <c r="AK24" s="98"/>
      <c r="AL24" s="98"/>
      <c r="AM24" s="98"/>
      <c r="AN24" s="98"/>
      <c r="AO24" s="222"/>
      <c r="AP24" s="129"/>
      <c r="AS24" s="410"/>
    </row>
    <row r="25" spans="1:45" s="57" customFormat="1" ht="12.75" hidden="1" customHeight="1">
      <c r="A25" s="267"/>
      <c r="C25" s="163"/>
      <c r="D25" s="216"/>
      <c r="E25" s="149"/>
      <c r="F25" s="149"/>
      <c r="G25" s="217"/>
      <c r="H25" s="149"/>
      <c r="I25" s="214"/>
      <c r="J25" s="149">
        <v>0</v>
      </c>
      <c r="K25" s="214"/>
      <c r="L25" s="214"/>
      <c r="M25" s="214"/>
      <c r="N25" s="149"/>
      <c r="O25" s="149"/>
      <c r="P25" s="149"/>
      <c r="Q25" s="214"/>
      <c r="R25" s="214"/>
      <c r="S25" s="214"/>
      <c r="T25" s="185"/>
      <c r="U25" s="15"/>
      <c r="W25" s="282"/>
      <c r="X25" s="290"/>
      <c r="Y25" s="311"/>
      <c r="Z25" s="192">
        <f t="shared" si="22"/>
        <v>0</v>
      </c>
      <c r="AA25" t="str">
        <f t="shared" si="23"/>
        <v>-</v>
      </c>
      <c r="AB25" t="str">
        <f t="shared" si="24"/>
        <v>-</v>
      </c>
      <c r="AC25"/>
      <c r="AD25" s="34">
        <f>C25-GAAP!C25</f>
        <v>0</v>
      </c>
    </row>
    <row r="26" spans="1:45" s="57" customFormat="1" ht="12.75" customHeight="1">
      <c r="A26" s="176" t="s">
        <v>340</v>
      </c>
      <c r="B26" s="85"/>
      <c r="C26" s="177">
        <f>SUM(C9:C25)</f>
        <v>368131534.76999998</v>
      </c>
      <c r="D26" s="177">
        <f>SUM(D9:D25)</f>
        <v>330178079.80000001</v>
      </c>
      <c r="E26" s="177">
        <f>SUM(E9:E25)</f>
        <v>37953454.969999999</v>
      </c>
      <c r="F26" s="177">
        <f>SUM(F9:F25)</f>
        <v>259938607.72999999</v>
      </c>
      <c r="G26" s="177"/>
      <c r="H26" s="177">
        <f t="shared" ref="H26:S26" si="92">SUM(H9:H25)</f>
        <v>32144351.477195483</v>
      </c>
      <c r="I26" s="177">
        <f t="shared" si="92"/>
        <v>292082959.20719558</v>
      </c>
      <c r="J26" s="177">
        <f t="shared" si="92"/>
        <v>298977894.78999996</v>
      </c>
      <c r="K26" s="177">
        <f t="shared" si="92"/>
        <v>6894935.582804529</v>
      </c>
      <c r="L26" s="177">
        <f t="shared" si="92"/>
        <v>70239472.070000023</v>
      </c>
      <c r="M26" s="177">
        <f t="shared" si="92"/>
        <v>69153639.979999989</v>
      </c>
      <c r="N26" s="177">
        <f t="shared" si="92"/>
        <v>162573848.19</v>
      </c>
      <c r="O26" s="177">
        <f t="shared" si="92"/>
        <v>176544886.76000002</v>
      </c>
      <c r="P26" s="177">
        <f t="shared" si="92"/>
        <v>13491504.959198825</v>
      </c>
      <c r="Q26" s="177">
        <f t="shared" si="92"/>
        <v>97364759.539999977</v>
      </c>
      <c r="R26" s="177">
        <f t="shared" si="92"/>
        <v>122433008.03</v>
      </c>
      <c r="S26" s="177">
        <f t="shared" si="92"/>
        <v>18652846.517996658</v>
      </c>
      <c r="T26" s="177"/>
      <c r="U26" s="199"/>
      <c r="W26" s="282"/>
      <c r="X26" s="292"/>
      <c r="Y26" s="311">
        <v>15004219.829528432</v>
      </c>
      <c r="Z26" s="192">
        <f t="shared" si="22"/>
        <v>3648626.6884682253</v>
      </c>
      <c r="AA26" t="str">
        <f t="shared" si="23"/>
        <v>-</v>
      </c>
      <c r="AB26" t="str">
        <f t="shared" si="24"/>
        <v>-</v>
      </c>
      <c r="AC26" s="85"/>
      <c r="AD26" s="34">
        <f>C26-GAAP!C26</f>
        <v>150450.1400000453</v>
      </c>
      <c r="AF26" s="177">
        <f>SUM(AF9:AF25)</f>
        <v>342454975.17999995</v>
      </c>
      <c r="AG26" s="177">
        <f>SUM(AG9:AG25)</f>
        <v>306030283.14999998</v>
      </c>
      <c r="AH26" s="177">
        <f>SUM(AH9:AH25)</f>
        <v>36424692.030000001</v>
      </c>
      <c r="AI26" s="177"/>
      <c r="AJ26" s="177">
        <f t="shared" ref="AJ26:AP26" si="93">SUM(AJ9:AJ25)</f>
        <v>31267829.424658883</v>
      </c>
      <c r="AK26" s="177">
        <f t="shared" si="93"/>
        <v>289450380.8546589</v>
      </c>
      <c r="AL26" s="177">
        <f t="shared" si="93"/>
        <v>7825086.7353411298</v>
      </c>
      <c r="AM26" s="177">
        <f t="shared" si="93"/>
        <v>47847731.720000014</v>
      </c>
      <c r="AN26" s="177">
        <f t="shared" si="93"/>
        <v>45179507.589999996</v>
      </c>
      <c r="AO26" s="177" t="e">
        <f t="shared" si="93"/>
        <v>#REF!</v>
      </c>
      <c r="AP26" s="177" t="e">
        <f t="shared" si="93"/>
        <v>#REF!</v>
      </c>
    </row>
    <row r="27" spans="1:45" s="57" customFormat="1" ht="9.75" customHeight="1">
      <c r="A27"/>
      <c r="B27"/>
      <c r="C27" s="164"/>
      <c r="D27" s="33"/>
      <c r="E27" s="154"/>
      <c r="F27" s="154"/>
      <c r="G27"/>
      <c r="H27" s="154"/>
      <c r="I27" s="33"/>
      <c r="J27" s="154"/>
      <c r="K27" s="33"/>
      <c r="L27" s="33"/>
      <c r="M27" s="33"/>
      <c r="N27" s="154"/>
      <c r="O27" s="154"/>
      <c r="P27" s="154"/>
      <c r="Q27" s="33"/>
      <c r="R27" s="33"/>
      <c r="S27" s="33"/>
      <c r="T27"/>
      <c r="U27" s="15"/>
      <c r="V27"/>
      <c r="W27" s="282"/>
      <c r="X27" s="290"/>
      <c r="Y27" s="311"/>
      <c r="Z27" s="192">
        <f t="shared" si="22"/>
        <v>0</v>
      </c>
      <c r="AA27" t="str">
        <f t="shared" si="23"/>
        <v>-</v>
      </c>
      <c r="AB27" t="str">
        <f t="shared" si="24"/>
        <v>-</v>
      </c>
      <c r="AC27"/>
      <c r="AD27" s="34">
        <f>C27-GAAP!C27</f>
        <v>0</v>
      </c>
    </row>
    <row r="28" spans="1:45" s="57" customFormat="1" ht="12.75" customHeight="1">
      <c r="A28" s="176" t="s">
        <v>341</v>
      </c>
      <c r="B28" s="82"/>
      <c r="C28" s="221"/>
      <c r="D28" s="63"/>
      <c r="E28" s="221"/>
      <c r="F28" s="221"/>
      <c r="G28" s="63"/>
      <c r="H28" s="168"/>
      <c r="I28" s="63"/>
      <c r="J28" s="221"/>
      <c r="K28" s="63"/>
      <c r="L28" s="63"/>
      <c r="M28" s="63"/>
      <c r="N28" s="221"/>
      <c r="O28" s="221"/>
      <c r="P28" s="221"/>
      <c r="Q28" s="63"/>
      <c r="R28" s="63"/>
      <c r="S28" s="214"/>
      <c r="T28" s="185"/>
      <c r="U28" s="185"/>
      <c r="W28" s="288"/>
      <c r="X28" s="289"/>
      <c r="Y28" s="311"/>
      <c r="Z28" s="192">
        <f t="shared" si="22"/>
        <v>0</v>
      </c>
      <c r="AA28" t="str">
        <f t="shared" si="23"/>
        <v>-</v>
      </c>
      <c r="AB28" t="str">
        <f t="shared" si="24"/>
        <v>-</v>
      </c>
      <c r="AD28" s="34">
        <f>C28-GAAP!C28</f>
        <v>0</v>
      </c>
    </row>
    <row r="29" spans="1:45" s="57" customFormat="1" ht="12.75" customHeight="1">
      <c r="A29" s="267">
        <v>51.113300000000002</v>
      </c>
      <c r="B29" s="57" t="s">
        <v>235</v>
      </c>
      <c r="C29" s="149">
        <v>372738</v>
      </c>
      <c r="D29" s="216">
        <f t="shared" ref="D29:D33" si="94">+C29-E29</f>
        <v>331855.28000000003</v>
      </c>
      <c r="E29" s="149">
        <v>40882.719999999972</v>
      </c>
      <c r="F29" s="149">
        <v>331855.28000000003</v>
      </c>
      <c r="G29" s="217">
        <f t="shared" ref="G29:G33" si="95">IF(D29&lt;&gt;0,+F29/D29,0)</f>
        <v>1</v>
      </c>
      <c r="H29" s="149">
        <v>40882.719999999972</v>
      </c>
      <c r="I29" s="214">
        <f t="shared" ref="I29:I33" si="96">+F29+H29</f>
        <v>372738</v>
      </c>
      <c r="J29" s="149">
        <v>372738</v>
      </c>
      <c r="K29" s="214">
        <f t="shared" ref="K29:K33" si="97">J29-I29</f>
        <v>0</v>
      </c>
      <c r="L29" s="214">
        <f t="shared" ref="L29:L33" si="98">+D29-F29</f>
        <v>0</v>
      </c>
      <c r="M29" s="214">
        <f t="shared" ref="M29:M33" si="99">+C29-J29</f>
        <v>0</v>
      </c>
      <c r="N29" s="222">
        <v>303125.40999999997</v>
      </c>
      <c r="O29" s="222">
        <v>326664</v>
      </c>
      <c r="P29" s="222">
        <v>17359.580582792041</v>
      </c>
      <c r="Q29" s="214">
        <f t="shared" ref="Q29:Q33" si="100">F29-N29</f>
        <v>28729.870000000054</v>
      </c>
      <c r="R29" s="214">
        <f t="shared" ref="R29:R33" si="101">+J29-O29</f>
        <v>46074</v>
      </c>
      <c r="S29" s="214">
        <f t="shared" ref="S29:S33" si="102">+H29-P29</f>
        <v>23523.139417207931</v>
      </c>
      <c r="T29" s="185" t="s">
        <v>237</v>
      </c>
      <c r="U29" s="273" t="s">
        <v>510</v>
      </c>
      <c r="V29" s="57" t="str">
        <f t="shared" ref="V29:V33" si="103">IF(C29&lt;250000, "&lt; 250k",".")</f>
        <v>.</v>
      </c>
      <c r="W29" s="282">
        <v>17359.580582792041</v>
      </c>
      <c r="X29" s="290"/>
      <c r="Y29" s="311">
        <v>23523.139417207931</v>
      </c>
      <c r="Z29" s="192">
        <f t="shared" ref="Z29:Z33" si="104">S29-Y29</f>
        <v>0</v>
      </c>
      <c r="AA29" t="str">
        <f t="shared" ref="AA29:AA33" si="105">IF(L29&lt;0,"CHECK","-")</f>
        <v>-</v>
      </c>
      <c r="AB29" t="str">
        <f t="shared" ref="AB29:AB33" si="106">IF(M29&lt;0,"CHECK","-")</f>
        <v>-</v>
      </c>
      <c r="AC29"/>
      <c r="AD29" s="34">
        <f>C29-GAAP!C39</f>
        <v>372738</v>
      </c>
      <c r="AF29" s="64">
        <f t="shared" ref="AF29:AF33" si="107">C29</f>
        <v>372738</v>
      </c>
      <c r="AG29" s="64">
        <f t="shared" ref="AG29:AG33" si="108">D29</f>
        <v>331855.28000000003</v>
      </c>
      <c r="AH29" s="64">
        <f t="shared" ref="AH29:AH33" si="109">E29</f>
        <v>40882.719999999972</v>
      </c>
      <c r="AI29" s="217">
        <f t="shared" ref="AI29:AI33" si="110">IF(AG29&lt;&gt;0,+F29/AG29,0)</f>
        <v>1</v>
      </c>
      <c r="AJ29" s="98">
        <f t="shared" ref="AJ29:AJ33" si="111">IF(AH29&lt;=0,AH29,IF(G29&lt;0.1,0,IF(G29&lt;=1,G29*AH29,AH29)))</f>
        <v>40882.719999999972</v>
      </c>
      <c r="AK29" s="98">
        <f t="shared" ref="AK29:AK33" si="112">+F29+AJ29</f>
        <v>372738</v>
      </c>
      <c r="AL29" s="98">
        <f t="shared" ref="AL29:AL33" si="113">J29-AK29</f>
        <v>0</v>
      </c>
      <c r="AM29" s="98">
        <f t="shared" ref="AM29:AM33" si="114">+AG29-F29</f>
        <v>0</v>
      </c>
      <c r="AN29" s="98">
        <f t="shared" ref="AN29:AN33" si="115">+AF29-J29</f>
        <v>0</v>
      </c>
      <c r="AO29" s="222">
        <f>GAAP!P31</f>
        <v>77778.099073409947</v>
      </c>
      <c r="AP29" s="129">
        <f t="shared" ref="AP29:AP33" si="116">AJ29-AO29</f>
        <v>-36895.379073409975</v>
      </c>
      <c r="AS29" s="410"/>
    </row>
    <row r="30" spans="1:45" s="57" customFormat="1" ht="12.75" customHeight="1">
      <c r="A30" s="267">
        <v>51.113599999999998</v>
      </c>
      <c r="B30" s="57" t="s">
        <v>236</v>
      </c>
      <c r="C30" s="149">
        <v>5483550</v>
      </c>
      <c r="D30" s="216">
        <f t="shared" si="94"/>
        <v>4531817.8600000003</v>
      </c>
      <c r="E30" s="149">
        <v>951732.13999999966</v>
      </c>
      <c r="F30" s="149">
        <v>4531817.8600000003</v>
      </c>
      <c r="G30" s="217">
        <f t="shared" si="95"/>
        <v>1</v>
      </c>
      <c r="H30" s="149">
        <v>951732.13999999966</v>
      </c>
      <c r="I30" s="214">
        <f t="shared" si="96"/>
        <v>5483550</v>
      </c>
      <c r="J30" s="149">
        <v>5483550</v>
      </c>
      <c r="K30" s="214">
        <f t="shared" si="97"/>
        <v>0</v>
      </c>
      <c r="L30" s="214">
        <f t="shared" si="98"/>
        <v>0</v>
      </c>
      <c r="M30" s="214">
        <f t="shared" si="99"/>
        <v>0</v>
      </c>
      <c r="N30" s="222">
        <v>4229332.84</v>
      </c>
      <c r="O30" s="222">
        <v>5133927.2</v>
      </c>
      <c r="P30" s="222">
        <v>758905.78605212795</v>
      </c>
      <c r="Q30" s="214">
        <f t="shared" si="100"/>
        <v>302485.02000000048</v>
      </c>
      <c r="R30" s="214">
        <f t="shared" si="101"/>
        <v>349622.79999999981</v>
      </c>
      <c r="S30" s="214">
        <f t="shared" si="102"/>
        <v>192826.35394787171</v>
      </c>
      <c r="T30" s="185" t="s">
        <v>237</v>
      </c>
      <c r="U30" s="273" t="s">
        <v>510</v>
      </c>
      <c r="V30" s="57" t="str">
        <f t="shared" si="103"/>
        <v>.</v>
      </c>
      <c r="W30" s="282">
        <v>758905.78605212795</v>
      </c>
      <c r="X30" s="290"/>
      <c r="Y30" s="311">
        <v>461110.16131966992</v>
      </c>
      <c r="Z30" s="192">
        <f t="shared" si="104"/>
        <v>-268283.8073717982</v>
      </c>
      <c r="AA30" t="str">
        <f t="shared" si="105"/>
        <v>-</v>
      </c>
      <c r="AB30" t="str">
        <f t="shared" si="106"/>
        <v>-</v>
      </c>
      <c r="AC30"/>
      <c r="AD30" s="34">
        <f>C30-GAAP!C33</f>
        <v>1516360.21</v>
      </c>
      <c r="AF30" s="64">
        <f t="shared" si="107"/>
        <v>5483550</v>
      </c>
      <c r="AG30" s="64">
        <f t="shared" si="108"/>
        <v>4531817.8600000003</v>
      </c>
      <c r="AH30" s="64">
        <f t="shared" si="109"/>
        <v>951732.13999999966</v>
      </c>
      <c r="AI30" s="217">
        <f t="shared" si="110"/>
        <v>1</v>
      </c>
      <c r="AJ30" s="98">
        <f t="shared" si="111"/>
        <v>951732.13999999966</v>
      </c>
      <c r="AK30" s="98">
        <f t="shared" si="112"/>
        <v>5483550</v>
      </c>
      <c r="AL30" s="98">
        <f t="shared" si="113"/>
        <v>0</v>
      </c>
      <c r="AM30" s="98">
        <f t="shared" si="114"/>
        <v>0</v>
      </c>
      <c r="AN30" s="98">
        <f t="shared" si="115"/>
        <v>0</v>
      </c>
      <c r="AO30" s="222">
        <f>GAAP!P32</f>
        <v>4426.3589929115478</v>
      </c>
      <c r="AP30" s="129">
        <f t="shared" si="116"/>
        <v>947305.78100708814</v>
      </c>
      <c r="AS30" s="410"/>
    </row>
    <row r="31" spans="1:45" s="57" customFormat="1" ht="12.75" customHeight="1">
      <c r="A31" s="267">
        <v>51.113799999999998</v>
      </c>
      <c r="B31" s="57" t="s">
        <v>244</v>
      </c>
      <c r="C31" s="149">
        <v>1120182.07</v>
      </c>
      <c r="D31" s="216">
        <f>+C31-E31</f>
        <v>1167704.1499999999</v>
      </c>
      <c r="E31" s="149">
        <v>-47522.079999999842</v>
      </c>
      <c r="F31" s="149">
        <v>1167704.1499999999</v>
      </c>
      <c r="G31" s="217">
        <f t="shared" si="95"/>
        <v>1</v>
      </c>
      <c r="H31" s="149">
        <v>-47522.079999999842</v>
      </c>
      <c r="I31" s="214">
        <f t="shared" si="96"/>
        <v>1120182.07</v>
      </c>
      <c r="J31" s="149">
        <v>1120182.07</v>
      </c>
      <c r="K31" s="214">
        <f t="shared" si="97"/>
        <v>0</v>
      </c>
      <c r="L31" s="214">
        <f>+D31-F31</f>
        <v>0</v>
      </c>
      <c r="M31" s="214">
        <f>+C31-J31</f>
        <v>0</v>
      </c>
      <c r="N31" s="222">
        <v>786902.05</v>
      </c>
      <c r="O31" s="222">
        <v>831943.71</v>
      </c>
      <c r="P31" s="222">
        <v>77778.099073409947</v>
      </c>
      <c r="Q31" s="214">
        <f t="shared" si="100"/>
        <v>380802.09999999986</v>
      </c>
      <c r="R31" s="214">
        <f t="shared" si="101"/>
        <v>288238.3600000001</v>
      </c>
      <c r="S31" s="214">
        <f t="shared" si="102"/>
        <v>-125300.17907340979</v>
      </c>
      <c r="T31" s="185" t="s">
        <v>237</v>
      </c>
      <c r="U31" s="273" t="s">
        <v>510</v>
      </c>
      <c r="V31" s="57" t="str">
        <f t="shared" si="103"/>
        <v>.</v>
      </c>
      <c r="W31" s="282">
        <v>77778.099073409947</v>
      </c>
      <c r="X31" s="290"/>
      <c r="Y31" s="311">
        <v>-125300.17907340979</v>
      </c>
      <c r="Z31" s="192">
        <f t="shared" si="104"/>
        <v>0</v>
      </c>
      <c r="AA31" t="str">
        <f t="shared" si="105"/>
        <v>-</v>
      </c>
      <c r="AB31" t="str">
        <f t="shared" si="106"/>
        <v>-</v>
      </c>
      <c r="AC31"/>
      <c r="AD31" s="34">
        <f>C31-GAAP!C31</f>
        <v>0</v>
      </c>
      <c r="AF31" s="64">
        <f t="shared" si="107"/>
        <v>1120182.07</v>
      </c>
      <c r="AG31" s="64">
        <f t="shared" si="108"/>
        <v>1167704.1499999999</v>
      </c>
      <c r="AH31" s="64">
        <f t="shared" si="109"/>
        <v>-47522.079999999842</v>
      </c>
      <c r="AI31" s="217">
        <f t="shared" si="110"/>
        <v>1</v>
      </c>
      <c r="AJ31" s="98">
        <f t="shared" si="111"/>
        <v>-47522.079999999842</v>
      </c>
      <c r="AK31" s="98">
        <f t="shared" si="112"/>
        <v>1120182.07</v>
      </c>
      <c r="AL31" s="98">
        <f t="shared" si="113"/>
        <v>0</v>
      </c>
      <c r="AM31" s="98">
        <f t="shared" si="114"/>
        <v>0</v>
      </c>
      <c r="AN31" s="98">
        <f t="shared" si="115"/>
        <v>0</v>
      </c>
      <c r="AO31" s="222">
        <f>GAAP!P30</f>
        <v>758905.78605212795</v>
      </c>
      <c r="AP31" s="129">
        <f t="shared" si="116"/>
        <v>-806427.86605212779</v>
      </c>
      <c r="AS31" s="410"/>
    </row>
    <row r="32" spans="1:45" s="57" customFormat="1" ht="12.75" customHeight="1">
      <c r="A32" s="267">
        <v>51.113900000000001</v>
      </c>
      <c r="B32" s="57" t="s">
        <v>245</v>
      </c>
      <c r="C32" s="149">
        <v>61902</v>
      </c>
      <c r="D32" s="216">
        <f t="shared" ref="D32" si="117">+C32-E32</f>
        <v>56994.44</v>
      </c>
      <c r="E32" s="149">
        <v>4907.5599999999977</v>
      </c>
      <c r="F32" s="149">
        <v>56994.44</v>
      </c>
      <c r="G32" s="217">
        <f t="shared" si="95"/>
        <v>1</v>
      </c>
      <c r="H32" s="149">
        <v>4907.5599999999977</v>
      </c>
      <c r="I32" s="214">
        <f t="shared" si="96"/>
        <v>61902</v>
      </c>
      <c r="J32" s="149">
        <v>61902</v>
      </c>
      <c r="K32" s="214">
        <f t="shared" si="97"/>
        <v>0</v>
      </c>
      <c r="L32" s="214">
        <f t="shared" ref="L32" si="118">+D32-F32</f>
        <v>0</v>
      </c>
      <c r="M32" s="214">
        <f t="shared" ref="M32" si="119">+C32-J32</f>
        <v>0</v>
      </c>
      <c r="N32" s="222">
        <v>56994.44</v>
      </c>
      <c r="O32" s="222">
        <v>61902</v>
      </c>
      <c r="P32" s="222">
        <v>4426.3589929115478</v>
      </c>
      <c r="Q32" s="214">
        <f t="shared" si="100"/>
        <v>0</v>
      </c>
      <c r="R32" s="214">
        <f t="shared" si="101"/>
        <v>0</v>
      </c>
      <c r="S32" s="214">
        <f t="shared" si="102"/>
        <v>481.20100708844984</v>
      </c>
      <c r="T32" s="185" t="s">
        <v>237</v>
      </c>
      <c r="U32" s="273" t="s">
        <v>510</v>
      </c>
      <c r="V32" s="57" t="str">
        <f t="shared" si="103"/>
        <v>&lt; 250k</v>
      </c>
      <c r="W32" s="282">
        <v>4426.3589929115478</v>
      </c>
      <c r="X32" s="290"/>
      <c r="Y32" s="311">
        <v>5781.3710070884481</v>
      </c>
      <c r="Z32" s="192">
        <f t="shared" si="104"/>
        <v>-5300.1699999999983</v>
      </c>
      <c r="AA32" t="str">
        <f t="shared" si="105"/>
        <v>-</v>
      </c>
      <c r="AB32" t="str">
        <f t="shared" si="106"/>
        <v>-</v>
      </c>
      <c r="AC32"/>
      <c r="AD32" s="34" t="e">
        <f>C32-GAAP!#REF!</f>
        <v>#REF!</v>
      </c>
      <c r="AF32" s="64">
        <f t="shared" si="107"/>
        <v>61902</v>
      </c>
      <c r="AG32" s="64">
        <f t="shared" si="108"/>
        <v>56994.44</v>
      </c>
      <c r="AH32" s="64">
        <f t="shared" si="109"/>
        <v>4907.5599999999977</v>
      </c>
      <c r="AI32" s="217">
        <f t="shared" si="110"/>
        <v>1</v>
      </c>
      <c r="AJ32" s="98">
        <f t="shared" si="111"/>
        <v>4907.5599999999977</v>
      </c>
      <c r="AK32" s="98">
        <f t="shared" si="112"/>
        <v>61902</v>
      </c>
      <c r="AL32" s="98">
        <f t="shared" si="113"/>
        <v>0</v>
      </c>
      <c r="AM32" s="98">
        <f t="shared" si="114"/>
        <v>0</v>
      </c>
      <c r="AN32" s="98">
        <f t="shared" si="115"/>
        <v>0</v>
      </c>
      <c r="AO32" s="222">
        <f>GAAP!P39</f>
        <v>0</v>
      </c>
      <c r="AP32" s="129">
        <f t="shared" si="116"/>
        <v>4907.5599999999977</v>
      </c>
      <c r="AS32" s="410"/>
    </row>
    <row r="33" spans="1:45" s="57" customFormat="1" ht="12.75" customHeight="1">
      <c r="A33" s="267">
        <v>51.114100000000001</v>
      </c>
      <c r="B33" s="57" t="s">
        <v>250</v>
      </c>
      <c r="C33" s="149">
        <v>3967189.79</v>
      </c>
      <c r="D33" s="216">
        <f t="shared" si="94"/>
        <v>3835094.73</v>
      </c>
      <c r="E33" s="149">
        <v>132095.06000000006</v>
      </c>
      <c r="F33" s="149">
        <v>3835094.73</v>
      </c>
      <c r="G33" s="217">
        <f t="shared" si="95"/>
        <v>1</v>
      </c>
      <c r="H33" s="149">
        <v>132095.06000000006</v>
      </c>
      <c r="I33" s="214">
        <f t="shared" si="96"/>
        <v>3967189.79</v>
      </c>
      <c r="J33" s="149">
        <v>3967189.79</v>
      </c>
      <c r="K33" s="214">
        <f t="shared" si="97"/>
        <v>0</v>
      </c>
      <c r="L33" s="214">
        <f t="shared" si="98"/>
        <v>0</v>
      </c>
      <c r="M33" s="214">
        <f t="shared" si="99"/>
        <v>0</v>
      </c>
      <c r="N33" s="222">
        <v>3109905.76</v>
      </c>
      <c r="O33" s="222">
        <v>3392862.8</v>
      </c>
      <c r="P33" s="222">
        <v>79920.298670616976</v>
      </c>
      <c r="Q33" s="214">
        <f t="shared" si="100"/>
        <v>725188.9700000002</v>
      </c>
      <c r="R33" s="214">
        <f t="shared" si="101"/>
        <v>574326.99000000022</v>
      </c>
      <c r="S33" s="214">
        <f t="shared" si="102"/>
        <v>52174.76132938308</v>
      </c>
      <c r="T33" s="185" t="s">
        <v>237</v>
      </c>
      <c r="U33" s="273" t="s">
        <v>510</v>
      </c>
      <c r="V33" s="57" t="str">
        <f t="shared" si="103"/>
        <v>.</v>
      </c>
      <c r="W33" s="282">
        <v>79920.298670616976</v>
      </c>
      <c r="X33" s="290"/>
      <c r="Y33" s="311">
        <v>52174.76132938308</v>
      </c>
      <c r="Z33" s="192">
        <f t="shared" si="104"/>
        <v>0</v>
      </c>
      <c r="AA33" t="str">
        <f t="shared" si="105"/>
        <v>-</v>
      </c>
      <c r="AB33" t="str">
        <f t="shared" si="106"/>
        <v>-</v>
      </c>
      <c r="AC33"/>
      <c r="AD33" s="34">
        <f>C33-GAAP!C41</f>
        <v>-382239779.7299999</v>
      </c>
      <c r="AF33" s="64">
        <f t="shared" si="107"/>
        <v>3967189.79</v>
      </c>
      <c r="AG33" s="64">
        <f t="shared" si="108"/>
        <v>3835094.73</v>
      </c>
      <c r="AH33" s="64">
        <f t="shared" si="109"/>
        <v>132095.06000000006</v>
      </c>
      <c r="AI33" s="217">
        <f t="shared" si="110"/>
        <v>1</v>
      </c>
      <c r="AJ33" s="98">
        <f t="shared" si="111"/>
        <v>132095.06000000006</v>
      </c>
      <c r="AK33" s="98">
        <f t="shared" si="112"/>
        <v>3967189.79</v>
      </c>
      <c r="AL33" s="98">
        <f t="shared" si="113"/>
        <v>0</v>
      </c>
      <c r="AM33" s="98">
        <f t="shared" si="114"/>
        <v>0</v>
      </c>
      <c r="AN33" s="98">
        <f t="shared" si="115"/>
        <v>0</v>
      </c>
      <c r="AO33" s="222">
        <f>GAAP!P39</f>
        <v>0</v>
      </c>
      <c r="AP33" s="129">
        <f t="shared" si="116"/>
        <v>132095.06000000006</v>
      </c>
      <c r="AS33" s="410"/>
    </row>
    <row r="34" spans="1:45" s="57" customFormat="1" ht="12.75" customHeight="1">
      <c r="A34" s="267">
        <v>51.1143</v>
      </c>
      <c r="B34" s="57" t="s">
        <v>254</v>
      </c>
      <c r="C34" s="149">
        <v>1991231.37</v>
      </c>
      <c r="D34" s="216">
        <f t="shared" ref="D34:D38" si="120">+C34-E34</f>
        <v>1758132.57</v>
      </c>
      <c r="E34" s="149">
        <v>233098.80000000005</v>
      </c>
      <c r="F34" s="149">
        <v>1758132.57</v>
      </c>
      <c r="G34" s="217">
        <f t="shared" ref="G34:G38" si="121">IF(D34&lt;&gt;0,+F34/D34,0)</f>
        <v>1</v>
      </c>
      <c r="H34" s="149">
        <v>233098.80000000005</v>
      </c>
      <c r="I34" s="214">
        <f t="shared" ref="I34:I38" si="122">+F34+H34</f>
        <v>1991231.37</v>
      </c>
      <c r="J34" s="149">
        <v>1991231.37</v>
      </c>
      <c r="K34" s="214">
        <f t="shared" ref="K34:K38" si="123">J34-I34</f>
        <v>0</v>
      </c>
      <c r="L34" s="214">
        <f t="shared" ref="L34:L38" si="124">+D34-F34</f>
        <v>0</v>
      </c>
      <c r="M34" s="214">
        <f t="shared" ref="M34:M35" si="125">+C34-J34</f>
        <v>0</v>
      </c>
      <c r="N34" s="222">
        <v>1730690.97</v>
      </c>
      <c r="O34" s="222">
        <v>1955683.37</v>
      </c>
      <c r="P34" s="222">
        <v>226011.76285223232</v>
      </c>
      <c r="Q34" s="214">
        <f t="shared" ref="Q34:Q38" si="126">F34-N34</f>
        <v>27441.600000000093</v>
      </c>
      <c r="R34" s="214">
        <f t="shared" ref="R34:R38" si="127">+J34-O34</f>
        <v>35548</v>
      </c>
      <c r="S34" s="214">
        <f t="shared" ref="S34:S38" si="128">+H34-P34</f>
        <v>7087.0371477677254</v>
      </c>
      <c r="T34" s="185" t="s">
        <v>237</v>
      </c>
      <c r="U34" s="273" t="s">
        <v>510</v>
      </c>
      <c r="V34" s="57" t="str">
        <f t="shared" ref="V34:V36" si="129">IF(C34&lt;250000, "&lt; 250k",".")</f>
        <v>.</v>
      </c>
      <c r="W34" s="282">
        <v>226011.76285223232</v>
      </c>
      <c r="X34" s="290"/>
      <c r="Y34" s="311">
        <v>7087.0371477677254</v>
      </c>
      <c r="Z34" s="192">
        <f t="shared" ref="Z34:Z38" si="130">S34-Y34</f>
        <v>0</v>
      </c>
      <c r="AA34" t="str">
        <f t="shared" ref="AA34:AA38" si="131">IF(L34&lt;0,"CHECK","-")</f>
        <v>-</v>
      </c>
      <c r="AB34" t="str">
        <f t="shared" ref="AB34:AB38" si="132">IF(M34&lt;0,"CHECK","-")</f>
        <v>-</v>
      </c>
      <c r="AC34"/>
      <c r="AD34" s="34">
        <f>C34-GAAP!C43</f>
        <v>1991231.37</v>
      </c>
      <c r="AF34" s="64">
        <f t="shared" ref="AF34:AF38" si="133">C34</f>
        <v>1991231.37</v>
      </c>
      <c r="AG34" s="64">
        <f t="shared" ref="AG34:AG38" si="134">D34</f>
        <v>1758132.57</v>
      </c>
      <c r="AH34" s="64">
        <f t="shared" ref="AH34:AH38" si="135">E34</f>
        <v>233098.80000000005</v>
      </c>
      <c r="AI34" s="217">
        <f t="shared" ref="AI34:AI38" si="136">IF(AG34&lt;&gt;0,+F34/AG34,0)</f>
        <v>1</v>
      </c>
      <c r="AJ34" s="98">
        <f t="shared" ref="AJ34:AJ38" si="137">IF(AH34&lt;=0,AH34,IF(G34&lt;0.1,0,IF(G34&lt;=1,G34*AH34,AH34)))</f>
        <v>233098.80000000005</v>
      </c>
      <c r="AK34" s="98">
        <f t="shared" ref="AK34:AK38" si="138">+F34+AJ34</f>
        <v>1991231.37</v>
      </c>
      <c r="AL34" s="98">
        <f t="shared" ref="AL34:AL38" si="139">J34-AK34</f>
        <v>0</v>
      </c>
      <c r="AM34" s="98">
        <f t="shared" ref="AM34:AM38" si="140">+AG34-F34</f>
        <v>0</v>
      </c>
      <c r="AN34" s="98">
        <f t="shared" ref="AN34:AN38" si="141">+AF34-J34</f>
        <v>0</v>
      </c>
      <c r="AO34" s="222">
        <f>GAAP!P40</f>
        <v>1459158.2508806547</v>
      </c>
      <c r="AP34" s="129">
        <f t="shared" ref="AP34:AP38" si="142">AJ34-AO34</f>
        <v>-1226059.4508806546</v>
      </c>
      <c r="AS34" s="410"/>
    </row>
    <row r="35" spans="1:45" s="57" customFormat="1" ht="12.75" customHeight="1">
      <c r="A35" s="267">
        <v>51.114699999999999</v>
      </c>
      <c r="B35" s="57" t="s">
        <v>259</v>
      </c>
      <c r="C35" s="149">
        <v>2742860.08</v>
      </c>
      <c r="D35" s="216">
        <f t="shared" si="120"/>
        <v>2548724.9200000004</v>
      </c>
      <c r="E35" s="149">
        <v>194135.15999999968</v>
      </c>
      <c r="F35" s="149">
        <v>2548724.9200000004</v>
      </c>
      <c r="G35" s="217">
        <f t="shared" si="121"/>
        <v>1</v>
      </c>
      <c r="H35" s="149">
        <v>194135.15999999968</v>
      </c>
      <c r="I35" s="214">
        <f t="shared" si="122"/>
        <v>2742860.08</v>
      </c>
      <c r="J35" s="149">
        <v>2742860.08</v>
      </c>
      <c r="K35" s="214">
        <f t="shared" si="123"/>
        <v>0</v>
      </c>
      <c r="L35" s="214">
        <f t="shared" si="124"/>
        <v>0</v>
      </c>
      <c r="M35" s="214">
        <f t="shared" si="125"/>
        <v>0</v>
      </c>
      <c r="N35" s="222">
        <v>1749912.32</v>
      </c>
      <c r="O35" s="222">
        <v>1894059.69</v>
      </c>
      <c r="P35" s="222">
        <v>128284.53515962398</v>
      </c>
      <c r="Q35" s="214">
        <f t="shared" si="126"/>
        <v>798812.60000000033</v>
      </c>
      <c r="R35" s="214">
        <f t="shared" si="127"/>
        <v>848800.39000000013</v>
      </c>
      <c r="S35" s="214">
        <f t="shared" si="128"/>
        <v>65850.624840375705</v>
      </c>
      <c r="T35" s="185" t="s">
        <v>237</v>
      </c>
      <c r="U35" s="273" t="s">
        <v>510</v>
      </c>
      <c r="V35" s="57" t="str">
        <f t="shared" si="129"/>
        <v>.</v>
      </c>
      <c r="W35" s="282">
        <v>128284.53515962398</v>
      </c>
      <c r="X35" s="290"/>
      <c r="Y35" s="311">
        <v>65962.124840375705</v>
      </c>
      <c r="Z35" s="192">
        <f t="shared" si="130"/>
        <v>-111.5</v>
      </c>
      <c r="AA35" t="str">
        <f t="shared" si="131"/>
        <v>-</v>
      </c>
      <c r="AB35" t="str">
        <f t="shared" si="132"/>
        <v>-</v>
      </c>
      <c r="AC35"/>
      <c r="AD35" s="34">
        <f>C35-GAAP!C42</f>
        <v>2742860.08</v>
      </c>
      <c r="AF35" s="64">
        <f t="shared" si="133"/>
        <v>2742860.08</v>
      </c>
      <c r="AG35" s="64">
        <f t="shared" si="134"/>
        <v>2548724.9200000004</v>
      </c>
      <c r="AH35" s="64">
        <f t="shared" si="135"/>
        <v>194135.15999999968</v>
      </c>
      <c r="AI35" s="217">
        <f t="shared" si="136"/>
        <v>1</v>
      </c>
      <c r="AJ35" s="98">
        <f t="shared" si="137"/>
        <v>194135.15999999968</v>
      </c>
      <c r="AK35" s="98">
        <f t="shared" si="138"/>
        <v>2742860.08</v>
      </c>
      <c r="AL35" s="98">
        <f t="shared" si="139"/>
        <v>0</v>
      </c>
      <c r="AM35" s="98">
        <f t="shared" si="140"/>
        <v>0</v>
      </c>
      <c r="AN35" s="98">
        <f t="shared" si="141"/>
        <v>0</v>
      </c>
      <c r="AO35" s="222" t="e">
        <f>GAAP!#REF!</f>
        <v>#REF!</v>
      </c>
      <c r="AP35" s="129" t="e">
        <f t="shared" si="142"/>
        <v>#REF!</v>
      </c>
      <c r="AS35" s="410"/>
    </row>
    <row r="36" spans="1:45" s="57" customFormat="1" ht="12.75" customHeight="1">
      <c r="A36" s="267">
        <v>51.115000000000002</v>
      </c>
      <c r="B36" s="57" t="s">
        <v>277</v>
      </c>
      <c r="C36" s="149">
        <v>2486231.58</v>
      </c>
      <c r="D36" s="216">
        <f t="shared" si="120"/>
        <v>2239435.14</v>
      </c>
      <c r="E36" s="149">
        <v>246796.43999999994</v>
      </c>
      <c r="F36" s="149">
        <v>2239435.14</v>
      </c>
      <c r="G36" s="217">
        <f t="shared" si="121"/>
        <v>1</v>
      </c>
      <c r="H36" s="149">
        <v>246796.43999999994</v>
      </c>
      <c r="I36" s="214">
        <f t="shared" si="122"/>
        <v>2486231.58</v>
      </c>
      <c r="J36" s="149">
        <v>2486231.58</v>
      </c>
      <c r="K36" s="214">
        <f t="shared" si="123"/>
        <v>0</v>
      </c>
      <c r="L36" s="214">
        <f t="shared" si="124"/>
        <v>0</v>
      </c>
      <c r="M36" s="214">
        <f>+C36-J36</f>
        <v>0</v>
      </c>
      <c r="N36" s="222">
        <v>2071076.8</v>
      </c>
      <c r="O36" s="222">
        <v>2378955.7599999998</v>
      </c>
      <c r="P36" s="222">
        <v>166471.82949694013</v>
      </c>
      <c r="Q36" s="214">
        <f t="shared" si="126"/>
        <v>168358.34000000008</v>
      </c>
      <c r="R36" s="214">
        <f t="shared" si="127"/>
        <v>107275.8200000003</v>
      </c>
      <c r="S36" s="214">
        <f t="shared" si="128"/>
        <v>80324.610503059812</v>
      </c>
      <c r="T36" s="185" t="s">
        <v>278</v>
      </c>
      <c r="U36" s="273" t="s">
        <v>510</v>
      </c>
      <c r="V36" s="57" t="str">
        <f t="shared" si="129"/>
        <v>.</v>
      </c>
      <c r="W36" s="282">
        <v>166471.82949694013</v>
      </c>
      <c r="X36" s="290"/>
      <c r="Y36" s="311">
        <v>80324.610503059812</v>
      </c>
      <c r="Z36" s="192">
        <f t="shared" si="130"/>
        <v>0</v>
      </c>
      <c r="AA36" t="str">
        <f t="shared" si="131"/>
        <v>-</v>
      </c>
      <c r="AB36" t="str">
        <f t="shared" si="132"/>
        <v>-</v>
      </c>
      <c r="AC36"/>
      <c r="AD36" s="34">
        <f>C36-GAAP!C45</f>
        <v>1226833.58</v>
      </c>
      <c r="AF36" s="64">
        <f t="shared" si="133"/>
        <v>2486231.58</v>
      </c>
      <c r="AG36" s="64">
        <f t="shared" si="134"/>
        <v>2239435.14</v>
      </c>
      <c r="AH36" s="64">
        <f t="shared" si="135"/>
        <v>246796.43999999994</v>
      </c>
      <c r="AI36" s="217">
        <f t="shared" si="136"/>
        <v>1</v>
      </c>
      <c r="AJ36" s="98">
        <f t="shared" si="137"/>
        <v>246796.43999999994</v>
      </c>
      <c r="AK36" s="98">
        <f t="shared" si="138"/>
        <v>2486231.58</v>
      </c>
      <c r="AL36" s="98">
        <f t="shared" si="139"/>
        <v>0</v>
      </c>
      <c r="AM36" s="98">
        <f t="shared" si="140"/>
        <v>0</v>
      </c>
      <c r="AN36" s="98">
        <f t="shared" si="141"/>
        <v>0</v>
      </c>
      <c r="AO36" s="222">
        <f>GAAP!P42</f>
        <v>0</v>
      </c>
      <c r="AP36" s="129">
        <f t="shared" si="142"/>
        <v>246796.43999999994</v>
      </c>
      <c r="AS36" s="410"/>
    </row>
    <row r="37" spans="1:45" s="57" customFormat="1" ht="12.75" customHeight="1">
      <c r="A37" s="267">
        <v>51.115600000000001</v>
      </c>
      <c r="B37" s="57" t="s">
        <v>499</v>
      </c>
      <c r="C37" s="149"/>
      <c r="D37" s="216">
        <f t="shared" si="120"/>
        <v>1426058.69</v>
      </c>
      <c r="E37" s="149">
        <v>-1426058.69</v>
      </c>
      <c r="F37" s="149">
        <v>1426058.69</v>
      </c>
      <c r="G37" s="217">
        <f t="shared" si="121"/>
        <v>1</v>
      </c>
      <c r="H37" s="149">
        <v>-1426058.69</v>
      </c>
      <c r="I37" s="214">
        <f t="shared" si="122"/>
        <v>0</v>
      </c>
      <c r="J37" s="149">
        <v>0</v>
      </c>
      <c r="K37" s="214">
        <f t="shared" si="123"/>
        <v>0</v>
      </c>
      <c r="L37" s="214">
        <f t="shared" si="124"/>
        <v>0</v>
      </c>
      <c r="M37" s="214">
        <f t="shared" ref="M37:M38" si="143">+C37-J37</f>
        <v>0</v>
      </c>
      <c r="N37" s="222"/>
      <c r="O37" s="222"/>
      <c r="P37" s="222"/>
      <c r="Q37" s="214">
        <f t="shared" si="126"/>
        <v>1426058.69</v>
      </c>
      <c r="R37" s="214">
        <f t="shared" si="127"/>
        <v>0</v>
      </c>
      <c r="S37" s="214">
        <f t="shared" si="128"/>
        <v>-1426058.69</v>
      </c>
      <c r="T37" s="185" t="s">
        <v>510</v>
      </c>
      <c r="U37" s="185" t="s">
        <v>510</v>
      </c>
      <c r="V37" s="57" t="s">
        <v>511</v>
      </c>
      <c r="W37" s="282"/>
      <c r="X37" s="290"/>
      <c r="Y37" s="311">
        <v>-1249321.23</v>
      </c>
      <c r="Z37" s="192">
        <f t="shared" si="130"/>
        <v>-176737.45999999996</v>
      </c>
      <c r="AA37" t="str">
        <f t="shared" si="131"/>
        <v>-</v>
      </c>
      <c r="AB37" t="str">
        <f t="shared" si="132"/>
        <v>-</v>
      </c>
      <c r="AC37"/>
      <c r="AD37" s="34"/>
      <c r="AF37" s="64">
        <f t="shared" si="133"/>
        <v>0</v>
      </c>
      <c r="AG37" s="64">
        <f t="shared" si="134"/>
        <v>1426058.69</v>
      </c>
      <c r="AH37" s="64">
        <f t="shared" si="135"/>
        <v>-1426058.69</v>
      </c>
      <c r="AI37" s="217">
        <f t="shared" si="136"/>
        <v>1</v>
      </c>
      <c r="AJ37" s="98">
        <f t="shared" si="137"/>
        <v>-1426058.69</v>
      </c>
      <c r="AK37" s="98">
        <f t="shared" si="138"/>
        <v>0</v>
      </c>
      <c r="AL37" s="98">
        <f t="shared" si="139"/>
        <v>0</v>
      </c>
      <c r="AM37" s="98">
        <f t="shared" si="140"/>
        <v>0</v>
      </c>
      <c r="AN37" s="98">
        <f t="shared" si="141"/>
        <v>0</v>
      </c>
      <c r="AO37" s="222">
        <f>GAAP!P44</f>
        <v>194465.74</v>
      </c>
      <c r="AP37" s="129">
        <f t="shared" si="142"/>
        <v>-1620524.43</v>
      </c>
      <c r="AS37" s="410"/>
    </row>
    <row r="38" spans="1:45" s="57" customFormat="1" ht="12.75" customHeight="1">
      <c r="A38" s="267">
        <v>51.115699999999997</v>
      </c>
      <c r="B38" s="57" t="s">
        <v>500</v>
      </c>
      <c r="C38" s="149"/>
      <c r="D38" s="216">
        <f t="shared" si="120"/>
        <v>613546.52</v>
      </c>
      <c r="E38" s="149">
        <v>-613546.52</v>
      </c>
      <c r="F38" s="149">
        <v>613546.52</v>
      </c>
      <c r="G38" s="217">
        <f t="shared" si="121"/>
        <v>1</v>
      </c>
      <c r="H38" s="149">
        <v>-613546.52</v>
      </c>
      <c r="I38" s="214">
        <f t="shared" si="122"/>
        <v>0</v>
      </c>
      <c r="J38" s="149">
        <v>0</v>
      </c>
      <c r="K38" s="214">
        <f t="shared" si="123"/>
        <v>0</v>
      </c>
      <c r="L38" s="214">
        <f t="shared" si="124"/>
        <v>0</v>
      </c>
      <c r="M38" s="214">
        <f t="shared" si="143"/>
        <v>0</v>
      </c>
      <c r="N38" s="222"/>
      <c r="O38" s="222"/>
      <c r="P38" s="222"/>
      <c r="Q38" s="214">
        <f t="shared" si="126"/>
        <v>613546.52</v>
      </c>
      <c r="R38" s="214">
        <f t="shared" si="127"/>
        <v>0</v>
      </c>
      <c r="S38" s="214">
        <f t="shared" si="128"/>
        <v>-613546.52</v>
      </c>
      <c r="T38" s="185" t="s">
        <v>510</v>
      </c>
      <c r="U38" s="185" t="s">
        <v>510</v>
      </c>
      <c r="V38" s="57" t="s">
        <v>511</v>
      </c>
      <c r="W38" s="282"/>
      <c r="X38" s="290"/>
      <c r="Y38" s="311">
        <v>-552390.55000000005</v>
      </c>
      <c r="Z38" s="192">
        <f t="shared" si="130"/>
        <v>-61155.969999999972</v>
      </c>
      <c r="AA38" t="str">
        <f t="shared" si="131"/>
        <v>-</v>
      </c>
      <c r="AB38" t="str">
        <f t="shared" si="132"/>
        <v>-</v>
      </c>
      <c r="AC38"/>
      <c r="AD38" s="34"/>
      <c r="AF38" s="64">
        <f t="shared" si="133"/>
        <v>0</v>
      </c>
      <c r="AG38" s="64">
        <f t="shared" si="134"/>
        <v>613546.52</v>
      </c>
      <c r="AH38" s="64">
        <f t="shared" si="135"/>
        <v>-613546.52</v>
      </c>
      <c r="AI38" s="217">
        <f t="shared" si="136"/>
        <v>1</v>
      </c>
      <c r="AJ38" s="98">
        <f t="shared" si="137"/>
        <v>-613546.52</v>
      </c>
      <c r="AK38" s="98">
        <f t="shared" si="138"/>
        <v>0</v>
      </c>
      <c r="AL38" s="98">
        <f t="shared" si="139"/>
        <v>0</v>
      </c>
      <c r="AM38" s="98">
        <f t="shared" si="140"/>
        <v>0</v>
      </c>
      <c r="AN38" s="98">
        <f t="shared" si="141"/>
        <v>0</v>
      </c>
      <c r="AO38" s="222">
        <f>GAAP!P45</f>
        <v>223974.50626643945</v>
      </c>
      <c r="AP38" s="129">
        <f t="shared" si="142"/>
        <v>-837521.02626643947</v>
      </c>
      <c r="AS38" s="410"/>
    </row>
    <row r="39" spans="1:45" s="57" customFormat="1" ht="12.75" hidden="1" customHeight="1">
      <c r="A39" s="259"/>
      <c r="B39" s="82"/>
      <c r="C39" s="163"/>
      <c r="D39" s="216"/>
      <c r="E39" s="149"/>
      <c r="F39" s="149"/>
      <c r="G39" s="217"/>
      <c r="H39" s="225"/>
      <c r="I39" s="214"/>
      <c r="J39" s="149"/>
      <c r="K39" s="214"/>
      <c r="L39" s="214"/>
      <c r="M39" s="214"/>
      <c r="N39" s="149"/>
      <c r="O39" s="149"/>
      <c r="P39" s="149"/>
      <c r="Q39" s="214"/>
      <c r="R39" s="214"/>
      <c r="S39" s="214"/>
      <c r="T39" s="185"/>
      <c r="U39" s="185"/>
      <c r="W39" s="282"/>
      <c r="X39" s="290"/>
      <c r="Y39" s="311"/>
      <c r="Z39" s="192">
        <f t="shared" si="22"/>
        <v>0</v>
      </c>
      <c r="AA39" t="str">
        <f t="shared" si="23"/>
        <v>-</v>
      </c>
      <c r="AB39" t="str">
        <f t="shared" si="24"/>
        <v>-</v>
      </c>
      <c r="AC39"/>
      <c r="AD39" s="34">
        <f>C39-GAAP!C39</f>
        <v>0</v>
      </c>
    </row>
    <row r="40" spans="1:45" s="57" customFormat="1" ht="12.75" customHeight="1">
      <c r="A40" s="176" t="s">
        <v>342</v>
      </c>
      <c r="B40" s="85"/>
      <c r="C40" s="177">
        <f>SUM(C29:C39)</f>
        <v>18225884.890000001</v>
      </c>
      <c r="D40" s="177">
        <f t="shared" ref="D40:F40" si="144">SUM(D29:D39)</f>
        <v>18509364.300000001</v>
      </c>
      <c r="E40" s="177">
        <f t="shared" si="144"/>
        <v>-283479.41000000038</v>
      </c>
      <c r="F40" s="177">
        <f t="shared" si="144"/>
        <v>18509364.300000001</v>
      </c>
      <c r="G40" s="177"/>
      <c r="H40" s="177">
        <f t="shared" ref="H40:S40" si="145">SUM(H29:H39)</f>
        <v>-283479.41000000038</v>
      </c>
      <c r="I40" s="177">
        <f t="shared" si="145"/>
        <v>18225884.890000001</v>
      </c>
      <c r="J40" s="177">
        <f t="shared" si="145"/>
        <v>18225884.890000001</v>
      </c>
      <c r="K40" s="177">
        <f t="shared" si="145"/>
        <v>0</v>
      </c>
      <c r="L40" s="177">
        <f t="shared" si="145"/>
        <v>0</v>
      </c>
      <c r="M40" s="177">
        <f t="shared" si="145"/>
        <v>0</v>
      </c>
      <c r="N40" s="177">
        <f t="shared" si="145"/>
        <v>14037940.590000002</v>
      </c>
      <c r="O40" s="177">
        <f t="shared" si="145"/>
        <v>15975998.530000001</v>
      </c>
      <c r="P40" s="177">
        <f t="shared" si="145"/>
        <v>1459158.2508806547</v>
      </c>
      <c r="Q40" s="177">
        <f t="shared" si="145"/>
        <v>4471423.7100000009</v>
      </c>
      <c r="R40" s="177">
        <f t="shared" si="145"/>
        <v>2249886.3600000003</v>
      </c>
      <c r="S40" s="177">
        <f t="shared" si="145"/>
        <v>-1742637.6608806555</v>
      </c>
      <c r="T40" s="177"/>
      <c r="U40" s="199"/>
      <c r="V40" s="82"/>
      <c r="W40" s="288"/>
      <c r="X40" s="293"/>
      <c r="Y40" s="311">
        <v>103771.49416438446</v>
      </c>
      <c r="Z40" s="192">
        <f t="shared" si="22"/>
        <v>-1846409.15504504</v>
      </c>
      <c r="AA40" t="str">
        <f t="shared" si="23"/>
        <v>-</v>
      </c>
      <c r="AB40" t="str">
        <f t="shared" si="24"/>
        <v>-</v>
      </c>
      <c r="AC40" s="85"/>
      <c r="AD40" s="34">
        <f>C40-GAAP!C40</f>
        <v>0</v>
      </c>
      <c r="AF40" s="177">
        <f>SUM(AF39:AF39)</f>
        <v>0</v>
      </c>
      <c r="AG40" s="177">
        <f>SUM(AG39:AG39)</f>
        <v>0</v>
      </c>
      <c r="AH40" s="177">
        <f>SUM(AH39:AH39)</f>
        <v>0</v>
      </c>
      <c r="AI40" s="177"/>
      <c r="AJ40" s="177">
        <f t="shared" ref="AJ40:AP40" si="146">SUM(AJ39:AJ39)</f>
        <v>0</v>
      </c>
      <c r="AK40" s="177">
        <f t="shared" si="146"/>
        <v>0</v>
      </c>
      <c r="AL40" s="177">
        <f t="shared" si="146"/>
        <v>0</v>
      </c>
      <c r="AM40" s="177">
        <f t="shared" si="146"/>
        <v>0</v>
      </c>
      <c r="AN40" s="177">
        <f t="shared" si="146"/>
        <v>0</v>
      </c>
      <c r="AO40" s="177">
        <f t="shared" si="146"/>
        <v>0</v>
      </c>
      <c r="AP40" s="177">
        <f t="shared" si="146"/>
        <v>0</v>
      </c>
    </row>
    <row r="41" spans="1:45" s="57" customFormat="1" ht="12.75" customHeight="1">
      <c r="A41" s="178" t="s">
        <v>343</v>
      </c>
      <c r="B41" s="87"/>
      <c r="C41" s="83">
        <f>C40+C26</f>
        <v>386357419.65999997</v>
      </c>
      <c r="D41" s="83">
        <f>D40+D26</f>
        <v>348687444.10000002</v>
      </c>
      <c r="E41" s="83">
        <f>E40+E26</f>
        <v>37669975.559999995</v>
      </c>
      <c r="F41" s="83">
        <f>F40+F26</f>
        <v>278447972.02999997</v>
      </c>
      <c r="G41" s="83"/>
      <c r="H41" s="83">
        <f t="shared" ref="H41:S41" si="147">H40+H26</f>
        <v>31860872.067195483</v>
      </c>
      <c r="I41" s="83">
        <f t="shared" si="147"/>
        <v>310308844.09719557</v>
      </c>
      <c r="J41" s="83">
        <f t="shared" si="147"/>
        <v>317203779.67999995</v>
      </c>
      <c r="K41" s="83">
        <f t="shared" si="147"/>
        <v>6894935.582804529</v>
      </c>
      <c r="L41" s="83">
        <f t="shared" si="147"/>
        <v>70239472.070000023</v>
      </c>
      <c r="M41" s="83">
        <f t="shared" si="147"/>
        <v>69153639.979999989</v>
      </c>
      <c r="N41" s="83">
        <f t="shared" si="147"/>
        <v>176611788.78</v>
      </c>
      <c r="O41" s="83">
        <f t="shared" si="147"/>
        <v>192520885.29000002</v>
      </c>
      <c r="P41" s="83">
        <f t="shared" si="147"/>
        <v>14950663.21007948</v>
      </c>
      <c r="Q41" s="83">
        <f t="shared" si="147"/>
        <v>101836183.24999997</v>
      </c>
      <c r="R41" s="83">
        <f t="shared" si="147"/>
        <v>124682894.39</v>
      </c>
      <c r="S41" s="83">
        <f t="shared" si="147"/>
        <v>16910208.857116003</v>
      </c>
      <c r="T41" s="203"/>
      <c r="U41" s="199"/>
      <c r="V41" s="82"/>
      <c r="W41" s="288"/>
      <c r="X41" s="293"/>
      <c r="Y41" s="311">
        <v>15107991.323692817</v>
      </c>
      <c r="Z41" s="192">
        <f t="shared" si="22"/>
        <v>1802217.5334231853</v>
      </c>
      <c r="AA41" t="str">
        <f t="shared" si="23"/>
        <v>-</v>
      </c>
      <c r="AB41" t="str">
        <f t="shared" si="24"/>
        <v>-</v>
      </c>
      <c r="AC41" s="85"/>
      <c r="AD41" s="34">
        <f>C41-GAAP!C41</f>
        <v>150450.1400000453</v>
      </c>
      <c r="AF41" s="83">
        <f>AF40+AF26</f>
        <v>342454975.17999995</v>
      </c>
      <c r="AG41" s="83">
        <f>AG40+AG26</f>
        <v>306030283.14999998</v>
      </c>
      <c r="AH41" s="83">
        <f>AH40+AH26</f>
        <v>36424692.030000001</v>
      </c>
      <c r="AI41" s="83"/>
      <c r="AJ41" s="83">
        <f t="shared" ref="AJ41:AP41" si="148">AJ40+AJ26</f>
        <v>31267829.424658883</v>
      </c>
      <c r="AK41" s="83">
        <f t="shared" si="148"/>
        <v>289450380.8546589</v>
      </c>
      <c r="AL41" s="83">
        <f t="shared" si="148"/>
        <v>7825086.7353411298</v>
      </c>
      <c r="AM41" s="83">
        <f t="shared" si="148"/>
        <v>47847731.720000014</v>
      </c>
      <c r="AN41" s="83">
        <f t="shared" si="148"/>
        <v>45179507.589999996</v>
      </c>
      <c r="AO41" s="83" t="e">
        <f t="shared" si="148"/>
        <v>#REF!</v>
      </c>
      <c r="AP41" s="83" t="e">
        <f t="shared" si="148"/>
        <v>#REF!</v>
      </c>
    </row>
    <row r="42" spans="1:45" s="57" customFormat="1" ht="9.75" customHeight="1">
      <c r="A42" s="417"/>
      <c r="B42" s="59"/>
      <c r="C42" s="418"/>
      <c r="D42" s="78"/>
      <c r="E42" s="419"/>
      <c r="F42" s="420"/>
      <c r="G42" s="107"/>
      <c r="H42" s="419"/>
      <c r="I42" s="78"/>
      <c r="J42" s="419"/>
      <c r="K42" s="109"/>
      <c r="L42" s="78"/>
      <c r="M42" s="78"/>
      <c r="N42" s="421"/>
      <c r="O42" s="421"/>
      <c r="P42" s="421"/>
      <c r="Q42" s="78"/>
      <c r="R42" s="78"/>
      <c r="S42" s="78"/>
      <c r="T42" s="184"/>
      <c r="U42" s="184"/>
      <c r="W42" s="285"/>
      <c r="X42" s="287"/>
      <c r="Y42" s="311"/>
      <c r="Z42" s="192">
        <f t="shared" si="22"/>
        <v>0</v>
      </c>
      <c r="AA42" t="str">
        <f t="shared" si="23"/>
        <v>-</v>
      </c>
      <c r="AB42" t="str">
        <f t="shared" si="24"/>
        <v>-</v>
      </c>
      <c r="AD42" s="34">
        <f>C42-GAAP!C42</f>
        <v>0</v>
      </c>
      <c r="AF42" s="64"/>
    </row>
    <row r="43" spans="1:45" s="57" customFormat="1" ht="13.5" customHeight="1">
      <c r="A43" s="195" t="s">
        <v>334</v>
      </c>
      <c r="B43" s="60"/>
      <c r="C43" s="160"/>
      <c r="D43" s="61"/>
      <c r="E43" s="167"/>
      <c r="F43" s="305"/>
      <c r="G43" s="215"/>
      <c r="H43" s="220"/>
      <c r="I43" s="214"/>
      <c r="J43" s="167"/>
      <c r="K43" s="62"/>
      <c r="L43" s="62"/>
      <c r="M43" s="62"/>
      <c r="N43" s="147"/>
      <c r="O43" s="147"/>
      <c r="P43" s="147"/>
      <c r="Q43" s="62"/>
      <c r="R43" s="62"/>
      <c r="S43" s="62"/>
      <c r="T43" s="148"/>
      <c r="U43" s="184"/>
      <c r="W43" s="288"/>
      <c r="X43" s="289"/>
      <c r="Y43" s="311"/>
      <c r="Z43" s="192">
        <f t="shared" si="22"/>
        <v>0</v>
      </c>
      <c r="AA43" t="str">
        <f t="shared" si="23"/>
        <v>-</v>
      </c>
      <c r="AB43" t="str">
        <f t="shared" si="24"/>
        <v>-</v>
      </c>
      <c r="AD43" s="34">
        <f>C43-GAAP!C43</f>
        <v>0</v>
      </c>
    </row>
    <row r="44" spans="1:45" ht="13.5" customHeight="1">
      <c r="A44" s="308">
        <v>52.856299999999997</v>
      </c>
      <c r="B44" s="309" t="s">
        <v>208</v>
      </c>
      <c r="C44" s="163">
        <v>1174182.73</v>
      </c>
      <c r="D44" s="354">
        <f>+C44-E44</f>
        <v>880790.1</v>
      </c>
      <c r="E44" s="163">
        <v>293392.63</v>
      </c>
      <c r="F44" s="163">
        <v>859077.05</v>
      </c>
      <c r="G44" s="217">
        <f>IF(D44&lt;&gt;0,+F44/D44,0)</f>
        <v>0.97534821292836971</v>
      </c>
      <c r="H44" s="149">
        <v>293385.24</v>
      </c>
      <c r="I44" s="214">
        <f t="shared" ref="I44:I63" si="149">+F44+H44</f>
        <v>1152462.29</v>
      </c>
      <c r="J44" s="149">
        <v>1134038.1299999999</v>
      </c>
      <c r="K44" s="214">
        <f t="shared" ref="K44" si="150">J44-I44</f>
        <v>-18424.160000000149</v>
      </c>
      <c r="L44" s="214">
        <f t="shared" ref="L44" si="151">+D44-F44</f>
        <v>21713.04999999993</v>
      </c>
      <c r="M44" s="214">
        <f t="shared" ref="M44" si="152">+C44-J44</f>
        <v>40144.600000000093</v>
      </c>
      <c r="N44" s="222">
        <v>720866.75</v>
      </c>
      <c r="O44" s="222">
        <v>915332.49</v>
      </c>
      <c r="P44" s="222">
        <v>264189.76</v>
      </c>
      <c r="Q44" s="214">
        <f t="shared" ref="Q44" si="153">F44-N44</f>
        <v>138210.30000000005</v>
      </c>
      <c r="R44" s="214">
        <f t="shared" ref="R44" si="154">+J44-O44</f>
        <v>218705.6399999999</v>
      </c>
      <c r="S44" s="214">
        <f>+H44-P44</f>
        <v>29195.479999999981</v>
      </c>
      <c r="T44" s="333">
        <v>2021</v>
      </c>
      <c r="U44" s="273"/>
      <c r="V44" s="57" t="str">
        <f>IF(C44&lt;250000, "&lt; 250k",".")</f>
        <v>.</v>
      </c>
      <c r="W44" s="282">
        <v>194465.74</v>
      </c>
      <c r="Y44" s="311">
        <v>29163.929999999993</v>
      </c>
      <c r="Z44" s="192">
        <f t="shared" si="22"/>
        <v>31.549999999988358</v>
      </c>
      <c r="AA44" t="str">
        <f t="shared" si="23"/>
        <v>-</v>
      </c>
      <c r="AB44" t="str">
        <f t="shared" si="24"/>
        <v>-</v>
      </c>
      <c r="AC44" s="523"/>
      <c r="AD44" s="34">
        <f>C44-GAAP!C44</f>
        <v>40144.600000000093</v>
      </c>
      <c r="AF44" s="64">
        <f>J44</f>
        <v>1134038.1299999999</v>
      </c>
      <c r="AG44" s="64">
        <f>F44</f>
        <v>859077.05</v>
      </c>
      <c r="AH44" s="63">
        <f>AF44-AG44</f>
        <v>274961.07999999984</v>
      </c>
      <c r="AI44" s="217">
        <f t="shared" ref="AI44:AI45" si="155">IF(AG44&lt;&gt;0,+F44/AG44,0)</f>
        <v>1</v>
      </c>
      <c r="AJ44" s="98">
        <f>IF(AH44&lt;=0,AH44,IF(AI44&lt;0.1,0,IF(AI44&lt;=1,AI44*AH44,AH44)))</f>
        <v>274961.07999999984</v>
      </c>
      <c r="AK44" s="98">
        <f>+F44+AJ44</f>
        <v>1134038.1299999999</v>
      </c>
      <c r="AL44" s="98">
        <f>J44-AK44</f>
        <v>0</v>
      </c>
      <c r="AM44" s="98">
        <f>+AG44-F44</f>
        <v>0</v>
      </c>
      <c r="AN44" s="98">
        <f t="shared" ref="AN44:AN45" si="156">+AF44-J44</f>
        <v>0</v>
      </c>
      <c r="AO44" s="222">
        <f>GAAP!P44</f>
        <v>194465.74</v>
      </c>
      <c r="AP44" s="129">
        <f t="shared" ref="AP44:AP45" si="157">AJ44-AO44</f>
        <v>80495.339999999851</v>
      </c>
    </row>
    <row r="45" spans="1:45" ht="13.5" customHeight="1">
      <c r="A45" s="258">
        <v>52.8566</v>
      </c>
      <c r="B45" s="57" t="s">
        <v>210</v>
      </c>
      <c r="C45" s="163">
        <v>1259398</v>
      </c>
      <c r="D45" s="354">
        <f t="shared" ref="D45:D63" si="158">+C45-E45</f>
        <v>1029398</v>
      </c>
      <c r="E45" s="163">
        <v>230000</v>
      </c>
      <c r="F45" s="163">
        <v>1023821.05</v>
      </c>
      <c r="G45" s="217">
        <f t="shared" ref="G45:G63" si="159">IF(D45&lt;&gt;0,+F45/D45,0)</f>
        <v>0.99458231898643679</v>
      </c>
      <c r="H45" s="149">
        <v>228753.93336688046</v>
      </c>
      <c r="I45" s="214">
        <f t="shared" si="149"/>
        <v>1252574.9833668806</v>
      </c>
      <c r="J45" s="149">
        <v>1242053</v>
      </c>
      <c r="K45" s="214">
        <f t="shared" ref="K45:K52" si="160">J45-I45</f>
        <v>-10521.983366880566</v>
      </c>
      <c r="L45" s="214">
        <f t="shared" ref="L45:L52" si="161">+D45-F45</f>
        <v>5576.9499999999534</v>
      </c>
      <c r="M45" s="214">
        <f t="shared" ref="M45:M52" si="162">+C45-J45</f>
        <v>17345</v>
      </c>
      <c r="N45" s="222">
        <v>994790.56</v>
      </c>
      <c r="O45" s="222">
        <v>1242053</v>
      </c>
      <c r="P45" s="222">
        <v>223974.50626643945</v>
      </c>
      <c r="Q45" s="214">
        <f t="shared" ref="Q45:Q52" si="163">F45-N45</f>
        <v>29030.489999999991</v>
      </c>
      <c r="R45" s="214">
        <f t="shared" ref="R45:R52" si="164">+J45-O45</f>
        <v>0</v>
      </c>
      <c r="S45" s="214">
        <f t="shared" ref="S45:S52" si="165">+H45-P45</f>
        <v>4779.4271004410111</v>
      </c>
      <c r="T45" s="273" t="s">
        <v>190</v>
      </c>
      <c r="U45" s="273"/>
      <c r="V45" s="57" t="str">
        <f t="shared" ref="V45:V125" si="166">IF(C45&lt;250000, "&lt; 250k",".")</f>
        <v>.</v>
      </c>
      <c r="W45" s="282">
        <v>223974.50626643945</v>
      </c>
      <c r="Y45" s="311">
        <v>4779.4271004410111</v>
      </c>
      <c r="Z45" s="192">
        <f t="shared" si="22"/>
        <v>0</v>
      </c>
      <c r="AA45" t="str">
        <f t="shared" si="23"/>
        <v>-</v>
      </c>
      <c r="AB45" t="str">
        <f t="shared" si="24"/>
        <v>-</v>
      </c>
      <c r="AC45" s="523"/>
      <c r="AD45" s="34">
        <f>C45-GAAP!C45</f>
        <v>0</v>
      </c>
      <c r="AF45" s="64">
        <f t="shared" ref="AF45:AG45" si="167">C45</f>
        <v>1259398</v>
      </c>
      <c r="AG45" s="64">
        <f t="shared" si="167"/>
        <v>1029398</v>
      </c>
      <c r="AH45" s="64">
        <f>E45</f>
        <v>230000</v>
      </c>
      <c r="AI45" s="217">
        <f t="shared" si="155"/>
        <v>0.99458231898643679</v>
      </c>
      <c r="AJ45" s="98">
        <f t="shared" ref="AJ45" si="168">IF(AH45&lt;=0,AH45,IF(G45&lt;0.1,0,IF(G45&lt;=1,G45*AH45,AH45)))</f>
        <v>228753.93336688046</v>
      </c>
      <c r="AK45" s="98">
        <f t="shared" ref="AK45" si="169">+F45+AJ45</f>
        <v>1252574.9833668806</v>
      </c>
      <c r="AL45" s="98">
        <f t="shared" ref="AL45" si="170">J45-AK45</f>
        <v>-10521.983366880566</v>
      </c>
      <c r="AM45" s="98">
        <f t="shared" ref="AM45" si="171">+AG45-F45</f>
        <v>5576.9499999999534</v>
      </c>
      <c r="AN45" s="98">
        <f t="shared" si="156"/>
        <v>17345</v>
      </c>
      <c r="AO45" s="222">
        <f>GAAP!P45</f>
        <v>223974.50626643945</v>
      </c>
      <c r="AP45" s="129">
        <f t="shared" si="157"/>
        <v>4779.4271004410111</v>
      </c>
    </row>
    <row r="46" spans="1:45" ht="13.5">
      <c r="A46" s="258">
        <v>52.858600000000003</v>
      </c>
      <c r="B46" s="57" t="s">
        <v>230</v>
      </c>
      <c r="C46" s="163">
        <v>12611349</v>
      </c>
      <c r="D46" s="354">
        <f t="shared" si="158"/>
        <v>10661349</v>
      </c>
      <c r="E46" s="163">
        <v>1950000</v>
      </c>
      <c r="F46" s="163">
        <v>10565460.74</v>
      </c>
      <c r="G46" s="217">
        <f t="shared" si="159"/>
        <v>0.99100599183086491</v>
      </c>
      <c r="H46" s="149">
        <v>1932461.6840701865</v>
      </c>
      <c r="I46" s="214">
        <f t="shared" si="149"/>
        <v>12497922.424070187</v>
      </c>
      <c r="J46" s="149">
        <v>12611349</v>
      </c>
      <c r="K46" s="214">
        <f t="shared" si="160"/>
        <v>113426.57592981309</v>
      </c>
      <c r="L46" s="214">
        <f t="shared" si="161"/>
        <v>95888.259999999776</v>
      </c>
      <c r="M46" s="214">
        <f t="shared" si="162"/>
        <v>0</v>
      </c>
      <c r="N46" s="222">
        <v>10233292.710000001</v>
      </c>
      <c r="O46" s="222">
        <v>12384954</v>
      </c>
      <c r="P46" s="222">
        <v>1757780.0078678457</v>
      </c>
      <c r="Q46" s="214">
        <f t="shared" si="163"/>
        <v>332168.02999999933</v>
      </c>
      <c r="R46" s="214">
        <f t="shared" si="164"/>
        <v>226395</v>
      </c>
      <c r="S46" s="214">
        <f t="shared" si="165"/>
        <v>174681.67620234075</v>
      </c>
      <c r="T46" s="273" t="s">
        <v>227</v>
      </c>
      <c r="U46" s="273"/>
      <c r="V46" s="57" t="str">
        <f t="shared" si="166"/>
        <v>.</v>
      </c>
      <c r="W46" s="282">
        <v>1757780.0078678457</v>
      </c>
      <c r="Y46" s="311">
        <v>143241.84813743085</v>
      </c>
      <c r="Z46" s="192">
        <f t="shared" si="22"/>
        <v>31439.828064909903</v>
      </c>
      <c r="AA46" t="str">
        <f t="shared" si="23"/>
        <v>-</v>
      </c>
      <c r="AB46" t="str">
        <f t="shared" si="24"/>
        <v>-</v>
      </c>
      <c r="AC46" s="523"/>
      <c r="AD46" s="34">
        <f>C46-GAAP!C47</f>
        <v>-1281373.7400000002</v>
      </c>
      <c r="AF46" s="64">
        <f t="shared" ref="AF46:AF54" si="172">C46</f>
        <v>12611349</v>
      </c>
      <c r="AG46" s="64">
        <f t="shared" ref="AG46:AG54" si="173">D46</f>
        <v>10661349</v>
      </c>
      <c r="AH46" s="64">
        <f t="shared" ref="AH46:AH54" si="174">E46</f>
        <v>1950000</v>
      </c>
      <c r="AI46" s="217">
        <f t="shared" ref="AI46:AI54" si="175">IF(AG46&lt;&gt;0,+F46/AG46,0)</f>
        <v>0.99100599183086491</v>
      </c>
      <c r="AJ46" s="98">
        <f t="shared" ref="AJ46:AJ54" si="176">IF(AH46&lt;=0,AH46,IF(G46&lt;0.1,0,IF(G46&lt;=1,G46*AH46,AH46)))</f>
        <v>1932461.6840701865</v>
      </c>
      <c r="AK46" s="98">
        <f t="shared" ref="AK46:AK54" si="177">+F46+AJ46</f>
        <v>12497922.424070187</v>
      </c>
      <c r="AL46" s="98">
        <f t="shared" ref="AL46:AL54" si="178">J46-AK46</f>
        <v>113426.57592981309</v>
      </c>
      <c r="AM46" s="98">
        <f t="shared" ref="AM46:AM54" si="179">+AG46-F46</f>
        <v>95888.259999999776</v>
      </c>
      <c r="AN46" s="98">
        <f t="shared" ref="AN46:AN54" si="180">+AF46-J46</f>
        <v>0</v>
      </c>
      <c r="AO46" s="222">
        <f>GAAP!P47</f>
        <v>277972.01148414961</v>
      </c>
      <c r="AP46" s="129">
        <f t="shared" ref="AP46:AP54" si="181">AJ46-AO46</f>
        <v>1654489.6725860368</v>
      </c>
    </row>
    <row r="47" spans="1:45" ht="13.5">
      <c r="A47" s="258">
        <v>52.863399999999999</v>
      </c>
      <c r="B47" s="57" t="s">
        <v>252</v>
      </c>
      <c r="C47" s="163">
        <v>13892722.74</v>
      </c>
      <c r="D47" s="354">
        <f t="shared" si="158"/>
        <v>13190722.74</v>
      </c>
      <c r="E47" s="163">
        <v>702000</v>
      </c>
      <c r="F47" s="163">
        <v>11707058.24</v>
      </c>
      <c r="G47" s="217">
        <f t="shared" si="159"/>
        <v>0.8875221222336146</v>
      </c>
      <c r="H47" s="149">
        <v>623040.5298079974</v>
      </c>
      <c r="I47" s="214">
        <f t="shared" si="149"/>
        <v>12330098.769807998</v>
      </c>
      <c r="J47" s="149">
        <v>12576768.039999999</v>
      </c>
      <c r="K47" s="214">
        <f t="shared" si="160"/>
        <v>246669.27019200101</v>
      </c>
      <c r="L47" s="214">
        <f t="shared" si="161"/>
        <v>1483664.5</v>
      </c>
      <c r="M47" s="214">
        <f t="shared" si="162"/>
        <v>1315954.7000000011</v>
      </c>
      <c r="N47" s="222">
        <v>5213426.62</v>
      </c>
      <c r="O47" s="222">
        <v>5564075.3700000001</v>
      </c>
      <c r="P47" s="222">
        <v>277972.01148414961</v>
      </c>
      <c r="Q47" s="214">
        <f t="shared" si="163"/>
        <v>6493631.6200000001</v>
      </c>
      <c r="R47" s="214">
        <f t="shared" si="164"/>
        <v>7012692.669999999</v>
      </c>
      <c r="S47" s="214">
        <f t="shared" si="165"/>
        <v>345068.51832384779</v>
      </c>
      <c r="T47" s="273" t="s">
        <v>237</v>
      </c>
      <c r="U47" s="273"/>
      <c r="V47" s="57" t="str">
        <f t="shared" si="166"/>
        <v>.</v>
      </c>
      <c r="W47" s="282">
        <v>277972.01148414961</v>
      </c>
      <c r="Y47" s="311">
        <v>294632.35350928723</v>
      </c>
      <c r="Z47" s="192">
        <f t="shared" si="22"/>
        <v>50436.164814560558</v>
      </c>
      <c r="AA47" t="str">
        <f t="shared" si="23"/>
        <v>-</v>
      </c>
      <c r="AB47" t="str">
        <f t="shared" si="24"/>
        <v>-</v>
      </c>
      <c r="AC47" s="523"/>
      <c r="AD47" s="34">
        <f>C47-GAAP!C51</f>
        <v>13480871.74</v>
      </c>
      <c r="AF47" s="64">
        <f t="shared" si="172"/>
        <v>13892722.74</v>
      </c>
      <c r="AG47" s="64">
        <f t="shared" si="173"/>
        <v>13190722.74</v>
      </c>
      <c r="AH47" s="64">
        <f t="shared" si="174"/>
        <v>702000</v>
      </c>
      <c r="AI47" s="217">
        <f t="shared" si="175"/>
        <v>0.8875221222336146</v>
      </c>
      <c r="AJ47" s="98">
        <f t="shared" si="176"/>
        <v>623040.5298079974</v>
      </c>
      <c r="AK47" s="98">
        <f t="shared" si="177"/>
        <v>12330098.769807998</v>
      </c>
      <c r="AL47" s="98">
        <f t="shared" si="178"/>
        <v>246669.27019200101</v>
      </c>
      <c r="AM47" s="98">
        <f t="shared" si="179"/>
        <v>1483664.5</v>
      </c>
      <c r="AN47" s="98">
        <f t="shared" si="180"/>
        <v>1315954.7000000011</v>
      </c>
      <c r="AO47" s="222">
        <f>GAAP!P51</f>
        <v>5273.046449323896</v>
      </c>
      <c r="AP47" s="129">
        <f t="shared" si="181"/>
        <v>617767.48335867352</v>
      </c>
    </row>
    <row r="48" spans="1:45" ht="13.5">
      <c r="A48" s="258">
        <v>52.863599999999998</v>
      </c>
      <c r="B48" s="57" t="s">
        <v>255</v>
      </c>
      <c r="C48" s="163">
        <v>3642197</v>
      </c>
      <c r="D48" s="354">
        <f t="shared" si="158"/>
        <v>3367197</v>
      </c>
      <c r="E48" s="163">
        <v>275000</v>
      </c>
      <c r="F48" s="163">
        <v>3367047.36</v>
      </c>
      <c r="G48" s="217">
        <f t="shared" si="159"/>
        <v>0.99995555947573012</v>
      </c>
      <c r="H48" s="149">
        <v>274987.77885582577</v>
      </c>
      <c r="I48" s="214">
        <f t="shared" si="149"/>
        <v>3642035.1388558256</v>
      </c>
      <c r="J48" s="149">
        <v>3065635.6</v>
      </c>
      <c r="K48" s="214">
        <f t="shared" si="160"/>
        <v>-576399.53885582555</v>
      </c>
      <c r="L48" s="214">
        <f t="shared" si="161"/>
        <v>149.64000000013039</v>
      </c>
      <c r="M48" s="214">
        <f t="shared" si="162"/>
        <v>576561.39999999991</v>
      </c>
      <c r="N48" s="222">
        <v>1456799.54</v>
      </c>
      <c r="O48" s="222">
        <v>1731771.2</v>
      </c>
      <c r="P48" s="222">
        <v>204319.7110799439</v>
      </c>
      <c r="Q48" s="214">
        <f t="shared" si="163"/>
        <v>1910247.8199999998</v>
      </c>
      <c r="R48" s="214">
        <f t="shared" si="164"/>
        <v>1333864.4000000001</v>
      </c>
      <c r="S48" s="214">
        <f t="shared" si="165"/>
        <v>70668.067775881878</v>
      </c>
      <c r="T48" s="273" t="s">
        <v>237</v>
      </c>
      <c r="U48" s="273"/>
      <c r="V48" s="57" t="str">
        <f t="shared" si="166"/>
        <v>.</v>
      </c>
      <c r="W48" s="282">
        <v>204319.7110799439</v>
      </c>
      <c r="Y48" s="311">
        <v>94375.755964771641</v>
      </c>
      <c r="Z48" s="192">
        <f t="shared" si="22"/>
        <v>-23707.688188889762</v>
      </c>
      <c r="AA48" t="str">
        <f t="shared" si="23"/>
        <v>-</v>
      </c>
      <c r="AB48" t="str">
        <f t="shared" si="24"/>
        <v>-</v>
      </c>
      <c r="AC48" s="523"/>
      <c r="AD48" s="34">
        <f>C48-GAAP!C52</f>
        <v>2401876</v>
      </c>
      <c r="AF48" s="64">
        <f t="shared" si="172"/>
        <v>3642197</v>
      </c>
      <c r="AG48" s="64">
        <f t="shared" si="173"/>
        <v>3367197</v>
      </c>
      <c r="AH48" s="64">
        <f t="shared" si="174"/>
        <v>275000</v>
      </c>
      <c r="AI48" s="217">
        <f t="shared" si="175"/>
        <v>0.99995555947573012</v>
      </c>
      <c r="AJ48" s="98">
        <f t="shared" si="176"/>
        <v>274987.77885582577</v>
      </c>
      <c r="AK48" s="98">
        <f t="shared" si="177"/>
        <v>3642035.1388558256</v>
      </c>
      <c r="AL48" s="98">
        <f t="shared" si="178"/>
        <v>-576399.53885582555</v>
      </c>
      <c r="AM48" s="98">
        <f t="shared" si="179"/>
        <v>149.64000000013039</v>
      </c>
      <c r="AN48" s="98">
        <f t="shared" si="180"/>
        <v>576561.39999999991</v>
      </c>
      <c r="AO48" s="222">
        <f>GAAP!P52</f>
        <v>0</v>
      </c>
      <c r="AP48" s="129">
        <f t="shared" si="181"/>
        <v>274987.77885582577</v>
      </c>
    </row>
    <row r="49" spans="1:42" ht="13.5">
      <c r="A49" s="258">
        <v>52.863700000000001</v>
      </c>
      <c r="B49" s="57" t="s">
        <v>256</v>
      </c>
      <c r="C49" s="163">
        <v>26264577.649999999</v>
      </c>
      <c r="D49" s="354">
        <f t="shared" si="158"/>
        <v>24614577.649999999</v>
      </c>
      <c r="E49" s="163">
        <v>1650000</v>
      </c>
      <c r="F49" s="163">
        <v>24374299.030000001</v>
      </c>
      <c r="G49" s="217">
        <f t="shared" si="159"/>
        <v>0.99023836104699536</v>
      </c>
      <c r="H49" s="149">
        <v>1633893.2957275424</v>
      </c>
      <c r="I49" s="214">
        <f t="shared" si="149"/>
        <v>26008192.325727545</v>
      </c>
      <c r="J49" s="149">
        <v>26148625</v>
      </c>
      <c r="K49" s="214">
        <f t="shared" si="160"/>
        <v>140432.67427245528</v>
      </c>
      <c r="L49" s="214">
        <f t="shared" si="161"/>
        <v>240278.61999999732</v>
      </c>
      <c r="M49" s="214">
        <f t="shared" si="162"/>
        <v>115952.64999999851</v>
      </c>
      <c r="N49" s="222">
        <v>19441814.989999998</v>
      </c>
      <c r="O49" s="222">
        <v>20860138</v>
      </c>
      <c r="P49" s="222">
        <v>1208391.7577226674</v>
      </c>
      <c r="Q49" s="214">
        <f t="shared" si="163"/>
        <v>4932484.0400000028</v>
      </c>
      <c r="R49" s="214">
        <f t="shared" si="164"/>
        <v>5288487</v>
      </c>
      <c r="S49" s="214">
        <f t="shared" si="165"/>
        <v>425501.53800487495</v>
      </c>
      <c r="T49" s="273" t="s">
        <v>237</v>
      </c>
      <c r="U49" s="273"/>
      <c r="V49" s="57" t="str">
        <f t="shared" si="166"/>
        <v>.</v>
      </c>
      <c r="W49" s="282">
        <v>1208391.7577226674</v>
      </c>
      <c r="Y49" s="311">
        <v>397926.46317031118</v>
      </c>
      <c r="Z49" s="192">
        <f t="shared" si="22"/>
        <v>27575.074834563769</v>
      </c>
      <c r="AA49" t="str">
        <f t="shared" si="23"/>
        <v>-</v>
      </c>
      <c r="AB49" t="str">
        <f t="shared" si="24"/>
        <v>-</v>
      </c>
      <c r="AC49" s="523"/>
      <c r="AD49" s="34" t="e">
        <f>C49-GAAP!#REF!</f>
        <v>#REF!</v>
      </c>
      <c r="AF49" s="64">
        <f t="shared" si="172"/>
        <v>26264577.649999999</v>
      </c>
      <c r="AG49" s="64">
        <f t="shared" si="173"/>
        <v>24614577.649999999</v>
      </c>
      <c r="AH49" s="64">
        <f t="shared" si="174"/>
        <v>1650000</v>
      </c>
      <c r="AI49" s="217">
        <f t="shared" si="175"/>
        <v>0.99023836104699536</v>
      </c>
      <c r="AJ49" s="98">
        <f t="shared" si="176"/>
        <v>1633893.2957275424</v>
      </c>
      <c r="AK49" s="98">
        <f t="shared" si="177"/>
        <v>26008192.325727545</v>
      </c>
      <c r="AL49" s="98">
        <f t="shared" si="178"/>
        <v>140432.67427245528</v>
      </c>
      <c r="AM49" s="98">
        <f t="shared" si="179"/>
        <v>240278.61999999732</v>
      </c>
      <c r="AN49" s="98">
        <f t="shared" si="180"/>
        <v>115952.64999999851</v>
      </c>
      <c r="AO49" s="222" t="e">
        <f>GAAP!#REF!</f>
        <v>#REF!</v>
      </c>
      <c r="AP49" s="129" t="e">
        <f t="shared" si="181"/>
        <v>#REF!</v>
      </c>
    </row>
    <row r="50" spans="1:42" ht="13.5">
      <c r="A50" s="258">
        <v>52.863999999999997</v>
      </c>
      <c r="B50" s="57" t="s">
        <v>257</v>
      </c>
      <c r="C50" s="163">
        <v>38646363.159999996</v>
      </c>
      <c r="D50" s="354">
        <f t="shared" si="158"/>
        <v>36773040.159999996</v>
      </c>
      <c r="E50" s="163">
        <v>1873323</v>
      </c>
      <c r="F50" s="163">
        <v>32158781.48</v>
      </c>
      <c r="G50" s="217">
        <f t="shared" si="159"/>
        <v>0.87452060912224572</v>
      </c>
      <c r="H50" s="149">
        <v>1638259.5710427128</v>
      </c>
      <c r="I50" s="214">
        <f t="shared" si="149"/>
        <v>33797041.051042713</v>
      </c>
      <c r="J50" s="149">
        <v>34176041.859999999</v>
      </c>
      <c r="K50" s="214">
        <f t="shared" si="160"/>
        <v>379000.80895728618</v>
      </c>
      <c r="L50" s="214">
        <f t="shared" si="161"/>
        <v>4614258.679999996</v>
      </c>
      <c r="M50" s="214">
        <f t="shared" si="162"/>
        <v>4470321.299999997</v>
      </c>
      <c r="N50" s="222">
        <v>13034452.74</v>
      </c>
      <c r="O50" s="222">
        <v>13664733.789999999</v>
      </c>
      <c r="P50" s="222">
        <v>703966.83888736507</v>
      </c>
      <c r="Q50" s="214">
        <f t="shared" si="163"/>
        <v>19124328.740000002</v>
      </c>
      <c r="R50" s="214">
        <f t="shared" si="164"/>
        <v>20511308.07</v>
      </c>
      <c r="S50" s="214">
        <f t="shared" si="165"/>
        <v>934292.73215534771</v>
      </c>
      <c r="T50" s="273" t="s">
        <v>237</v>
      </c>
      <c r="U50" s="273"/>
      <c r="V50" s="57" t="str">
        <f t="shared" si="166"/>
        <v>.</v>
      </c>
      <c r="W50" s="282">
        <v>703966.83888736507</v>
      </c>
      <c r="Y50" s="311">
        <v>825614.75556955091</v>
      </c>
      <c r="Z50" s="192">
        <f t="shared" si="22"/>
        <v>108677.9765857968</v>
      </c>
      <c r="AA50" t="str">
        <f t="shared" si="23"/>
        <v>-</v>
      </c>
      <c r="AB50" t="str">
        <f t="shared" si="24"/>
        <v>-</v>
      </c>
      <c r="AC50" s="523"/>
      <c r="AD50" s="34" t="e">
        <f>C50-GAAP!#REF!</f>
        <v>#REF!</v>
      </c>
      <c r="AF50" s="64">
        <f t="shared" si="172"/>
        <v>38646363.159999996</v>
      </c>
      <c r="AG50" s="64">
        <f t="shared" si="173"/>
        <v>36773040.159999996</v>
      </c>
      <c r="AH50" s="64">
        <f t="shared" si="174"/>
        <v>1873323</v>
      </c>
      <c r="AI50" s="217">
        <f t="shared" si="175"/>
        <v>0.87452060912224572</v>
      </c>
      <c r="AJ50" s="98">
        <f t="shared" si="176"/>
        <v>1638259.5710427128</v>
      </c>
      <c r="AK50" s="98">
        <f t="shared" si="177"/>
        <v>33797041.051042713</v>
      </c>
      <c r="AL50" s="98">
        <f t="shared" si="178"/>
        <v>379000.80895728618</v>
      </c>
      <c r="AM50" s="98">
        <f t="shared" si="179"/>
        <v>4614258.679999996</v>
      </c>
      <c r="AN50" s="98">
        <f t="shared" si="180"/>
        <v>4470321.299999997</v>
      </c>
      <c r="AO50" s="222" t="e">
        <f>GAAP!#REF!</f>
        <v>#REF!</v>
      </c>
      <c r="AP50" s="129" t="e">
        <f t="shared" si="181"/>
        <v>#REF!</v>
      </c>
    </row>
    <row r="51" spans="1:42" ht="13.5">
      <c r="A51" s="258">
        <v>52.866799999999998</v>
      </c>
      <c r="B51" s="57" t="s">
        <v>425</v>
      </c>
      <c r="C51" s="163">
        <v>411851</v>
      </c>
      <c r="D51" s="354">
        <f t="shared" si="158"/>
        <v>376996</v>
      </c>
      <c r="E51" s="163">
        <v>34855</v>
      </c>
      <c r="F51" s="163">
        <v>357710.67</v>
      </c>
      <c r="G51" s="217">
        <f t="shared" si="159"/>
        <v>0.94884473575316441</v>
      </c>
      <c r="H51" s="149">
        <v>33071.983264676543</v>
      </c>
      <c r="I51" s="214">
        <f t="shared" si="149"/>
        <v>390782.65326467651</v>
      </c>
      <c r="J51" s="149">
        <v>349622.76</v>
      </c>
      <c r="K51" s="214">
        <f t="shared" si="160"/>
        <v>-41159.893264676502</v>
      </c>
      <c r="L51" s="214">
        <f t="shared" si="161"/>
        <v>19285.330000000016</v>
      </c>
      <c r="M51" s="214">
        <f t="shared" si="162"/>
        <v>62228.239999999991</v>
      </c>
      <c r="N51" s="222">
        <v>49065</v>
      </c>
      <c r="O51" s="222">
        <v>0</v>
      </c>
      <c r="P51" s="222">
        <v>0</v>
      </c>
      <c r="Q51" s="214">
        <f t="shared" si="163"/>
        <v>308645.67</v>
      </c>
      <c r="R51" s="214">
        <f t="shared" si="164"/>
        <v>349622.76</v>
      </c>
      <c r="S51" s="214">
        <f t="shared" si="165"/>
        <v>33071.983264676543</v>
      </c>
      <c r="T51" s="273" t="s">
        <v>278</v>
      </c>
      <c r="U51" s="273"/>
      <c r="V51" s="57" t="str">
        <f t="shared" si="166"/>
        <v>.</v>
      </c>
      <c r="W51" s="282">
        <v>5273.046449323896</v>
      </c>
      <c r="Y51" s="311">
        <v>29828.733301228414</v>
      </c>
      <c r="Z51" s="192">
        <f t="shared" si="22"/>
        <v>3243.2499634481283</v>
      </c>
      <c r="AA51" t="str">
        <f t="shared" si="23"/>
        <v>-</v>
      </c>
      <c r="AB51" t="str">
        <f t="shared" si="24"/>
        <v>-</v>
      </c>
      <c r="AC51" s="523"/>
      <c r="AD51" s="34">
        <f>C51-GAAP!C56</f>
        <v>389138</v>
      </c>
      <c r="AF51" s="64">
        <f t="shared" si="172"/>
        <v>411851</v>
      </c>
      <c r="AG51" s="64">
        <f t="shared" si="173"/>
        <v>376996</v>
      </c>
      <c r="AH51" s="64">
        <f t="shared" si="174"/>
        <v>34855</v>
      </c>
      <c r="AI51" s="217">
        <f t="shared" si="175"/>
        <v>0.94884473575316441</v>
      </c>
      <c r="AJ51" s="98">
        <f t="shared" si="176"/>
        <v>33071.983264676543</v>
      </c>
      <c r="AK51" s="98">
        <f t="shared" si="177"/>
        <v>390782.65326467651</v>
      </c>
      <c r="AL51" s="98">
        <f t="shared" si="178"/>
        <v>-41159.893264676502</v>
      </c>
      <c r="AM51" s="98">
        <f t="shared" si="179"/>
        <v>19285.330000000016</v>
      </c>
      <c r="AN51" s="98">
        <f t="shared" si="180"/>
        <v>62228.239999999991</v>
      </c>
      <c r="AO51" s="222">
        <f>GAAP!P56</f>
        <v>0</v>
      </c>
      <c r="AP51" s="129">
        <f t="shared" si="181"/>
        <v>33071.983264676543</v>
      </c>
    </row>
    <row r="52" spans="1:42" ht="13.5">
      <c r="A52" s="258">
        <v>52.867800000000003</v>
      </c>
      <c r="B52" s="57" t="s">
        <v>477</v>
      </c>
      <c r="C52" s="163">
        <v>1240321</v>
      </c>
      <c r="D52" s="354">
        <f t="shared" si="158"/>
        <v>1162321</v>
      </c>
      <c r="E52" s="163">
        <v>78000</v>
      </c>
      <c r="F52" s="163">
        <v>926007.31</v>
      </c>
      <c r="G52" s="217">
        <f t="shared" si="159"/>
        <v>0.79668810079143371</v>
      </c>
      <c r="H52" s="149">
        <v>62141.671861731826</v>
      </c>
      <c r="I52" s="214">
        <f t="shared" si="149"/>
        <v>988148.98186173185</v>
      </c>
      <c r="J52" s="149">
        <v>1142122</v>
      </c>
      <c r="K52" s="214">
        <f t="shared" si="160"/>
        <v>153973.01813826815</v>
      </c>
      <c r="L52" s="214">
        <f t="shared" si="161"/>
        <v>236313.68999999994</v>
      </c>
      <c r="M52" s="214">
        <f t="shared" si="162"/>
        <v>98199</v>
      </c>
      <c r="N52" s="222">
        <v>5563.63</v>
      </c>
      <c r="O52" s="222">
        <v>0</v>
      </c>
      <c r="P52" s="222">
        <v>0</v>
      </c>
      <c r="Q52" s="214">
        <f t="shared" si="163"/>
        <v>920443.68</v>
      </c>
      <c r="R52" s="214">
        <f t="shared" si="164"/>
        <v>1142122</v>
      </c>
      <c r="S52" s="214">
        <f t="shared" si="165"/>
        <v>62141.671861731826</v>
      </c>
      <c r="T52" s="273" t="s">
        <v>278</v>
      </c>
      <c r="U52" s="273"/>
      <c r="V52" s="57" t="str">
        <f t="shared" si="166"/>
        <v>.</v>
      </c>
      <c r="W52" s="282">
        <v>0</v>
      </c>
      <c r="Y52" s="311">
        <v>30522.590661271715</v>
      </c>
      <c r="Z52" s="192">
        <f t="shared" si="22"/>
        <v>31619.08120046011</v>
      </c>
      <c r="AA52" t="str">
        <f t="shared" si="23"/>
        <v>-</v>
      </c>
      <c r="AB52" t="str">
        <f t="shared" si="24"/>
        <v>-</v>
      </c>
      <c r="AC52" s="523"/>
      <c r="AD52" s="34">
        <f>C52-GAAP!C58</f>
        <v>465321</v>
      </c>
      <c r="AF52" s="64">
        <f t="shared" si="172"/>
        <v>1240321</v>
      </c>
      <c r="AG52" s="64">
        <f t="shared" si="173"/>
        <v>1162321</v>
      </c>
      <c r="AH52" s="64">
        <f t="shared" si="174"/>
        <v>78000</v>
      </c>
      <c r="AI52" s="217">
        <f t="shared" si="175"/>
        <v>0.79668810079143371</v>
      </c>
      <c r="AJ52" s="98">
        <f t="shared" si="176"/>
        <v>62141.671861731826</v>
      </c>
      <c r="AK52" s="98">
        <f t="shared" si="177"/>
        <v>988148.98186173185</v>
      </c>
      <c r="AL52" s="98">
        <f t="shared" si="178"/>
        <v>153973.01813826815</v>
      </c>
      <c r="AM52" s="98">
        <f t="shared" si="179"/>
        <v>236313.68999999994</v>
      </c>
      <c r="AN52" s="98">
        <f t="shared" si="180"/>
        <v>98199</v>
      </c>
      <c r="AO52" s="222">
        <f>GAAP!P58</f>
        <v>0</v>
      </c>
      <c r="AP52" s="129">
        <f t="shared" si="181"/>
        <v>62141.671861731826</v>
      </c>
    </row>
    <row r="53" spans="1:42" ht="13.5">
      <c r="A53" s="258">
        <v>52.868699999999997</v>
      </c>
      <c r="B53" s="57" t="s">
        <v>505</v>
      </c>
      <c r="C53" s="163">
        <v>877954</v>
      </c>
      <c r="D53" s="354">
        <f t="shared" si="158"/>
        <v>790771.4800000001</v>
      </c>
      <c r="E53" s="163">
        <v>87182.519999999902</v>
      </c>
      <c r="F53" s="163">
        <v>740629.43</v>
      </c>
      <c r="G53" s="217">
        <f t="shared" si="159"/>
        <v>0.93659097315952766</v>
      </c>
      <c r="H53" s="149">
        <v>81654.361249299895</v>
      </c>
      <c r="I53" s="214">
        <f t="shared" si="149"/>
        <v>822283.79124929989</v>
      </c>
      <c r="J53" s="149">
        <v>827811.95</v>
      </c>
      <c r="K53" s="214">
        <f t="shared" ref="K53:K55" si="182">J53-I53</f>
        <v>5528.1587507000659</v>
      </c>
      <c r="L53" s="214">
        <f t="shared" ref="L53:L55" si="183">+D53-F53</f>
        <v>50142.050000000047</v>
      </c>
      <c r="M53" s="214">
        <f t="shared" ref="M53:M55" si="184">+C53-J53</f>
        <v>50142.050000000047</v>
      </c>
      <c r="N53" s="222"/>
      <c r="O53" s="222"/>
      <c r="P53" s="222"/>
      <c r="Q53" s="214">
        <f t="shared" ref="Q53:Q55" si="185">F53-N53</f>
        <v>740629.43</v>
      </c>
      <c r="R53" s="214">
        <f t="shared" ref="R53:R55" si="186">+J53-O53</f>
        <v>827811.95</v>
      </c>
      <c r="S53" s="214">
        <f t="shared" ref="S53:S55" si="187">+H53-P53</f>
        <v>81654.361249299895</v>
      </c>
      <c r="T53" s="273" t="s">
        <v>510</v>
      </c>
      <c r="U53" s="273"/>
      <c r="V53" s="57" t="str">
        <f t="shared" si="166"/>
        <v>.</v>
      </c>
      <c r="Y53" s="311">
        <v>75218.546929604359</v>
      </c>
      <c r="Z53" s="192">
        <f t="shared" ref="Z53:Z66" si="188">S53-Y53</f>
        <v>6435.8143196955352</v>
      </c>
      <c r="AA53" t="str">
        <f t="shared" ref="AA53:AA66" si="189">IF(L53&lt;0,"CHECK","-")</f>
        <v>-</v>
      </c>
      <c r="AB53" t="str">
        <f t="shared" ref="AB53:AB66" si="190">IF(M53&lt;0,"CHECK","-")</f>
        <v>-</v>
      </c>
      <c r="AC53" s="523"/>
      <c r="AD53" s="34"/>
      <c r="AF53" s="64">
        <f t="shared" si="172"/>
        <v>877954</v>
      </c>
      <c r="AG53" s="64">
        <f t="shared" si="173"/>
        <v>790771.4800000001</v>
      </c>
      <c r="AH53" s="64">
        <f t="shared" si="174"/>
        <v>87182.519999999902</v>
      </c>
      <c r="AI53" s="217">
        <f t="shared" si="175"/>
        <v>0.93659097315952766</v>
      </c>
      <c r="AJ53" s="98">
        <f t="shared" si="176"/>
        <v>81654.361249299895</v>
      </c>
      <c r="AK53" s="98">
        <f t="shared" si="177"/>
        <v>822283.79124929989</v>
      </c>
      <c r="AL53" s="98">
        <f t="shared" si="178"/>
        <v>5528.1587507000659</v>
      </c>
      <c r="AM53" s="98">
        <f t="shared" si="179"/>
        <v>50142.050000000047</v>
      </c>
      <c r="AN53" s="98">
        <f t="shared" si="180"/>
        <v>50142.050000000047</v>
      </c>
      <c r="AO53" s="222">
        <f>GAAP!P63</f>
        <v>0</v>
      </c>
      <c r="AP53" s="129">
        <f t="shared" si="181"/>
        <v>81654.361249299895</v>
      </c>
    </row>
    <row r="54" spans="1:42" ht="13.5">
      <c r="A54" s="258">
        <v>52.869199999999999</v>
      </c>
      <c r="B54" s="57" t="s">
        <v>569</v>
      </c>
      <c r="C54" s="163">
        <v>55135.37</v>
      </c>
      <c r="D54" s="354">
        <f t="shared" si="158"/>
        <v>49682.49</v>
      </c>
      <c r="E54" s="163">
        <v>5452.8800000000047</v>
      </c>
      <c r="F54" s="163">
        <v>49682.49</v>
      </c>
      <c r="G54" s="217">
        <f t="shared" si="159"/>
        <v>1</v>
      </c>
      <c r="H54" s="149">
        <v>5452.8800000000047</v>
      </c>
      <c r="I54" s="214">
        <f t="shared" si="149"/>
        <v>55135.37</v>
      </c>
      <c r="J54" s="149">
        <v>55135.37</v>
      </c>
      <c r="K54" s="214">
        <f t="shared" si="182"/>
        <v>0</v>
      </c>
      <c r="L54" s="214">
        <f t="shared" si="183"/>
        <v>0</v>
      </c>
      <c r="M54" s="214">
        <f t="shared" si="184"/>
        <v>0</v>
      </c>
      <c r="N54" s="222"/>
      <c r="O54" s="222"/>
      <c r="P54" s="222"/>
      <c r="Q54" s="214">
        <f t="shared" si="185"/>
        <v>49682.49</v>
      </c>
      <c r="R54" s="214">
        <f t="shared" si="186"/>
        <v>55135.37</v>
      </c>
      <c r="S54" s="214">
        <f t="shared" si="187"/>
        <v>5452.8800000000047</v>
      </c>
      <c r="T54" s="273" t="s">
        <v>510</v>
      </c>
      <c r="U54" s="273"/>
      <c r="V54" s="57" t="str">
        <f t="shared" si="166"/>
        <v>&lt; 250k</v>
      </c>
      <c r="Y54" s="311">
        <v>5452.8800000000047</v>
      </c>
      <c r="Z54" s="192">
        <f t="shared" si="188"/>
        <v>0</v>
      </c>
      <c r="AA54" t="str">
        <f t="shared" si="189"/>
        <v>-</v>
      </c>
      <c r="AB54" t="str">
        <f t="shared" si="190"/>
        <v>-</v>
      </c>
      <c r="AC54" s="523"/>
      <c r="AD54" s="34"/>
      <c r="AF54" s="64">
        <f t="shared" si="172"/>
        <v>55135.37</v>
      </c>
      <c r="AG54" s="64">
        <f t="shared" si="173"/>
        <v>49682.49</v>
      </c>
      <c r="AH54" s="64">
        <f t="shared" si="174"/>
        <v>5452.8800000000047</v>
      </c>
      <c r="AI54" s="217">
        <f t="shared" si="175"/>
        <v>1</v>
      </c>
      <c r="AJ54" s="98">
        <f t="shared" si="176"/>
        <v>5452.8800000000047</v>
      </c>
      <c r="AK54" s="98">
        <f t="shared" si="177"/>
        <v>55135.37</v>
      </c>
      <c r="AL54" s="98">
        <f t="shared" si="178"/>
        <v>0</v>
      </c>
      <c r="AM54" s="98">
        <f t="shared" si="179"/>
        <v>0</v>
      </c>
      <c r="AN54" s="98">
        <f t="shared" si="180"/>
        <v>0</v>
      </c>
      <c r="AO54" s="222">
        <f>GAAP!P68</f>
        <v>-83000</v>
      </c>
      <c r="AP54" s="129">
        <f t="shared" si="181"/>
        <v>88452.88</v>
      </c>
    </row>
    <row r="55" spans="1:42" ht="13.5">
      <c r="A55" s="258">
        <v>52.869700000000002</v>
      </c>
      <c r="B55" s="57" t="s">
        <v>580</v>
      </c>
      <c r="C55" s="163">
        <v>1388000</v>
      </c>
      <c r="D55" s="354">
        <f t="shared" si="158"/>
        <v>1325482</v>
      </c>
      <c r="E55" s="163">
        <v>62518</v>
      </c>
      <c r="F55" s="163">
        <v>772187.73</v>
      </c>
      <c r="G55" s="217">
        <f t="shared" si="159"/>
        <v>0.58257126841405615</v>
      </c>
      <c r="H55" s="149">
        <v>36421.190558709961</v>
      </c>
      <c r="I55" s="214">
        <f t="shared" si="149"/>
        <v>808608.92055870988</v>
      </c>
      <c r="J55" s="149">
        <v>1069317</v>
      </c>
      <c r="K55" s="214">
        <f t="shared" si="182"/>
        <v>260708.07944129012</v>
      </c>
      <c r="L55" s="214">
        <f t="shared" si="183"/>
        <v>553294.27</v>
      </c>
      <c r="M55" s="214">
        <f t="shared" si="184"/>
        <v>318683</v>
      </c>
      <c r="N55" s="222"/>
      <c r="O55" s="222"/>
      <c r="P55" s="222"/>
      <c r="Q55" s="214">
        <f t="shared" si="185"/>
        <v>772187.73</v>
      </c>
      <c r="R55" s="214">
        <f t="shared" si="186"/>
        <v>1069317</v>
      </c>
      <c r="S55" s="214">
        <f t="shared" si="187"/>
        <v>36421.190558709961</v>
      </c>
      <c r="T55" s="273" t="s">
        <v>510</v>
      </c>
      <c r="U55" s="273"/>
      <c r="V55" s="57" t="str">
        <f t="shared" si="166"/>
        <v>.</v>
      </c>
      <c r="Y55" s="311">
        <v>26699.324177091807</v>
      </c>
      <c r="Z55" s="192">
        <f t="shared" si="188"/>
        <v>9721.8663816181543</v>
      </c>
      <c r="AA55" t="str">
        <f t="shared" si="189"/>
        <v>-</v>
      </c>
      <c r="AB55" t="str">
        <f t="shared" si="190"/>
        <v>-</v>
      </c>
      <c r="AC55" s="523"/>
      <c r="AD55" s="34"/>
      <c r="AF55" s="64"/>
      <c r="AG55" s="64"/>
      <c r="AH55" s="64"/>
      <c r="AI55" s="217"/>
      <c r="AJ55" s="98"/>
      <c r="AK55" s="98"/>
      <c r="AL55" s="98"/>
      <c r="AM55" s="98"/>
      <c r="AN55" s="98"/>
      <c r="AO55" s="222"/>
      <c r="AP55" s="129"/>
    </row>
    <row r="56" spans="1:42" ht="13.5">
      <c r="A56" s="258">
        <v>52.869799999999998</v>
      </c>
      <c r="B56" s="57" t="s">
        <v>712</v>
      </c>
      <c r="C56" s="163">
        <v>22713</v>
      </c>
      <c r="D56" s="354">
        <f t="shared" si="158"/>
        <v>16128</v>
      </c>
      <c r="E56" s="163">
        <v>6585</v>
      </c>
      <c r="F56" s="163">
        <v>15264</v>
      </c>
      <c r="G56" s="217">
        <f t="shared" si="159"/>
        <v>0.9464285714285714</v>
      </c>
      <c r="H56" s="149">
        <v>6232.2321428571422</v>
      </c>
      <c r="I56" s="214">
        <f t="shared" si="149"/>
        <v>21496.232142857141</v>
      </c>
      <c r="J56" s="149">
        <v>0</v>
      </c>
      <c r="K56" s="214">
        <f t="shared" ref="K56:K63" si="191">J56-I56</f>
        <v>-21496.232142857141</v>
      </c>
      <c r="L56" s="214">
        <f t="shared" ref="L56:L63" si="192">+D56-F56</f>
        <v>864</v>
      </c>
      <c r="M56" s="214">
        <f t="shared" ref="M56:M63" si="193">+C56-J56</f>
        <v>22713</v>
      </c>
      <c r="N56" s="222"/>
      <c r="O56" s="222"/>
      <c r="P56" s="222"/>
      <c r="Q56" s="214">
        <f t="shared" ref="Q56:Q63" si="194">F56-N56</f>
        <v>15264</v>
      </c>
      <c r="R56" s="214">
        <f t="shared" ref="R56:R63" si="195">+J56-O56</f>
        <v>0</v>
      </c>
      <c r="S56" s="214">
        <f t="shared" ref="S56:S63" si="196">+H56-P56</f>
        <v>6232.2321428571422</v>
      </c>
      <c r="T56" s="273" t="s">
        <v>510</v>
      </c>
      <c r="U56" s="273"/>
      <c r="V56" s="57" t="str">
        <f t="shared" si="166"/>
        <v>&lt; 250k</v>
      </c>
      <c r="Z56" s="192">
        <f t="shared" ref="Z56:Z63" si="197">S56-Y56</f>
        <v>6232.2321428571422</v>
      </c>
      <c r="AA56" t="str">
        <f t="shared" ref="AA56:AA63" si="198">IF(L56&lt;0,"CHECK","-")</f>
        <v>-</v>
      </c>
      <c r="AB56" t="str">
        <f t="shared" ref="AB56:AB63" si="199">IF(M56&lt;0,"CHECK","-")</f>
        <v>-</v>
      </c>
      <c r="AC56" s="523"/>
      <c r="AD56" s="34"/>
      <c r="AF56" s="64"/>
      <c r="AG56" s="64"/>
      <c r="AH56" s="64"/>
      <c r="AI56" s="217"/>
      <c r="AJ56" s="98"/>
      <c r="AK56" s="98"/>
      <c r="AL56" s="98"/>
      <c r="AM56" s="98"/>
      <c r="AN56" s="98"/>
      <c r="AO56" s="222"/>
      <c r="AP56" s="129"/>
    </row>
    <row r="57" spans="1:42" ht="13.5">
      <c r="A57" s="258">
        <v>52.870399999999997</v>
      </c>
      <c r="B57" s="57" t="s">
        <v>680</v>
      </c>
      <c r="C57" s="163">
        <v>13744000</v>
      </c>
      <c r="D57" s="354">
        <f t="shared" si="158"/>
        <v>13491127</v>
      </c>
      <c r="E57" s="163">
        <v>252873</v>
      </c>
      <c r="F57" s="163">
        <v>820988.3</v>
      </c>
      <c r="G57" s="217">
        <f t="shared" si="159"/>
        <v>6.0853944966940125E-2</v>
      </c>
      <c r="H57" s="149">
        <v>0</v>
      </c>
      <c r="I57" s="214">
        <f t="shared" si="149"/>
        <v>820988.3</v>
      </c>
      <c r="J57" s="149">
        <v>1037950</v>
      </c>
      <c r="K57" s="214">
        <f t="shared" si="191"/>
        <v>216961.69999999995</v>
      </c>
      <c r="L57" s="214">
        <f t="shared" si="192"/>
        <v>12670138.699999999</v>
      </c>
      <c r="M57" s="214">
        <f t="shared" si="193"/>
        <v>12706050</v>
      </c>
      <c r="N57" s="222"/>
      <c r="O57" s="222"/>
      <c r="P57" s="222"/>
      <c r="Q57" s="214">
        <f t="shared" si="194"/>
        <v>820988.3</v>
      </c>
      <c r="R57" s="214">
        <f t="shared" si="195"/>
        <v>1037950</v>
      </c>
      <c r="S57" s="214">
        <f t="shared" si="196"/>
        <v>0</v>
      </c>
      <c r="T57" s="273" t="s">
        <v>510</v>
      </c>
      <c r="U57" s="273"/>
      <c r="V57" s="57" t="str">
        <f t="shared" si="166"/>
        <v>.</v>
      </c>
      <c r="Y57" s="311">
        <v>0</v>
      </c>
      <c r="Z57" s="192">
        <f t="shared" si="197"/>
        <v>0</v>
      </c>
      <c r="AA57" t="str">
        <f t="shared" si="198"/>
        <v>-</v>
      </c>
      <c r="AB57" t="str">
        <f t="shared" si="199"/>
        <v>-</v>
      </c>
      <c r="AC57" s="523"/>
      <c r="AD57" s="34"/>
      <c r="AF57" s="64"/>
      <c r="AG57" s="64"/>
      <c r="AH57" s="64"/>
      <c r="AI57" s="217"/>
      <c r="AJ57" s="98"/>
      <c r="AK57" s="98"/>
      <c r="AL57" s="98"/>
      <c r="AM57" s="98"/>
      <c r="AN57" s="98"/>
      <c r="AO57" s="222"/>
      <c r="AP57" s="129"/>
    </row>
    <row r="58" spans="1:42" ht="13.5">
      <c r="A58" s="258">
        <v>52.8705</v>
      </c>
      <c r="B58" s="57" t="s">
        <v>681</v>
      </c>
      <c r="C58" s="163">
        <v>775000</v>
      </c>
      <c r="D58" s="354">
        <f t="shared" si="158"/>
        <v>719260</v>
      </c>
      <c r="E58" s="163">
        <v>55740</v>
      </c>
      <c r="F58" s="163">
        <v>285425.71999999997</v>
      </c>
      <c r="G58" s="217">
        <f t="shared" si="159"/>
        <v>0.39683246670188799</v>
      </c>
      <c r="H58" s="149">
        <v>22119.441693963236</v>
      </c>
      <c r="I58" s="214">
        <f t="shared" si="149"/>
        <v>307545.16169396322</v>
      </c>
      <c r="J58" s="149">
        <v>261232</v>
      </c>
      <c r="K58" s="214">
        <f t="shared" si="191"/>
        <v>-46313.161693963222</v>
      </c>
      <c r="L58" s="214">
        <f t="shared" si="192"/>
        <v>433834.28</v>
      </c>
      <c r="M58" s="214">
        <f t="shared" si="193"/>
        <v>513768</v>
      </c>
      <c r="N58" s="222"/>
      <c r="O58" s="222"/>
      <c r="P58" s="222"/>
      <c r="Q58" s="214">
        <f t="shared" si="194"/>
        <v>285425.71999999997</v>
      </c>
      <c r="R58" s="214">
        <f t="shared" si="195"/>
        <v>261232</v>
      </c>
      <c r="S58" s="214">
        <f t="shared" si="196"/>
        <v>22119.441693963236</v>
      </c>
      <c r="T58" s="273" t="s">
        <v>510</v>
      </c>
      <c r="U58" s="273"/>
      <c r="V58" s="57" t="str">
        <f t="shared" si="166"/>
        <v>.</v>
      </c>
      <c r="Y58" s="311">
        <v>0</v>
      </c>
      <c r="Z58" s="192">
        <f t="shared" si="197"/>
        <v>22119.441693963236</v>
      </c>
      <c r="AA58" t="str">
        <f t="shared" si="198"/>
        <v>-</v>
      </c>
      <c r="AB58" t="str">
        <f t="shared" si="199"/>
        <v>-</v>
      </c>
      <c r="AC58" s="523"/>
      <c r="AD58" s="34"/>
      <c r="AF58" s="64"/>
      <c r="AG58" s="64"/>
      <c r="AH58" s="64"/>
      <c r="AI58" s="217"/>
      <c r="AJ58" s="98"/>
      <c r="AK58" s="98"/>
      <c r="AL58" s="98"/>
      <c r="AM58" s="98"/>
      <c r="AN58" s="98"/>
      <c r="AO58" s="222"/>
      <c r="AP58" s="129"/>
    </row>
    <row r="59" spans="1:42" ht="13.5">
      <c r="A59" s="258">
        <v>52.870699999999999</v>
      </c>
      <c r="B59" s="57" t="s">
        <v>682</v>
      </c>
      <c r="C59" s="163">
        <v>3693200</v>
      </c>
      <c r="D59" s="354">
        <f t="shared" si="158"/>
        <v>3461577</v>
      </c>
      <c r="E59" s="163">
        <v>231623</v>
      </c>
      <c r="F59" s="163">
        <v>1012057.14</v>
      </c>
      <c r="G59" s="217">
        <f t="shared" si="159"/>
        <v>0.29236880762727507</v>
      </c>
      <c r="H59" s="149">
        <v>67719.340329052327</v>
      </c>
      <c r="I59" s="214">
        <f t="shared" si="149"/>
        <v>1079776.4803290523</v>
      </c>
      <c r="J59" s="149">
        <v>913135</v>
      </c>
      <c r="K59" s="214">
        <f t="shared" si="191"/>
        <v>-166641.48032905231</v>
      </c>
      <c r="L59" s="214">
        <f t="shared" si="192"/>
        <v>2449519.86</v>
      </c>
      <c r="M59" s="214">
        <f t="shared" si="193"/>
        <v>2780065</v>
      </c>
      <c r="N59" s="222"/>
      <c r="O59" s="222"/>
      <c r="P59" s="222"/>
      <c r="Q59" s="214">
        <f t="shared" si="194"/>
        <v>1012057.14</v>
      </c>
      <c r="R59" s="214">
        <f t="shared" si="195"/>
        <v>913135</v>
      </c>
      <c r="S59" s="214">
        <f t="shared" si="196"/>
        <v>67719.340329052327</v>
      </c>
      <c r="T59" s="273" t="s">
        <v>510</v>
      </c>
      <c r="U59" s="273"/>
      <c r="V59" s="57" t="str">
        <f t="shared" si="166"/>
        <v>.</v>
      </c>
      <c r="Y59" s="311">
        <v>0</v>
      </c>
      <c r="Z59" s="192">
        <f t="shared" si="197"/>
        <v>67719.340329052327</v>
      </c>
      <c r="AA59" t="str">
        <f t="shared" si="198"/>
        <v>-</v>
      </c>
      <c r="AB59" t="str">
        <f t="shared" si="199"/>
        <v>-</v>
      </c>
      <c r="AC59" s="523"/>
      <c r="AD59" s="34"/>
      <c r="AF59" s="64"/>
      <c r="AG59" s="64"/>
      <c r="AH59" s="64"/>
      <c r="AI59" s="217"/>
      <c r="AJ59" s="98"/>
      <c r="AK59" s="98"/>
      <c r="AL59" s="98"/>
      <c r="AM59" s="98"/>
      <c r="AN59" s="98"/>
      <c r="AO59" s="222"/>
      <c r="AP59" s="129"/>
    </row>
    <row r="60" spans="1:42" ht="13.5">
      <c r="A60" s="258">
        <v>52.870800000000003</v>
      </c>
      <c r="B60" s="57" t="s">
        <v>689</v>
      </c>
      <c r="C60" s="163">
        <v>363833</v>
      </c>
      <c r="D60" s="354">
        <f t="shared" si="158"/>
        <v>333757</v>
      </c>
      <c r="E60" s="163">
        <v>30076</v>
      </c>
      <c r="F60" s="163">
        <v>7682.19</v>
      </c>
      <c r="G60" s="217">
        <f t="shared" si="159"/>
        <v>2.3017314992644349E-2</v>
      </c>
      <c r="H60" s="149">
        <v>0</v>
      </c>
      <c r="I60" s="214">
        <f t="shared" si="149"/>
        <v>7682.19</v>
      </c>
      <c r="J60" s="149">
        <v>0</v>
      </c>
      <c r="K60" s="214">
        <f t="shared" si="191"/>
        <v>-7682.19</v>
      </c>
      <c r="L60" s="214">
        <f t="shared" si="192"/>
        <v>326074.81</v>
      </c>
      <c r="M60" s="214">
        <f t="shared" si="193"/>
        <v>363833</v>
      </c>
      <c r="N60" s="222"/>
      <c r="O60" s="222"/>
      <c r="P60" s="222"/>
      <c r="Q60" s="214">
        <f t="shared" si="194"/>
        <v>7682.19</v>
      </c>
      <c r="R60" s="214">
        <f t="shared" si="195"/>
        <v>0</v>
      </c>
      <c r="S60" s="214">
        <f t="shared" si="196"/>
        <v>0</v>
      </c>
      <c r="T60" s="273" t="s">
        <v>510</v>
      </c>
      <c r="U60" s="273"/>
      <c r="V60" s="57" t="str">
        <f t="shared" si="166"/>
        <v>.</v>
      </c>
      <c r="Y60" s="311">
        <v>0</v>
      </c>
      <c r="Z60" s="192">
        <f t="shared" si="197"/>
        <v>0</v>
      </c>
      <c r="AA60" t="str">
        <f t="shared" si="198"/>
        <v>-</v>
      </c>
      <c r="AB60" t="str">
        <f t="shared" si="199"/>
        <v>-</v>
      </c>
      <c r="AC60" s="523"/>
      <c r="AD60" s="34"/>
      <c r="AF60" s="64"/>
      <c r="AG60" s="64"/>
      <c r="AH60" s="64"/>
      <c r="AI60" s="217"/>
      <c r="AJ60" s="98"/>
      <c r="AK60" s="98"/>
      <c r="AL60" s="98"/>
      <c r="AM60" s="98"/>
      <c r="AN60" s="98"/>
      <c r="AO60" s="222"/>
      <c r="AP60" s="129"/>
    </row>
    <row r="61" spans="1:42" ht="13.5">
      <c r="A61" s="258">
        <v>52.871099999999998</v>
      </c>
      <c r="B61" s="57" t="s">
        <v>708</v>
      </c>
      <c r="C61" s="163">
        <v>6860</v>
      </c>
      <c r="D61" s="354">
        <f t="shared" si="158"/>
        <v>6315</v>
      </c>
      <c r="E61" s="163">
        <v>545</v>
      </c>
      <c r="F61" s="163">
        <v>4568.8100000000004</v>
      </c>
      <c r="G61" s="217">
        <f t="shared" si="159"/>
        <v>0.72348535233570865</v>
      </c>
      <c r="H61" s="149">
        <v>394.2995170229612</v>
      </c>
      <c r="I61" s="214">
        <f t="shared" si="149"/>
        <v>4963.1095170229619</v>
      </c>
      <c r="J61" s="149">
        <v>0</v>
      </c>
      <c r="K61" s="214">
        <f t="shared" si="191"/>
        <v>-4963.1095170229619</v>
      </c>
      <c r="L61" s="214">
        <f t="shared" si="192"/>
        <v>1746.1899999999996</v>
      </c>
      <c r="M61" s="214">
        <f t="shared" si="193"/>
        <v>6860</v>
      </c>
      <c r="N61" s="222"/>
      <c r="O61" s="222"/>
      <c r="P61" s="222"/>
      <c r="Q61" s="214">
        <f t="shared" si="194"/>
        <v>4568.8100000000004</v>
      </c>
      <c r="R61" s="214">
        <f t="shared" si="195"/>
        <v>0</v>
      </c>
      <c r="S61" s="214">
        <f t="shared" si="196"/>
        <v>394.2995170229612</v>
      </c>
      <c r="T61" s="273" t="s">
        <v>510</v>
      </c>
      <c r="U61" s="273"/>
      <c r="V61" s="57" t="str">
        <f t="shared" si="166"/>
        <v>&lt; 250k</v>
      </c>
      <c r="Z61" s="192">
        <f t="shared" si="197"/>
        <v>394.2995170229612</v>
      </c>
      <c r="AA61" t="str">
        <f t="shared" si="198"/>
        <v>-</v>
      </c>
      <c r="AB61" t="str">
        <f t="shared" si="199"/>
        <v>-</v>
      </c>
      <c r="AC61" s="523"/>
      <c r="AD61" s="34"/>
      <c r="AF61" s="64"/>
      <c r="AG61" s="64"/>
      <c r="AH61" s="64"/>
      <c r="AI61" s="217"/>
      <c r="AJ61" s="98"/>
      <c r="AK61" s="98"/>
      <c r="AL61" s="98"/>
      <c r="AM61" s="98"/>
      <c r="AN61" s="98"/>
      <c r="AO61" s="222"/>
      <c r="AP61" s="129"/>
    </row>
    <row r="62" spans="1:42" ht="13.5">
      <c r="A62" s="258">
        <v>52.871299999999998</v>
      </c>
      <c r="B62" s="57" t="s">
        <v>709</v>
      </c>
      <c r="C62" s="163">
        <v>218842</v>
      </c>
      <c r="D62" s="354">
        <f t="shared" si="158"/>
        <v>190439</v>
      </c>
      <c r="E62" s="163">
        <v>28403</v>
      </c>
      <c r="F62" s="163">
        <v>927.5</v>
      </c>
      <c r="G62" s="217">
        <f t="shared" si="159"/>
        <v>4.8703259311380547E-3</v>
      </c>
      <c r="H62" s="149">
        <v>0</v>
      </c>
      <c r="I62" s="214">
        <f t="shared" si="149"/>
        <v>927.5</v>
      </c>
      <c r="J62" s="149">
        <v>0</v>
      </c>
      <c r="K62" s="214">
        <f t="shared" si="191"/>
        <v>-927.5</v>
      </c>
      <c r="L62" s="214">
        <f t="shared" si="192"/>
        <v>189511.5</v>
      </c>
      <c r="M62" s="214">
        <f t="shared" si="193"/>
        <v>218842</v>
      </c>
      <c r="N62" s="222"/>
      <c r="O62" s="222"/>
      <c r="P62" s="222"/>
      <c r="Q62" s="214">
        <f t="shared" si="194"/>
        <v>927.5</v>
      </c>
      <c r="R62" s="214">
        <f t="shared" si="195"/>
        <v>0</v>
      </c>
      <c r="S62" s="214">
        <f t="shared" si="196"/>
        <v>0</v>
      </c>
      <c r="T62" s="273" t="s">
        <v>510</v>
      </c>
      <c r="U62" s="273"/>
      <c r="V62" s="57" t="str">
        <f t="shared" si="166"/>
        <v>&lt; 250k</v>
      </c>
      <c r="Z62" s="192">
        <f t="shared" si="197"/>
        <v>0</v>
      </c>
      <c r="AA62" t="str">
        <f t="shared" si="198"/>
        <v>-</v>
      </c>
      <c r="AB62" t="str">
        <f t="shared" si="199"/>
        <v>-</v>
      </c>
      <c r="AC62" s="523"/>
      <c r="AD62" s="34"/>
      <c r="AF62" s="64"/>
      <c r="AG62" s="64"/>
      <c r="AH62" s="64"/>
      <c r="AI62" s="217"/>
      <c r="AJ62" s="98"/>
      <c r="AK62" s="98"/>
      <c r="AL62" s="98"/>
      <c r="AM62" s="98"/>
      <c r="AN62" s="98"/>
      <c r="AO62" s="222"/>
      <c r="AP62" s="129"/>
    </row>
    <row r="63" spans="1:42" ht="13.5">
      <c r="A63" s="258">
        <v>52.871400000000001</v>
      </c>
      <c r="B63" s="57" t="s">
        <v>710</v>
      </c>
      <c r="C63" s="163">
        <v>5084.9399999999996</v>
      </c>
      <c r="D63" s="354">
        <f t="shared" si="158"/>
        <v>4465.6099999999997</v>
      </c>
      <c r="E63" s="163">
        <v>619.32999999999993</v>
      </c>
      <c r="F63" s="163">
        <v>4465.6099999999997</v>
      </c>
      <c r="G63" s="217">
        <f t="shared" si="159"/>
        <v>1</v>
      </c>
      <c r="H63" s="149">
        <v>619.32999999999993</v>
      </c>
      <c r="I63" s="214">
        <f t="shared" si="149"/>
        <v>5084.9399999999996</v>
      </c>
      <c r="J63" s="149">
        <v>5084.9399999999996</v>
      </c>
      <c r="K63" s="214">
        <f t="shared" si="191"/>
        <v>0</v>
      </c>
      <c r="L63" s="214">
        <f t="shared" si="192"/>
        <v>0</v>
      </c>
      <c r="M63" s="214">
        <f t="shared" si="193"/>
        <v>0</v>
      </c>
      <c r="N63" s="222"/>
      <c r="O63" s="222"/>
      <c r="P63" s="222"/>
      <c r="Q63" s="214">
        <f t="shared" si="194"/>
        <v>4465.6099999999997</v>
      </c>
      <c r="R63" s="214">
        <f t="shared" si="195"/>
        <v>5084.9399999999996</v>
      </c>
      <c r="S63" s="214">
        <f t="shared" si="196"/>
        <v>619.32999999999993</v>
      </c>
      <c r="T63" s="273" t="s">
        <v>510</v>
      </c>
      <c r="U63" s="273"/>
      <c r="V63" s="57" t="str">
        <f t="shared" si="166"/>
        <v>&lt; 250k</v>
      </c>
      <c r="Z63" s="192">
        <f t="shared" si="197"/>
        <v>619.32999999999993</v>
      </c>
      <c r="AA63" t="str">
        <f t="shared" si="198"/>
        <v>-</v>
      </c>
      <c r="AB63" t="str">
        <f t="shared" si="199"/>
        <v>-</v>
      </c>
      <c r="AC63" s="523"/>
      <c r="AD63" s="34"/>
      <c r="AF63" s="64"/>
      <c r="AG63" s="64"/>
      <c r="AH63" s="64"/>
      <c r="AI63" s="217"/>
      <c r="AJ63" s="98"/>
      <c r="AK63" s="98"/>
      <c r="AL63" s="98"/>
      <c r="AM63" s="98"/>
      <c r="AN63" s="98"/>
      <c r="AO63" s="222"/>
      <c r="AP63" s="129"/>
    </row>
    <row r="64" spans="1:42" ht="13.5" hidden="1">
      <c r="A64" s="258"/>
      <c r="B64" s="57"/>
      <c r="C64" s="163"/>
      <c r="D64" s="354"/>
      <c r="E64" s="163"/>
      <c r="F64" s="163"/>
      <c r="G64" s="217"/>
      <c r="H64" s="149"/>
      <c r="I64" s="214"/>
      <c r="J64" s="149"/>
      <c r="K64" s="214"/>
      <c r="L64" s="214"/>
      <c r="M64" s="214"/>
      <c r="N64" s="222"/>
      <c r="O64" s="222"/>
      <c r="P64" s="222"/>
      <c r="Q64" s="214"/>
      <c r="R64" s="214"/>
      <c r="S64" s="214"/>
      <c r="T64" s="273"/>
      <c r="U64" s="273"/>
      <c r="V64" s="57"/>
      <c r="Z64" s="192">
        <f t="shared" si="188"/>
        <v>0</v>
      </c>
      <c r="AA64" t="str">
        <f t="shared" si="189"/>
        <v>-</v>
      </c>
      <c r="AB64" t="str">
        <f t="shared" si="190"/>
        <v>-</v>
      </c>
      <c r="AD64" s="34"/>
      <c r="AF64" s="64">
        <f t="shared" ref="AF64" si="200">C64</f>
        <v>0</v>
      </c>
      <c r="AG64" s="64">
        <f t="shared" ref="AG64" si="201">D64</f>
        <v>0</v>
      </c>
      <c r="AH64" s="64">
        <f t="shared" ref="AH64" si="202">E64</f>
        <v>0</v>
      </c>
      <c r="AI64" s="217">
        <f t="shared" ref="AI64:AI65" si="203">IF(AG64&lt;&gt;0,+F64/AG64,0)</f>
        <v>0</v>
      </c>
      <c r="AJ64" s="98">
        <f t="shared" ref="AJ64" si="204">IF(AH64&lt;=0,AH64,IF(G64&lt;0.1,0,IF(G64&lt;=1,G64*AH64,AH64)))</f>
        <v>0</v>
      </c>
      <c r="AK64" s="98">
        <f t="shared" ref="AK64" si="205">+F64+AJ64</f>
        <v>0</v>
      </c>
      <c r="AL64" s="98">
        <f t="shared" ref="AL64" si="206">J64-AK64</f>
        <v>0</v>
      </c>
      <c r="AM64" s="98">
        <f t="shared" ref="AM64" si="207">+AG64-F64</f>
        <v>0</v>
      </c>
      <c r="AN64" s="98">
        <f t="shared" ref="AN64" si="208">+AF64-J64</f>
        <v>0</v>
      </c>
      <c r="AO64" s="222">
        <f>GAAP!P73</f>
        <v>145886.60538494127</v>
      </c>
      <c r="AP64" s="129">
        <f t="shared" ref="AP64" si="209">AJ64-AO64</f>
        <v>-145886.60538494127</v>
      </c>
    </row>
    <row r="65" spans="1:43" s="85" customFormat="1" ht="13.5" customHeight="1">
      <c r="A65" s="176" t="s">
        <v>330</v>
      </c>
      <c r="C65" s="355">
        <f>SUM(C44:C64)</f>
        <v>120293584.59</v>
      </c>
      <c r="D65" s="355">
        <f>SUM(D44:D64)</f>
        <v>112445396.22999999</v>
      </c>
      <c r="E65" s="355">
        <f>SUM(E44:E64)</f>
        <v>7848188.3599999994</v>
      </c>
      <c r="F65" s="355">
        <f>SUM(F44:F64)</f>
        <v>89053141.850000009</v>
      </c>
      <c r="G65" s="217"/>
      <c r="H65" s="355">
        <f t="shared" ref="H65:S65" si="210">SUM(H44:H64)</f>
        <v>6940608.7634884585</v>
      </c>
      <c r="I65" s="355">
        <f t="shared" si="210"/>
        <v>95993750.613488436</v>
      </c>
      <c r="J65" s="355">
        <f t="shared" si="210"/>
        <v>96615921.650000006</v>
      </c>
      <c r="K65" s="355">
        <f t="shared" si="210"/>
        <v>622171.03651153541</v>
      </c>
      <c r="L65" s="355">
        <f t="shared" si="210"/>
        <v>23392254.379999995</v>
      </c>
      <c r="M65" s="355">
        <f t="shared" si="210"/>
        <v>23677662.939999998</v>
      </c>
      <c r="N65" s="355">
        <f t="shared" si="210"/>
        <v>51150072.540000007</v>
      </c>
      <c r="O65" s="355">
        <f t="shared" si="210"/>
        <v>56363057.850000001</v>
      </c>
      <c r="P65" s="355">
        <f t="shared" si="210"/>
        <v>4640594.5933084115</v>
      </c>
      <c r="Q65" s="355">
        <f t="shared" si="210"/>
        <v>37903069.310000002</v>
      </c>
      <c r="R65" s="355">
        <f t="shared" si="210"/>
        <v>40252863.799999997</v>
      </c>
      <c r="S65" s="355">
        <f t="shared" si="210"/>
        <v>2300014.1701800479</v>
      </c>
      <c r="T65" s="194"/>
      <c r="U65" s="118"/>
      <c r="V65" s="57"/>
      <c r="W65" s="282"/>
      <c r="X65" s="291"/>
      <c r="Y65" s="311">
        <v>1640651.5083137322</v>
      </c>
      <c r="Z65" s="192">
        <f t="shared" si="188"/>
        <v>659362.66186631564</v>
      </c>
      <c r="AA65" t="str">
        <f t="shared" si="189"/>
        <v>-</v>
      </c>
      <c r="AB65" t="str">
        <f t="shared" si="190"/>
        <v>-</v>
      </c>
      <c r="AD65" s="34">
        <f>C65-GAAP!C65</f>
        <v>26229.600000008941</v>
      </c>
      <c r="AF65" s="355">
        <f>SUM(AF44:AF54)</f>
        <v>100035907.05</v>
      </c>
      <c r="AG65" s="355">
        <f>SUM(AG44:AG54)</f>
        <v>92875132.569999993</v>
      </c>
      <c r="AH65" s="355">
        <f>SUM(AH44:AH54)</f>
        <v>7160774.4799999995</v>
      </c>
      <c r="AI65" s="522">
        <f t="shared" si="203"/>
        <v>0.95884807252232618</v>
      </c>
      <c r="AJ65" s="355">
        <f t="shared" ref="AJ65:AP65" si="211">SUM(AJ44:AJ54)</f>
        <v>6788678.769246852</v>
      </c>
      <c r="AK65" s="355">
        <f t="shared" si="211"/>
        <v>92918253.619246855</v>
      </c>
      <c r="AL65" s="355">
        <f t="shared" si="211"/>
        <v>410949.09075314115</v>
      </c>
      <c r="AM65" s="355">
        <f t="shared" si="211"/>
        <v>6745557.7199999923</v>
      </c>
      <c r="AN65" s="355">
        <f t="shared" si="211"/>
        <v>6706704.3399999971</v>
      </c>
      <c r="AO65" s="355" t="e">
        <f t="shared" si="211"/>
        <v>#REF!</v>
      </c>
      <c r="AP65" s="355" t="e">
        <f t="shared" si="211"/>
        <v>#REF!</v>
      </c>
      <c r="AQ65" s="355"/>
    </row>
    <row r="66" spans="1:43" ht="9.75" customHeight="1">
      <c r="A66" s="258"/>
      <c r="B66" s="57"/>
      <c r="C66" s="163"/>
      <c r="D66" s="354"/>
      <c r="E66" s="163"/>
      <c r="F66" s="163"/>
      <c r="G66" s="217"/>
      <c r="H66" s="149"/>
      <c r="I66" s="214"/>
      <c r="J66" s="149"/>
      <c r="K66" s="214"/>
      <c r="L66" s="214"/>
      <c r="M66" s="214"/>
      <c r="N66" s="222"/>
      <c r="O66" s="222"/>
      <c r="P66" s="222"/>
      <c r="Q66" s="214"/>
      <c r="R66" s="214"/>
      <c r="S66" s="214"/>
      <c r="T66" s="273"/>
      <c r="U66" s="273"/>
      <c r="V66" s="57"/>
      <c r="Z66" s="192">
        <f t="shared" si="188"/>
        <v>0</v>
      </c>
      <c r="AA66" t="str">
        <f t="shared" si="189"/>
        <v>-</v>
      </c>
      <c r="AB66" t="str">
        <f t="shared" si="190"/>
        <v>-</v>
      </c>
      <c r="AD66" s="34">
        <f>C66-GAAP!C66</f>
        <v>0</v>
      </c>
    </row>
    <row r="67" spans="1:43" ht="13.5">
      <c r="A67" s="80" t="s">
        <v>331</v>
      </c>
      <c r="B67" s="57"/>
      <c r="C67" s="163"/>
      <c r="D67" s="354"/>
      <c r="E67" s="163"/>
      <c r="F67" s="163"/>
      <c r="G67" s="217"/>
      <c r="H67" s="149"/>
      <c r="I67" s="214"/>
      <c r="J67" s="149"/>
      <c r="K67" s="214"/>
      <c r="L67" s="214"/>
      <c r="M67" s="214"/>
      <c r="N67" s="222"/>
      <c r="O67" s="222"/>
      <c r="P67" s="222"/>
      <c r="Q67" s="214"/>
      <c r="R67" s="214"/>
      <c r="S67" s="214"/>
      <c r="T67" s="273"/>
      <c r="U67" s="273"/>
      <c r="V67" s="57"/>
      <c r="Z67" s="192">
        <f t="shared" si="22"/>
        <v>0</v>
      </c>
      <c r="AA67" t="str">
        <f t="shared" si="23"/>
        <v>-</v>
      </c>
      <c r="AB67" t="str">
        <f t="shared" si="24"/>
        <v>-</v>
      </c>
      <c r="AD67" s="34">
        <f>C67-GAAP!C67</f>
        <v>0</v>
      </c>
    </row>
    <row r="68" spans="1:43" ht="13.5" customHeight="1">
      <c r="A68" s="258">
        <v>52.856699999999996</v>
      </c>
      <c r="B68" s="57" t="s">
        <v>211</v>
      </c>
      <c r="C68" s="163">
        <v>3059858.99</v>
      </c>
      <c r="D68" s="354">
        <f t="shared" ref="D68:D74" si="212">+C68-E68</f>
        <v>3128023.93</v>
      </c>
      <c r="E68" s="163">
        <v>-68164.939999999944</v>
      </c>
      <c r="F68" s="163">
        <v>3128023.93</v>
      </c>
      <c r="G68" s="217">
        <f t="shared" ref="G68:G74" si="213">IF(D68&lt;&gt;0,+F68/D68,0)</f>
        <v>1</v>
      </c>
      <c r="H68" s="149">
        <v>-68164.939999999944</v>
      </c>
      <c r="I68" s="214">
        <f t="shared" ref="I68:I74" si="214">+F68+H68</f>
        <v>3059858.99</v>
      </c>
      <c r="J68" s="149">
        <v>3059858.99</v>
      </c>
      <c r="K68" s="214">
        <f t="shared" ref="K68:K74" si="215">J68-I68</f>
        <v>0</v>
      </c>
      <c r="L68" s="214">
        <f t="shared" ref="L68:L74" si="216">+D68-F68</f>
        <v>0</v>
      </c>
      <c r="M68" s="214">
        <f t="shared" ref="M68:M72" si="217">+C68-J68</f>
        <v>0</v>
      </c>
      <c r="N68" s="222">
        <v>3093625.26</v>
      </c>
      <c r="O68" s="222">
        <v>3018499.27</v>
      </c>
      <c r="P68" s="222">
        <v>-83000</v>
      </c>
      <c r="Q68" s="214">
        <f t="shared" ref="Q68:Q74" si="218">F68-N68</f>
        <v>34398.670000000391</v>
      </c>
      <c r="R68" s="214">
        <f t="shared" ref="R68:R74" si="219">+J68-O68</f>
        <v>41359.720000000205</v>
      </c>
      <c r="S68" s="214">
        <f t="shared" ref="S68:S74" si="220">+H68-P68</f>
        <v>14835.060000000056</v>
      </c>
      <c r="T68" s="273" t="s">
        <v>190</v>
      </c>
      <c r="U68" s="185" t="s">
        <v>510</v>
      </c>
      <c r="V68" s="57" t="str">
        <f t="shared" ref="V68:V74" si="221">IF(C68&lt;250000, "&lt; 250k",".")</f>
        <v>.</v>
      </c>
      <c r="W68" s="282">
        <v>-83000</v>
      </c>
      <c r="Y68" s="311">
        <v>14835.060000000056</v>
      </c>
      <c r="Z68" s="192">
        <f t="shared" ref="Z68:Z74" si="222">S68-Y68</f>
        <v>0</v>
      </c>
      <c r="AA68" t="str">
        <f t="shared" ref="AA68:AA74" si="223">IF(L68&lt;0,"CHECK","-")</f>
        <v>-</v>
      </c>
      <c r="AB68" t="str">
        <f t="shared" ref="AB68:AB74" si="224">IF(M68&lt;0,"CHECK","-")</f>
        <v>-</v>
      </c>
      <c r="AC68" s="523"/>
      <c r="AD68" s="34">
        <f>C68-GAAP!C73</f>
        <v>1188944.0000000002</v>
      </c>
      <c r="AF68" s="64">
        <f t="shared" ref="AF68:AF74" si="225">C68</f>
        <v>3059858.99</v>
      </c>
      <c r="AG68" s="64">
        <f t="shared" ref="AG68:AG74" si="226">D68</f>
        <v>3128023.93</v>
      </c>
      <c r="AH68" s="64">
        <f t="shared" ref="AH68:AH74" si="227">E68</f>
        <v>-68164.939999999944</v>
      </c>
      <c r="AI68" s="217">
        <f t="shared" ref="AI68:AI74" si="228">IF(AG68&lt;&gt;0,+F68/AG68,0)</f>
        <v>1</v>
      </c>
      <c r="AJ68" s="98">
        <f t="shared" ref="AJ68:AJ74" si="229">IF(AH68&lt;=0,AH68,IF(G68&lt;0.1,0,IF(G68&lt;=1,G68*AH68,AH68)))</f>
        <v>-68164.939999999944</v>
      </c>
      <c r="AK68" s="98">
        <f t="shared" ref="AK68:AK74" si="230">+F68+AJ68</f>
        <v>3059858.99</v>
      </c>
      <c r="AL68" s="98">
        <f t="shared" ref="AL68:AL74" si="231">J68-AK68</f>
        <v>0</v>
      </c>
      <c r="AM68" s="98">
        <f t="shared" ref="AM68:AM74" si="232">+AG68-F68</f>
        <v>0</v>
      </c>
      <c r="AN68" s="98">
        <f t="shared" ref="AN68:AN74" si="233">+AF68-J68</f>
        <v>0</v>
      </c>
      <c r="AO68" s="222">
        <f>GAAP!P73</f>
        <v>145886.60538494127</v>
      </c>
      <c r="AP68" s="129">
        <f t="shared" ref="AP68:AP74" si="234">AJ68-AO68</f>
        <v>-214051.54538494122</v>
      </c>
    </row>
    <row r="69" spans="1:43" ht="13.5">
      <c r="A69" s="258">
        <v>52.860399999999998</v>
      </c>
      <c r="B69" s="57" t="s">
        <v>233</v>
      </c>
      <c r="C69" s="163">
        <v>5095690.97</v>
      </c>
      <c r="D69" s="354">
        <f t="shared" si="212"/>
        <v>4572503.2299999995</v>
      </c>
      <c r="E69" s="163">
        <v>523187.74000000022</v>
      </c>
      <c r="F69" s="163">
        <v>4572503.2299999995</v>
      </c>
      <c r="G69" s="217">
        <f t="shared" si="213"/>
        <v>1</v>
      </c>
      <c r="H69" s="149">
        <v>523187.74000000022</v>
      </c>
      <c r="I69" s="214">
        <f t="shared" si="214"/>
        <v>5095690.97</v>
      </c>
      <c r="J69" s="149">
        <v>5095690.97</v>
      </c>
      <c r="K69" s="214">
        <f t="shared" si="215"/>
        <v>0</v>
      </c>
      <c r="L69" s="214">
        <f t="shared" si="216"/>
        <v>0</v>
      </c>
      <c r="M69" s="214">
        <f t="shared" si="217"/>
        <v>0</v>
      </c>
      <c r="N69" s="222">
        <v>3663663.49</v>
      </c>
      <c r="O69" s="222">
        <v>4537408</v>
      </c>
      <c r="P69" s="222">
        <v>329989.13269960659</v>
      </c>
      <c r="Q69" s="214">
        <f t="shared" si="218"/>
        <v>908839.73999999929</v>
      </c>
      <c r="R69" s="214">
        <f t="shared" si="219"/>
        <v>558282.96999999974</v>
      </c>
      <c r="S69" s="214">
        <f t="shared" si="220"/>
        <v>193198.60730039363</v>
      </c>
      <c r="T69" s="273" t="s">
        <v>227</v>
      </c>
      <c r="U69" s="185" t="s">
        <v>510</v>
      </c>
      <c r="V69" s="57" t="str">
        <f t="shared" si="221"/>
        <v>.</v>
      </c>
      <c r="W69" s="282">
        <v>329989.13269960659</v>
      </c>
      <c r="Y69" s="311">
        <v>193198.60730039363</v>
      </c>
      <c r="Z69" s="192">
        <f t="shared" si="222"/>
        <v>0</v>
      </c>
      <c r="AA69" t="str">
        <f t="shared" si="223"/>
        <v>-</v>
      </c>
      <c r="AB69" t="str">
        <f t="shared" si="224"/>
        <v>-</v>
      </c>
      <c r="AC69" s="523"/>
      <c r="AD69" s="34">
        <f>C69-GAAP!C74</f>
        <v>3453890.9699999997</v>
      </c>
      <c r="AF69" s="64">
        <f t="shared" si="225"/>
        <v>5095690.97</v>
      </c>
      <c r="AG69" s="64">
        <f t="shared" si="226"/>
        <v>4572503.2299999995</v>
      </c>
      <c r="AH69" s="64">
        <f t="shared" si="227"/>
        <v>523187.74000000022</v>
      </c>
      <c r="AI69" s="217">
        <f t="shared" si="228"/>
        <v>1</v>
      </c>
      <c r="AJ69" s="98">
        <f t="shared" si="229"/>
        <v>523187.74000000022</v>
      </c>
      <c r="AK69" s="98">
        <f t="shared" si="230"/>
        <v>5095690.97</v>
      </c>
      <c r="AL69" s="98">
        <f t="shared" si="231"/>
        <v>0</v>
      </c>
      <c r="AM69" s="98">
        <f t="shared" si="232"/>
        <v>0</v>
      </c>
      <c r="AN69" s="98">
        <f t="shared" si="233"/>
        <v>0</v>
      </c>
      <c r="AO69" s="222">
        <f>GAAP!P74</f>
        <v>42676.950827370209</v>
      </c>
      <c r="AP69" s="129">
        <f t="shared" si="234"/>
        <v>480510.78917263</v>
      </c>
    </row>
    <row r="70" spans="1:43" ht="13.5">
      <c r="A70" s="258">
        <v>52.8628</v>
      </c>
      <c r="B70" s="57" t="s">
        <v>246</v>
      </c>
      <c r="C70" s="163">
        <v>5213345.5</v>
      </c>
      <c r="D70" s="354">
        <f t="shared" si="212"/>
        <v>4745798.53</v>
      </c>
      <c r="E70" s="163">
        <v>467546.96999999974</v>
      </c>
      <c r="F70" s="163">
        <v>4745798.53</v>
      </c>
      <c r="G70" s="217">
        <f t="shared" si="213"/>
        <v>1</v>
      </c>
      <c r="H70" s="149">
        <v>467546.96999999974</v>
      </c>
      <c r="I70" s="214">
        <f t="shared" si="214"/>
        <v>5213345.5</v>
      </c>
      <c r="J70" s="149">
        <v>5213345.5</v>
      </c>
      <c r="K70" s="214">
        <f t="shared" si="215"/>
        <v>0</v>
      </c>
      <c r="L70" s="214">
        <f t="shared" si="216"/>
        <v>0</v>
      </c>
      <c r="M70" s="214">
        <f t="shared" si="217"/>
        <v>0</v>
      </c>
      <c r="N70" s="222">
        <v>3841927.99</v>
      </c>
      <c r="O70" s="222">
        <v>4344899</v>
      </c>
      <c r="P70" s="222">
        <v>197224.75376923761</v>
      </c>
      <c r="Q70" s="214">
        <f t="shared" si="218"/>
        <v>903870.54</v>
      </c>
      <c r="R70" s="214">
        <f t="shared" si="219"/>
        <v>868446.5</v>
      </c>
      <c r="S70" s="214">
        <f t="shared" si="220"/>
        <v>270322.21623076213</v>
      </c>
      <c r="T70" s="273" t="s">
        <v>237</v>
      </c>
      <c r="U70" s="185" t="s">
        <v>510</v>
      </c>
      <c r="V70" s="57" t="str">
        <f t="shared" si="221"/>
        <v>.</v>
      </c>
      <c r="W70" s="282">
        <v>197224.75376923761</v>
      </c>
      <c r="Y70" s="311">
        <v>227105.5716009764</v>
      </c>
      <c r="Z70" s="192">
        <f t="shared" si="222"/>
        <v>43216.644629785733</v>
      </c>
      <c r="AA70" t="str">
        <f t="shared" si="223"/>
        <v>-</v>
      </c>
      <c r="AB70" t="str">
        <f t="shared" si="224"/>
        <v>-</v>
      </c>
      <c r="AC70" s="523"/>
      <c r="AD70" s="34">
        <f>C70-GAAP!C78</f>
        <v>4417290.2</v>
      </c>
      <c r="AF70" s="64">
        <f t="shared" si="225"/>
        <v>5213345.5</v>
      </c>
      <c r="AG70" s="64">
        <f t="shared" si="226"/>
        <v>4745798.53</v>
      </c>
      <c r="AH70" s="64">
        <f t="shared" si="227"/>
        <v>467546.96999999974</v>
      </c>
      <c r="AI70" s="217">
        <f t="shared" si="228"/>
        <v>1</v>
      </c>
      <c r="AJ70" s="98">
        <f t="shared" si="229"/>
        <v>467546.96999999974</v>
      </c>
      <c r="AK70" s="98">
        <f t="shared" si="230"/>
        <v>5213345.5</v>
      </c>
      <c r="AL70" s="98">
        <f t="shared" si="231"/>
        <v>0</v>
      </c>
      <c r="AM70" s="98">
        <f t="shared" si="232"/>
        <v>0</v>
      </c>
      <c r="AN70" s="98">
        <f t="shared" si="233"/>
        <v>0</v>
      </c>
      <c r="AO70" s="222">
        <f>GAAP!P78</f>
        <v>0</v>
      </c>
      <c r="AP70" s="129">
        <f t="shared" si="234"/>
        <v>467546.96999999974</v>
      </c>
    </row>
    <row r="71" spans="1:43" ht="13.5">
      <c r="A71" s="258">
        <v>52.863100000000003</v>
      </c>
      <c r="B71" s="57" t="s">
        <v>247</v>
      </c>
      <c r="C71" s="163">
        <v>2560650.14</v>
      </c>
      <c r="D71" s="354">
        <f t="shared" si="212"/>
        <v>2448658.2599999998</v>
      </c>
      <c r="E71" s="163">
        <v>111991.88000000035</v>
      </c>
      <c r="F71" s="163">
        <v>2448658.2599999998</v>
      </c>
      <c r="G71" s="217">
        <f t="shared" si="213"/>
        <v>1</v>
      </c>
      <c r="H71" s="149">
        <v>111991.88000000035</v>
      </c>
      <c r="I71" s="214">
        <f t="shared" si="214"/>
        <v>2560650.14</v>
      </c>
      <c r="J71" s="149">
        <v>2560650.14</v>
      </c>
      <c r="K71" s="214">
        <f t="shared" si="215"/>
        <v>0</v>
      </c>
      <c r="L71" s="214">
        <f t="shared" si="216"/>
        <v>0</v>
      </c>
      <c r="M71" s="214">
        <f t="shared" si="217"/>
        <v>0</v>
      </c>
      <c r="N71" s="222">
        <v>2249693.14</v>
      </c>
      <c r="O71" s="222">
        <v>2130066.81</v>
      </c>
      <c r="P71" s="222">
        <v>73003.700537153374</v>
      </c>
      <c r="Q71" s="214">
        <f t="shared" si="218"/>
        <v>198965.11999999965</v>
      </c>
      <c r="R71" s="214">
        <f t="shared" si="219"/>
        <v>430583.33000000007</v>
      </c>
      <c r="S71" s="214">
        <f t="shared" si="220"/>
        <v>38988.17946284698</v>
      </c>
      <c r="T71" s="273" t="s">
        <v>237</v>
      </c>
      <c r="U71" s="185" t="s">
        <v>510</v>
      </c>
      <c r="V71" s="57" t="str">
        <f t="shared" si="221"/>
        <v>.</v>
      </c>
      <c r="W71" s="282">
        <v>73003.700537153374</v>
      </c>
      <c r="Y71" s="311">
        <v>43734.144747908023</v>
      </c>
      <c r="Z71" s="192">
        <f t="shared" si="222"/>
        <v>-4745.9652850610437</v>
      </c>
      <c r="AA71" t="str">
        <f t="shared" si="223"/>
        <v>-</v>
      </c>
      <c r="AB71" t="str">
        <f t="shared" si="224"/>
        <v>-</v>
      </c>
      <c r="AC71" s="523"/>
      <c r="AD71" s="34">
        <f>C71-GAAP!C79</f>
        <v>2530811.89</v>
      </c>
      <c r="AF71" s="64">
        <f t="shared" si="225"/>
        <v>2560650.14</v>
      </c>
      <c r="AG71" s="64">
        <f t="shared" si="226"/>
        <v>2448658.2599999998</v>
      </c>
      <c r="AH71" s="64">
        <f t="shared" si="227"/>
        <v>111991.88000000035</v>
      </c>
      <c r="AI71" s="217">
        <f t="shared" si="228"/>
        <v>1</v>
      </c>
      <c r="AJ71" s="98">
        <f t="shared" si="229"/>
        <v>111991.88000000035</v>
      </c>
      <c r="AK71" s="98">
        <f t="shared" si="230"/>
        <v>2560650.14</v>
      </c>
      <c r="AL71" s="98">
        <f t="shared" si="231"/>
        <v>0</v>
      </c>
      <c r="AM71" s="98">
        <f t="shared" si="232"/>
        <v>0</v>
      </c>
      <c r="AN71" s="98">
        <f t="shared" si="233"/>
        <v>0</v>
      </c>
      <c r="AO71" s="222">
        <f>GAAP!P79</f>
        <v>0</v>
      </c>
      <c r="AP71" s="129">
        <f t="shared" si="234"/>
        <v>111991.88000000035</v>
      </c>
    </row>
    <row r="72" spans="1:43" ht="13.5">
      <c r="A72" s="258">
        <v>52.865200000000002</v>
      </c>
      <c r="B72" s="57" t="s">
        <v>279</v>
      </c>
      <c r="C72" s="163">
        <v>1290184</v>
      </c>
      <c r="D72" s="354">
        <f t="shared" si="212"/>
        <v>1039376.08</v>
      </c>
      <c r="E72" s="163">
        <v>250807.92000000004</v>
      </c>
      <c r="F72" s="163">
        <v>1039376.08</v>
      </c>
      <c r="G72" s="217">
        <f t="shared" si="213"/>
        <v>1</v>
      </c>
      <c r="H72" s="149">
        <v>250807.92000000004</v>
      </c>
      <c r="I72" s="214">
        <f t="shared" si="214"/>
        <v>1290184</v>
      </c>
      <c r="J72" s="149">
        <v>1290184</v>
      </c>
      <c r="K72" s="214">
        <f t="shared" si="215"/>
        <v>0</v>
      </c>
      <c r="L72" s="214">
        <f t="shared" si="216"/>
        <v>0</v>
      </c>
      <c r="M72" s="214">
        <f t="shared" si="217"/>
        <v>0</v>
      </c>
      <c r="N72" s="222">
        <v>985944.49</v>
      </c>
      <c r="O72" s="222">
        <v>1202385</v>
      </c>
      <c r="P72" s="222">
        <v>170698.83744000029</v>
      </c>
      <c r="Q72" s="214">
        <f t="shared" si="218"/>
        <v>53431.589999999967</v>
      </c>
      <c r="R72" s="214">
        <f t="shared" si="219"/>
        <v>87799</v>
      </c>
      <c r="S72" s="214">
        <f t="shared" si="220"/>
        <v>80109.082559999748</v>
      </c>
      <c r="T72" s="273" t="s">
        <v>278</v>
      </c>
      <c r="U72" s="273" t="s">
        <v>510</v>
      </c>
      <c r="V72" s="57" t="str">
        <f t="shared" si="221"/>
        <v>.</v>
      </c>
      <c r="W72" s="282">
        <v>170698.83744000029</v>
      </c>
      <c r="Y72" s="311">
        <v>80109.082559999748</v>
      </c>
      <c r="Z72" s="192">
        <f t="shared" si="222"/>
        <v>0</v>
      </c>
      <c r="AA72" t="str">
        <f t="shared" si="223"/>
        <v>-</v>
      </c>
      <c r="AB72" t="str">
        <f t="shared" si="224"/>
        <v>-</v>
      </c>
      <c r="AC72" s="523"/>
      <c r="AD72" s="34">
        <f>C72-GAAP!C75</f>
        <v>976098.23</v>
      </c>
      <c r="AF72" s="64">
        <f t="shared" si="225"/>
        <v>1290184</v>
      </c>
      <c r="AG72" s="64">
        <f t="shared" si="226"/>
        <v>1039376.08</v>
      </c>
      <c r="AH72" s="64">
        <f t="shared" si="227"/>
        <v>250807.92000000004</v>
      </c>
      <c r="AI72" s="217">
        <f t="shared" si="228"/>
        <v>1</v>
      </c>
      <c r="AJ72" s="98">
        <f t="shared" si="229"/>
        <v>250807.92000000004</v>
      </c>
      <c r="AK72" s="98">
        <f t="shared" si="230"/>
        <v>1290184</v>
      </c>
      <c r="AL72" s="98">
        <f t="shared" si="231"/>
        <v>0</v>
      </c>
      <c r="AM72" s="98">
        <f t="shared" si="232"/>
        <v>0</v>
      </c>
      <c r="AN72" s="98">
        <f t="shared" si="233"/>
        <v>0</v>
      </c>
      <c r="AO72" s="222">
        <f>GAAP!P75</f>
        <v>26868.865348399246</v>
      </c>
      <c r="AP72" s="129">
        <f t="shared" si="234"/>
        <v>223939.0546516008</v>
      </c>
    </row>
    <row r="73" spans="1:43" ht="13.5">
      <c r="A73" s="258">
        <v>52.8658</v>
      </c>
      <c r="B73" s="57" t="s">
        <v>265</v>
      </c>
      <c r="C73" s="163">
        <v>1870914.99</v>
      </c>
      <c r="D73" s="354">
        <f t="shared" si="212"/>
        <v>1633530.21</v>
      </c>
      <c r="E73" s="163">
        <v>237384.78000000003</v>
      </c>
      <c r="F73" s="163">
        <v>1633530.21</v>
      </c>
      <c r="G73" s="217">
        <f t="shared" si="213"/>
        <v>1</v>
      </c>
      <c r="H73" s="149">
        <v>237384.78000000003</v>
      </c>
      <c r="I73" s="214">
        <f t="shared" si="214"/>
        <v>1870914.99</v>
      </c>
      <c r="J73" s="149">
        <v>1870914.99</v>
      </c>
      <c r="K73" s="214">
        <f t="shared" si="215"/>
        <v>0</v>
      </c>
      <c r="L73" s="214">
        <f t="shared" si="216"/>
        <v>0</v>
      </c>
      <c r="M73" s="214">
        <f>+C73-J73</f>
        <v>0</v>
      </c>
      <c r="N73" s="222">
        <v>1521618.77</v>
      </c>
      <c r="O73" s="222">
        <v>1789732.45</v>
      </c>
      <c r="P73" s="222">
        <v>148751</v>
      </c>
      <c r="Q73" s="214">
        <f t="shared" si="218"/>
        <v>111911.43999999994</v>
      </c>
      <c r="R73" s="214">
        <f t="shared" si="219"/>
        <v>81182.540000000037</v>
      </c>
      <c r="S73" s="214">
        <f t="shared" si="220"/>
        <v>88633.780000000028</v>
      </c>
      <c r="T73" s="273" t="s">
        <v>237</v>
      </c>
      <c r="U73" s="273" t="s">
        <v>510</v>
      </c>
      <c r="V73" s="57" t="str">
        <f t="shared" si="221"/>
        <v>.</v>
      </c>
      <c r="W73" s="282">
        <v>145886.60538494127</v>
      </c>
      <c r="Y73" s="311">
        <v>88633.780000000028</v>
      </c>
      <c r="Z73" s="192">
        <f t="shared" si="222"/>
        <v>0</v>
      </c>
      <c r="AA73" t="str">
        <f t="shared" si="223"/>
        <v>-</v>
      </c>
      <c r="AB73" t="str">
        <f t="shared" si="224"/>
        <v>-</v>
      </c>
      <c r="AC73" s="523"/>
      <c r="AD73" s="34">
        <f>C73-GAAP!C73</f>
        <v>0</v>
      </c>
      <c r="AF73" s="64">
        <f t="shared" si="225"/>
        <v>1870914.99</v>
      </c>
      <c r="AG73" s="64">
        <f t="shared" si="226"/>
        <v>1633530.21</v>
      </c>
      <c r="AH73" s="64">
        <f t="shared" si="227"/>
        <v>237384.78000000003</v>
      </c>
      <c r="AI73" s="217">
        <f t="shared" si="228"/>
        <v>1</v>
      </c>
      <c r="AJ73" s="98">
        <f t="shared" si="229"/>
        <v>237384.78000000003</v>
      </c>
      <c r="AK73" s="98">
        <f t="shared" si="230"/>
        <v>1870914.99</v>
      </c>
      <c r="AL73" s="98">
        <f t="shared" si="231"/>
        <v>0</v>
      </c>
      <c r="AM73" s="98">
        <f t="shared" si="232"/>
        <v>0</v>
      </c>
      <c r="AN73" s="98">
        <f t="shared" si="233"/>
        <v>0</v>
      </c>
      <c r="AO73" s="222">
        <f>GAAP!P73</f>
        <v>145886.60538494127</v>
      </c>
      <c r="AP73" s="129">
        <f t="shared" si="234"/>
        <v>91498.174615058757</v>
      </c>
    </row>
    <row r="74" spans="1:43" ht="13.5">
      <c r="A74" s="258">
        <v>52.866300000000003</v>
      </c>
      <c r="B74" s="57" t="s">
        <v>397</v>
      </c>
      <c r="C74" s="163">
        <v>1641800</v>
      </c>
      <c r="D74" s="354">
        <f t="shared" si="212"/>
        <v>1379688.28</v>
      </c>
      <c r="E74" s="163">
        <v>262111.71999999997</v>
      </c>
      <c r="F74" s="163">
        <v>1379688.28</v>
      </c>
      <c r="G74" s="217">
        <f t="shared" si="213"/>
        <v>1</v>
      </c>
      <c r="H74" s="149">
        <v>262111.71999999997</v>
      </c>
      <c r="I74" s="214">
        <f t="shared" si="214"/>
        <v>1641800</v>
      </c>
      <c r="J74" s="149">
        <v>1641800</v>
      </c>
      <c r="K74" s="214">
        <f t="shared" si="215"/>
        <v>0</v>
      </c>
      <c r="L74" s="214">
        <f t="shared" si="216"/>
        <v>0</v>
      </c>
      <c r="M74" s="214">
        <f t="shared" ref="M74" si="235">+C74-J74</f>
        <v>0</v>
      </c>
      <c r="N74" s="222">
        <v>406865.39</v>
      </c>
      <c r="O74" s="222">
        <v>507750</v>
      </c>
      <c r="P74" s="222">
        <v>42676.950827370209</v>
      </c>
      <c r="Q74" s="214">
        <f t="shared" si="218"/>
        <v>972822.89</v>
      </c>
      <c r="R74" s="214">
        <f t="shared" si="219"/>
        <v>1134050</v>
      </c>
      <c r="S74" s="214">
        <f t="shared" si="220"/>
        <v>219434.76917262975</v>
      </c>
      <c r="T74" s="273" t="s">
        <v>278</v>
      </c>
      <c r="U74" s="185" t="s">
        <v>510</v>
      </c>
      <c r="V74" s="57" t="str">
        <f t="shared" si="221"/>
        <v>.</v>
      </c>
      <c r="W74" s="282">
        <v>42676.950827370209</v>
      </c>
      <c r="Y74" s="311">
        <v>211731.75462928053</v>
      </c>
      <c r="Z74" s="192">
        <f t="shared" si="222"/>
        <v>7703.0145433492144</v>
      </c>
      <c r="AA74" t="str">
        <f t="shared" si="223"/>
        <v>-</v>
      </c>
      <c r="AB74" t="str">
        <f t="shared" si="224"/>
        <v>-</v>
      </c>
      <c r="AC74" s="523"/>
      <c r="AD74" s="34">
        <f>C74-GAAP!C82</f>
        <v>1591231.95</v>
      </c>
      <c r="AF74" s="64">
        <f t="shared" si="225"/>
        <v>1641800</v>
      </c>
      <c r="AG74" s="64">
        <f t="shared" si="226"/>
        <v>1379688.28</v>
      </c>
      <c r="AH74" s="64">
        <f t="shared" si="227"/>
        <v>262111.71999999997</v>
      </c>
      <c r="AI74" s="217">
        <f t="shared" si="228"/>
        <v>1</v>
      </c>
      <c r="AJ74" s="98">
        <f t="shared" si="229"/>
        <v>262111.71999999997</v>
      </c>
      <c r="AK74" s="98">
        <f t="shared" si="230"/>
        <v>1641800</v>
      </c>
      <c r="AL74" s="98">
        <f t="shared" si="231"/>
        <v>0</v>
      </c>
      <c r="AM74" s="98">
        <f t="shared" si="232"/>
        <v>0</v>
      </c>
      <c r="AN74" s="98">
        <f t="shared" si="233"/>
        <v>0</v>
      </c>
      <c r="AO74" s="222">
        <f>GAAP!P82</f>
        <v>0</v>
      </c>
      <c r="AP74" s="129">
        <f t="shared" si="234"/>
        <v>262111.71999999997</v>
      </c>
    </row>
    <row r="75" spans="1:43" ht="13.5">
      <c r="A75" s="258">
        <v>52.866700000000002</v>
      </c>
      <c r="B75" s="57" t="s">
        <v>424</v>
      </c>
      <c r="C75" s="163">
        <v>314085.77</v>
      </c>
      <c r="D75" s="354">
        <f t="shared" ref="D75" si="236">+C75-E75</f>
        <v>290726.11</v>
      </c>
      <c r="E75" s="163">
        <v>23359.660000000033</v>
      </c>
      <c r="F75" s="163">
        <v>290726.11</v>
      </c>
      <c r="G75" s="217">
        <f t="shared" ref="G75" si="237">IF(D75&lt;&gt;0,+F75/D75,0)</f>
        <v>1</v>
      </c>
      <c r="H75" s="149">
        <v>23359.660000000033</v>
      </c>
      <c r="I75" s="214">
        <f>+F75+H75</f>
        <v>314085.77</v>
      </c>
      <c r="J75" s="149">
        <v>314085.77</v>
      </c>
      <c r="K75" s="214">
        <f>J75-I75</f>
        <v>0</v>
      </c>
      <c r="L75" s="214">
        <f t="shared" ref="L75" si="238">+D75-F75</f>
        <v>0</v>
      </c>
      <c r="M75" s="214">
        <f t="shared" ref="M75" si="239">+C75-J75</f>
        <v>0</v>
      </c>
      <c r="N75" s="222">
        <v>285347.34999999998</v>
      </c>
      <c r="O75" s="222">
        <v>201644.15</v>
      </c>
      <c r="P75" s="222">
        <v>26868.865348399246</v>
      </c>
      <c r="Q75" s="214">
        <f t="shared" ref="Q75" si="240">F75-N75</f>
        <v>5378.7600000000093</v>
      </c>
      <c r="R75" s="214">
        <f t="shared" ref="R75" si="241">+J75-O75</f>
        <v>112441.62000000002</v>
      </c>
      <c r="S75" s="214">
        <f t="shared" ref="S75" si="242">+H75-P75</f>
        <v>-3509.2053483992131</v>
      </c>
      <c r="T75" s="273" t="s">
        <v>278</v>
      </c>
      <c r="U75" s="273" t="s">
        <v>510</v>
      </c>
      <c r="V75" s="57" t="str">
        <f t="shared" ref="V75" si="243">IF(C75&lt;250000, "&lt; 250k",".")</f>
        <v>.</v>
      </c>
      <c r="W75" s="282">
        <v>26868.865348399246</v>
      </c>
      <c r="Y75" s="311">
        <v>-3509.2053483992131</v>
      </c>
      <c r="Z75" s="192">
        <f t="shared" ref="Z75" si="244">S75-Y75</f>
        <v>0</v>
      </c>
      <c r="AA75" t="str">
        <f t="shared" ref="AA75" si="245">IF(L75&lt;0,"CHECK","-")</f>
        <v>-</v>
      </c>
      <c r="AB75" t="str">
        <f t="shared" ref="AB75" si="246">IF(M75&lt;0,"CHECK","-")</f>
        <v>-</v>
      </c>
      <c r="AC75" s="523"/>
      <c r="AD75" s="34">
        <f>C75-GAAP!C74</f>
        <v>-1327714.23</v>
      </c>
      <c r="AF75" s="64">
        <f t="shared" ref="AF75" si="247">C75</f>
        <v>314085.77</v>
      </c>
      <c r="AG75" s="64">
        <f t="shared" ref="AG75" si="248">D75</f>
        <v>290726.11</v>
      </c>
      <c r="AH75" s="64">
        <f t="shared" ref="AH75" si="249">E75</f>
        <v>23359.660000000033</v>
      </c>
      <c r="AI75" s="217">
        <f t="shared" ref="AI75" si="250">IF(AG75&lt;&gt;0,+F75/AG75,0)</f>
        <v>1</v>
      </c>
      <c r="AJ75" s="98">
        <f t="shared" ref="AJ75" si="251">IF(AH75&lt;=0,AH75,IF(G75&lt;0.1,0,IF(G75&lt;=1,G75*AH75,AH75)))</f>
        <v>23359.660000000033</v>
      </c>
      <c r="AK75" s="98">
        <f t="shared" ref="AK75" si="252">+F75+AJ75</f>
        <v>314085.77</v>
      </c>
      <c r="AL75" s="98">
        <f t="shared" ref="AL75" si="253">J75-AK75</f>
        <v>0</v>
      </c>
      <c r="AM75" s="98">
        <f t="shared" ref="AM75" si="254">+AG75-F75</f>
        <v>0</v>
      </c>
      <c r="AN75" s="98">
        <f t="shared" ref="AN75" si="255">+AF75-J75</f>
        <v>0</v>
      </c>
      <c r="AO75" s="222">
        <f>GAAP!P74</f>
        <v>42676.950827370209</v>
      </c>
      <c r="AP75" s="129">
        <f t="shared" ref="AP75" si="256">AJ75-AO75</f>
        <v>-19317.290827370176</v>
      </c>
    </row>
    <row r="76" spans="1:43" ht="13.5">
      <c r="A76" s="258">
        <v>52.866999999999997</v>
      </c>
      <c r="B76" s="57" t="s">
        <v>439</v>
      </c>
      <c r="C76" s="163">
        <v>274166.01</v>
      </c>
      <c r="D76" s="354">
        <f t="shared" ref="D76" si="257">+C76-E76</f>
        <v>267282.05</v>
      </c>
      <c r="E76" s="163">
        <v>6883.960000000021</v>
      </c>
      <c r="F76" s="163">
        <v>267282.05</v>
      </c>
      <c r="G76" s="217">
        <f t="shared" ref="G76" si="258">IF(D76&lt;&gt;0,+F76/D76,0)</f>
        <v>1</v>
      </c>
      <c r="H76" s="149">
        <v>6883.960000000021</v>
      </c>
      <c r="I76" s="214">
        <f t="shared" ref="I76" si="259">+F76+H76</f>
        <v>274166.01</v>
      </c>
      <c r="J76" s="149">
        <v>274166.01</v>
      </c>
      <c r="K76" s="214">
        <f t="shared" ref="K76" si="260">J76-I76</f>
        <v>0</v>
      </c>
      <c r="L76" s="214">
        <f t="shared" ref="L76" si="261">+D76-F76</f>
        <v>0</v>
      </c>
      <c r="M76" s="214">
        <f t="shared" ref="M76" si="262">+C76-J76</f>
        <v>0</v>
      </c>
      <c r="N76" s="222">
        <v>121115.51</v>
      </c>
      <c r="O76" s="222">
        <v>0</v>
      </c>
      <c r="P76" s="222">
        <v>10404.4355848992</v>
      </c>
      <c r="Q76" s="214">
        <f t="shared" ref="Q76" si="263">F76-N76</f>
        <v>146166.53999999998</v>
      </c>
      <c r="R76" s="214">
        <f t="shared" ref="R76" si="264">+J76-O76</f>
        <v>274166.01</v>
      </c>
      <c r="S76" s="214">
        <f t="shared" ref="S76" si="265">+H76-P76</f>
        <v>-3520.475584899179</v>
      </c>
      <c r="T76" s="273" t="s">
        <v>278</v>
      </c>
      <c r="U76" s="273" t="s">
        <v>510</v>
      </c>
      <c r="V76" s="57" t="str">
        <f t="shared" ref="V76" si="266">IF(C76&lt;250000, "&lt; 250k",".")</f>
        <v>.</v>
      </c>
      <c r="W76" s="282">
        <v>10404.4355848992</v>
      </c>
      <c r="Y76" s="311">
        <v>-3520.475584899179</v>
      </c>
      <c r="Z76" s="192">
        <f t="shared" ref="Z76" si="267">S76-Y76</f>
        <v>0</v>
      </c>
      <c r="AA76" t="str">
        <f t="shared" ref="AA76" si="268">IF(L76&lt;0,"CHECK","-")</f>
        <v>-</v>
      </c>
      <c r="AB76" t="str">
        <f t="shared" ref="AB76" si="269">IF(M76&lt;0,"CHECK","-")</f>
        <v>-</v>
      </c>
      <c r="AC76" s="523"/>
      <c r="AD76" s="34">
        <f>C76-GAAP!C75</f>
        <v>-39919.760000000009</v>
      </c>
      <c r="AF76" s="64">
        <f t="shared" ref="AF76" si="270">C76</f>
        <v>274166.01</v>
      </c>
      <c r="AG76" s="64">
        <f t="shared" ref="AG76" si="271">D76</f>
        <v>267282.05</v>
      </c>
      <c r="AH76" s="64">
        <f t="shared" ref="AH76" si="272">E76</f>
        <v>6883.960000000021</v>
      </c>
      <c r="AI76" s="217">
        <f t="shared" ref="AI76" si="273">IF(AG76&lt;&gt;0,+F76/AG76,0)</f>
        <v>1</v>
      </c>
      <c r="AJ76" s="98">
        <f t="shared" ref="AJ76" si="274">IF(AH76&lt;=0,AH76,IF(G76&lt;0.1,0,IF(G76&lt;=1,G76*AH76,AH76)))</f>
        <v>6883.960000000021</v>
      </c>
      <c r="AK76" s="98">
        <f t="shared" ref="AK76" si="275">+F76+AJ76</f>
        <v>274166.01</v>
      </c>
      <c r="AL76" s="98">
        <f t="shared" ref="AL76" si="276">J76-AK76</f>
        <v>0</v>
      </c>
      <c r="AM76" s="98">
        <f t="shared" ref="AM76" si="277">+AG76-F76</f>
        <v>0</v>
      </c>
      <c r="AN76" s="98">
        <f t="shared" ref="AN76" si="278">+AF76-J76</f>
        <v>0</v>
      </c>
      <c r="AO76" s="222">
        <f>GAAP!P75</f>
        <v>26868.865348399246</v>
      </c>
      <c r="AP76" s="129">
        <f t="shared" ref="AP76" si="279">AJ76-AO76</f>
        <v>-19984.905348399225</v>
      </c>
    </row>
    <row r="77" spans="1:43" ht="13.5">
      <c r="A77" s="258">
        <v>52.867400000000004</v>
      </c>
      <c r="B77" s="57" t="s">
        <v>428</v>
      </c>
      <c r="C77" s="163">
        <v>279244</v>
      </c>
      <c r="D77" s="354">
        <f t="shared" ref="D77:D101" si="280">+C77-E77</f>
        <v>251088.2</v>
      </c>
      <c r="E77" s="163">
        <v>28155.799999999988</v>
      </c>
      <c r="F77" s="163">
        <v>251088.2</v>
      </c>
      <c r="G77" s="217">
        <f t="shared" ref="G77:G101" si="281">IF(D77&lt;&gt;0,+F77/D77,0)</f>
        <v>1</v>
      </c>
      <c r="H77" s="149">
        <v>28155.799999999988</v>
      </c>
      <c r="I77" s="214">
        <f t="shared" ref="I77:I101" si="282">+F77+H77</f>
        <v>279244</v>
      </c>
      <c r="J77" s="149">
        <v>279244</v>
      </c>
      <c r="K77" s="214">
        <f t="shared" ref="K77:K83" si="283">J77-I77</f>
        <v>0</v>
      </c>
      <c r="L77" s="214">
        <f t="shared" ref="L77:L83" si="284">+D77-F77</f>
        <v>0</v>
      </c>
      <c r="M77" s="214">
        <f t="shared" ref="M77:M83" si="285">+C77-J77</f>
        <v>0</v>
      </c>
      <c r="N77" s="222">
        <v>184739.62</v>
      </c>
      <c r="O77" s="222">
        <v>279244</v>
      </c>
      <c r="P77" s="222">
        <v>15534.58355022051</v>
      </c>
      <c r="Q77" s="214">
        <f t="shared" ref="Q77:Q83" si="286">F77-N77</f>
        <v>66348.580000000016</v>
      </c>
      <c r="R77" s="214">
        <f t="shared" ref="R77:R83" si="287">+J77-O77</f>
        <v>0</v>
      </c>
      <c r="S77" s="214">
        <f t="shared" ref="S77:S83" si="288">+H77-P77</f>
        <v>12621.216449779478</v>
      </c>
      <c r="T77" s="273" t="s">
        <v>278</v>
      </c>
      <c r="U77" s="273" t="s">
        <v>510</v>
      </c>
      <c r="V77" s="57" t="str">
        <f t="shared" ref="V77:V101" si="289">IF(C77&lt;250000, "&lt; 250k",".")</f>
        <v>.</v>
      </c>
      <c r="W77" s="282">
        <v>15534.58355022051</v>
      </c>
      <c r="Y77" s="311">
        <v>12621.216449779478</v>
      </c>
      <c r="Z77" s="192">
        <f t="shared" si="22"/>
        <v>0</v>
      </c>
      <c r="AA77" t="str">
        <f t="shared" si="23"/>
        <v>-</v>
      </c>
      <c r="AB77" t="str">
        <f t="shared" si="24"/>
        <v>-</v>
      </c>
      <c r="AD77" s="34">
        <f>C77-GAAP!C102</f>
        <v>279244</v>
      </c>
      <c r="AF77" s="64">
        <f>C77</f>
        <v>279244</v>
      </c>
      <c r="AG77" s="64">
        <f t="shared" ref="AG77:AG91" si="290">D77</f>
        <v>251088.2</v>
      </c>
      <c r="AH77" s="64">
        <f t="shared" ref="AH77:AH91" si="291">E77</f>
        <v>28155.799999999988</v>
      </c>
      <c r="AI77" s="217">
        <f t="shared" ref="AI77:AI91" si="292">IF(AG77&lt;&gt;0,+F77/AG77,0)</f>
        <v>1</v>
      </c>
      <c r="AJ77" s="98">
        <f t="shared" ref="AJ77:AJ91" si="293">IF(AH77&lt;=0,AH77,IF(G77&lt;0.1,0,IF(G77&lt;=1,G77*AH77,AH77)))</f>
        <v>28155.799999999988</v>
      </c>
      <c r="AK77" s="98">
        <f t="shared" ref="AK77:AK91" si="294">+F77+AJ77</f>
        <v>279244</v>
      </c>
      <c r="AL77" s="98">
        <f t="shared" ref="AL77:AL91" si="295">J77-AK77</f>
        <v>0</v>
      </c>
      <c r="AM77" s="98">
        <f t="shared" ref="AM77:AM91" si="296">+AG77-F77</f>
        <v>0</v>
      </c>
      <c r="AN77" s="98">
        <f t="shared" ref="AN77:AN91" si="297">+AF77-J77</f>
        <v>0</v>
      </c>
      <c r="AO77" s="222">
        <f>GAAP!P72</f>
        <v>170698.83744000029</v>
      </c>
      <c r="AP77" s="129">
        <f t="shared" ref="AP77:AP91" si="298">AJ77-AO77</f>
        <v>-142543.03744000031</v>
      </c>
    </row>
    <row r="78" spans="1:43" ht="13.5">
      <c r="A78" s="258">
        <v>52.867699999999999</v>
      </c>
      <c r="B78" s="57" t="s">
        <v>440</v>
      </c>
      <c r="C78" s="163">
        <v>796055.3</v>
      </c>
      <c r="D78" s="354">
        <f t="shared" si="280"/>
        <v>689831.96</v>
      </c>
      <c r="E78" s="163">
        <v>106223.34000000008</v>
      </c>
      <c r="F78" s="163">
        <v>689831.96</v>
      </c>
      <c r="G78" s="217">
        <f t="shared" si="281"/>
        <v>1</v>
      </c>
      <c r="H78" s="149">
        <v>106223.34000000008</v>
      </c>
      <c r="I78" s="214">
        <f t="shared" si="282"/>
        <v>796055.3</v>
      </c>
      <c r="J78" s="149">
        <v>796055.3</v>
      </c>
      <c r="K78" s="214">
        <f t="shared" si="283"/>
        <v>0</v>
      </c>
      <c r="L78" s="214">
        <f t="shared" si="284"/>
        <v>0</v>
      </c>
      <c r="M78" s="214">
        <f t="shared" si="285"/>
        <v>0</v>
      </c>
      <c r="N78" s="222">
        <v>33286.03</v>
      </c>
      <c r="O78" s="222">
        <v>0</v>
      </c>
      <c r="P78" s="222">
        <v>0</v>
      </c>
      <c r="Q78" s="214">
        <f t="shared" si="286"/>
        <v>656545.92999999993</v>
      </c>
      <c r="R78" s="214">
        <f t="shared" si="287"/>
        <v>796055.3</v>
      </c>
      <c r="S78" s="214">
        <f t="shared" si="288"/>
        <v>106223.34000000008</v>
      </c>
      <c r="T78" s="273" t="s">
        <v>278</v>
      </c>
      <c r="U78" s="185" t="s">
        <v>510</v>
      </c>
      <c r="V78" s="57" t="str">
        <f t="shared" si="289"/>
        <v>.</v>
      </c>
      <c r="W78" s="282">
        <v>0</v>
      </c>
      <c r="Y78" s="311">
        <v>82416.093851884711</v>
      </c>
      <c r="Z78" s="192">
        <f t="shared" ref="Z78" si="299">S78-Y78</f>
        <v>23807.246148115373</v>
      </c>
      <c r="AA78" t="str">
        <f t="shared" ref="AA78" si="300">IF(L78&lt;0,"CHECK","-")</f>
        <v>-</v>
      </c>
      <c r="AB78" t="str">
        <f t="shared" ref="AB78" si="301">IF(M78&lt;0,"CHECK","-")</f>
        <v>-</v>
      </c>
      <c r="AC78" s="523"/>
      <c r="AD78" s="34">
        <f>C78-GAAP!C87</f>
        <v>781903.33000000007</v>
      </c>
      <c r="AF78" s="64">
        <f t="shared" ref="AF78" si="302">C78</f>
        <v>796055.3</v>
      </c>
      <c r="AG78" s="64">
        <f t="shared" si="290"/>
        <v>689831.96</v>
      </c>
      <c r="AH78" s="64">
        <f t="shared" si="291"/>
        <v>106223.34000000008</v>
      </c>
      <c r="AI78" s="217">
        <f t="shared" si="292"/>
        <v>1</v>
      </c>
      <c r="AJ78" s="98">
        <f t="shared" si="293"/>
        <v>106223.34000000008</v>
      </c>
      <c r="AK78" s="98">
        <f t="shared" si="294"/>
        <v>796055.3</v>
      </c>
      <c r="AL78" s="98">
        <f t="shared" si="295"/>
        <v>0</v>
      </c>
      <c r="AM78" s="98">
        <f t="shared" si="296"/>
        <v>0</v>
      </c>
      <c r="AN78" s="98">
        <f t="shared" si="297"/>
        <v>0</v>
      </c>
      <c r="AO78" s="222">
        <f>GAAP!P87</f>
        <v>0</v>
      </c>
      <c r="AP78" s="129">
        <f t="shared" si="298"/>
        <v>106223.34000000008</v>
      </c>
    </row>
    <row r="79" spans="1:43" ht="13.5">
      <c r="A79" s="258">
        <v>52.868000000000002</v>
      </c>
      <c r="B79" s="57" t="s">
        <v>478</v>
      </c>
      <c r="C79" s="163">
        <v>29838.25</v>
      </c>
      <c r="D79" s="354">
        <f t="shared" si="280"/>
        <v>26088.33</v>
      </c>
      <c r="E79" s="473">
        <v>3749.9199999999983</v>
      </c>
      <c r="F79" s="163">
        <v>26088.33</v>
      </c>
      <c r="G79" s="217">
        <f t="shared" si="281"/>
        <v>1</v>
      </c>
      <c r="H79" s="149">
        <v>3749.9199999999983</v>
      </c>
      <c r="I79" s="214">
        <f t="shared" si="282"/>
        <v>29838.25</v>
      </c>
      <c r="J79" s="149">
        <v>29838.25</v>
      </c>
      <c r="K79" s="214">
        <f t="shared" si="283"/>
        <v>0</v>
      </c>
      <c r="L79" s="214">
        <f t="shared" si="284"/>
        <v>0</v>
      </c>
      <c r="M79" s="214">
        <f t="shared" si="285"/>
        <v>0</v>
      </c>
      <c r="N79" s="222">
        <v>6514.21</v>
      </c>
      <c r="O79" s="222">
        <v>0</v>
      </c>
      <c r="P79" s="222">
        <v>0</v>
      </c>
      <c r="Q79" s="214">
        <f t="shared" si="286"/>
        <v>19574.120000000003</v>
      </c>
      <c r="R79" s="214">
        <f t="shared" si="287"/>
        <v>29838.25</v>
      </c>
      <c r="S79" s="214">
        <f t="shared" si="288"/>
        <v>3749.9199999999983</v>
      </c>
      <c r="T79" s="273" t="s">
        <v>278</v>
      </c>
      <c r="U79" s="273" t="s">
        <v>510</v>
      </c>
      <c r="V79" s="57" t="str">
        <f t="shared" si="289"/>
        <v>&lt; 250k</v>
      </c>
      <c r="W79" s="282">
        <v>0</v>
      </c>
      <c r="Y79" s="311">
        <v>3749.9199999999983</v>
      </c>
      <c r="Z79" s="192">
        <f t="shared" ref="Z79:Z83" si="303">S79-Y79</f>
        <v>0</v>
      </c>
      <c r="AA79" t="str">
        <f t="shared" ref="AA79:AA83" si="304">IF(L79&lt;0,"CHECK","-")</f>
        <v>-</v>
      </c>
      <c r="AB79" t="str">
        <f t="shared" ref="AB79:AB83" si="305">IF(M79&lt;0,"CHECK","-")</f>
        <v>-</v>
      </c>
      <c r="AC79" s="523"/>
      <c r="AD79" s="34">
        <f>C79-GAAP!C102</f>
        <v>29838.25</v>
      </c>
      <c r="AF79" s="64">
        <f t="shared" ref="AF79:AF81" si="306">C79</f>
        <v>29838.25</v>
      </c>
      <c r="AG79" s="64">
        <f t="shared" si="290"/>
        <v>26088.33</v>
      </c>
      <c r="AH79" s="64">
        <f t="shared" si="291"/>
        <v>3749.9199999999983</v>
      </c>
      <c r="AI79" s="217">
        <f t="shared" si="292"/>
        <v>1</v>
      </c>
      <c r="AJ79" s="98">
        <f t="shared" si="293"/>
        <v>3749.9199999999983</v>
      </c>
      <c r="AK79" s="98">
        <f t="shared" si="294"/>
        <v>29838.25</v>
      </c>
      <c r="AL79" s="98">
        <f t="shared" si="295"/>
        <v>0</v>
      </c>
      <c r="AM79" s="98">
        <f t="shared" si="296"/>
        <v>0</v>
      </c>
      <c r="AN79" s="98">
        <f t="shared" si="297"/>
        <v>0</v>
      </c>
      <c r="AO79" s="222">
        <f>GAAP!P102</f>
        <v>0</v>
      </c>
      <c r="AP79" s="129">
        <f t="shared" si="298"/>
        <v>3749.9199999999983</v>
      </c>
    </row>
    <row r="80" spans="1:43" ht="13.5">
      <c r="A80" s="258">
        <v>52.868200000000002</v>
      </c>
      <c r="B80" s="57" t="s">
        <v>502</v>
      </c>
      <c r="C80" s="163"/>
      <c r="D80" s="354">
        <f t="shared" si="280"/>
        <v>1121157.1000000001</v>
      </c>
      <c r="E80" s="473">
        <v>-1121157.1000000001</v>
      </c>
      <c r="F80" s="163">
        <v>1121157.1000000001</v>
      </c>
      <c r="G80" s="217">
        <f t="shared" si="281"/>
        <v>1</v>
      </c>
      <c r="H80" s="149">
        <v>-1121157.1000000001</v>
      </c>
      <c r="I80" s="214">
        <f t="shared" si="282"/>
        <v>0</v>
      </c>
      <c r="J80" s="149">
        <v>0</v>
      </c>
      <c r="K80" s="214">
        <f t="shared" si="283"/>
        <v>0</v>
      </c>
      <c r="L80" s="214">
        <f t="shared" si="284"/>
        <v>0</v>
      </c>
      <c r="M80" s="214">
        <f t="shared" si="285"/>
        <v>0</v>
      </c>
      <c r="N80" s="222"/>
      <c r="O80" s="222"/>
      <c r="P80" s="222"/>
      <c r="Q80" s="214">
        <f t="shared" si="286"/>
        <v>1121157.1000000001</v>
      </c>
      <c r="R80" s="214">
        <f t="shared" si="287"/>
        <v>0</v>
      </c>
      <c r="S80" s="214">
        <f t="shared" si="288"/>
        <v>-1121157.1000000001</v>
      </c>
      <c r="T80" s="273" t="s">
        <v>510</v>
      </c>
      <c r="U80" s="185" t="s">
        <v>510</v>
      </c>
      <c r="V80" s="57" t="s">
        <v>511</v>
      </c>
      <c r="Y80" s="311">
        <v>-965154.37</v>
      </c>
      <c r="Z80" s="192">
        <f t="shared" si="303"/>
        <v>-156002.7300000001</v>
      </c>
      <c r="AA80" t="str">
        <f t="shared" si="304"/>
        <v>-</v>
      </c>
      <c r="AB80" t="str">
        <f t="shared" si="305"/>
        <v>-</v>
      </c>
      <c r="AC80" s="523"/>
      <c r="AD80" s="34"/>
      <c r="AF80" s="64">
        <f t="shared" si="306"/>
        <v>0</v>
      </c>
      <c r="AG80" s="64">
        <f t="shared" si="290"/>
        <v>1121157.1000000001</v>
      </c>
      <c r="AH80" s="64">
        <f t="shared" si="291"/>
        <v>-1121157.1000000001</v>
      </c>
      <c r="AI80" s="217">
        <f t="shared" si="292"/>
        <v>1</v>
      </c>
      <c r="AJ80" s="98">
        <f t="shared" si="293"/>
        <v>-1121157.1000000001</v>
      </c>
      <c r="AK80" s="98">
        <f t="shared" si="294"/>
        <v>0</v>
      </c>
      <c r="AL80" s="98">
        <f t="shared" si="295"/>
        <v>0</v>
      </c>
      <c r="AM80" s="98">
        <f t="shared" si="296"/>
        <v>0</v>
      </c>
      <c r="AN80" s="98">
        <f t="shared" si="297"/>
        <v>0</v>
      </c>
      <c r="AO80" s="222">
        <f>GAAP!P91</f>
        <v>0</v>
      </c>
      <c r="AP80" s="129">
        <f t="shared" si="298"/>
        <v>-1121157.1000000001</v>
      </c>
    </row>
    <row r="81" spans="1:42" ht="13.5">
      <c r="A81" s="258">
        <v>52.868299999999998</v>
      </c>
      <c r="B81" s="57" t="s">
        <v>503</v>
      </c>
      <c r="C81" s="163"/>
      <c r="D81" s="354">
        <f t="shared" si="280"/>
        <v>415452.52</v>
      </c>
      <c r="E81" s="473">
        <v>-415452.52</v>
      </c>
      <c r="F81" s="163">
        <v>415452.52</v>
      </c>
      <c r="G81" s="217">
        <f t="shared" si="281"/>
        <v>1</v>
      </c>
      <c r="H81" s="149">
        <v>-415452.52</v>
      </c>
      <c r="I81" s="214">
        <f t="shared" si="282"/>
        <v>0</v>
      </c>
      <c r="J81" s="149">
        <v>0</v>
      </c>
      <c r="K81" s="214">
        <f t="shared" si="283"/>
        <v>0</v>
      </c>
      <c r="L81" s="214">
        <f t="shared" si="284"/>
        <v>0</v>
      </c>
      <c r="M81" s="214">
        <f t="shared" si="285"/>
        <v>0</v>
      </c>
      <c r="N81" s="222"/>
      <c r="O81" s="222"/>
      <c r="P81" s="222"/>
      <c r="Q81" s="214">
        <f t="shared" si="286"/>
        <v>415452.52</v>
      </c>
      <c r="R81" s="214">
        <f t="shared" si="287"/>
        <v>0</v>
      </c>
      <c r="S81" s="214">
        <f t="shared" si="288"/>
        <v>-415452.52</v>
      </c>
      <c r="T81" s="273" t="s">
        <v>510</v>
      </c>
      <c r="U81" s="185" t="s">
        <v>510</v>
      </c>
      <c r="V81" s="57" t="s">
        <v>511</v>
      </c>
      <c r="Y81" s="311">
        <v>-350911.38</v>
      </c>
      <c r="Z81" s="192">
        <f t="shared" si="303"/>
        <v>-64541.140000000014</v>
      </c>
      <c r="AA81" t="str">
        <f t="shared" si="304"/>
        <v>-</v>
      </c>
      <c r="AB81" t="str">
        <f t="shared" si="305"/>
        <v>-</v>
      </c>
      <c r="AC81" s="523"/>
      <c r="AD81" s="34"/>
      <c r="AF81" s="64">
        <f t="shared" si="306"/>
        <v>0</v>
      </c>
      <c r="AG81" s="64">
        <f t="shared" si="290"/>
        <v>415452.52</v>
      </c>
      <c r="AH81" s="64">
        <f t="shared" si="291"/>
        <v>-415452.52</v>
      </c>
      <c r="AI81" s="217">
        <f t="shared" si="292"/>
        <v>1</v>
      </c>
      <c r="AJ81" s="98">
        <f t="shared" si="293"/>
        <v>-415452.52</v>
      </c>
      <c r="AK81" s="98">
        <f t="shared" si="294"/>
        <v>0</v>
      </c>
      <c r="AL81" s="98">
        <f t="shared" si="295"/>
        <v>0</v>
      </c>
      <c r="AM81" s="98">
        <f t="shared" si="296"/>
        <v>0</v>
      </c>
      <c r="AN81" s="98">
        <f t="shared" si="297"/>
        <v>0</v>
      </c>
      <c r="AO81" s="222">
        <f>GAAP!P92</f>
        <v>0</v>
      </c>
      <c r="AP81" s="129">
        <f t="shared" si="298"/>
        <v>-415452.52</v>
      </c>
    </row>
    <row r="82" spans="1:42" ht="13.5">
      <c r="A82" s="258">
        <v>52.868400000000001</v>
      </c>
      <c r="B82" s="57" t="s">
        <v>592</v>
      </c>
      <c r="C82" s="163">
        <v>50568.05</v>
      </c>
      <c r="D82" s="354">
        <f t="shared" si="280"/>
        <v>45291.39</v>
      </c>
      <c r="E82" s="473">
        <v>5276.6600000000035</v>
      </c>
      <c r="F82" s="163">
        <v>45291.39</v>
      </c>
      <c r="G82" s="217">
        <f t="shared" si="281"/>
        <v>1</v>
      </c>
      <c r="H82" s="149">
        <v>5276.6600000000035</v>
      </c>
      <c r="I82" s="214">
        <f t="shared" si="282"/>
        <v>50568.05</v>
      </c>
      <c r="J82" s="149">
        <v>50568.05</v>
      </c>
      <c r="K82" s="214">
        <f t="shared" si="283"/>
        <v>0</v>
      </c>
      <c r="L82" s="214">
        <f t="shared" si="284"/>
        <v>0</v>
      </c>
      <c r="M82" s="214">
        <f t="shared" si="285"/>
        <v>0</v>
      </c>
      <c r="N82" s="222"/>
      <c r="O82" s="222"/>
      <c r="P82" s="222"/>
      <c r="Q82" s="214">
        <f t="shared" si="286"/>
        <v>45291.39</v>
      </c>
      <c r="R82" s="214">
        <f t="shared" si="287"/>
        <v>50568.05</v>
      </c>
      <c r="S82" s="214">
        <f t="shared" si="288"/>
        <v>5276.6600000000035</v>
      </c>
      <c r="T82" s="273" t="s">
        <v>510</v>
      </c>
      <c r="U82" s="273" t="s">
        <v>510</v>
      </c>
      <c r="V82" s="57" t="str">
        <f t="shared" si="289"/>
        <v>&lt; 250k</v>
      </c>
      <c r="Y82" s="311">
        <v>4446.6300000000047</v>
      </c>
      <c r="Z82" s="192">
        <f t="shared" si="303"/>
        <v>830.02999999999884</v>
      </c>
      <c r="AA82" t="str">
        <f t="shared" si="304"/>
        <v>-</v>
      </c>
      <c r="AB82" t="str">
        <f t="shared" si="305"/>
        <v>-</v>
      </c>
      <c r="AC82" s="523"/>
      <c r="AD82" s="34"/>
      <c r="AF82" s="64"/>
      <c r="AG82" s="64"/>
      <c r="AH82" s="64"/>
      <c r="AI82" s="217"/>
      <c r="AJ82" s="98"/>
      <c r="AK82" s="98"/>
      <c r="AL82" s="98"/>
      <c r="AM82" s="98"/>
      <c r="AN82" s="98"/>
      <c r="AO82" s="222"/>
      <c r="AP82" s="129"/>
    </row>
    <row r="83" spans="1:42" ht="13.5">
      <c r="A83" s="258">
        <v>52.868499999999997</v>
      </c>
      <c r="B83" s="57" t="s">
        <v>504</v>
      </c>
      <c r="C83" s="163">
        <v>451254</v>
      </c>
      <c r="D83" s="354">
        <f t="shared" si="280"/>
        <v>382067.32</v>
      </c>
      <c r="E83" s="473">
        <v>69186.679999999993</v>
      </c>
      <c r="F83" s="163">
        <v>382067.32</v>
      </c>
      <c r="G83" s="217">
        <f t="shared" si="281"/>
        <v>1</v>
      </c>
      <c r="H83" s="149">
        <v>69186.679999999993</v>
      </c>
      <c r="I83" s="214">
        <f t="shared" si="282"/>
        <v>451254</v>
      </c>
      <c r="J83" s="149">
        <v>451254</v>
      </c>
      <c r="K83" s="214">
        <f t="shared" si="283"/>
        <v>0</v>
      </c>
      <c r="L83" s="214">
        <f t="shared" si="284"/>
        <v>0</v>
      </c>
      <c r="M83" s="214">
        <f t="shared" si="285"/>
        <v>0</v>
      </c>
      <c r="N83" s="222"/>
      <c r="O83" s="222"/>
      <c r="P83" s="222"/>
      <c r="Q83" s="214">
        <f t="shared" si="286"/>
        <v>382067.32</v>
      </c>
      <c r="R83" s="214">
        <f t="shared" si="287"/>
        <v>451254</v>
      </c>
      <c r="S83" s="214">
        <f t="shared" si="288"/>
        <v>69186.679999999993</v>
      </c>
      <c r="T83" s="273" t="s">
        <v>510</v>
      </c>
      <c r="U83" s="185" t="s">
        <v>510</v>
      </c>
      <c r="V83" s="57" t="str">
        <f t="shared" si="289"/>
        <v>.</v>
      </c>
      <c r="Y83" s="311">
        <v>26847.902722856721</v>
      </c>
      <c r="Z83" s="192">
        <f t="shared" si="303"/>
        <v>42338.777277143272</v>
      </c>
      <c r="AA83" t="str">
        <f t="shared" si="304"/>
        <v>-</v>
      </c>
      <c r="AB83" t="str">
        <f t="shared" si="305"/>
        <v>-</v>
      </c>
      <c r="AC83" s="523"/>
      <c r="AD83" s="34"/>
      <c r="AF83" s="64">
        <f t="shared" ref="AF83" si="307">C83</f>
        <v>451254</v>
      </c>
      <c r="AG83" s="64">
        <f t="shared" ref="AG83" si="308">D83</f>
        <v>382067.32</v>
      </c>
      <c r="AH83" s="64">
        <f t="shared" ref="AH83" si="309">E83</f>
        <v>69186.679999999993</v>
      </c>
      <c r="AI83" s="217">
        <f t="shared" ref="AI83" si="310">IF(AG83&lt;&gt;0,+F83/AG83,0)</f>
        <v>1</v>
      </c>
      <c r="AJ83" s="98">
        <f t="shared" ref="AJ83" si="311">IF(AH83&lt;=0,AH83,IF(G83&lt;0.1,0,IF(G83&lt;=1,G83*AH83,AH83)))</f>
        <v>69186.679999999993</v>
      </c>
      <c r="AK83" s="98">
        <f t="shared" ref="AK83" si="312">+F83+AJ83</f>
        <v>451254</v>
      </c>
      <c r="AL83" s="98">
        <f t="shared" ref="AL83" si="313">J83-AK83</f>
        <v>0</v>
      </c>
      <c r="AM83" s="98">
        <f t="shared" ref="AM83" si="314">+AG83-F83</f>
        <v>0</v>
      </c>
      <c r="AN83" s="98">
        <f t="shared" ref="AN83" si="315">+AF83-J83</f>
        <v>0</v>
      </c>
      <c r="AO83" s="222">
        <f>GAAP!P91</f>
        <v>0</v>
      </c>
      <c r="AP83" s="129">
        <f t="shared" ref="AP83" si="316">AJ83-AO83</f>
        <v>69186.679999999993</v>
      </c>
    </row>
    <row r="84" spans="1:42" ht="13.5">
      <c r="A84" s="258">
        <v>52.868600000000001</v>
      </c>
      <c r="B84" s="57" t="s">
        <v>479</v>
      </c>
      <c r="C84" s="163">
        <v>23957</v>
      </c>
      <c r="D84" s="354">
        <f t="shared" si="280"/>
        <v>7505.260000000002</v>
      </c>
      <c r="E84" s="163">
        <v>16451.739999999998</v>
      </c>
      <c r="F84" s="163">
        <v>7505.26</v>
      </c>
      <c r="G84" s="217">
        <f t="shared" si="281"/>
        <v>0.99999999999999978</v>
      </c>
      <c r="H84" s="149">
        <v>16451.739999999994</v>
      </c>
      <c r="I84" s="214">
        <f t="shared" si="282"/>
        <v>23956.999999999993</v>
      </c>
      <c r="J84" s="149">
        <v>23957</v>
      </c>
      <c r="K84" s="214">
        <f t="shared" ref="K84:K101" si="317">J84-I84</f>
        <v>0</v>
      </c>
      <c r="L84" s="214">
        <f t="shared" ref="L84:L101" si="318">+D84-F84</f>
        <v>0</v>
      </c>
      <c r="M84" s="214">
        <f t="shared" ref="M84:M101" si="319">+C84-J84</f>
        <v>0</v>
      </c>
      <c r="N84" s="222">
        <v>6290.87</v>
      </c>
      <c r="O84" s="222">
        <v>0</v>
      </c>
      <c r="P84" s="222">
        <v>15372.256719850511</v>
      </c>
      <c r="Q84" s="214">
        <f t="shared" ref="Q84:Q101" si="320">F84-N84</f>
        <v>1214.3900000000003</v>
      </c>
      <c r="R84" s="214">
        <f t="shared" ref="R84:R101" si="321">+J84-O84</f>
        <v>23957</v>
      </c>
      <c r="S84" s="214">
        <f t="shared" ref="S84:S101" si="322">+H84-P84</f>
        <v>1079.4832801494831</v>
      </c>
      <c r="T84" s="273" t="s">
        <v>278</v>
      </c>
      <c r="U84" s="273" t="s">
        <v>510</v>
      </c>
      <c r="V84" s="57" t="str">
        <f t="shared" si="289"/>
        <v>&lt; 250k</v>
      </c>
      <c r="W84" s="282">
        <v>15372.256719850511</v>
      </c>
      <c r="Y84" s="311">
        <v>1079.4832801494831</v>
      </c>
      <c r="Z84" s="192">
        <f t="shared" ref="Z84:Z169" si="323">S84-Y84</f>
        <v>0</v>
      </c>
      <c r="AA84" t="str">
        <f t="shared" ref="AA84:AA169" si="324">IF(L84&lt;0,"CHECK","-")</f>
        <v>-</v>
      </c>
      <c r="AB84" t="str">
        <f t="shared" ref="AB84:AB169" si="325">IF(M84&lt;0,"CHECK","-")</f>
        <v>-</v>
      </c>
      <c r="AD84" s="34">
        <f>C84-GAAP!C66</f>
        <v>23957</v>
      </c>
      <c r="AF84" s="64">
        <f t="shared" ref="AF84:AF91" si="326">C84</f>
        <v>23957</v>
      </c>
      <c r="AG84" s="64">
        <f t="shared" si="290"/>
        <v>7505.260000000002</v>
      </c>
      <c r="AH84" s="64">
        <f t="shared" si="291"/>
        <v>16451.739999999998</v>
      </c>
      <c r="AI84" s="217">
        <f t="shared" si="292"/>
        <v>0.99999999999999978</v>
      </c>
      <c r="AJ84" s="98">
        <f t="shared" si="293"/>
        <v>16451.739999999994</v>
      </c>
      <c r="AK84" s="98">
        <f t="shared" si="294"/>
        <v>23956.999999999993</v>
      </c>
      <c r="AL84" s="98">
        <f t="shared" si="295"/>
        <v>0</v>
      </c>
      <c r="AM84" s="98">
        <f t="shared" si="296"/>
        <v>0</v>
      </c>
      <c r="AN84" s="98">
        <f t="shared" si="297"/>
        <v>0</v>
      </c>
      <c r="AO84" s="222">
        <f>GAAP!P73</f>
        <v>145886.60538494127</v>
      </c>
      <c r="AP84" s="129">
        <f t="shared" si="298"/>
        <v>-129434.86538494128</v>
      </c>
    </row>
    <row r="85" spans="1:42" ht="13.5">
      <c r="A85" s="258">
        <v>52.8688</v>
      </c>
      <c r="B85" s="57" t="s">
        <v>506</v>
      </c>
      <c r="C85" s="163">
        <v>132492.20000000001</v>
      </c>
      <c r="D85" s="354">
        <f t="shared" si="280"/>
        <v>116972.75</v>
      </c>
      <c r="E85" s="163">
        <v>15519.450000000012</v>
      </c>
      <c r="F85" s="163">
        <v>116972.75</v>
      </c>
      <c r="G85" s="217">
        <f t="shared" si="281"/>
        <v>1</v>
      </c>
      <c r="H85" s="149">
        <v>15519.450000000012</v>
      </c>
      <c r="I85" s="214">
        <f t="shared" si="282"/>
        <v>132492.20000000001</v>
      </c>
      <c r="J85" s="149">
        <v>132492.20000000001</v>
      </c>
      <c r="K85" s="214">
        <f t="shared" si="317"/>
        <v>0</v>
      </c>
      <c r="L85" s="214">
        <f t="shared" si="318"/>
        <v>0</v>
      </c>
      <c r="M85" s="214">
        <f t="shared" si="319"/>
        <v>0</v>
      </c>
      <c r="N85" s="222"/>
      <c r="O85" s="222"/>
      <c r="P85" s="222"/>
      <c r="Q85" s="214">
        <f t="shared" si="320"/>
        <v>116972.75</v>
      </c>
      <c r="R85" s="214">
        <f t="shared" si="321"/>
        <v>132492.20000000001</v>
      </c>
      <c r="S85" s="214">
        <f t="shared" si="322"/>
        <v>15519.450000000012</v>
      </c>
      <c r="T85" s="273" t="s">
        <v>510</v>
      </c>
      <c r="U85" s="273" t="s">
        <v>510</v>
      </c>
      <c r="V85" s="57" t="str">
        <f t="shared" si="289"/>
        <v>&lt; 250k</v>
      </c>
      <c r="Y85" s="311">
        <v>15519.450000000012</v>
      </c>
      <c r="Z85" s="192">
        <f t="shared" si="323"/>
        <v>0</v>
      </c>
      <c r="AA85" t="str">
        <f t="shared" si="324"/>
        <v>-</v>
      </c>
      <c r="AB85" t="str">
        <f t="shared" si="325"/>
        <v>-</v>
      </c>
      <c r="AC85" s="523"/>
      <c r="AD85" s="34"/>
      <c r="AF85" s="64">
        <f t="shared" si="326"/>
        <v>132492.20000000001</v>
      </c>
      <c r="AG85" s="64">
        <f t="shared" si="290"/>
        <v>116972.75</v>
      </c>
      <c r="AH85" s="64">
        <f t="shared" si="291"/>
        <v>15519.450000000012</v>
      </c>
      <c r="AI85" s="217">
        <f t="shared" si="292"/>
        <v>1</v>
      </c>
      <c r="AJ85" s="98">
        <f t="shared" si="293"/>
        <v>15519.450000000012</v>
      </c>
      <c r="AK85" s="98">
        <f t="shared" si="294"/>
        <v>132492.20000000001</v>
      </c>
      <c r="AL85" s="98">
        <f t="shared" si="295"/>
        <v>0</v>
      </c>
      <c r="AM85" s="98">
        <f t="shared" si="296"/>
        <v>0</v>
      </c>
      <c r="AN85" s="98">
        <f t="shared" si="297"/>
        <v>0</v>
      </c>
      <c r="AO85" s="222">
        <f>GAAP!P86</f>
        <v>0</v>
      </c>
      <c r="AP85" s="129">
        <f t="shared" si="298"/>
        <v>15519.450000000012</v>
      </c>
    </row>
    <row r="86" spans="1:42" ht="13.5">
      <c r="A86" s="258">
        <v>52.868899999999996</v>
      </c>
      <c r="B86" s="57" t="s">
        <v>507</v>
      </c>
      <c r="C86" s="163">
        <v>16665.830000000002</v>
      </c>
      <c r="D86" s="354">
        <f t="shared" si="280"/>
        <v>16095.58</v>
      </c>
      <c r="E86" s="163">
        <v>570.25000000000182</v>
      </c>
      <c r="F86" s="163">
        <v>16095.58</v>
      </c>
      <c r="G86" s="217">
        <f t="shared" si="281"/>
        <v>1</v>
      </c>
      <c r="H86" s="149">
        <v>570.25000000000182</v>
      </c>
      <c r="I86" s="214">
        <f t="shared" si="282"/>
        <v>16665.830000000002</v>
      </c>
      <c r="J86" s="149">
        <v>16665.830000000002</v>
      </c>
      <c r="K86" s="214">
        <f t="shared" si="317"/>
        <v>0</v>
      </c>
      <c r="L86" s="214">
        <f t="shared" si="318"/>
        <v>0</v>
      </c>
      <c r="M86" s="214">
        <f t="shared" si="319"/>
        <v>0</v>
      </c>
      <c r="N86" s="222"/>
      <c r="O86" s="222"/>
      <c r="P86" s="222"/>
      <c r="Q86" s="214">
        <f t="shared" si="320"/>
        <v>16095.58</v>
      </c>
      <c r="R86" s="214">
        <f t="shared" si="321"/>
        <v>16665.830000000002</v>
      </c>
      <c r="S86" s="214">
        <f t="shared" si="322"/>
        <v>570.25000000000182</v>
      </c>
      <c r="T86" s="273" t="s">
        <v>510</v>
      </c>
      <c r="U86" s="273" t="s">
        <v>510</v>
      </c>
      <c r="V86" s="57" t="str">
        <f t="shared" si="289"/>
        <v>&lt; 250k</v>
      </c>
      <c r="Y86" s="311">
        <v>570.25000000000182</v>
      </c>
      <c r="Z86" s="192">
        <f t="shared" si="323"/>
        <v>0</v>
      </c>
      <c r="AA86" t="str">
        <f t="shared" si="324"/>
        <v>-</v>
      </c>
      <c r="AB86" t="str">
        <f t="shared" si="325"/>
        <v>-</v>
      </c>
      <c r="AD86" s="34"/>
      <c r="AF86" s="64">
        <f t="shared" si="326"/>
        <v>16665.830000000002</v>
      </c>
      <c r="AG86" s="64">
        <f t="shared" si="290"/>
        <v>16095.58</v>
      </c>
      <c r="AH86" s="64">
        <f t="shared" si="291"/>
        <v>570.25000000000182</v>
      </c>
      <c r="AI86" s="217">
        <f t="shared" si="292"/>
        <v>1</v>
      </c>
      <c r="AJ86" s="98">
        <f t="shared" si="293"/>
        <v>570.25000000000182</v>
      </c>
      <c r="AK86" s="98">
        <f t="shared" si="294"/>
        <v>16665.830000000002</v>
      </c>
      <c r="AL86" s="98">
        <f t="shared" si="295"/>
        <v>0</v>
      </c>
      <c r="AM86" s="98">
        <f t="shared" si="296"/>
        <v>0</v>
      </c>
      <c r="AN86" s="98">
        <f t="shared" si="297"/>
        <v>0</v>
      </c>
      <c r="AO86" s="222">
        <f>GAAP!P104</f>
        <v>5520803.7416194146</v>
      </c>
      <c r="AP86" s="129">
        <f t="shared" si="298"/>
        <v>-5520233.4916194146</v>
      </c>
    </row>
    <row r="87" spans="1:42" ht="13.5">
      <c r="A87" s="258">
        <v>52.869</v>
      </c>
      <c r="B87" s="57" t="s">
        <v>508</v>
      </c>
      <c r="C87" s="163">
        <v>14151.97</v>
      </c>
      <c r="D87" s="354">
        <f t="shared" si="280"/>
        <v>13155.83</v>
      </c>
      <c r="E87" s="163">
        <v>996.13999999999942</v>
      </c>
      <c r="F87" s="163">
        <v>13155.83</v>
      </c>
      <c r="G87" s="217">
        <f t="shared" si="281"/>
        <v>1</v>
      </c>
      <c r="H87" s="149">
        <v>996.13999999999942</v>
      </c>
      <c r="I87" s="214">
        <f t="shared" si="282"/>
        <v>14151.97</v>
      </c>
      <c r="J87" s="149">
        <v>14151.97</v>
      </c>
      <c r="K87" s="214">
        <f t="shared" si="317"/>
        <v>0</v>
      </c>
      <c r="L87" s="214">
        <f t="shared" si="318"/>
        <v>0</v>
      </c>
      <c r="M87" s="214">
        <f t="shared" si="319"/>
        <v>0</v>
      </c>
      <c r="N87" s="222"/>
      <c r="O87" s="222"/>
      <c r="P87" s="222"/>
      <c r="Q87" s="214">
        <f t="shared" si="320"/>
        <v>13155.83</v>
      </c>
      <c r="R87" s="214">
        <f t="shared" si="321"/>
        <v>14151.97</v>
      </c>
      <c r="S87" s="214">
        <f t="shared" si="322"/>
        <v>996.13999999999942</v>
      </c>
      <c r="T87" s="273" t="s">
        <v>510</v>
      </c>
      <c r="U87" s="273" t="s">
        <v>510</v>
      </c>
      <c r="V87" s="57" t="str">
        <f t="shared" si="289"/>
        <v>&lt; 250k</v>
      </c>
      <c r="Y87" s="311">
        <v>996.13999999999942</v>
      </c>
      <c r="Z87" s="192">
        <f t="shared" si="323"/>
        <v>0</v>
      </c>
      <c r="AA87" t="str">
        <f t="shared" si="324"/>
        <v>-</v>
      </c>
      <c r="AB87" t="str">
        <f t="shared" si="325"/>
        <v>-</v>
      </c>
      <c r="AC87" s="523"/>
      <c r="AD87" s="34"/>
      <c r="AF87" s="64">
        <f t="shared" si="326"/>
        <v>14151.97</v>
      </c>
      <c r="AG87" s="64">
        <f t="shared" si="290"/>
        <v>13155.83</v>
      </c>
      <c r="AH87" s="64">
        <f t="shared" si="291"/>
        <v>996.13999999999942</v>
      </c>
      <c r="AI87" s="217">
        <f t="shared" si="292"/>
        <v>1</v>
      </c>
      <c r="AJ87" s="98">
        <f t="shared" si="293"/>
        <v>996.13999999999942</v>
      </c>
      <c r="AK87" s="98">
        <f t="shared" si="294"/>
        <v>14151.97</v>
      </c>
      <c r="AL87" s="98">
        <f t="shared" si="295"/>
        <v>0</v>
      </c>
      <c r="AM87" s="98">
        <f t="shared" si="296"/>
        <v>0</v>
      </c>
      <c r="AN87" s="98">
        <f t="shared" si="297"/>
        <v>0</v>
      </c>
      <c r="AO87" s="222" t="e">
        <f>GAAP!#REF!</f>
        <v>#REF!</v>
      </c>
      <c r="AP87" s="129" t="e">
        <f t="shared" si="298"/>
        <v>#REF!</v>
      </c>
    </row>
    <row r="88" spans="1:42" ht="13.5">
      <c r="A88" s="258">
        <v>52.869100000000003</v>
      </c>
      <c r="B88" s="57" t="s">
        <v>509</v>
      </c>
      <c r="C88" s="163">
        <v>11302.84</v>
      </c>
      <c r="D88" s="354">
        <f t="shared" si="280"/>
        <v>8287.82</v>
      </c>
      <c r="E88" s="163">
        <v>3015.0200000000004</v>
      </c>
      <c r="F88" s="163">
        <v>8287.82</v>
      </c>
      <c r="G88" s="217">
        <f t="shared" si="281"/>
        <v>1</v>
      </c>
      <c r="H88" s="149">
        <v>3015.0200000000004</v>
      </c>
      <c r="I88" s="214">
        <f t="shared" si="282"/>
        <v>11302.84</v>
      </c>
      <c r="J88" s="149">
        <v>11302.84</v>
      </c>
      <c r="K88" s="214">
        <f t="shared" si="317"/>
        <v>0</v>
      </c>
      <c r="L88" s="214">
        <f t="shared" si="318"/>
        <v>0</v>
      </c>
      <c r="M88" s="214">
        <f t="shared" si="319"/>
        <v>0</v>
      </c>
      <c r="N88" s="222"/>
      <c r="O88" s="222"/>
      <c r="P88" s="222"/>
      <c r="Q88" s="214">
        <f t="shared" si="320"/>
        <v>8287.82</v>
      </c>
      <c r="R88" s="214">
        <f t="shared" si="321"/>
        <v>11302.84</v>
      </c>
      <c r="S88" s="214">
        <f t="shared" si="322"/>
        <v>3015.0200000000004</v>
      </c>
      <c r="T88" s="273" t="s">
        <v>510</v>
      </c>
      <c r="U88" s="185" t="s">
        <v>510</v>
      </c>
      <c r="V88" s="57" t="str">
        <f t="shared" si="289"/>
        <v>&lt; 250k</v>
      </c>
      <c r="Y88" s="311">
        <v>3015.0200000000004</v>
      </c>
      <c r="Z88" s="192">
        <f t="shared" si="323"/>
        <v>0</v>
      </c>
      <c r="AA88" t="str">
        <f t="shared" si="324"/>
        <v>-</v>
      </c>
      <c r="AB88" t="str">
        <f t="shared" si="325"/>
        <v>-</v>
      </c>
      <c r="AC88" s="523"/>
      <c r="AD88" s="34"/>
      <c r="AF88" s="64">
        <f t="shared" si="326"/>
        <v>11302.84</v>
      </c>
      <c r="AG88" s="64">
        <f t="shared" si="290"/>
        <v>8287.82</v>
      </c>
      <c r="AH88" s="64">
        <f t="shared" si="291"/>
        <v>3015.0200000000004</v>
      </c>
      <c r="AI88" s="217">
        <f t="shared" si="292"/>
        <v>1</v>
      </c>
      <c r="AJ88" s="98">
        <f t="shared" si="293"/>
        <v>3015.0200000000004</v>
      </c>
      <c r="AK88" s="98">
        <f t="shared" si="294"/>
        <v>11302.84</v>
      </c>
      <c r="AL88" s="98">
        <f t="shared" si="295"/>
        <v>0</v>
      </c>
      <c r="AM88" s="98">
        <f t="shared" si="296"/>
        <v>0</v>
      </c>
      <c r="AN88" s="98">
        <f t="shared" si="297"/>
        <v>0</v>
      </c>
      <c r="AO88" s="222" t="e">
        <f>GAAP!#REF!</f>
        <v>#REF!</v>
      </c>
      <c r="AP88" s="129" t="e">
        <f t="shared" si="298"/>
        <v>#REF!</v>
      </c>
    </row>
    <row r="89" spans="1:42" ht="13.5">
      <c r="A89" s="258">
        <v>52.869300000000003</v>
      </c>
      <c r="B89" s="57" t="s">
        <v>570</v>
      </c>
      <c r="C89" s="163">
        <v>1120704.2</v>
      </c>
      <c r="D89" s="354">
        <f t="shared" si="280"/>
        <v>663140.99</v>
      </c>
      <c r="E89" s="163">
        <v>457563.20999999996</v>
      </c>
      <c r="F89" s="163">
        <v>663140.99</v>
      </c>
      <c r="G89" s="217">
        <f t="shared" si="281"/>
        <v>1</v>
      </c>
      <c r="H89" s="149">
        <v>457563.20999999996</v>
      </c>
      <c r="I89" s="214">
        <f t="shared" si="282"/>
        <v>1120704.2</v>
      </c>
      <c r="J89" s="149">
        <v>1120704.2</v>
      </c>
      <c r="K89" s="214">
        <f t="shared" si="317"/>
        <v>0</v>
      </c>
      <c r="L89" s="214">
        <f t="shared" si="318"/>
        <v>0</v>
      </c>
      <c r="M89" s="214">
        <f t="shared" si="319"/>
        <v>0</v>
      </c>
      <c r="N89" s="222"/>
      <c r="O89" s="222"/>
      <c r="P89" s="222"/>
      <c r="Q89" s="214">
        <f t="shared" si="320"/>
        <v>663140.99</v>
      </c>
      <c r="R89" s="214">
        <f t="shared" si="321"/>
        <v>1120704.2</v>
      </c>
      <c r="S89" s="214">
        <f t="shared" si="322"/>
        <v>457563.20999999996</v>
      </c>
      <c r="T89" s="273" t="s">
        <v>510</v>
      </c>
      <c r="U89" s="185" t="s">
        <v>510</v>
      </c>
      <c r="V89" s="57" t="str">
        <f t="shared" si="289"/>
        <v>.</v>
      </c>
      <c r="Y89" s="311">
        <v>412543.4072935998</v>
      </c>
      <c r="Z89" s="192">
        <f t="shared" si="323"/>
        <v>45019.802706400165</v>
      </c>
      <c r="AA89" t="str">
        <f t="shared" si="324"/>
        <v>-</v>
      </c>
      <c r="AB89" t="str">
        <f t="shared" si="325"/>
        <v>-</v>
      </c>
      <c r="AC89" s="523"/>
      <c r="AD89" s="34"/>
      <c r="AF89" s="64">
        <f t="shared" si="326"/>
        <v>1120704.2</v>
      </c>
      <c r="AG89" s="64">
        <f t="shared" si="290"/>
        <v>663140.99</v>
      </c>
      <c r="AH89" s="64">
        <f t="shared" si="291"/>
        <v>457563.20999999996</v>
      </c>
      <c r="AI89" s="217">
        <f t="shared" si="292"/>
        <v>1</v>
      </c>
      <c r="AJ89" s="98">
        <f t="shared" si="293"/>
        <v>457563.20999999996</v>
      </c>
      <c r="AK89" s="98">
        <f t="shared" si="294"/>
        <v>1120704.2</v>
      </c>
      <c r="AL89" s="98">
        <f t="shared" si="295"/>
        <v>0</v>
      </c>
      <c r="AM89" s="98">
        <f t="shared" si="296"/>
        <v>0</v>
      </c>
      <c r="AN89" s="98">
        <f t="shared" si="297"/>
        <v>0</v>
      </c>
      <c r="AO89" s="222" t="e">
        <f>GAAP!#REF!</f>
        <v>#REF!</v>
      </c>
      <c r="AP89" s="129" t="e">
        <f t="shared" si="298"/>
        <v>#REF!</v>
      </c>
    </row>
    <row r="90" spans="1:42" ht="13.5">
      <c r="A90" s="258">
        <v>52.869399999999999</v>
      </c>
      <c r="B90" s="57" t="s">
        <v>571</v>
      </c>
      <c r="C90" s="163">
        <v>43047.45</v>
      </c>
      <c r="D90" s="354">
        <f t="shared" si="280"/>
        <v>38541.99</v>
      </c>
      <c r="E90" s="163">
        <v>4505.4599999999991</v>
      </c>
      <c r="F90" s="163">
        <v>38541.99</v>
      </c>
      <c r="G90" s="217">
        <f t="shared" si="281"/>
        <v>1</v>
      </c>
      <c r="H90" s="149">
        <v>4505.4599999999991</v>
      </c>
      <c r="I90" s="214">
        <f t="shared" si="282"/>
        <v>43047.45</v>
      </c>
      <c r="J90" s="149">
        <v>43047.45</v>
      </c>
      <c r="K90" s="214">
        <f t="shared" si="317"/>
        <v>0</v>
      </c>
      <c r="L90" s="214">
        <f t="shared" si="318"/>
        <v>0</v>
      </c>
      <c r="M90" s="214">
        <f t="shared" si="319"/>
        <v>0</v>
      </c>
      <c r="N90" s="222"/>
      <c r="O90" s="222"/>
      <c r="P90" s="222"/>
      <c r="Q90" s="214">
        <f t="shared" si="320"/>
        <v>38541.99</v>
      </c>
      <c r="R90" s="214">
        <f t="shared" si="321"/>
        <v>43047.45</v>
      </c>
      <c r="S90" s="214">
        <f t="shared" si="322"/>
        <v>4505.4599999999991</v>
      </c>
      <c r="T90" s="273" t="s">
        <v>510</v>
      </c>
      <c r="U90" s="273" t="s">
        <v>510</v>
      </c>
      <c r="V90" s="57" t="str">
        <f t="shared" si="289"/>
        <v>&lt; 250k</v>
      </c>
      <c r="Y90" s="311">
        <v>4505.4599999999991</v>
      </c>
      <c r="Z90" s="192">
        <f t="shared" si="323"/>
        <v>0</v>
      </c>
      <c r="AA90" t="str">
        <f t="shared" si="324"/>
        <v>-</v>
      </c>
      <c r="AB90" t="str">
        <f t="shared" si="325"/>
        <v>-</v>
      </c>
      <c r="AC90" s="523"/>
      <c r="AD90" s="34"/>
      <c r="AF90" s="64">
        <f t="shared" si="326"/>
        <v>43047.45</v>
      </c>
      <c r="AG90" s="64">
        <f t="shared" si="290"/>
        <v>38541.99</v>
      </c>
      <c r="AH90" s="64">
        <f t="shared" si="291"/>
        <v>4505.4599999999991</v>
      </c>
      <c r="AI90" s="217">
        <f t="shared" si="292"/>
        <v>1</v>
      </c>
      <c r="AJ90" s="98">
        <f t="shared" si="293"/>
        <v>4505.4599999999991</v>
      </c>
      <c r="AK90" s="98">
        <f t="shared" si="294"/>
        <v>43047.45</v>
      </c>
      <c r="AL90" s="98">
        <f t="shared" si="295"/>
        <v>0</v>
      </c>
      <c r="AM90" s="98">
        <f t="shared" si="296"/>
        <v>0</v>
      </c>
      <c r="AN90" s="98">
        <f t="shared" si="297"/>
        <v>0</v>
      </c>
      <c r="AO90" s="222">
        <f>GAAP!P110</f>
        <v>0</v>
      </c>
      <c r="AP90" s="129">
        <f t="shared" si="298"/>
        <v>4505.4599999999991</v>
      </c>
    </row>
    <row r="91" spans="1:42" ht="13.5">
      <c r="A91" s="258">
        <v>52.869500000000002</v>
      </c>
      <c r="B91" s="57" t="s">
        <v>572</v>
      </c>
      <c r="C91" s="163">
        <v>13769</v>
      </c>
      <c r="D91" s="354">
        <f t="shared" si="280"/>
        <v>13024.37</v>
      </c>
      <c r="E91" s="163">
        <v>744.6299999999992</v>
      </c>
      <c r="F91" s="163">
        <v>13024.37</v>
      </c>
      <c r="G91" s="217">
        <f t="shared" si="281"/>
        <v>1</v>
      </c>
      <c r="H91" s="149">
        <v>744.6299999999992</v>
      </c>
      <c r="I91" s="214">
        <f t="shared" si="282"/>
        <v>13769</v>
      </c>
      <c r="J91" s="149">
        <v>13769</v>
      </c>
      <c r="K91" s="214">
        <f t="shared" si="317"/>
        <v>0</v>
      </c>
      <c r="L91" s="214">
        <f t="shared" si="318"/>
        <v>0</v>
      </c>
      <c r="M91" s="214">
        <f t="shared" si="319"/>
        <v>0</v>
      </c>
      <c r="N91" s="222"/>
      <c r="O91" s="222"/>
      <c r="P91" s="222"/>
      <c r="Q91" s="214">
        <f t="shared" si="320"/>
        <v>13024.37</v>
      </c>
      <c r="R91" s="214">
        <f t="shared" si="321"/>
        <v>13769</v>
      </c>
      <c r="S91" s="214">
        <f t="shared" si="322"/>
        <v>744.6299999999992</v>
      </c>
      <c r="T91" s="273" t="s">
        <v>510</v>
      </c>
      <c r="U91" s="273" t="s">
        <v>510</v>
      </c>
      <c r="V91" s="57" t="str">
        <f t="shared" si="289"/>
        <v>&lt; 250k</v>
      </c>
      <c r="Y91" s="311">
        <v>744.6299999999992</v>
      </c>
      <c r="Z91" s="192">
        <f t="shared" si="323"/>
        <v>0</v>
      </c>
      <c r="AA91" t="str">
        <f t="shared" si="324"/>
        <v>-</v>
      </c>
      <c r="AB91" t="str">
        <f t="shared" si="325"/>
        <v>-</v>
      </c>
      <c r="AC91" s="523"/>
      <c r="AD91" s="34"/>
      <c r="AF91" s="64">
        <f t="shared" si="326"/>
        <v>13769</v>
      </c>
      <c r="AG91" s="64">
        <f t="shared" si="290"/>
        <v>13024.37</v>
      </c>
      <c r="AH91" s="64">
        <f t="shared" si="291"/>
        <v>744.6299999999992</v>
      </c>
      <c r="AI91" s="217">
        <f t="shared" si="292"/>
        <v>1</v>
      </c>
      <c r="AJ91" s="98">
        <f t="shared" si="293"/>
        <v>744.6299999999992</v>
      </c>
      <c r="AK91" s="98">
        <f t="shared" si="294"/>
        <v>13769</v>
      </c>
      <c r="AL91" s="98">
        <f t="shared" si="295"/>
        <v>0</v>
      </c>
      <c r="AM91" s="98">
        <f t="shared" si="296"/>
        <v>0</v>
      </c>
      <c r="AN91" s="98">
        <f t="shared" si="297"/>
        <v>0</v>
      </c>
      <c r="AO91" s="222">
        <f>GAAP!P111</f>
        <v>0</v>
      </c>
      <c r="AP91" s="129">
        <f t="shared" si="298"/>
        <v>744.6299999999992</v>
      </c>
    </row>
    <row r="92" spans="1:42" ht="13.5">
      <c r="A92" s="258">
        <v>52.869599999999998</v>
      </c>
      <c r="B92" s="57" t="s">
        <v>579</v>
      </c>
      <c r="C92" s="163">
        <v>1059.22</v>
      </c>
      <c r="D92" s="354">
        <f t="shared" si="280"/>
        <v>887.65</v>
      </c>
      <c r="E92" s="163">
        <v>171.57000000000005</v>
      </c>
      <c r="F92" s="163">
        <v>887.65</v>
      </c>
      <c r="G92" s="217">
        <f t="shared" si="281"/>
        <v>1</v>
      </c>
      <c r="H92" s="149">
        <v>171.57000000000005</v>
      </c>
      <c r="I92" s="214">
        <f t="shared" si="282"/>
        <v>1059.22</v>
      </c>
      <c r="J92" s="149">
        <v>1059.22</v>
      </c>
      <c r="K92" s="214">
        <f t="shared" si="317"/>
        <v>0</v>
      </c>
      <c r="L92" s="214">
        <f t="shared" si="318"/>
        <v>0</v>
      </c>
      <c r="M92" s="214">
        <f t="shared" si="319"/>
        <v>0</v>
      </c>
      <c r="N92" s="222"/>
      <c r="O92" s="222"/>
      <c r="P92" s="222"/>
      <c r="Q92" s="214">
        <f t="shared" si="320"/>
        <v>887.65</v>
      </c>
      <c r="R92" s="214">
        <f t="shared" si="321"/>
        <v>1059.22</v>
      </c>
      <c r="S92" s="214">
        <f t="shared" si="322"/>
        <v>171.57000000000005</v>
      </c>
      <c r="T92" s="273" t="s">
        <v>510</v>
      </c>
      <c r="U92" s="273" t="s">
        <v>510</v>
      </c>
      <c r="V92" s="57" t="str">
        <f t="shared" si="289"/>
        <v>&lt; 250k</v>
      </c>
      <c r="Y92" s="311">
        <v>171.57000000000005</v>
      </c>
      <c r="Z92" s="192">
        <f t="shared" si="323"/>
        <v>0</v>
      </c>
      <c r="AA92" t="str">
        <f t="shared" si="324"/>
        <v>-</v>
      </c>
      <c r="AB92" t="str">
        <f t="shared" si="325"/>
        <v>-</v>
      </c>
      <c r="AC92" s="523"/>
      <c r="AD92" s="34"/>
      <c r="AF92" s="64"/>
      <c r="AG92" s="64"/>
      <c r="AH92" s="64"/>
      <c r="AI92" s="217"/>
      <c r="AJ92" s="98"/>
      <c r="AK92" s="98"/>
      <c r="AL92" s="98"/>
      <c r="AM92" s="98"/>
      <c r="AN92" s="98"/>
      <c r="AO92" s="222"/>
      <c r="AP92" s="129"/>
    </row>
    <row r="93" spans="1:42" ht="13.5">
      <c r="A93" s="258">
        <v>52.869900000000001</v>
      </c>
      <c r="B93" s="57" t="s">
        <v>590</v>
      </c>
      <c r="C93" s="163">
        <v>3001.12</v>
      </c>
      <c r="D93" s="354">
        <f t="shared" si="280"/>
        <v>2948.91</v>
      </c>
      <c r="E93" s="163">
        <v>52.210000000000036</v>
      </c>
      <c r="F93" s="163">
        <v>2948.91</v>
      </c>
      <c r="G93" s="217">
        <f t="shared" si="281"/>
        <v>1</v>
      </c>
      <c r="H93" s="149">
        <v>52.210000000000036</v>
      </c>
      <c r="I93" s="214">
        <f t="shared" si="282"/>
        <v>3001.12</v>
      </c>
      <c r="J93" s="149">
        <v>3001.12</v>
      </c>
      <c r="K93" s="214">
        <f t="shared" si="317"/>
        <v>0</v>
      </c>
      <c r="L93" s="214">
        <f t="shared" si="318"/>
        <v>0</v>
      </c>
      <c r="M93" s="214">
        <f t="shared" si="319"/>
        <v>0</v>
      </c>
      <c r="N93" s="222"/>
      <c r="O93" s="222"/>
      <c r="P93" s="222"/>
      <c r="Q93" s="214">
        <f t="shared" si="320"/>
        <v>2948.91</v>
      </c>
      <c r="R93" s="214">
        <f t="shared" si="321"/>
        <v>3001.12</v>
      </c>
      <c r="S93" s="214">
        <f t="shared" si="322"/>
        <v>52.210000000000036</v>
      </c>
      <c r="T93" s="273" t="s">
        <v>510</v>
      </c>
      <c r="U93" s="185" t="s">
        <v>510</v>
      </c>
      <c r="V93" s="57" t="str">
        <f t="shared" si="289"/>
        <v>&lt; 250k</v>
      </c>
      <c r="Y93" s="311">
        <v>52.210000000000036</v>
      </c>
      <c r="Z93" s="192">
        <f t="shared" si="323"/>
        <v>0</v>
      </c>
      <c r="AA93" t="str">
        <f t="shared" si="324"/>
        <v>-</v>
      </c>
      <c r="AB93" t="str">
        <f t="shared" si="325"/>
        <v>-</v>
      </c>
      <c r="AC93" s="523"/>
      <c r="AD93" s="34"/>
      <c r="AF93" s="64"/>
      <c r="AG93" s="64"/>
      <c r="AH93" s="64"/>
      <c r="AI93" s="217"/>
      <c r="AJ93" s="98"/>
      <c r="AK93" s="98"/>
      <c r="AL93" s="98"/>
      <c r="AM93" s="98"/>
      <c r="AN93" s="98"/>
      <c r="AO93" s="222"/>
      <c r="AP93" s="129"/>
    </row>
    <row r="94" spans="1:42" ht="13.5">
      <c r="A94" s="258">
        <v>52.87</v>
      </c>
      <c r="B94" s="57" t="s">
        <v>591</v>
      </c>
      <c r="C94" s="163">
        <v>5297</v>
      </c>
      <c r="D94" s="354">
        <f t="shared" si="280"/>
        <v>4446.13</v>
      </c>
      <c r="E94" s="163">
        <v>850.86999999999989</v>
      </c>
      <c r="F94" s="163">
        <v>4446.13</v>
      </c>
      <c r="G94" s="217">
        <f t="shared" si="281"/>
        <v>1</v>
      </c>
      <c r="H94" s="149">
        <v>850.86999999999989</v>
      </c>
      <c r="I94" s="214">
        <f t="shared" si="282"/>
        <v>5297</v>
      </c>
      <c r="J94" s="149">
        <v>5297</v>
      </c>
      <c r="K94" s="214">
        <f t="shared" si="317"/>
        <v>0</v>
      </c>
      <c r="L94" s="214">
        <f t="shared" si="318"/>
        <v>0</v>
      </c>
      <c r="M94" s="214">
        <f t="shared" si="319"/>
        <v>0</v>
      </c>
      <c r="N94" s="222"/>
      <c r="O94" s="222"/>
      <c r="P94" s="222"/>
      <c r="Q94" s="214">
        <f t="shared" si="320"/>
        <v>4446.13</v>
      </c>
      <c r="R94" s="214">
        <f t="shared" si="321"/>
        <v>5297</v>
      </c>
      <c r="S94" s="214">
        <f t="shared" si="322"/>
        <v>850.86999999999989</v>
      </c>
      <c r="T94" s="273" t="s">
        <v>510</v>
      </c>
      <c r="U94" s="185" t="s">
        <v>510</v>
      </c>
      <c r="V94" s="57" t="str">
        <f t="shared" si="289"/>
        <v>&lt; 250k</v>
      </c>
      <c r="Y94" s="311">
        <v>334.65494623655917</v>
      </c>
      <c r="Z94" s="192">
        <f t="shared" si="323"/>
        <v>516.21505376344066</v>
      </c>
      <c r="AA94" t="str">
        <f t="shared" si="324"/>
        <v>-</v>
      </c>
      <c r="AB94" t="str">
        <f t="shared" si="325"/>
        <v>-</v>
      </c>
      <c r="AC94" s="523"/>
      <c r="AD94" s="34"/>
      <c r="AF94" s="64"/>
      <c r="AG94" s="64"/>
      <c r="AH94" s="64"/>
      <c r="AI94" s="217"/>
      <c r="AJ94" s="98"/>
      <c r="AK94" s="98"/>
      <c r="AL94" s="98"/>
      <c r="AM94" s="98"/>
      <c r="AN94" s="98"/>
      <c r="AO94" s="222"/>
      <c r="AP94" s="129"/>
    </row>
    <row r="95" spans="1:42" ht="13.5">
      <c r="A95" s="258">
        <v>52.870100000000001</v>
      </c>
      <c r="B95" s="57" t="s">
        <v>664</v>
      </c>
      <c r="C95" s="163">
        <v>13433.85</v>
      </c>
      <c r="D95" s="354">
        <f t="shared" si="280"/>
        <v>12421.08</v>
      </c>
      <c r="E95" s="163">
        <v>1012.7700000000004</v>
      </c>
      <c r="F95" s="163">
        <v>12421.08</v>
      </c>
      <c r="G95" s="217">
        <f t="shared" si="281"/>
        <v>1</v>
      </c>
      <c r="H95" s="149">
        <v>1012.7700000000004</v>
      </c>
      <c r="I95" s="214">
        <f t="shared" si="282"/>
        <v>13433.85</v>
      </c>
      <c r="J95" s="149">
        <v>13433.85</v>
      </c>
      <c r="K95" s="214">
        <f t="shared" si="317"/>
        <v>0</v>
      </c>
      <c r="L95" s="214">
        <f t="shared" si="318"/>
        <v>0</v>
      </c>
      <c r="M95" s="214">
        <f t="shared" si="319"/>
        <v>0</v>
      </c>
      <c r="N95" s="222"/>
      <c r="O95" s="222"/>
      <c r="P95" s="222"/>
      <c r="Q95" s="214">
        <f t="shared" si="320"/>
        <v>12421.08</v>
      </c>
      <c r="R95" s="214">
        <f t="shared" si="321"/>
        <v>13433.85</v>
      </c>
      <c r="S95" s="214">
        <f t="shared" si="322"/>
        <v>1012.7700000000004</v>
      </c>
      <c r="T95" s="273" t="s">
        <v>510</v>
      </c>
      <c r="U95" s="273" t="s">
        <v>510</v>
      </c>
      <c r="V95" s="57" t="str">
        <f t="shared" si="289"/>
        <v>&lt; 250k</v>
      </c>
      <c r="Y95" s="311">
        <v>1247.6599999999999</v>
      </c>
      <c r="Z95" s="192">
        <f t="shared" si="323"/>
        <v>-234.88999999999942</v>
      </c>
      <c r="AA95" t="str">
        <f t="shared" si="324"/>
        <v>-</v>
      </c>
      <c r="AB95" t="str">
        <f t="shared" si="325"/>
        <v>-</v>
      </c>
      <c r="AC95" s="523"/>
      <c r="AD95" s="34"/>
      <c r="AF95" s="64"/>
      <c r="AG95" s="64"/>
      <c r="AH95" s="64"/>
      <c r="AI95" s="217"/>
      <c r="AJ95" s="98"/>
      <c r="AK95" s="98"/>
      <c r="AL95" s="98"/>
      <c r="AM95" s="98"/>
      <c r="AN95" s="98"/>
      <c r="AO95" s="222"/>
      <c r="AP95" s="129"/>
    </row>
    <row r="96" spans="1:42" ht="13.5">
      <c r="A96" s="258">
        <v>52.870199999999997</v>
      </c>
      <c r="B96" s="57" t="s">
        <v>665</v>
      </c>
      <c r="C96" s="163">
        <v>5626.78</v>
      </c>
      <c r="D96" s="354">
        <f t="shared" si="280"/>
        <v>4725.28</v>
      </c>
      <c r="E96" s="163">
        <v>901.5</v>
      </c>
      <c r="F96" s="163">
        <v>4725.28</v>
      </c>
      <c r="G96" s="217">
        <f t="shared" si="281"/>
        <v>1</v>
      </c>
      <c r="H96" s="149">
        <v>901.5</v>
      </c>
      <c r="I96" s="214">
        <f t="shared" si="282"/>
        <v>5626.78</v>
      </c>
      <c r="J96" s="149">
        <v>5626.78</v>
      </c>
      <c r="K96" s="214">
        <f t="shared" si="317"/>
        <v>0</v>
      </c>
      <c r="L96" s="214">
        <f t="shared" si="318"/>
        <v>0</v>
      </c>
      <c r="M96" s="214">
        <f t="shared" si="319"/>
        <v>0</v>
      </c>
      <c r="N96" s="222"/>
      <c r="O96" s="222"/>
      <c r="P96" s="222"/>
      <c r="Q96" s="214">
        <f t="shared" si="320"/>
        <v>4725.28</v>
      </c>
      <c r="R96" s="214">
        <f t="shared" si="321"/>
        <v>5626.78</v>
      </c>
      <c r="S96" s="214">
        <f t="shared" si="322"/>
        <v>901.5</v>
      </c>
      <c r="T96" s="273" t="s">
        <v>510</v>
      </c>
      <c r="U96" s="185" t="s">
        <v>510</v>
      </c>
      <c r="V96" s="57" t="str">
        <f t="shared" si="289"/>
        <v>&lt; 250k</v>
      </c>
      <c r="Y96" s="311">
        <v>901.5</v>
      </c>
      <c r="Z96" s="192">
        <f t="shared" si="323"/>
        <v>0</v>
      </c>
      <c r="AA96" t="str">
        <f t="shared" si="324"/>
        <v>-</v>
      </c>
      <c r="AB96" t="str">
        <f t="shared" si="325"/>
        <v>-</v>
      </c>
      <c r="AC96" s="523"/>
      <c r="AD96" s="34"/>
      <c r="AF96" s="64"/>
      <c r="AG96" s="64"/>
      <c r="AH96" s="64"/>
      <c r="AI96" s="217"/>
      <c r="AJ96" s="98"/>
      <c r="AK96" s="98"/>
      <c r="AL96" s="98"/>
      <c r="AM96" s="98"/>
      <c r="AN96" s="98"/>
      <c r="AO96" s="222"/>
      <c r="AP96" s="129"/>
    </row>
    <row r="97" spans="1:42" ht="13.5">
      <c r="A97" s="258">
        <v>52.8703</v>
      </c>
      <c r="B97" s="57" t="s">
        <v>666</v>
      </c>
      <c r="C97" s="163">
        <v>14402.18</v>
      </c>
      <c r="D97" s="354">
        <f t="shared" si="280"/>
        <v>12571.54</v>
      </c>
      <c r="E97" s="163">
        <v>1830.6399999999994</v>
      </c>
      <c r="F97" s="163">
        <v>12571.54</v>
      </c>
      <c r="G97" s="217">
        <f t="shared" si="281"/>
        <v>1</v>
      </c>
      <c r="H97" s="149">
        <v>1830.6399999999994</v>
      </c>
      <c r="I97" s="214">
        <f t="shared" si="282"/>
        <v>14402.18</v>
      </c>
      <c r="J97" s="149">
        <v>14402.18</v>
      </c>
      <c r="K97" s="214">
        <f t="shared" si="317"/>
        <v>0</v>
      </c>
      <c r="L97" s="214">
        <f t="shared" si="318"/>
        <v>0</v>
      </c>
      <c r="M97" s="214">
        <f t="shared" si="319"/>
        <v>0</v>
      </c>
      <c r="N97" s="222"/>
      <c r="O97" s="222"/>
      <c r="P97" s="222"/>
      <c r="Q97" s="214">
        <f t="shared" si="320"/>
        <v>12571.54</v>
      </c>
      <c r="R97" s="214">
        <f t="shared" si="321"/>
        <v>14402.18</v>
      </c>
      <c r="S97" s="214">
        <f t="shared" si="322"/>
        <v>1830.6399999999994</v>
      </c>
      <c r="T97" s="273" t="s">
        <v>510</v>
      </c>
      <c r="U97" s="273" t="s">
        <v>510</v>
      </c>
      <c r="V97" s="57" t="str">
        <f t="shared" si="289"/>
        <v>&lt; 250k</v>
      </c>
      <c r="Y97" s="311">
        <v>2171.92</v>
      </c>
      <c r="Z97" s="192">
        <f t="shared" si="323"/>
        <v>-341.28000000000065</v>
      </c>
      <c r="AA97" t="str">
        <f t="shared" si="324"/>
        <v>-</v>
      </c>
      <c r="AB97" t="str">
        <f t="shared" si="325"/>
        <v>-</v>
      </c>
      <c r="AC97" s="523"/>
      <c r="AD97" s="34"/>
      <c r="AF97" s="64"/>
      <c r="AG97" s="64"/>
      <c r="AH97" s="64"/>
      <c r="AI97" s="217"/>
      <c r="AJ97" s="98"/>
      <c r="AK97" s="98"/>
      <c r="AL97" s="98"/>
      <c r="AM97" s="98"/>
      <c r="AN97" s="98"/>
      <c r="AO97" s="222"/>
      <c r="AP97" s="129"/>
    </row>
    <row r="98" spans="1:42" ht="13.5">
      <c r="A98" s="258">
        <v>52.870600000000003</v>
      </c>
      <c r="B98" s="57" t="s">
        <v>673</v>
      </c>
      <c r="C98" s="163">
        <v>2868.6</v>
      </c>
      <c r="D98" s="354">
        <f t="shared" si="280"/>
        <v>2435.7800000000002</v>
      </c>
      <c r="E98" s="163">
        <v>432.81999999999971</v>
      </c>
      <c r="F98" s="163">
        <v>2435.7800000000002</v>
      </c>
      <c r="G98" s="217">
        <f t="shared" si="281"/>
        <v>1</v>
      </c>
      <c r="H98" s="149">
        <v>432.81999999999971</v>
      </c>
      <c r="I98" s="214">
        <f t="shared" si="282"/>
        <v>2868.6</v>
      </c>
      <c r="J98" s="149">
        <v>2868.6</v>
      </c>
      <c r="K98" s="214">
        <f t="shared" si="317"/>
        <v>0</v>
      </c>
      <c r="L98" s="214">
        <f t="shared" si="318"/>
        <v>0</v>
      </c>
      <c r="M98" s="214">
        <f t="shared" si="319"/>
        <v>0</v>
      </c>
      <c r="N98" s="222"/>
      <c r="O98" s="222"/>
      <c r="P98" s="222"/>
      <c r="Q98" s="214">
        <f t="shared" si="320"/>
        <v>2435.7800000000002</v>
      </c>
      <c r="R98" s="214">
        <f t="shared" si="321"/>
        <v>2868.6</v>
      </c>
      <c r="S98" s="214">
        <f t="shared" si="322"/>
        <v>432.81999999999971</v>
      </c>
      <c r="T98" s="273" t="s">
        <v>510</v>
      </c>
      <c r="U98" s="273" t="s">
        <v>510</v>
      </c>
      <c r="V98" s="57" t="str">
        <f t="shared" si="289"/>
        <v>&lt; 250k</v>
      </c>
      <c r="Y98" s="311">
        <v>432.81999999999971</v>
      </c>
      <c r="Z98" s="192">
        <f t="shared" si="323"/>
        <v>0</v>
      </c>
      <c r="AA98" t="str">
        <f t="shared" si="324"/>
        <v>-</v>
      </c>
      <c r="AB98" t="str">
        <f t="shared" si="325"/>
        <v>-</v>
      </c>
      <c r="AC98" s="523"/>
      <c r="AD98" s="34"/>
      <c r="AF98" s="64"/>
      <c r="AG98" s="64"/>
      <c r="AH98" s="64"/>
      <c r="AI98" s="217"/>
      <c r="AJ98" s="98"/>
      <c r="AK98" s="98"/>
      <c r="AL98" s="98"/>
      <c r="AM98" s="98"/>
      <c r="AN98" s="98"/>
      <c r="AO98" s="222"/>
      <c r="AP98" s="129"/>
    </row>
    <row r="99" spans="1:42" ht="13.5">
      <c r="A99" s="258">
        <v>52.870899999999999</v>
      </c>
      <c r="B99" s="57" t="s">
        <v>690</v>
      </c>
      <c r="C99" s="163">
        <v>17765.14</v>
      </c>
      <c r="D99" s="354">
        <f t="shared" si="280"/>
        <v>14874.36</v>
      </c>
      <c r="E99" s="163">
        <v>2890.7799999999988</v>
      </c>
      <c r="F99" s="163">
        <v>14874.36</v>
      </c>
      <c r="G99" s="217">
        <f t="shared" si="281"/>
        <v>1</v>
      </c>
      <c r="H99" s="149">
        <v>2890.7799999999988</v>
      </c>
      <c r="I99" s="214">
        <f t="shared" si="282"/>
        <v>17765.14</v>
      </c>
      <c r="J99" s="149">
        <v>17765.14</v>
      </c>
      <c r="K99" s="214">
        <f t="shared" si="317"/>
        <v>0</v>
      </c>
      <c r="L99" s="214">
        <f t="shared" si="318"/>
        <v>0</v>
      </c>
      <c r="M99" s="214">
        <f t="shared" si="319"/>
        <v>0</v>
      </c>
      <c r="N99" s="222"/>
      <c r="O99" s="222"/>
      <c r="P99" s="222"/>
      <c r="Q99" s="214">
        <f t="shared" si="320"/>
        <v>14874.36</v>
      </c>
      <c r="R99" s="214">
        <f t="shared" si="321"/>
        <v>17765.14</v>
      </c>
      <c r="S99" s="214">
        <f t="shared" si="322"/>
        <v>2890.7799999999988</v>
      </c>
      <c r="T99" s="273" t="s">
        <v>510</v>
      </c>
      <c r="U99" s="273" t="s">
        <v>510</v>
      </c>
      <c r="V99" s="57" t="str">
        <f t="shared" si="289"/>
        <v>&lt; 250k</v>
      </c>
      <c r="Y99" s="311">
        <v>3065.5599999999995</v>
      </c>
      <c r="Z99" s="192">
        <f t="shared" si="323"/>
        <v>-174.78000000000065</v>
      </c>
      <c r="AA99" t="str">
        <f t="shared" si="324"/>
        <v>-</v>
      </c>
      <c r="AB99" t="str">
        <f t="shared" si="325"/>
        <v>-</v>
      </c>
      <c r="AC99" s="523"/>
      <c r="AD99" s="34"/>
      <c r="AF99" s="64"/>
      <c r="AG99" s="64"/>
      <c r="AH99" s="64"/>
      <c r="AI99" s="217"/>
      <c r="AJ99" s="98"/>
      <c r="AK99" s="98"/>
      <c r="AL99" s="98"/>
      <c r="AM99" s="98"/>
      <c r="AN99" s="98"/>
      <c r="AO99" s="222"/>
      <c r="AP99" s="129"/>
    </row>
    <row r="100" spans="1:42" ht="13.5">
      <c r="A100" s="258">
        <v>52.871000000000002</v>
      </c>
      <c r="B100" s="57" t="s">
        <v>691</v>
      </c>
      <c r="C100" s="163">
        <v>4064.54</v>
      </c>
      <c r="D100" s="354">
        <f t="shared" si="280"/>
        <v>3514.84</v>
      </c>
      <c r="E100" s="163">
        <v>549.69999999999982</v>
      </c>
      <c r="F100" s="163">
        <v>3514.84</v>
      </c>
      <c r="G100" s="217">
        <f t="shared" si="281"/>
        <v>1</v>
      </c>
      <c r="H100" s="149">
        <v>549.69999999999982</v>
      </c>
      <c r="I100" s="214">
        <f t="shared" si="282"/>
        <v>4064.54</v>
      </c>
      <c r="J100" s="149">
        <v>4064.54</v>
      </c>
      <c r="K100" s="214">
        <f t="shared" si="317"/>
        <v>0</v>
      </c>
      <c r="L100" s="214">
        <f t="shared" si="318"/>
        <v>0</v>
      </c>
      <c r="M100" s="214">
        <f t="shared" si="319"/>
        <v>0</v>
      </c>
      <c r="N100" s="222"/>
      <c r="O100" s="222"/>
      <c r="P100" s="222"/>
      <c r="Q100" s="214">
        <f t="shared" si="320"/>
        <v>3514.84</v>
      </c>
      <c r="R100" s="214">
        <f t="shared" si="321"/>
        <v>4064.54</v>
      </c>
      <c r="S100" s="214">
        <f t="shared" si="322"/>
        <v>549.69999999999982</v>
      </c>
      <c r="T100" s="273" t="s">
        <v>510</v>
      </c>
      <c r="U100" s="273" t="s">
        <v>510</v>
      </c>
      <c r="V100" s="57" t="str">
        <f t="shared" si="289"/>
        <v>&lt; 250k</v>
      </c>
      <c r="Y100" s="311">
        <v>549.69999999999982</v>
      </c>
      <c r="Z100" s="192">
        <f t="shared" si="323"/>
        <v>0</v>
      </c>
      <c r="AA100" t="str">
        <f t="shared" si="324"/>
        <v>-</v>
      </c>
      <c r="AB100" t="str">
        <f t="shared" si="325"/>
        <v>-</v>
      </c>
      <c r="AC100" s="523"/>
      <c r="AD100" s="34"/>
      <c r="AF100" s="64"/>
      <c r="AG100" s="64"/>
      <c r="AH100" s="64"/>
      <c r="AI100" s="217"/>
      <c r="AJ100" s="98"/>
      <c r="AK100" s="98"/>
      <c r="AL100" s="98"/>
      <c r="AM100" s="98"/>
      <c r="AN100" s="98"/>
      <c r="AO100" s="222"/>
      <c r="AP100" s="129"/>
    </row>
    <row r="101" spans="1:42" ht="13.5">
      <c r="A101" s="258">
        <v>52.871499999999997</v>
      </c>
      <c r="B101" s="57" t="s">
        <v>711</v>
      </c>
      <c r="C101" s="163">
        <v>10001.43</v>
      </c>
      <c r="D101" s="354">
        <f t="shared" si="280"/>
        <v>8585.44</v>
      </c>
      <c r="E101" s="163">
        <v>1415.9899999999998</v>
      </c>
      <c r="F101" s="163">
        <v>8585.44</v>
      </c>
      <c r="G101" s="217">
        <f t="shared" si="281"/>
        <v>1</v>
      </c>
      <c r="H101" s="149">
        <v>1415.9899999999998</v>
      </c>
      <c r="I101" s="214">
        <f t="shared" si="282"/>
        <v>10001.43</v>
      </c>
      <c r="J101" s="149">
        <v>10001.43</v>
      </c>
      <c r="K101" s="214">
        <f t="shared" si="317"/>
        <v>0</v>
      </c>
      <c r="L101" s="214">
        <f t="shared" si="318"/>
        <v>0</v>
      </c>
      <c r="M101" s="214">
        <f t="shared" si="319"/>
        <v>0</v>
      </c>
      <c r="N101" s="222"/>
      <c r="O101" s="222"/>
      <c r="P101" s="222"/>
      <c r="Q101" s="214">
        <f t="shared" si="320"/>
        <v>8585.44</v>
      </c>
      <c r="R101" s="214">
        <f t="shared" si="321"/>
        <v>10001.43</v>
      </c>
      <c r="S101" s="214">
        <f t="shared" si="322"/>
        <v>1415.9899999999998</v>
      </c>
      <c r="T101" s="273" t="s">
        <v>510</v>
      </c>
      <c r="U101" s="273" t="s">
        <v>510</v>
      </c>
      <c r="V101" s="57" t="str">
        <f t="shared" si="289"/>
        <v>&lt; 250k</v>
      </c>
      <c r="Z101" s="192">
        <f t="shared" si="323"/>
        <v>1415.9899999999998</v>
      </c>
      <c r="AA101" t="str">
        <f t="shared" si="324"/>
        <v>-</v>
      </c>
      <c r="AB101" t="str">
        <f t="shared" si="325"/>
        <v>-</v>
      </c>
      <c r="AC101" s="523"/>
      <c r="AD101" s="34"/>
      <c r="AF101" s="64"/>
      <c r="AG101" s="64"/>
      <c r="AH101" s="64"/>
      <c r="AI101" s="217"/>
      <c r="AJ101" s="98"/>
      <c r="AK101" s="98"/>
      <c r="AL101" s="98"/>
      <c r="AM101" s="98"/>
      <c r="AN101" s="98"/>
      <c r="AO101" s="222"/>
      <c r="AP101" s="129"/>
    </row>
    <row r="102" spans="1:42" ht="13.5" hidden="1">
      <c r="A102" s="258"/>
      <c r="B102" s="57"/>
      <c r="C102" s="163"/>
      <c r="D102" s="354"/>
      <c r="E102" s="163"/>
      <c r="F102" s="163"/>
      <c r="G102" s="217"/>
      <c r="H102" s="149"/>
      <c r="I102" s="214"/>
      <c r="J102" s="149"/>
      <c r="K102" s="214"/>
      <c r="L102" s="214"/>
      <c r="M102" s="214"/>
      <c r="N102" s="222"/>
      <c r="O102" s="222"/>
      <c r="P102" s="222"/>
      <c r="Q102" s="214"/>
      <c r="R102" s="214"/>
      <c r="S102" s="214"/>
      <c r="T102" s="273"/>
      <c r="U102" s="273"/>
      <c r="V102" s="57"/>
      <c r="Z102" s="192">
        <f t="shared" si="323"/>
        <v>0</v>
      </c>
      <c r="AA102" t="str">
        <f t="shared" si="324"/>
        <v>-</v>
      </c>
      <c r="AB102" t="str">
        <f t="shared" si="325"/>
        <v>-</v>
      </c>
      <c r="AD102" s="34"/>
      <c r="AF102" s="64"/>
      <c r="AG102" s="64"/>
      <c r="AH102" s="64"/>
      <c r="AI102" s="217"/>
      <c r="AJ102" s="98"/>
      <c r="AK102" s="98"/>
      <c r="AL102" s="98"/>
      <c r="AM102" s="98"/>
      <c r="AN102" s="98"/>
      <c r="AO102" s="222"/>
      <c r="AP102" s="129"/>
    </row>
    <row r="103" spans="1:42" s="82" customFormat="1" ht="13.5" customHeight="1">
      <c r="A103" s="176" t="s">
        <v>332</v>
      </c>
      <c r="B103" s="85"/>
      <c r="C103" s="177">
        <f>SUM(C68:C102)</f>
        <v>24381266.32</v>
      </c>
      <c r="D103" s="177">
        <f>SUM(D68:D102)</f>
        <v>23380699.099999998</v>
      </c>
      <c r="E103" s="177">
        <f>SUM(E68:E102)</f>
        <v>1000567.2200000002</v>
      </c>
      <c r="F103" s="177">
        <f>SUM(F68:F102)</f>
        <v>23380699.099999998</v>
      </c>
      <c r="G103" s="177"/>
      <c r="H103" s="177">
        <f t="shared" ref="H103:S103" si="327">SUM(H68:H102)</f>
        <v>1000567.2200000002</v>
      </c>
      <c r="I103" s="177">
        <f t="shared" si="327"/>
        <v>24381266.32</v>
      </c>
      <c r="J103" s="177">
        <f t="shared" si="327"/>
        <v>24381266.32</v>
      </c>
      <c r="K103" s="177">
        <f t="shared" si="327"/>
        <v>0</v>
      </c>
      <c r="L103" s="177">
        <f t="shared" si="327"/>
        <v>0</v>
      </c>
      <c r="M103" s="177">
        <f t="shared" si="327"/>
        <v>0</v>
      </c>
      <c r="N103" s="177">
        <f t="shared" si="327"/>
        <v>16400632.119999999</v>
      </c>
      <c r="O103" s="177">
        <f t="shared" si="327"/>
        <v>18011628.68</v>
      </c>
      <c r="P103" s="177">
        <f t="shared" si="327"/>
        <v>947524.51647673734</v>
      </c>
      <c r="Q103" s="177">
        <f t="shared" si="327"/>
        <v>6980066.9800000014</v>
      </c>
      <c r="R103" s="177">
        <f t="shared" si="327"/>
        <v>6369637.6399999987</v>
      </c>
      <c r="S103" s="177">
        <f t="shared" si="327"/>
        <v>53042.703523262971</v>
      </c>
      <c r="T103" s="123"/>
      <c r="U103" s="199"/>
      <c r="W103" s="288">
        <v>0</v>
      </c>
      <c r="X103" s="282"/>
      <c r="Y103" s="311">
        <v>431040.86865702405</v>
      </c>
      <c r="Z103" s="192">
        <f t="shared" si="323"/>
        <v>-377998.16513376107</v>
      </c>
      <c r="AA103" t="str">
        <f t="shared" si="324"/>
        <v>-</v>
      </c>
      <c r="AB103" t="str">
        <f t="shared" si="325"/>
        <v>-</v>
      </c>
      <c r="AD103" s="34">
        <f>C103-GAAP!C103</f>
        <v>0</v>
      </c>
      <c r="AF103" s="177">
        <f>SUM(AF77:AF84)</f>
        <v>1580348.55</v>
      </c>
      <c r="AG103" s="177">
        <f>SUM(AG77:AG84)</f>
        <v>2893190.6899999995</v>
      </c>
      <c r="AH103" s="177">
        <f>SUM(AH77:AH84)</f>
        <v>-1312842.1400000001</v>
      </c>
      <c r="AI103" s="177"/>
      <c r="AJ103" s="177">
        <f t="shared" ref="AJ103:AP103" si="328">SUM(AJ77:AJ84)</f>
        <v>-1312842.1400000001</v>
      </c>
      <c r="AK103" s="177">
        <f t="shared" si="328"/>
        <v>1580348.55</v>
      </c>
      <c r="AL103" s="177">
        <f t="shared" si="328"/>
        <v>0</v>
      </c>
      <c r="AM103" s="177">
        <f t="shared" si="328"/>
        <v>0</v>
      </c>
      <c r="AN103" s="177">
        <f t="shared" si="328"/>
        <v>0</v>
      </c>
      <c r="AO103" s="177">
        <f t="shared" si="328"/>
        <v>316585.44282494159</v>
      </c>
      <c r="AP103" s="177">
        <f t="shared" si="328"/>
        <v>-1629427.5828249417</v>
      </c>
    </row>
    <row r="104" spans="1:42" s="82" customFormat="1" ht="13.5" customHeight="1">
      <c r="A104" s="178" t="s">
        <v>333</v>
      </c>
      <c r="B104" s="87"/>
      <c r="C104" s="83">
        <f>C65+C103</f>
        <v>144674850.91</v>
      </c>
      <c r="D104" s="83">
        <f>D65+D103</f>
        <v>135826095.32999998</v>
      </c>
      <c r="E104" s="83">
        <f>E65+E103</f>
        <v>8848755.5800000001</v>
      </c>
      <c r="F104" s="83">
        <f>F65+F103</f>
        <v>112433840.95</v>
      </c>
      <c r="G104" s="83"/>
      <c r="H104" s="83">
        <f t="shared" ref="H104:S104" si="329">H65+H103</f>
        <v>7941175.9834884591</v>
      </c>
      <c r="I104" s="83">
        <f t="shared" si="329"/>
        <v>120375016.93348843</v>
      </c>
      <c r="J104" s="83">
        <f t="shared" si="329"/>
        <v>120997187.97</v>
      </c>
      <c r="K104" s="83">
        <f t="shared" si="329"/>
        <v>622171.03651153541</v>
      </c>
      <c r="L104" s="83">
        <f t="shared" si="329"/>
        <v>23392254.379999995</v>
      </c>
      <c r="M104" s="83">
        <f t="shared" si="329"/>
        <v>23677662.939999998</v>
      </c>
      <c r="N104" s="83">
        <f t="shared" si="329"/>
        <v>67550704.660000011</v>
      </c>
      <c r="O104" s="83">
        <f t="shared" si="329"/>
        <v>74374686.530000001</v>
      </c>
      <c r="P104" s="83">
        <f t="shared" si="329"/>
        <v>5588119.1097851489</v>
      </c>
      <c r="Q104" s="83">
        <f t="shared" si="329"/>
        <v>44883136.290000007</v>
      </c>
      <c r="R104" s="83">
        <f t="shared" si="329"/>
        <v>46622501.439999998</v>
      </c>
      <c r="S104" s="83">
        <f t="shared" si="329"/>
        <v>2353056.8737033107</v>
      </c>
      <c r="T104" s="123"/>
      <c r="U104" s="199"/>
      <c r="W104" s="282"/>
      <c r="X104" s="282"/>
      <c r="Y104" s="311">
        <v>2071692.3769707563</v>
      </c>
      <c r="Z104" s="192">
        <f t="shared" si="323"/>
        <v>281364.4967325544</v>
      </c>
      <c r="AA104" t="str">
        <f t="shared" si="324"/>
        <v>-</v>
      </c>
      <c r="AB104" t="str">
        <f t="shared" si="325"/>
        <v>-</v>
      </c>
      <c r="AD104" s="34">
        <f>C104-GAAP!C104</f>
        <v>26229.59999999404</v>
      </c>
      <c r="AF104" s="83">
        <f>AF103+AF65</f>
        <v>101616255.59999999</v>
      </c>
      <c r="AG104" s="83">
        <f>AG103+AG65</f>
        <v>95768323.25999999</v>
      </c>
      <c r="AH104" s="83">
        <f>AH103+AH65</f>
        <v>5847932.3399999999</v>
      </c>
      <c r="AI104" s="83"/>
      <c r="AJ104" s="83">
        <f t="shared" ref="AJ104:AP104" si="330">AJ103+AJ65</f>
        <v>5475836.6292468514</v>
      </c>
      <c r="AK104" s="83">
        <f t="shared" si="330"/>
        <v>94498602.169246852</v>
      </c>
      <c r="AL104" s="83">
        <f t="shared" si="330"/>
        <v>410949.09075314115</v>
      </c>
      <c r="AM104" s="83">
        <f t="shared" si="330"/>
        <v>6745557.7199999923</v>
      </c>
      <c r="AN104" s="83">
        <f t="shared" si="330"/>
        <v>6706704.3399999971</v>
      </c>
      <c r="AO104" s="83" t="e">
        <f t="shared" si="330"/>
        <v>#REF!</v>
      </c>
      <c r="AP104" s="83" t="e">
        <f t="shared" si="330"/>
        <v>#REF!</v>
      </c>
    </row>
    <row r="105" spans="1:42" s="82" customFormat="1" ht="10.5" customHeight="1">
      <c r="A105" s="176"/>
      <c r="B105" s="85"/>
      <c r="C105" s="84"/>
      <c r="D105" s="84"/>
      <c r="E105" s="84"/>
      <c r="F105" s="84"/>
      <c r="G105" s="84"/>
      <c r="H105" s="84"/>
      <c r="I105" s="84"/>
      <c r="J105" s="84"/>
      <c r="K105" s="84"/>
      <c r="L105" s="84"/>
      <c r="M105" s="84"/>
      <c r="N105" s="84"/>
      <c r="O105" s="84"/>
      <c r="P105" s="84"/>
      <c r="Q105" s="84"/>
      <c r="R105" s="84"/>
      <c r="S105" s="84"/>
      <c r="T105" s="123"/>
      <c r="U105" s="199"/>
      <c r="W105" s="288"/>
      <c r="X105" s="282"/>
      <c r="Y105" s="311"/>
      <c r="Z105" s="192">
        <f t="shared" si="323"/>
        <v>0</v>
      </c>
      <c r="AA105" t="str">
        <f t="shared" si="324"/>
        <v>-</v>
      </c>
      <c r="AB105" t="str">
        <f t="shared" si="325"/>
        <v>-</v>
      </c>
      <c r="AD105" s="34">
        <f>C105-GAAP!C105</f>
        <v>0</v>
      </c>
    </row>
    <row r="106" spans="1:42" s="82" customFormat="1" ht="13.5" customHeight="1">
      <c r="A106" s="176" t="s">
        <v>375</v>
      </c>
      <c r="C106" s="221"/>
      <c r="D106" s="63"/>
      <c r="E106" s="221"/>
      <c r="F106" s="221"/>
      <c r="G106" s="63"/>
      <c r="H106" s="168"/>
      <c r="I106" s="63"/>
      <c r="J106" s="221"/>
      <c r="K106" s="63"/>
      <c r="L106" s="63"/>
      <c r="M106" s="63"/>
      <c r="N106" s="221"/>
      <c r="O106" s="221"/>
      <c r="P106" s="221"/>
      <c r="Q106" s="63"/>
      <c r="R106" s="63"/>
      <c r="S106" s="214"/>
      <c r="T106" s="185"/>
      <c r="U106" s="185"/>
      <c r="V106" s="57"/>
      <c r="W106" s="288"/>
      <c r="X106" s="289"/>
      <c r="Y106" s="311"/>
      <c r="Z106" s="192">
        <f t="shared" si="323"/>
        <v>0</v>
      </c>
      <c r="AA106" t="str">
        <f t="shared" si="324"/>
        <v>-</v>
      </c>
      <c r="AB106" t="str">
        <f t="shared" si="325"/>
        <v>-</v>
      </c>
      <c r="AC106" s="57"/>
      <c r="AD106" s="34">
        <f>C106-GAAP!C106</f>
        <v>0</v>
      </c>
    </row>
    <row r="107" spans="1:42" s="82" customFormat="1" ht="13.5" customHeight="1">
      <c r="A107" s="259">
        <v>53.200699999999998</v>
      </c>
      <c r="B107" s="57" t="s">
        <v>683</v>
      </c>
      <c r="C107" s="163">
        <v>324530134</v>
      </c>
      <c r="D107" s="216">
        <f t="shared" ref="D107" si="331">+C107-E107</f>
        <v>291530134</v>
      </c>
      <c r="E107" s="149">
        <v>33000000</v>
      </c>
      <c r="F107" s="149">
        <v>404852.16</v>
      </c>
      <c r="G107" s="217">
        <f t="shared" ref="G107" si="332">IF(D107&lt;&gt;0,+F107/D107,0)</f>
        <v>1.38871462255082E-3</v>
      </c>
      <c r="H107" s="149">
        <v>0</v>
      </c>
      <c r="I107" s="214">
        <f t="shared" ref="I107" si="333">+F107+H107</f>
        <v>404852.16</v>
      </c>
      <c r="J107" s="149">
        <v>0</v>
      </c>
      <c r="K107" s="214">
        <f t="shared" ref="K107" si="334">J107-I107</f>
        <v>-404852.16</v>
      </c>
      <c r="L107" s="214">
        <f t="shared" ref="L107" si="335">+D107-F107</f>
        <v>291125281.83999997</v>
      </c>
      <c r="M107" s="214">
        <f t="shared" ref="M107" si="336">+C107-J107</f>
        <v>324530134</v>
      </c>
      <c r="N107" s="222"/>
      <c r="O107" s="222"/>
      <c r="P107" s="222"/>
      <c r="Q107" s="214">
        <f t="shared" ref="Q107" si="337">F107-N107</f>
        <v>404852.16</v>
      </c>
      <c r="R107" s="214">
        <f t="shared" ref="R107" si="338">+J107-O107</f>
        <v>0</v>
      </c>
      <c r="S107" s="214">
        <f t="shared" ref="S107" si="339">+H107-P107</f>
        <v>0</v>
      </c>
      <c r="T107" s="185" t="s">
        <v>510</v>
      </c>
      <c r="U107" s="185"/>
      <c r="V107" s="57" t="str">
        <f t="shared" ref="V107" si="340">IF(C107&lt;250000, "&lt; 250k",".")</f>
        <v>.</v>
      </c>
      <c r="W107" s="282"/>
      <c r="X107" s="290"/>
      <c r="Y107" s="311">
        <v>0</v>
      </c>
      <c r="Z107" s="192">
        <f t="shared" ref="Z107" si="341">S107-Y107</f>
        <v>0</v>
      </c>
      <c r="AA107" t="str">
        <f t="shared" ref="AA107" si="342">IF(L107&lt;0,"CHECK","-")</f>
        <v>-</v>
      </c>
      <c r="AB107" t="str">
        <f t="shared" ref="AB107" si="343">IF(M107&lt;0,"CHECK","-")</f>
        <v>-</v>
      </c>
      <c r="AC107"/>
      <c r="AD107" s="34"/>
      <c r="AF107" s="64"/>
      <c r="AG107" s="64"/>
      <c r="AH107" s="64"/>
      <c r="AI107" s="217"/>
      <c r="AJ107" s="98"/>
      <c r="AK107" s="98"/>
      <c r="AL107" s="98"/>
      <c r="AM107" s="98"/>
      <c r="AN107" s="98"/>
      <c r="AO107" s="222"/>
      <c r="AP107" s="129"/>
    </row>
    <row r="108" spans="1:42" s="82" customFormat="1" ht="13.5" hidden="1" customHeight="1">
      <c r="A108" s="259"/>
      <c r="B108" s="57"/>
      <c r="C108" s="163"/>
      <c r="D108" s="216"/>
      <c r="E108" s="149"/>
      <c r="F108" s="149"/>
      <c r="G108" s="217"/>
      <c r="H108" s="149"/>
      <c r="I108" s="214"/>
      <c r="J108" s="149"/>
      <c r="K108" s="214"/>
      <c r="L108" s="214"/>
      <c r="M108" s="214"/>
      <c r="N108" s="222"/>
      <c r="O108" s="222"/>
      <c r="P108" s="220"/>
      <c r="Q108" s="214"/>
      <c r="R108" s="214"/>
      <c r="S108" s="214"/>
      <c r="T108" s="185"/>
      <c r="U108" s="185"/>
      <c r="V108" s="57"/>
      <c r="W108" s="282"/>
      <c r="X108" s="290"/>
      <c r="Y108" s="311"/>
      <c r="Z108" s="192">
        <f t="shared" si="323"/>
        <v>0</v>
      </c>
      <c r="AA108" t="str">
        <f t="shared" si="324"/>
        <v>-</v>
      </c>
      <c r="AB108" t="str">
        <f t="shared" si="325"/>
        <v>-</v>
      </c>
      <c r="AD108" s="34">
        <f>C108-GAAP!C108</f>
        <v>0</v>
      </c>
    </row>
    <row r="109" spans="1:42" s="82" customFormat="1" ht="13.5" customHeight="1">
      <c r="A109" s="176" t="s">
        <v>376</v>
      </c>
      <c r="B109" s="85"/>
      <c r="C109" s="84">
        <f>SUM(C107:C108)</f>
        <v>324530134</v>
      </c>
      <c r="D109" s="84">
        <f>SUM(D107:D108)</f>
        <v>291530134</v>
      </c>
      <c r="E109" s="84">
        <f>SUM(E107:E108)</f>
        <v>33000000</v>
      </c>
      <c r="F109" s="84">
        <f>SUM(F107:F108)</f>
        <v>404852.16</v>
      </c>
      <c r="G109" s="84"/>
      <c r="H109" s="84">
        <f t="shared" ref="H109:S109" si="344">SUM(H107:H108)</f>
        <v>0</v>
      </c>
      <c r="I109" s="84">
        <f t="shared" si="344"/>
        <v>404852.16</v>
      </c>
      <c r="J109" s="84">
        <f t="shared" si="344"/>
        <v>0</v>
      </c>
      <c r="K109" s="84">
        <f t="shared" si="344"/>
        <v>-404852.16</v>
      </c>
      <c r="L109" s="84">
        <f t="shared" si="344"/>
        <v>291125281.83999997</v>
      </c>
      <c r="M109" s="84">
        <f t="shared" si="344"/>
        <v>324530134</v>
      </c>
      <c r="N109" s="84">
        <f t="shared" si="344"/>
        <v>0</v>
      </c>
      <c r="O109" s="84">
        <f t="shared" si="344"/>
        <v>0</v>
      </c>
      <c r="P109" s="84">
        <f t="shared" si="344"/>
        <v>0</v>
      </c>
      <c r="Q109" s="84">
        <f t="shared" si="344"/>
        <v>404852.16</v>
      </c>
      <c r="R109" s="84">
        <f t="shared" si="344"/>
        <v>0</v>
      </c>
      <c r="S109" s="84">
        <f t="shared" si="344"/>
        <v>0</v>
      </c>
      <c r="T109" s="199"/>
      <c r="U109" s="199"/>
      <c r="W109" s="282"/>
      <c r="X109" s="289"/>
      <c r="Y109" s="311">
        <v>-369273.77687892359</v>
      </c>
      <c r="Z109" s="192">
        <f t="shared" si="323"/>
        <v>369273.77687892359</v>
      </c>
      <c r="AA109" t="str">
        <f t="shared" si="324"/>
        <v>-</v>
      </c>
      <c r="AB109" t="str">
        <f t="shared" si="325"/>
        <v>-</v>
      </c>
      <c r="AC109" s="85"/>
      <c r="AD109" s="34">
        <f>C109-GAAP!C109</f>
        <v>0</v>
      </c>
      <c r="AF109" s="177">
        <f>SUM(AF107:AF108)</f>
        <v>0</v>
      </c>
      <c r="AG109" s="177">
        <f>SUM(AG107:AG108)</f>
        <v>0</v>
      </c>
      <c r="AH109" s="177">
        <f>SUM(AH107:AH108)</f>
        <v>0</v>
      </c>
      <c r="AI109" s="177"/>
      <c r="AJ109" s="177">
        <f t="shared" ref="AJ109:AP109" si="345">SUM(AJ107:AJ108)</f>
        <v>0</v>
      </c>
      <c r="AK109" s="177">
        <f t="shared" si="345"/>
        <v>0</v>
      </c>
      <c r="AL109" s="177">
        <f t="shared" si="345"/>
        <v>0</v>
      </c>
      <c r="AM109" s="177">
        <f t="shared" si="345"/>
        <v>0</v>
      </c>
      <c r="AN109" s="177">
        <f t="shared" si="345"/>
        <v>0</v>
      </c>
      <c r="AO109" s="177">
        <f t="shared" si="345"/>
        <v>0</v>
      </c>
      <c r="AP109" s="177">
        <f t="shared" si="345"/>
        <v>0</v>
      </c>
    </row>
    <row r="110" spans="1:42" s="82" customFormat="1" ht="10.5" customHeight="1">
      <c r="A110" s="176"/>
      <c r="B110" s="85"/>
      <c r="C110" s="84"/>
      <c r="D110" s="84"/>
      <c r="E110" s="84"/>
      <c r="F110" s="84"/>
      <c r="G110" s="84"/>
      <c r="H110" s="84"/>
      <c r="I110" s="84"/>
      <c r="J110" s="84"/>
      <c r="K110" s="84"/>
      <c r="L110" s="84"/>
      <c r="M110" s="84"/>
      <c r="N110" s="84"/>
      <c r="O110" s="84"/>
      <c r="P110" s="84"/>
      <c r="Q110" s="84"/>
      <c r="R110" s="84"/>
      <c r="S110" s="84"/>
      <c r="T110" s="199"/>
      <c r="U110" s="199"/>
      <c r="W110" s="288"/>
      <c r="X110" s="289"/>
      <c r="Y110" s="311"/>
      <c r="Z110" s="192">
        <f t="shared" si="323"/>
        <v>0</v>
      </c>
      <c r="AA110" t="str">
        <f t="shared" si="324"/>
        <v>-</v>
      </c>
      <c r="AB110" t="str">
        <f t="shared" si="325"/>
        <v>-</v>
      </c>
      <c r="AC110" s="85"/>
      <c r="AD110" s="34">
        <f>C110-GAAP!C110</f>
        <v>0</v>
      </c>
    </row>
    <row r="111" spans="1:42" s="82" customFormat="1" ht="13.5" customHeight="1">
      <c r="A111" s="176" t="s">
        <v>377</v>
      </c>
      <c r="B111" s="85"/>
      <c r="C111" s="84"/>
      <c r="D111" s="84"/>
      <c r="E111" s="84"/>
      <c r="F111" s="84"/>
      <c r="G111" s="84"/>
      <c r="H111" s="84"/>
      <c r="I111" s="84"/>
      <c r="J111" s="84"/>
      <c r="K111" s="84"/>
      <c r="L111" s="84"/>
      <c r="M111" s="84"/>
      <c r="N111" s="84"/>
      <c r="O111" s="84"/>
      <c r="P111" s="84"/>
      <c r="Q111" s="84"/>
      <c r="R111" s="84"/>
      <c r="S111" s="84"/>
      <c r="T111" s="199"/>
      <c r="U111" s="199"/>
      <c r="W111" s="288"/>
      <c r="X111" s="289"/>
      <c r="Y111" s="311"/>
      <c r="Z111" s="192">
        <f t="shared" si="323"/>
        <v>0</v>
      </c>
      <c r="AA111" t="str">
        <f t="shared" si="324"/>
        <v>-</v>
      </c>
      <c r="AB111" t="str">
        <f t="shared" si="325"/>
        <v>-</v>
      </c>
      <c r="AC111" s="85"/>
      <c r="AD111" s="34">
        <f>C111-GAAP!C111</f>
        <v>0</v>
      </c>
    </row>
    <row r="112" spans="1:42" s="82" customFormat="1" ht="13.5" customHeight="1">
      <c r="A112" s="259">
        <v>53.200400000000002</v>
      </c>
      <c r="B112" s="57" t="s">
        <v>429</v>
      </c>
      <c r="C112" s="163">
        <v>1173753.47</v>
      </c>
      <c r="D112" s="216">
        <f>+C112-E112</f>
        <v>980791.05</v>
      </c>
      <c r="E112" s="149">
        <v>192962.41999999993</v>
      </c>
      <c r="F112" s="149">
        <v>980791.05</v>
      </c>
      <c r="G112" s="217">
        <f>IF(D112&lt;&gt;0,+F112/D112,0)</f>
        <v>1</v>
      </c>
      <c r="H112" s="149">
        <v>192962.41999999993</v>
      </c>
      <c r="I112" s="214">
        <f>+F112+H112</f>
        <v>1173753.47</v>
      </c>
      <c r="J112" s="149">
        <v>1173753.47</v>
      </c>
      <c r="K112" s="214">
        <f>J112-I112</f>
        <v>0</v>
      </c>
      <c r="L112" s="214">
        <f>+D112-F112</f>
        <v>0</v>
      </c>
      <c r="M112" s="214">
        <f>+C112-J112</f>
        <v>0</v>
      </c>
      <c r="N112" s="222">
        <v>21928.48</v>
      </c>
      <c r="O112" s="222">
        <v>0</v>
      </c>
      <c r="P112" s="222">
        <v>0</v>
      </c>
      <c r="Q112" s="214">
        <f>F112-N112</f>
        <v>958862.57000000007</v>
      </c>
      <c r="R112" s="214">
        <f>+J112-O112</f>
        <v>1173753.47</v>
      </c>
      <c r="S112" s="214">
        <f t="shared" ref="S112:S114" si="346">+H112-P112</f>
        <v>192962.41999999993</v>
      </c>
      <c r="T112" s="185" t="s">
        <v>278</v>
      </c>
      <c r="U112" s="185" t="s">
        <v>510</v>
      </c>
      <c r="V112" s="57" t="str">
        <f t="shared" ref="V112" si="347">IF(C112&lt;250000, "&lt; 250k",".")</f>
        <v>.</v>
      </c>
      <c r="W112" s="282">
        <v>0</v>
      </c>
      <c r="X112" s="290"/>
      <c r="Y112" s="311">
        <v>178062.15312107638</v>
      </c>
      <c r="Z112" s="192">
        <f t="shared" ref="Z112:Z114" si="348">S112-Y112</f>
        <v>14900.266878923547</v>
      </c>
      <c r="AA112" t="str">
        <f t="shared" ref="AA112:AA114" si="349">IF(L112&lt;0,"CHECK","-")</f>
        <v>-</v>
      </c>
      <c r="AB112" t="str">
        <f t="shared" ref="AB112:AB114" si="350">IF(M112&lt;0,"CHECK","-")</f>
        <v>-</v>
      </c>
      <c r="AC112"/>
      <c r="AD112" s="34">
        <f>C112-GAAP!C115</f>
        <v>1173753.47</v>
      </c>
      <c r="AF112" s="64">
        <f t="shared" ref="AF112:AF114" si="351">C112</f>
        <v>1173753.47</v>
      </c>
      <c r="AG112" s="64">
        <f t="shared" ref="AG112:AG114" si="352">D112</f>
        <v>980791.05</v>
      </c>
      <c r="AH112" s="64">
        <f t="shared" ref="AH112:AH114" si="353">E112</f>
        <v>192962.41999999993</v>
      </c>
      <c r="AI112" s="217">
        <f t="shared" ref="AI112:AI114" si="354">IF(AG112&lt;&gt;0,+F112/AG112,0)</f>
        <v>1</v>
      </c>
      <c r="AJ112" s="98">
        <f t="shared" ref="AJ112:AJ114" si="355">IF(AH112&lt;=0,AH112,IF(G112&lt;0.1,0,IF(G112&lt;=1,G112*AH112,AH112)))</f>
        <v>192962.41999999993</v>
      </c>
      <c r="AK112" s="98">
        <f t="shared" ref="AK112:AK114" si="356">+F112+AJ112</f>
        <v>1173753.47</v>
      </c>
      <c r="AL112" s="98">
        <f t="shared" ref="AL112:AL114" si="357">J112-AK112</f>
        <v>0</v>
      </c>
      <c r="AM112" s="98">
        <f t="shared" ref="AM112:AM114" si="358">+AG112-F112</f>
        <v>0</v>
      </c>
      <c r="AN112" s="98">
        <f t="shared" ref="AN112:AN114" si="359">+AF112-J112</f>
        <v>0</v>
      </c>
      <c r="AO112" s="222">
        <f>GAAP!P115</f>
        <v>0</v>
      </c>
      <c r="AP112" s="129">
        <f t="shared" ref="AP112:AP114" si="360">AJ112-AO112</f>
        <v>192962.41999999993</v>
      </c>
    </row>
    <row r="113" spans="1:42" s="82" customFormat="1" ht="13.5" customHeight="1">
      <c r="A113" s="259">
        <v>53.200499999999998</v>
      </c>
      <c r="B113" s="57" t="s">
        <v>512</v>
      </c>
      <c r="C113" s="163"/>
      <c r="D113" s="216">
        <f t="shared" ref="D113:D114" si="361">+C113-E113</f>
        <v>279281.96000000002</v>
      </c>
      <c r="E113" s="149">
        <v>-279281.96000000002</v>
      </c>
      <c r="F113" s="149">
        <v>279281.96000000002</v>
      </c>
      <c r="G113" s="217">
        <f t="shared" ref="G113:G114" si="362">IF(D113&lt;&gt;0,+F113/D113,0)</f>
        <v>1</v>
      </c>
      <c r="H113" s="149">
        <v>-279281.96000000002</v>
      </c>
      <c r="I113" s="214">
        <f t="shared" ref="I113:I114" si="363">+F113+H113</f>
        <v>0</v>
      </c>
      <c r="J113" s="149">
        <v>0</v>
      </c>
      <c r="K113" s="214">
        <f t="shared" ref="K113:K114" si="364">J113-I113</f>
        <v>0</v>
      </c>
      <c r="L113" s="214">
        <f t="shared" ref="L113:L114" si="365">+D113-F113</f>
        <v>0</v>
      </c>
      <c r="M113" s="214">
        <f t="shared" ref="M113:M114" si="366">+C113-J113</f>
        <v>0</v>
      </c>
      <c r="N113" s="222"/>
      <c r="O113" s="222"/>
      <c r="P113" s="222"/>
      <c r="Q113" s="214">
        <f t="shared" ref="Q113:Q114" si="367">F113-N113</f>
        <v>279281.96000000002</v>
      </c>
      <c r="R113" s="214">
        <f t="shared" ref="R113:R114" si="368">+J113-O113</f>
        <v>0</v>
      </c>
      <c r="S113" s="214">
        <f t="shared" si="346"/>
        <v>-279281.96000000002</v>
      </c>
      <c r="T113" s="185" t="s">
        <v>510</v>
      </c>
      <c r="U113" s="185" t="s">
        <v>510</v>
      </c>
      <c r="V113" s="57" t="s">
        <v>511</v>
      </c>
      <c r="W113" s="282"/>
      <c r="X113" s="290"/>
      <c r="Y113" s="311">
        <v>-242386.71</v>
      </c>
      <c r="Z113" s="192">
        <f t="shared" si="348"/>
        <v>-36895.250000000029</v>
      </c>
      <c r="AA113" t="str">
        <f t="shared" si="349"/>
        <v>-</v>
      </c>
      <c r="AB113" t="str">
        <f t="shared" si="350"/>
        <v>-</v>
      </c>
      <c r="AC113"/>
      <c r="AD113" s="34"/>
      <c r="AF113" s="64">
        <f t="shared" si="351"/>
        <v>0</v>
      </c>
      <c r="AG113" s="64">
        <f t="shared" si="352"/>
        <v>279281.96000000002</v>
      </c>
      <c r="AH113" s="64">
        <f t="shared" si="353"/>
        <v>-279281.96000000002</v>
      </c>
      <c r="AI113" s="217">
        <f t="shared" si="354"/>
        <v>1</v>
      </c>
      <c r="AJ113" s="98">
        <f t="shared" si="355"/>
        <v>-279281.96000000002</v>
      </c>
      <c r="AK113" s="98">
        <f t="shared" si="356"/>
        <v>0</v>
      </c>
      <c r="AL113" s="98">
        <f t="shared" si="357"/>
        <v>0</v>
      </c>
      <c r="AM113" s="98">
        <f t="shared" si="358"/>
        <v>0</v>
      </c>
      <c r="AN113" s="98">
        <f t="shared" si="359"/>
        <v>0</v>
      </c>
      <c r="AO113" s="222">
        <f>GAAP!P115</f>
        <v>0</v>
      </c>
      <c r="AP113" s="129">
        <f t="shared" si="360"/>
        <v>-279281.96000000002</v>
      </c>
    </row>
    <row r="114" spans="1:42" s="82" customFormat="1" ht="13.5" customHeight="1">
      <c r="A114" s="259">
        <v>53.200600000000001</v>
      </c>
      <c r="B114" s="57" t="s">
        <v>513</v>
      </c>
      <c r="C114" s="163"/>
      <c r="D114" s="216">
        <f t="shared" si="361"/>
        <v>304986.32</v>
      </c>
      <c r="E114" s="149">
        <v>-304986.32</v>
      </c>
      <c r="F114" s="149">
        <v>304986.32</v>
      </c>
      <c r="G114" s="217">
        <f t="shared" si="362"/>
        <v>1</v>
      </c>
      <c r="H114" s="149">
        <v>-304986.32</v>
      </c>
      <c r="I114" s="214">
        <f t="shared" si="363"/>
        <v>0</v>
      </c>
      <c r="J114" s="149">
        <v>0</v>
      </c>
      <c r="K114" s="214">
        <f t="shared" si="364"/>
        <v>0</v>
      </c>
      <c r="L114" s="214">
        <f t="shared" si="365"/>
        <v>0</v>
      </c>
      <c r="M114" s="214">
        <f t="shared" si="366"/>
        <v>0</v>
      </c>
      <c r="N114" s="222"/>
      <c r="O114" s="222"/>
      <c r="P114" s="222"/>
      <c r="Q114" s="214">
        <f t="shared" si="367"/>
        <v>304986.32</v>
      </c>
      <c r="R114" s="214">
        <f t="shared" si="368"/>
        <v>0</v>
      </c>
      <c r="S114" s="214">
        <f t="shared" si="346"/>
        <v>-304986.32</v>
      </c>
      <c r="T114" s="185" t="s">
        <v>510</v>
      </c>
      <c r="U114" s="185" t="s">
        <v>510</v>
      </c>
      <c r="V114" s="57" t="s">
        <v>511</v>
      </c>
      <c r="W114" s="282"/>
      <c r="X114" s="290"/>
      <c r="Y114" s="311">
        <v>-304949.21999999997</v>
      </c>
      <c r="Z114" s="192">
        <f t="shared" si="348"/>
        <v>-37.100000000034925</v>
      </c>
      <c r="AA114" t="str">
        <f t="shared" si="349"/>
        <v>-</v>
      </c>
      <c r="AB114" t="str">
        <f t="shared" si="350"/>
        <v>-</v>
      </c>
      <c r="AC114"/>
      <c r="AD114" s="34"/>
      <c r="AF114" s="64">
        <f t="shared" si="351"/>
        <v>0</v>
      </c>
      <c r="AG114" s="64">
        <f t="shared" si="352"/>
        <v>304986.32</v>
      </c>
      <c r="AH114" s="64">
        <f t="shared" si="353"/>
        <v>-304986.32</v>
      </c>
      <c r="AI114" s="217">
        <f t="shared" si="354"/>
        <v>1</v>
      </c>
      <c r="AJ114" s="98">
        <f t="shared" si="355"/>
        <v>-304986.32</v>
      </c>
      <c r="AK114" s="98">
        <f t="shared" si="356"/>
        <v>0</v>
      </c>
      <c r="AL114" s="98">
        <f t="shared" si="357"/>
        <v>0</v>
      </c>
      <c r="AM114" s="98">
        <f t="shared" si="358"/>
        <v>0</v>
      </c>
      <c r="AN114" s="98">
        <f t="shared" si="359"/>
        <v>0</v>
      </c>
      <c r="AO114" s="222">
        <f>GAAP!P116</f>
        <v>0</v>
      </c>
      <c r="AP114" s="129">
        <f t="shared" si="360"/>
        <v>-304986.32</v>
      </c>
    </row>
    <row r="115" spans="1:42" s="82" customFormat="1" ht="13.5" hidden="1" customHeight="1">
      <c r="A115" s="259"/>
      <c r="B115" s="57"/>
      <c r="C115" s="163"/>
      <c r="D115" s="216"/>
      <c r="E115" s="218"/>
      <c r="F115" s="149"/>
      <c r="G115" s="217"/>
      <c r="H115" s="224"/>
      <c r="I115" s="214"/>
      <c r="J115" s="149"/>
      <c r="K115" s="214"/>
      <c r="L115" s="214"/>
      <c r="M115" s="214"/>
      <c r="N115" s="222"/>
      <c r="O115" s="222"/>
      <c r="P115" s="220"/>
      <c r="Q115" s="214"/>
      <c r="R115" s="214"/>
      <c r="S115" s="214"/>
      <c r="T115" s="185"/>
      <c r="U115" s="185"/>
      <c r="V115" s="57"/>
      <c r="W115" s="282"/>
      <c r="X115" s="290"/>
      <c r="Y115" s="311"/>
      <c r="Z115" s="192">
        <f t="shared" si="323"/>
        <v>0</v>
      </c>
      <c r="AA115" t="str">
        <f t="shared" si="324"/>
        <v>-</v>
      </c>
      <c r="AB115" t="str">
        <f t="shared" si="325"/>
        <v>-</v>
      </c>
      <c r="AD115" s="34">
        <f>C115-GAAP!C115</f>
        <v>0</v>
      </c>
    </row>
    <row r="116" spans="1:42" s="82" customFormat="1" ht="13.5" customHeight="1">
      <c r="A116" s="356" t="s">
        <v>378</v>
      </c>
      <c r="B116" s="411"/>
      <c r="C116" s="357">
        <f>SUM(C112:C115)</f>
        <v>1173753.47</v>
      </c>
      <c r="D116" s="357">
        <f t="shared" ref="D116:F116" si="369">SUM(D112:D115)</f>
        <v>1565059.33</v>
      </c>
      <c r="E116" s="357">
        <f t="shared" si="369"/>
        <v>-391305.8600000001</v>
      </c>
      <c r="F116" s="357">
        <f t="shared" si="369"/>
        <v>1565059.33</v>
      </c>
      <c r="G116" s="357"/>
      <c r="H116" s="357">
        <f t="shared" ref="H116:S116" si="370">SUM(H112:H115)</f>
        <v>-391305.8600000001</v>
      </c>
      <c r="I116" s="357">
        <f t="shared" si="370"/>
        <v>1173753.47</v>
      </c>
      <c r="J116" s="357">
        <f t="shared" si="370"/>
        <v>1173753.47</v>
      </c>
      <c r="K116" s="357">
        <f t="shared" si="370"/>
        <v>0</v>
      </c>
      <c r="L116" s="357">
        <f t="shared" si="370"/>
        <v>0</v>
      </c>
      <c r="M116" s="357">
        <f t="shared" si="370"/>
        <v>0</v>
      </c>
      <c r="N116" s="357">
        <f t="shared" si="370"/>
        <v>21928.48</v>
      </c>
      <c r="O116" s="357">
        <f t="shared" si="370"/>
        <v>0</v>
      </c>
      <c r="P116" s="357">
        <f t="shared" si="370"/>
        <v>0</v>
      </c>
      <c r="Q116" s="357">
        <f t="shared" si="370"/>
        <v>1543130.85</v>
      </c>
      <c r="R116" s="357">
        <f t="shared" si="370"/>
        <v>1173753.47</v>
      </c>
      <c r="S116" s="357">
        <f t="shared" si="370"/>
        <v>-391305.8600000001</v>
      </c>
      <c r="T116" s="185"/>
      <c r="U116" s="185"/>
      <c r="V116" s="57"/>
      <c r="W116" s="282"/>
      <c r="X116" s="290"/>
      <c r="Y116" s="311">
        <v>0</v>
      </c>
      <c r="Z116" s="192">
        <f t="shared" si="323"/>
        <v>-391305.8600000001</v>
      </c>
      <c r="AA116" t="str">
        <f t="shared" si="324"/>
        <v>-</v>
      </c>
      <c r="AB116" t="str">
        <f t="shared" si="325"/>
        <v>-</v>
      </c>
      <c r="AD116" s="34">
        <f>C116-GAAP!C116</f>
        <v>0</v>
      </c>
      <c r="AF116" s="357">
        <f t="shared" ref="AF116:AP116" si="371">SUM(AF115:AF115)</f>
        <v>0</v>
      </c>
      <c r="AG116" s="357">
        <f t="shared" si="371"/>
        <v>0</v>
      </c>
      <c r="AH116" s="357">
        <f t="shared" si="371"/>
        <v>0</v>
      </c>
      <c r="AI116" s="357">
        <f t="shared" si="371"/>
        <v>0</v>
      </c>
      <c r="AJ116" s="357">
        <f t="shared" si="371"/>
        <v>0</v>
      </c>
      <c r="AK116" s="357">
        <f t="shared" si="371"/>
        <v>0</v>
      </c>
      <c r="AL116" s="357">
        <f t="shared" si="371"/>
        <v>0</v>
      </c>
      <c r="AM116" s="357">
        <f t="shared" si="371"/>
        <v>0</v>
      </c>
      <c r="AN116" s="357">
        <f t="shared" si="371"/>
        <v>0</v>
      </c>
      <c r="AO116" s="357">
        <f t="shared" si="371"/>
        <v>0</v>
      </c>
      <c r="AP116" s="357">
        <f t="shared" si="371"/>
        <v>0</v>
      </c>
    </row>
    <row r="117" spans="1:42" s="82" customFormat="1" ht="13.5" customHeight="1">
      <c r="A117" s="176" t="s">
        <v>379</v>
      </c>
      <c r="B117" s="85"/>
      <c r="C117" s="84">
        <f>C109+C116</f>
        <v>325703887.47000003</v>
      </c>
      <c r="D117" s="84">
        <f>D109+D116</f>
        <v>293095193.32999998</v>
      </c>
      <c r="E117" s="84">
        <f>E109+E116</f>
        <v>32608694.140000001</v>
      </c>
      <c r="F117" s="84">
        <f>F109+F116</f>
        <v>1969911.49</v>
      </c>
      <c r="G117" s="84"/>
      <c r="H117" s="84">
        <f t="shared" ref="H117:M117" si="372">H109+H116</f>
        <v>-391305.8600000001</v>
      </c>
      <c r="I117" s="84">
        <f t="shared" si="372"/>
        <v>1578605.63</v>
      </c>
      <c r="J117" s="84">
        <f t="shared" si="372"/>
        <v>1173753.47</v>
      </c>
      <c r="K117" s="84">
        <f t="shared" si="372"/>
        <v>-404852.16</v>
      </c>
      <c r="L117" s="84">
        <f t="shared" si="372"/>
        <v>291125281.83999997</v>
      </c>
      <c r="M117" s="84">
        <f t="shared" si="372"/>
        <v>324530134</v>
      </c>
      <c r="N117" s="84">
        <f>N109</f>
        <v>0</v>
      </c>
      <c r="O117" s="84">
        <f>O109</f>
        <v>0</v>
      </c>
      <c r="P117" s="84">
        <f>P109</f>
        <v>0</v>
      </c>
      <c r="Q117" s="84">
        <f>Q109+Q116</f>
        <v>1947983.01</v>
      </c>
      <c r="R117" s="84">
        <f>R109+R116</f>
        <v>1173753.47</v>
      </c>
      <c r="S117" s="84">
        <f>S109+S116</f>
        <v>-391305.8600000001</v>
      </c>
      <c r="T117" s="199"/>
      <c r="U117" s="199"/>
      <c r="W117" s="282"/>
      <c r="X117" s="289"/>
      <c r="Y117" s="311">
        <v>-369273.77687892359</v>
      </c>
      <c r="Z117" s="192">
        <f t="shared" si="323"/>
        <v>-22032.083121076517</v>
      </c>
      <c r="AA117" t="str">
        <f t="shared" si="324"/>
        <v>-</v>
      </c>
      <c r="AB117" t="str">
        <f t="shared" si="325"/>
        <v>-</v>
      </c>
      <c r="AC117" s="85"/>
      <c r="AD117" s="34">
        <f>C117-GAAP!C117</f>
        <v>0</v>
      </c>
      <c r="AF117" s="84">
        <f>AF109+AF116</f>
        <v>0</v>
      </c>
      <c r="AG117" s="84">
        <f>AG109+AG116</f>
        <v>0</v>
      </c>
      <c r="AH117" s="84">
        <f>AH109+AH116</f>
        <v>0</v>
      </c>
      <c r="AI117" s="84"/>
      <c r="AJ117" s="84">
        <f t="shared" ref="AJ117:AP117" si="373">AJ109+AJ116</f>
        <v>0</v>
      </c>
      <c r="AK117" s="84">
        <f t="shared" si="373"/>
        <v>0</v>
      </c>
      <c r="AL117" s="84">
        <f t="shared" si="373"/>
        <v>0</v>
      </c>
      <c r="AM117" s="84">
        <f t="shared" si="373"/>
        <v>0</v>
      </c>
      <c r="AN117" s="84">
        <f t="shared" si="373"/>
        <v>0</v>
      </c>
      <c r="AO117" s="84">
        <f t="shared" si="373"/>
        <v>0</v>
      </c>
      <c r="AP117" s="84">
        <f t="shared" si="373"/>
        <v>0</v>
      </c>
    </row>
    <row r="118" spans="1:42" ht="10.5" customHeight="1">
      <c r="A118" s="258"/>
      <c r="B118" s="57"/>
      <c r="C118" s="163"/>
      <c r="D118" s="354"/>
      <c r="E118" s="163"/>
      <c r="F118" s="163"/>
      <c r="G118" s="217"/>
      <c r="H118" s="149"/>
      <c r="I118" s="214"/>
      <c r="J118" s="149"/>
      <c r="K118" s="214"/>
      <c r="L118" s="214"/>
      <c r="M118" s="214"/>
      <c r="N118" s="222"/>
      <c r="O118" s="222"/>
      <c r="P118" s="222"/>
      <c r="Q118" s="214"/>
      <c r="R118" s="214"/>
      <c r="S118" s="214"/>
      <c r="T118" s="273"/>
      <c r="U118" s="273"/>
      <c r="V118" s="57"/>
      <c r="Z118" s="192">
        <f t="shared" si="323"/>
        <v>0</v>
      </c>
      <c r="AA118" t="str">
        <f t="shared" si="324"/>
        <v>-</v>
      </c>
      <c r="AB118" t="str">
        <f t="shared" si="325"/>
        <v>-</v>
      </c>
      <c r="AD118" s="34">
        <f>C118-GAAP!C118</f>
        <v>0</v>
      </c>
    </row>
    <row r="119" spans="1:42" ht="13.5">
      <c r="A119" s="195" t="s">
        <v>335</v>
      </c>
      <c r="B119" s="57"/>
      <c r="C119" s="163"/>
      <c r="D119" s="354"/>
      <c r="E119" s="163"/>
      <c r="F119" s="163"/>
      <c r="G119" s="217"/>
      <c r="H119" s="149"/>
      <c r="I119" s="214"/>
      <c r="J119" s="149"/>
      <c r="K119" s="214"/>
      <c r="L119" s="214"/>
      <c r="M119" s="214"/>
      <c r="N119" s="222"/>
      <c r="O119" s="222"/>
      <c r="P119" s="222"/>
      <c r="Q119" s="214"/>
      <c r="R119" s="214"/>
      <c r="S119" s="214"/>
      <c r="T119" s="273"/>
      <c r="U119" s="273"/>
      <c r="V119" s="57"/>
      <c r="Z119" s="192">
        <f t="shared" si="323"/>
        <v>0</v>
      </c>
      <c r="AA119" t="str">
        <f t="shared" si="324"/>
        <v>-</v>
      </c>
      <c r="AB119" t="str">
        <f t="shared" si="325"/>
        <v>-</v>
      </c>
      <c r="AD119" s="34">
        <f>C119-GAAP!C119</f>
        <v>0</v>
      </c>
    </row>
    <row r="120" spans="1:42" ht="13.5" customHeight="1">
      <c r="A120" s="267">
        <v>54.903300000000002</v>
      </c>
      <c r="B120" s="57" t="s">
        <v>194</v>
      </c>
      <c r="C120" s="149">
        <v>118278.58</v>
      </c>
      <c r="D120" s="354">
        <f t="shared" ref="D120:D152" si="374">+C120-E120</f>
        <v>104550.27</v>
      </c>
      <c r="E120" s="163">
        <v>13728.309999999998</v>
      </c>
      <c r="F120" s="163">
        <v>104550.27</v>
      </c>
      <c r="G120" s="217">
        <f t="shared" ref="G120:G152" si="375">IF(D120&lt;&gt;0,+F120/D120,0)</f>
        <v>1</v>
      </c>
      <c r="H120" s="149">
        <v>13728.309999999998</v>
      </c>
      <c r="I120" s="214">
        <f t="shared" ref="I120:I152" si="376">+F120+H120</f>
        <v>118278.58</v>
      </c>
      <c r="J120" s="149">
        <v>118278.58</v>
      </c>
      <c r="K120" s="214">
        <f t="shared" ref="K120" si="377">J120-I120</f>
        <v>0</v>
      </c>
      <c r="L120" s="214">
        <f t="shared" ref="L120" si="378">+D120-F120</f>
        <v>0</v>
      </c>
      <c r="M120" s="214">
        <f>+C120-J120</f>
        <v>0</v>
      </c>
      <c r="N120" s="222">
        <v>82942.929999999993</v>
      </c>
      <c r="O120" s="222">
        <v>93909.8</v>
      </c>
      <c r="P120" s="222">
        <v>10966.87000000001</v>
      </c>
      <c r="Q120" s="214">
        <f t="shared" ref="Q120" si="379">F120-N120</f>
        <v>21607.340000000011</v>
      </c>
      <c r="R120" s="214">
        <f t="shared" ref="R120" si="380">+J120-O120</f>
        <v>24368.78</v>
      </c>
      <c r="S120" s="214">
        <f t="shared" ref="S120" si="381">+H120-P120</f>
        <v>2761.4399999999878</v>
      </c>
      <c r="T120" s="185" t="s">
        <v>190</v>
      </c>
      <c r="U120" s="273"/>
      <c r="V120" s="57" t="str">
        <f t="shared" si="166"/>
        <v>&lt; 250k</v>
      </c>
      <c r="W120" s="282">
        <v>10966.87000000001</v>
      </c>
      <c r="Y120" s="311">
        <v>0</v>
      </c>
      <c r="Z120" s="192">
        <f t="shared" si="323"/>
        <v>2761.4399999999878</v>
      </c>
      <c r="AA120" t="str">
        <f t="shared" si="324"/>
        <v>-</v>
      </c>
      <c r="AB120" t="str">
        <f t="shared" si="325"/>
        <v>-</v>
      </c>
      <c r="AC120" s="523"/>
      <c r="AD120" s="34">
        <f>C120-GAAP!C120</f>
        <v>0</v>
      </c>
      <c r="AF120" s="64">
        <f t="shared" ref="AF120" si="382">C120</f>
        <v>118278.58</v>
      </c>
      <c r="AG120" s="64">
        <f t="shared" ref="AG120" si="383">D120</f>
        <v>104550.27</v>
      </c>
      <c r="AH120" s="64">
        <f t="shared" ref="AH120" si="384">E120</f>
        <v>13728.309999999998</v>
      </c>
      <c r="AI120" s="217">
        <f t="shared" ref="AI120" si="385">IF(AG120&lt;&gt;0,+F120/AG120,0)</f>
        <v>1</v>
      </c>
      <c r="AJ120" s="98">
        <f t="shared" ref="AJ120" si="386">IF(AH120&lt;=0,AH120,IF(G120&lt;0.1,0,IF(G120&lt;=1,G120*AH120,AH120)))</f>
        <v>13728.309999999998</v>
      </c>
      <c r="AK120" s="98">
        <f t="shared" ref="AK120" si="387">+F120+AJ120</f>
        <v>118278.58</v>
      </c>
      <c r="AL120" s="98">
        <f t="shared" ref="AL120" si="388">J120-AK120</f>
        <v>0</v>
      </c>
      <c r="AM120" s="98">
        <f t="shared" ref="AM120" si="389">+AG120-F120</f>
        <v>0</v>
      </c>
      <c r="AN120" s="98">
        <f t="shared" ref="AN120" si="390">+AF120-J120</f>
        <v>0</v>
      </c>
      <c r="AO120" s="222">
        <f>GAAP!P120</f>
        <v>10966.87000000001</v>
      </c>
      <c r="AP120" s="129">
        <f t="shared" ref="AP120" si="391">AJ120-AO120</f>
        <v>2761.4399999999878</v>
      </c>
    </row>
    <row r="121" spans="1:42" ht="13.5" customHeight="1">
      <c r="A121" s="267">
        <v>54.913499999999999</v>
      </c>
      <c r="B121" s="57" t="s">
        <v>191</v>
      </c>
      <c r="C121" s="163">
        <v>9470658.6199999992</v>
      </c>
      <c r="D121" s="354">
        <f t="shared" si="374"/>
        <v>9050951.8599999994</v>
      </c>
      <c r="E121" s="163">
        <v>419706.75999999978</v>
      </c>
      <c r="F121" s="163">
        <v>9050951.8599999994</v>
      </c>
      <c r="G121" s="217">
        <f t="shared" si="375"/>
        <v>1</v>
      </c>
      <c r="H121" s="149">
        <v>419706.75999999978</v>
      </c>
      <c r="I121" s="214">
        <f t="shared" si="376"/>
        <v>9470658.6199999992</v>
      </c>
      <c r="J121" s="149">
        <v>9470658.6199999992</v>
      </c>
      <c r="K121" s="214">
        <f t="shared" ref="K121:K134" si="392">J121-I121</f>
        <v>0</v>
      </c>
      <c r="L121" s="214">
        <f t="shared" ref="L121:L134" si="393">+D121-F121</f>
        <v>0</v>
      </c>
      <c r="M121" s="214">
        <f t="shared" ref="M121:M134" si="394">+C121-J121</f>
        <v>0</v>
      </c>
      <c r="N121" s="222">
        <v>7371036.3300000001</v>
      </c>
      <c r="O121" s="222">
        <v>6071589.3099999996</v>
      </c>
      <c r="P121" s="222">
        <v>551994.36505721405</v>
      </c>
      <c r="Q121" s="214">
        <f t="shared" ref="Q121:Q134" si="395">F121-N121</f>
        <v>1679915.5299999993</v>
      </c>
      <c r="R121" s="214">
        <f t="shared" ref="R121:R134" si="396">+J121-O121</f>
        <v>3399069.3099999996</v>
      </c>
      <c r="S121" s="214">
        <f t="shared" ref="S121:S134" si="397">+H121-P121</f>
        <v>-132287.60505721427</v>
      </c>
      <c r="T121" s="185" t="s">
        <v>190</v>
      </c>
      <c r="V121" s="57" t="str">
        <f t="shared" si="166"/>
        <v>.</v>
      </c>
      <c r="W121" s="282">
        <v>0</v>
      </c>
      <c r="Y121" s="311">
        <v>17174.992881803541</v>
      </c>
      <c r="Z121" s="192">
        <f t="shared" si="323"/>
        <v>-149462.59793901781</v>
      </c>
      <c r="AA121" t="str">
        <f t="shared" si="324"/>
        <v>-</v>
      </c>
      <c r="AB121" t="str">
        <f t="shared" si="325"/>
        <v>-</v>
      </c>
      <c r="AC121" s="523"/>
      <c r="AD121" s="34">
        <f>C121-GAAP!C122</f>
        <v>7999330.6199999992</v>
      </c>
      <c r="AF121" s="64">
        <f t="shared" ref="AF121:AF134" si="398">C121</f>
        <v>9470658.6199999992</v>
      </c>
      <c r="AG121" s="64">
        <f t="shared" ref="AG121:AG134" si="399">D121</f>
        <v>9050951.8599999994</v>
      </c>
      <c r="AH121" s="64">
        <f t="shared" ref="AH121:AH134" si="400">E121</f>
        <v>419706.75999999978</v>
      </c>
      <c r="AI121" s="217">
        <f t="shared" ref="AI121:AI134" si="401">IF(AG121&lt;&gt;0,+F121/AG121,0)</f>
        <v>1</v>
      </c>
      <c r="AJ121" s="98">
        <f t="shared" ref="AJ121:AJ134" si="402">IF(AH121&lt;=0,AH121,IF(G121&lt;0.1,0,IF(G121&lt;=1,G121*AH121,AH121)))</f>
        <v>419706.75999999978</v>
      </c>
      <c r="AK121" s="98">
        <f t="shared" ref="AK121:AK134" si="403">+F121+AJ121</f>
        <v>9470658.6199999992</v>
      </c>
      <c r="AL121" s="98">
        <f t="shared" ref="AL121:AL134" si="404">J121-AK121</f>
        <v>0</v>
      </c>
      <c r="AM121" s="98">
        <f t="shared" ref="AM121:AM134" si="405">+AG121-F121</f>
        <v>0</v>
      </c>
      <c r="AN121" s="98">
        <f t="shared" ref="AN121:AN134" si="406">+AF121-J121</f>
        <v>0</v>
      </c>
      <c r="AO121" s="222">
        <f>GAAP!P122</f>
        <v>0</v>
      </c>
      <c r="AP121" s="129">
        <f t="shared" ref="AP121:AP134" si="407">AJ121-AO121</f>
        <v>419706.75999999978</v>
      </c>
    </row>
    <row r="122" spans="1:42" ht="13.5" customHeight="1">
      <c r="A122" s="258">
        <v>54.925699999999999</v>
      </c>
      <c r="B122" s="57" t="s">
        <v>248</v>
      </c>
      <c r="C122" s="163">
        <v>1471328</v>
      </c>
      <c r="D122" s="354">
        <f t="shared" si="374"/>
        <v>1426328</v>
      </c>
      <c r="E122" s="163">
        <v>45000</v>
      </c>
      <c r="F122" s="163">
        <v>762211.05</v>
      </c>
      <c r="G122" s="217">
        <f t="shared" si="375"/>
        <v>0.5343869362446787</v>
      </c>
      <c r="H122" s="149">
        <v>24047.41213101054</v>
      </c>
      <c r="I122" s="214">
        <f t="shared" si="376"/>
        <v>786258.4621310106</v>
      </c>
      <c r="J122" s="149">
        <v>890983</v>
      </c>
      <c r="K122" s="214">
        <f t="shared" si="392"/>
        <v>104724.5378689894</v>
      </c>
      <c r="L122" s="214">
        <f t="shared" si="393"/>
        <v>664116.94999999995</v>
      </c>
      <c r="M122" s="214">
        <f t="shared" si="394"/>
        <v>580345</v>
      </c>
      <c r="N122" s="222">
        <v>14035.83</v>
      </c>
      <c r="O122" s="222">
        <v>0</v>
      </c>
      <c r="P122" s="222">
        <v>0</v>
      </c>
      <c r="Q122" s="214">
        <f t="shared" si="395"/>
        <v>748175.22000000009</v>
      </c>
      <c r="R122" s="214">
        <f t="shared" si="396"/>
        <v>890983</v>
      </c>
      <c r="S122" s="214">
        <f t="shared" si="397"/>
        <v>24047.41213101054</v>
      </c>
      <c r="T122" s="273" t="s">
        <v>237</v>
      </c>
      <c r="U122" s="273"/>
      <c r="V122" s="57" t="str">
        <f t="shared" si="166"/>
        <v>.</v>
      </c>
      <c r="W122" s="282">
        <v>0</v>
      </c>
      <c r="Y122" s="311">
        <v>18415.846039620625</v>
      </c>
      <c r="Z122" s="192">
        <f t="shared" si="323"/>
        <v>5631.5660913899155</v>
      </c>
      <c r="AA122" t="str">
        <f t="shared" si="324"/>
        <v>-</v>
      </c>
      <c r="AB122" t="str">
        <f t="shared" si="325"/>
        <v>-</v>
      </c>
      <c r="AC122" s="523"/>
      <c r="AD122" s="34">
        <f>C122-GAAP!C125</f>
        <v>1009306</v>
      </c>
      <c r="AF122" s="64">
        <f t="shared" si="398"/>
        <v>1471328</v>
      </c>
      <c r="AG122" s="64">
        <f t="shared" si="399"/>
        <v>1426328</v>
      </c>
      <c r="AH122" s="64">
        <f t="shared" si="400"/>
        <v>45000</v>
      </c>
      <c r="AI122" s="217">
        <f t="shared" si="401"/>
        <v>0.5343869362446787</v>
      </c>
      <c r="AJ122" s="98">
        <f t="shared" si="402"/>
        <v>24047.41213101054</v>
      </c>
      <c r="AK122" s="98">
        <f t="shared" si="403"/>
        <v>786258.4621310106</v>
      </c>
      <c r="AL122" s="98">
        <f t="shared" si="404"/>
        <v>104724.5378689894</v>
      </c>
      <c r="AM122" s="98">
        <f t="shared" si="405"/>
        <v>664116.94999999995</v>
      </c>
      <c r="AN122" s="98">
        <f t="shared" si="406"/>
        <v>580345</v>
      </c>
      <c r="AO122" s="222">
        <f>GAAP!P124</f>
        <v>34249.050000000047</v>
      </c>
      <c r="AP122" s="129">
        <f t="shared" si="407"/>
        <v>-10201.637868989506</v>
      </c>
    </row>
    <row r="123" spans="1:42" ht="13.5" customHeight="1">
      <c r="A123" s="258">
        <v>54.9268</v>
      </c>
      <c r="B123" s="57" t="s">
        <v>241</v>
      </c>
      <c r="C123" s="163">
        <v>949567.99</v>
      </c>
      <c r="D123" s="354">
        <f t="shared" si="374"/>
        <v>884567.99</v>
      </c>
      <c r="E123" s="163">
        <v>65000</v>
      </c>
      <c r="F123" s="163">
        <v>844648.28</v>
      </c>
      <c r="G123" s="217">
        <f t="shared" si="375"/>
        <v>0.95487095344700412</v>
      </c>
      <c r="H123" s="149">
        <v>65000</v>
      </c>
      <c r="I123" s="214">
        <f t="shared" si="376"/>
        <v>909648.28</v>
      </c>
      <c r="J123" s="149">
        <v>907298</v>
      </c>
      <c r="K123" s="214">
        <f t="shared" si="392"/>
        <v>-2350.2800000000279</v>
      </c>
      <c r="L123" s="214">
        <f t="shared" si="393"/>
        <v>39919.709999999963</v>
      </c>
      <c r="M123" s="214">
        <f t="shared" si="394"/>
        <v>42269.989999999991</v>
      </c>
      <c r="N123" s="222">
        <v>788053.77</v>
      </c>
      <c r="O123" s="222">
        <v>894533</v>
      </c>
      <c r="P123" s="222">
        <v>71013.066786332143</v>
      </c>
      <c r="Q123" s="214">
        <f t="shared" si="395"/>
        <v>56594.510000000009</v>
      </c>
      <c r="R123" s="214">
        <f t="shared" si="396"/>
        <v>12765</v>
      </c>
      <c r="S123" s="214">
        <f t="shared" si="397"/>
        <v>-6013.0667863321432</v>
      </c>
      <c r="T123" s="273" t="s">
        <v>237</v>
      </c>
      <c r="U123" s="273"/>
      <c r="V123" s="57" t="str">
        <f t="shared" si="166"/>
        <v>.</v>
      </c>
      <c r="W123" s="282">
        <v>71013.066786332143</v>
      </c>
      <c r="Y123" s="311">
        <v>-6013.0667863321432</v>
      </c>
      <c r="Z123" s="192">
        <f t="shared" si="323"/>
        <v>0</v>
      </c>
      <c r="AA123" t="str">
        <f t="shared" si="324"/>
        <v>-</v>
      </c>
      <c r="AB123" t="str">
        <f t="shared" si="325"/>
        <v>-</v>
      </c>
      <c r="AC123" s="523"/>
      <c r="AD123" s="34">
        <f>C123-GAAP!C127</f>
        <v>624667.99</v>
      </c>
      <c r="AF123" s="64">
        <f t="shared" si="398"/>
        <v>949567.99</v>
      </c>
      <c r="AG123" s="64">
        <f t="shared" si="399"/>
        <v>884567.99</v>
      </c>
      <c r="AH123" s="64">
        <f t="shared" si="400"/>
        <v>65000</v>
      </c>
      <c r="AI123" s="217">
        <f t="shared" si="401"/>
        <v>0.95487095344700412</v>
      </c>
      <c r="AJ123" s="98">
        <f t="shared" si="402"/>
        <v>62066.611974055268</v>
      </c>
      <c r="AK123" s="98">
        <f t="shared" si="403"/>
        <v>906714.89197405532</v>
      </c>
      <c r="AL123" s="98">
        <f t="shared" si="404"/>
        <v>583.10802594467532</v>
      </c>
      <c r="AM123" s="98">
        <f t="shared" si="405"/>
        <v>39919.709999999963</v>
      </c>
      <c r="AN123" s="98">
        <f t="shared" si="406"/>
        <v>42269.989999999991</v>
      </c>
      <c r="AO123" s="222">
        <f>GAAP!P126</f>
        <v>197714.51112450095</v>
      </c>
      <c r="AP123" s="129">
        <f t="shared" si="407"/>
        <v>-135647.89915044568</v>
      </c>
    </row>
    <row r="124" spans="1:42" ht="13.5" customHeight="1">
      <c r="A124" s="258">
        <v>54.926900000000003</v>
      </c>
      <c r="B124" s="57" t="s">
        <v>242</v>
      </c>
      <c r="C124" s="163">
        <v>625819.17000000004</v>
      </c>
      <c r="D124" s="354">
        <f t="shared" si="374"/>
        <v>591570.12</v>
      </c>
      <c r="E124" s="163">
        <v>34249.050000000003</v>
      </c>
      <c r="F124" s="163">
        <v>549817.74</v>
      </c>
      <c r="G124" s="217">
        <f t="shared" si="375"/>
        <v>0.92942108029391346</v>
      </c>
      <c r="H124" s="149">
        <v>34249.050000000047</v>
      </c>
      <c r="I124" s="214">
        <f t="shared" si="376"/>
        <v>584066.79</v>
      </c>
      <c r="J124" s="149">
        <v>625819.17000000004</v>
      </c>
      <c r="K124" s="214">
        <f>J124-I124</f>
        <v>41752.380000000005</v>
      </c>
      <c r="L124" s="214">
        <f>+D124-F124</f>
        <v>41752.380000000005</v>
      </c>
      <c r="M124" s="214">
        <f t="shared" si="394"/>
        <v>0</v>
      </c>
      <c r="N124" s="222">
        <v>306021.40999999997</v>
      </c>
      <c r="O124" s="222">
        <v>340270.46</v>
      </c>
      <c r="P124" s="222">
        <v>34249.050000000047</v>
      </c>
      <c r="Q124" s="214">
        <f t="shared" si="395"/>
        <v>243796.33000000002</v>
      </c>
      <c r="R124" s="214">
        <f t="shared" si="396"/>
        <v>285548.71000000002</v>
      </c>
      <c r="S124" s="214">
        <f t="shared" si="397"/>
        <v>0</v>
      </c>
      <c r="T124" s="273" t="s">
        <v>237</v>
      </c>
      <c r="U124" s="273"/>
      <c r="V124" s="57" t="s">
        <v>545</v>
      </c>
      <c r="W124" s="282">
        <v>34249.050000000047</v>
      </c>
      <c r="Y124" s="311">
        <v>-5.0000000046566129E-2</v>
      </c>
      <c r="Z124" s="192">
        <f t="shared" ref="Z124" si="408">S124-Y124</f>
        <v>5.0000000046566129E-2</v>
      </c>
      <c r="AA124" t="str">
        <f t="shared" ref="AA124" si="409">IF(L124&lt;0,"CHECK","-")</f>
        <v>-</v>
      </c>
      <c r="AB124" t="str">
        <f t="shared" ref="AB124" si="410">IF(M124&lt;0,"CHECK","-")</f>
        <v>-</v>
      </c>
      <c r="AC124" s="523"/>
      <c r="AD124" s="34">
        <v>0</v>
      </c>
      <c r="AF124" s="64">
        <f t="shared" si="398"/>
        <v>625819.17000000004</v>
      </c>
      <c r="AG124" s="64">
        <f t="shared" si="399"/>
        <v>591570.12</v>
      </c>
      <c r="AH124" s="64">
        <f t="shared" si="400"/>
        <v>34249.050000000003</v>
      </c>
      <c r="AI124" s="217">
        <f t="shared" si="401"/>
        <v>0.92942108029391346</v>
      </c>
      <c r="AJ124" s="98">
        <f t="shared" si="402"/>
        <v>31831.789050040261</v>
      </c>
      <c r="AK124" s="98">
        <f t="shared" si="403"/>
        <v>581649.52905004029</v>
      </c>
      <c r="AL124" s="98">
        <f t="shared" si="404"/>
        <v>44169.64094995975</v>
      </c>
      <c r="AM124" s="98">
        <f t="shared" si="405"/>
        <v>41752.380000000005</v>
      </c>
      <c r="AN124" s="98">
        <f t="shared" si="406"/>
        <v>0</v>
      </c>
      <c r="AO124" s="222">
        <f>GAAP!P124</f>
        <v>34249.050000000047</v>
      </c>
      <c r="AP124" s="129">
        <f t="shared" si="407"/>
        <v>-2417.2609499597856</v>
      </c>
    </row>
    <row r="125" spans="1:42" ht="13.5" customHeight="1">
      <c r="A125" s="258">
        <v>54.9285</v>
      </c>
      <c r="B125" s="57" t="s">
        <v>260</v>
      </c>
      <c r="C125" s="163">
        <v>462022</v>
      </c>
      <c r="D125" s="354">
        <f t="shared" si="374"/>
        <v>387022</v>
      </c>
      <c r="E125" s="163">
        <v>75000</v>
      </c>
      <c r="F125" s="163">
        <v>312939.77</v>
      </c>
      <c r="G125" s="217">
        <f t="shared" si="375"/>
        <v>0.80858393062926659</v>
      </c>
      <c r="H125" s="149">
        <v>60643.794797194991</v>
      </c>
      <c r="I125" s="214">
        <f t="shared" si="376"/>
        <v>373583.56479719502</v>
      </c>
      <c r="J125" s="149">
        <v>427226</v>
      </c>
      <c r="K125" s="214">
        <f t="shared" si="392"/>
        <v>53642.435202804976</v>
      </c>
      <c r="L125" s="214">
        <f t="shared" si="393"/>
        <v>74082.229999999981</v>
      </c>
      <c r="M125" s="214">
        <f t="shared" si="394"/>
        <v>34796</v>
      </c>
      <c r="N125" s="222">
        <v>186052.75</v>
      </c>
      <c r="O125" s="222">
        <v>205930</v>
      </c>
      <c r="P125" s="222">
        <v>35686.23784080011</v>
      </c>
      <c r="Q125" s="214">
        <f t="shared" si="395"/>
        <v>126887.02000000002</v>
      </c>
      <c r="R125" s="214">
        <f t="shared" si="396"/>
        <v>221296</v>
      </c>
      <c r="S125" s="214">
        <f t="shared" si="397"/>
        <v>24957.556956394881</v>
      </c>
      <c r="T125" s="273" t="s">
        <v>237</v>
      </c>
      <c r="U125" s="273"/>
      <c r="V125" s="57" t="str">
        <f t="shared" si="166"/>
        <v>.</v>
      </c>
      <c r="W125" s="282">
        <v>35686.23784080011</v>
      </c>
      <c r="Y125" s="311">
        <v>24327.243950932658</v>
      </c>
      <c r="Z125" s="192">
        <f t="shared" si="323"/>
        <v>630.31300546222337</v>
      </c>
      <c r="AA125" t="str">
        <f t="shared" si="324"/>
        <v>-</v>
      </c>
      <c r="AB125" t="str">
        <f t="shared" si="325"/>
        <v>-</v>
      </c>
      <c r="AC125" s="523"/>
      <c r="AD125" s="34">
        <f>C125-GAAP!C130</f>
        <v>-6419278</v>
      </c>
      <c r="AF125" s="64">
        <f t="shared" si="398"/>
        <v>462022</v>
      </c>
      <c r="AG125" s="64">
        <f t="shared" si="399"/>
        <v>387022</v>
      </c>
      <c r="AH125" s="64">
        <f t="shared" si="400"/>
        <v>75000</v>
      </c>
      <c r="AI125" s="217">
        <f t="shared" si="401"/>
        <v>0.80858393062926659</v>
      </c>
      <c r="AJ125" s="98">
        <f t="shared" si="402"/>
        <v>60643.794797194991</v>
      </c>
      <c r="AK125" s="98">
        <f t="shared" si="403"/>
        <v>373583.56479719502</v>
      </c>
      <c r="AL125" s="98">
        <f t="shared" si="404"/>
        <v>53642.435202804976</v>
      </c>
      <c r="AM125" s="98">
        <f t="shared" si="405"/>
        <v>74082.229999999981</v>
      </c>
      <c r="AN125" s="98">
        <f t="shared" si="406"/>
        <v>34796</v>
      </c>
      <c r="AO125" s="222">
        <f>GAAP!P128</f>
        <v>0</v>
      </c>
      <c r="AP125" s="129">
        <f t="shared" si="407"/>
        <v>60643.794797194991</v>
      </c>
    </row>
    <row r="126" spans="1:42" ht="13.5" customHeight="1">
      <c r="A126" s="258">
        <v>54.9313</v>
      </c>
      <c r="B126" s="57" t="s">
        <v>414</v>
      </c>
      <c r="C126" s="163">
        <v>7886885.04</v>
      </c>
      <c r="D126" s="354">
        <f t="shared" si="374"/>
        <v>6876885.04</v>
      </c>
      <c r="E126" s="149">
        <v>1010000</v>
      </c>
      <c r="F126" s="163">
        <v>6449205.2199999997</v>
      </c>
      <c r="G126" s="217">
        <f t="shared" si="375"/>
        <v>0.93780907816367975</v>
      </c>
      <c r="H126" s="149">
        <v>947187.16894531657</v>
      </c>
      <c r="I126" s="214">
        <f t="shared" si="376"/>
        <v>7396392.388945316</v>
      </c>
      <c r="J126" s="149">
        <v>7886885</v>
      </c>
      <c r="K126" s="214">
        <f t="shared" si="392"/>
        <v>490492.61105468404</v>
      </c>
      <c r="L126" s="214">
        <f t="shared" si="393"/>
        <v>427679.8200000003</v>
      </c>
      <c r="M126" s="214">
        <f>+C126-J126</f>
        <v>4.0000000037252903E-2</v>
      </c>
      <c r="N126" s="222">
        <v>1921139.11</v>
      </c>
      <c r="O126" s="222">
        <v>2129585.8199999998</v>
      </c>
      <c r="P126" s="222">
        <v>197714.51112450095</v>
      </c>
      <c r="Q126" s="214">
        <f t="shared" si="395"/>
        <v>4528066.1099999994</v>
      </c>
      <c r="R126" s="214">
        <f t="shared" si="396"/>
        <v>5757299.1799999997</v>
      </c>
      <c r="S126" s="214">
        <f t="shared" si="397"/>
        <v>749472.65782081569</v>
      </c>
      <c r="T126" s="273" t="s">
        <v>278</v>
      </c>
      <c r="U126" s="273"/>
      <c r="V126" s="57" t="str">
        <f t="shared" ref="V126:V133" si="411">IF(C126&lt;250000, "&lt; 250k",".")</f>
        <v>.</v>
      </c>
      <c r="W126" s="282">
        <v>197714.51112450095</v>
      </c>
      <c r="Y126" s="311">
        <v>502485.75674028596</v>
      </c>
      <c r="Z126" s="192">
        <f t="shared" si="323"/>
        <v>246986.90108052973</v>
      </c>
      <c r="AA126" t="str">
        <f t="shared" si="324"/>
        <v>-</v>
      </c>
      <c r="AB126" t="str">
        <f t="shared" si="325"/>
        <v>-</v>
      </c>
      <c r="AC126" s="523"/>
      <c r="AD126" s="34" t="e">
        <f>C126-GAAP!#REF!</f>
        <v>#REF!</v>
      </c>
      <c r="AF126" s="64">
        <f t="shared" si="398"/>
        <v>7886885.04</v>
      </c>
      <c r="AG126" s="64">
        <f t="shared" si="399"/>
        <v>6876885.04</v>
      </c>
      <c r="AH126" s="64">
        <f t="shared" si="400"/>
        <v>1010000</v>
      </c>
      <c r="AI126" s="217">
        <f t="shared" si="401"/>
        <v>0.93780907816367975</v>
      </c>
      <c r="AJ126" s="98">
        <f t="shared" si="402"/>
        <v>947187.16894531657</v>
      </c>
      <c r="AK126" s="98">
        <f t="shared" si="403"/>
        <v>7396392.388945316</v>
      </c>
      <c r="AL126" s="98">
        <f t="shared" si="404"/>
        <v>490492.61105468404</v>
      </c>
      <c r="AM126" s="98">
        <f t="shared" si="405"/>
        <v>427679.8200000003</v>
      </c>
      <c r="AN126" s="98">
        <f t="shared" si="406"/>
        <v>4.0000000037252903E-2</v>
      </c>
      <c r="AO126" s="222">
        <f>GAAP!P130</f>
        <v>0</v>
      </c>
      <c r="AP126" s="129">
        <f t="shared" si="407"/>
        <v>947187.16894531657</v>
      </c>
    </row>
    <row r="127" spans="1:42" ht="13.5" customHeight="1">
      <c r="A127" s="258">
        <v>54.933</v>
      </c>
      <c r="B127" s="57" t="s">
        <v>407</v>
      </c>
      <c r="C127" s="163">
        <v>324900</v>
      </c>
      <c r="D127" s="354">
        <f t="shared" si="374"/>
        <v>307641</v>
      </c>
      <c r="E127" s="149">
        <v>17259</v>
      </c>
      <c r="F127" s="163">
        <v>306221.40999999997</v>
      </c>
      <c r="G127" s="217">
        <f t="shared" si="375"/>
        <v>0.99538556304263726</v>
      </c>
      <c r="H127" s="149">
        <v>17179.359432552876</v>
      </c>
      <c r="I127" s="214">
        <f t="shared" si="376"/>
        <v>323400.76943255286</v>
      </c>
      <c r="J127" s="149">
        <v>324900</v>
      </c>
      <c r="K127" s="214">
        <f t="shared" si="392"/>
        <v>1499.2305674471427</v>
      </c>
      <c r="L127" s="214">
        <f t="shared" si="393"/>
        <v>1419.5900000000256</v>
      </c>
      <c r="M127" s="214">
        <f t="shared" si="394"/>
        <v>0</v>
      </c>
      <c r="N127" s="222">
        <v>181448.27</v>
      </c>
      <c r="O127" s="222">
        <v>237460</v>
      </c>
      <c r="P127" s="222">
        <v>10642.127272727274</v>
      </c>
      <c r="Q127" s="214">
        <f t="shared" si="395"/>
        <v>124773.13999999998</v>
      </c>
      <c r="R127" s="214">
        <f t="shared" si="396"/>
        <v>87440</v>
      </c>
      <c r="S127" s="214">
        <f t="shared" si="397"/>
        <v>6537.2321598256021</v>
      </c>
      <c r="T127" s="273" t="s">
        <v>278</v>
      </c>
      <c r="U127" s="273"/>
      <c r="V127" s="57" t="str">
        <f t="shared" si="411"/>
        <v>.</v>
      </c>
      <c r="W127" s="282">
        <v>10642.127272727274</v>
      </c>
      <c r="Y127" s="311">
        <v>5219.1306100826951</v>
      </c>
      <c r="Z127" s="192">
        <f t="shared" si="323"/>
        <v>1318.1015497429071</v>
      </c>
      <c r="AA127" t="str">
        <f t="shared" si="324"/>
        <v>-</v>
      </c>
      <c r="AB127" t="str">
        <f t="shared" si="325"/>
        <v>-</v>
      </c>
      <c r="AC127" s="523"/>
      <c r="AD127" s="34">
        <f>C127-GAAP!C134</f>
        <v>-1199866</v>
      </c>
      <c r="AF127" s="64">
        <f t="shared" si="398"/>
        <v>324900</v>
      </c>
      <c r="AG127" s="64">
        <f t="shared" si="399"/>
        <v>307641</v>
      </c>
      <c r="AH127" s="64">
        <f t="shared" si="400"/>
        <v>17259</v>
      </c>
      <c r="AI127" s="217">
        <f t="shared" si="401"/>
        <v>0.99538556304263726</v>
      </c>
      <c r="AJ127" s="98">
        <f t="shared" si="402"/>
        <v>17179.359432552876</v>
      </c>
      <c r="AK127" s="98">
        <f t="shared" si="403"/>
        <v>323400.76943255286</v>
      </c>
      <c r="AL127" s="98">
        <f t="shared" si="404"/>
        <v>1499.2305674471427</v>
      </c>
      <c r="AM127" s="98">
        <f t="shared" si="405"/>
        <v>1419.5900000000256</v>
      </c>
      <c r="AN127" s="98">
        <f t="shared" si="406"/>
        <v>0</v>
      </c>
      <c r="AO127" s="222">
        <f>GAAP!P132</f>
        <v>0</v>
      </c>
      <c r="AP127" s="129">
        <f t="shared" si="407"/>
        <v>17179.359432552876</v>
      </c>
    </row>
    <row r="128" spans="1:42" ht="13.5" customHeight="1">
      <c r="A128" s="258">
        <v>54.933599999999998</v>
      </c>
      <c r="B128" s="57" t="s">
        <v>413</v>
      </c>
      <c r="C128" s="163">
        <v>25191176.640000001</v>
      </c>
      <c r="D128" s="354">
        <f t="shared" si="374"/>
        <v>23271176.640000001</v>
      </c>
      <c r="E128" s="149">
        <v>1920000</v>
      </c>
      <c r="F128" s="163">
        <v>12340864.27</v>
      </c>
      <c r="G128" s="217">
        <f t="shared" si="375"/>
        <v>0.53030684528378014</v>
      </c>
      <c r="H128" s="149">
        <v>1018189.1429448578</v>
      </c>
      <c r="I128" s="214">
        <f t="shared" si="376"/>
        <v>13359053.412944857</v>
      </c>
      <c r="J128" s="149">
        <v>14176592.91</v>
      </c>
      <c r="K128" s="214">
        <f t="shared" si="392"/>
        <v>817539.49705514312</v>
      </c>
      <c r="L128" s="214">
        <f t="shared" si="393"/>
        <v>10930312.370000001</v>
      </c>
      <c r="M128" s="214">
        <f t="shared" si="394"/>
        <v>11014583.73</v>
      </c>
      <c r="N128" s="222">
        <v>2120057.5499999998</v>
      </c>
      <c r="O128" s="222">
        <v>2584469.7000000002</v>
      </c>
      <c r="P128" s="222">
        <v>0</v>
      </c>
      <c r="Q128" s="214">
        <f t="shared" si="395"/>
        <v>10220806.719999999</v>
      </c>
      <c r="R128" s="214">
        <f t="shared" si="396"/>
        <v>11592123.210000001</v>
      </c>
      <c r="S128" s="214">
        <f t="shared" si="397"/>
        <v>1018189.1429448578</v>
      </c>
      <c r="T128" s="273" t="s">
        <v>278</v>
      </c>
      <c r="U128" s="273"/>
      <c r="V128" s="57" t="str">
        <f t="shared" si="411"/>
        <v>.</v>
      </c>
      <c r="W128" s="282">
        <v>0</v>
      </c>
      <c r="Y128" s="311">
        <v>771113.46474066842</v>
      </c>
      <c r="Z128" s="192">
        <f t="shared" si="323"/>
        <v>247075.6782041894</v>
      </c>
      <c r="AA128" t="str">
        <f t="shared" si="324"/>
        <v>-</v>
      </c>
      <c r="AB128" t="str">
        <f t="shared" si="325"/>
        <v>-</v>
      </c>
      <c r="AC128" s="523"/>
      <c r="AD128" s="34">
        <f>C128-GAAP!C136</f>
        <v>24658572.07</v>
      </c>
      <c r="AF128" s="64">
        <f t="shared" si="398"/>
        <v>25191176.640000001</v>
      </c>
      <c r="AG128" s="64">
        <f t="shared" si="399"/>
        <v>23271176.640000001</v>
      </c>
      <c r="AH128" s="64">
        <f t="shared" si="400"/>
        <v>1920000</v>
      </c>
      <c r="AI128" s="217">
        <f t="shared" si="401"/>
        <v>0.53030684528378014</v>
      </c>
      <c r="AJ128" s="98">
        <f t="shared" si="402"/>
        <v>1018189.1429448578</v>
      </c>
      <c r="AK128" s="98">
        <f t="shared" si="403"/>
        <v>13359053.412944857</v>
      </c>
      <c r="AL128" s="98">
        <f t="shared" si="404"/>
        <v>817539.49705514312</v>
      </c>
      <c r="AM128" s="98">
        <f t="shared" si="405"/>
        <v>10930312.370000001</v>
      </c>
      <c r="AN128" s="98">
        <f t="shared" si="406"/>
        <v>11014583.73</v>
      </c>
      <c r="AO128" s="222" t="e">
        <f>GAAP!#REF!</f>
        <v>#REF!</v>
      </c>
      <c r="AP128" s="129" t="e">
        <f t="shared" si="407"/>
        <v>#REF!</v>
      </c>
    </row>
    <row r="129" spans="1:42" ht="13.5" customHeight="1">
      <c r="A129" s="258">
        <v>54.933700000000002</v>
      </c>
      <c r="B129" s="57" t="s">
        <v>441</v>
      </c>
      <c r="C129" s="163">
        <v>4104848</v>
      </c>
      <c r="D129" s="354">
        <f t="shared" si="374"/>
        <v>3944848</v>
      </c>
      <c r="E129" s="149">
        <v>160000</v>
      </c>
      <c r="F129" s="163">
        <v>1509066.73</v>
      </c>
      <c r="G129" s="217">
        <f t="shared" si="375"/>
        <v>0.38254116001427685</v>
      </c>
      <c r="H129" s="149">
        <v>61206.585602284293</v>
      </c>
      <c r="I129" s="214">
        <f t="shared" si="376"/>
        <v>1570273.3156022844</v>
      </c>
      <c r="J129" s="149">
        <v>520441.66</v>
      </c>
      <c r="K129" s="214">
        <f t="shared" si="392"/>
        <v>-1049831.6556022845</v>
      </c>
      <c r="L129" s="214">
        <f t="shared" si="393"/>
        <v>2435781.27</v>
      </c>
      <c r="M129" s="214">
        <f t="shared" si="394"/>
        <v>3584406.34</v>
      </c>
      <c r="N129" s="222">
        <v>153011.71</v>
      </c>
      <c r="O129" s="222">
        <v>0</v>
      </c>
      <c r="P129" s="222">
        <v>0</v>
      </c>
      <c r="Q129" s="214">
        <f t="shared" si="395"/>
        <v>1356055.02</v>
      </c>
      <c r="R129" s="214">
        <f t="shared" si="396"/>
        <v>520441.66</v>
      </c>
      <c r="S129" s="214">
        <f t="shared" si="397"/>
        <v>61206.585602284293</v>
      </c>
      <c r="T129" s="273" t="s">
        <v>278</v>
      </c>
      <c r="U129" s="273"/>
      <c r="V129" s="57" t="str">
        <f t="shared" si="411"/>
        <v>.</v>
      </c>
      <c r="W129" s="282">
        <v>0</v>
      </c>
      <c r="Y129" s="311">
        <v>61357.305662493949</v>
      </c>
      <c r="Z129" s="192">
        <f t="shared" si="323"/>
        <v>-150.72006020965637</v>
      </c>
      <c r="AA129" t="str">
        <f t="shared" si="324"/>
        <v>-</v>
      </c>
      <c r="AB129" t="str">
        <f t="shared" si="325"/>
        <v>-</v>
      </c>
      <c r="AC129" s="523"/>
      <c r="AD129" s="34">
        <f>C129-GAAP!C137</f>
        <v>2309195.34</v>
      </c>
      <c r="AF129" s="64">
        <f t="shared" si="398"/>
        <v>4104848</v>
      </c>
      <c r="AG129" s="64">
        <f t="shared" si="399"/>
        <v>3944848</v>
      </c>
      <c r="AH129" s="64">
        <f t="shared" si="400"/>
        <v>160000</v>
      </c>
      <c r="AI129" s="217">
        <f t="shared" si="401"/>
        <v>0.38254116001427685</v>
      </c>
      <c r="AJ129" s="98">
        <f t="shared" si="402"/>
        <v>61206.585602284293</v>
      </c>
      <c r="AK129" s="98">
        <f t="shared" si="403"/>
        <v>1570273.3156022844</v>
      </c>
      <c r="AL129" s="98">
        <f t="shared" si="404"/>
        <v>-1049831.6556022845</v>
      </c>
      <c r="AM129" s="98">
        <f t="shared" si="405"/>
        <v>2435781.27</v>
      </c>
      <c r="AN129" s="98">
        <f t="shared" si="406"/>
        <v>3584406.34</v>
      </c>
      <c r="AO129" s="222" t="e">
        <f>GAAP!#REF!</f>
        <v>#REF!</v>
      </c>
      <c r="AP129" s="129" t="e">
        <f t="shared" si="407"/>
        <v>#REF!</v>
      </c>
    </row>
    <row r="130" spans="1:42" ht="13.5" customHeight="1">
      <c r="A130" s="258">
        <v>54.9343</v>
      </c>
      <c r="B130" s="57" t="s">
        <v>443</v>
      </c>
      <c r="C130" s="163">
        <v>6881300</v>
      </c>
      <c r="D130" s="354">
        <f t="shared" si="374"/>
        <v>5981300</v>
      </c>
      <c r="E130" s="149">
        <v>900000</v>
      </c>
      <c r="F130" s="163">
        <v>3415344.08</v>
      </c>
      <c r="G130" s="217">
        <f t="shared" si="375"/>
        <v>0.57100364134887061</v>
      </c>
      <c r="H130" s="149">
        <v>513903.27721398353</v>
      </c>
      <c r="I130" s="214">
        <f t="shared" si="376"/>
        <v>3929247.3572139838</v>
      </c>
      <c r="J130" s="149">
        <v>3954560</v>
      </c>
      <c r="K130" s="214">
        <f t="shared" si="392"/>
        <v>25312.642786016222</v>
      </c>
      <c r="L130" s="214">
        <f t="shared" si="393"/>
        <v>2565955.92</v>
      </c>
      <c r="M130" s="214">
        <f t="shared" si="394"/>
        <v>2926740</v>
      </c>
      <c r="N130" s="222">
        <v>600191.79</v>
      </c>
      <c r="O130" s="222">
        <v>737745</v>
      </c>
      <c r="P130" s="222">
        <v>0</v>
      </c>
      <c r="Q130" s="214">
        <f t="shared" si="395"/>
        <v>2815152.29</v>
      </c>
      <c r="R130" s="214">
        <f t="shared" si="396"/>
        <v>3216815</v>
      </c>
      <c r="S130" s="214">
        <f t="shared" si="397"/>
        <v>513903.27721398353</v>
      </c>
      <c r="T130" s="273" t="s">
        <v>278</v>
      </c>
      <c r="U130" s="273"/>
      <c r="V130" s="57" t="str">
        <f t="shared" si="411"/>
        <v>.</v>
      </c>
      <c r="W130" s="282">
        <v>0</v>
      </c>
      <c r="Y130" s="311">
        <v>422212.96030706482</v>
      </c>
      <c r="Z130" s="192">
        <f t="shared" si="323"/>
        <v>91690.316906918713</v>
      </c>
      <c r="AA130" t="str">
        <f t="shared" si="324"/>
        <v>-</v>
      </c>
      <c r="AB130" t="str">
        <f t="shared" si="325"/>
        <v>-</v>
      </c>
      <c r="AC130" s="523"/>
      <c r="AD130" s="34">
        <f>C130-GAAP!C141</f>
        <v>3161300</v>
      </c>
      <c r="AF130" s="64">
        <f t="shared" si="398"/>
        <v>6881300</v>
      </c>
      <c r="AG130" s="64">
        <f t="shared" si="399"/>
        <v>5981300</v>
      </c>
      <c r="AH130" s="64">
        <f t="shared" si="400"/>
        <v>900000</v>
      </c>
      <c r="AI130" s="217">
        <f t="shared" si="401"/>
        <v>0.57100364134887061</v>
      </c>
      <c r="AJ130" s="98">
        <f t="shared" si="402"/>
        <v>513903.27721398353</v>
      </c>
      <c r="AK130" s="98">
        <f t="shared" si="403"/>
        <v>3929247.3572139838</v>
      </c>
      <c r="AL130" s="98">
        <f t="shared" si="404"/>
        <v>25312.642786016222</v>
      </c>
      <c r="AM130" s="98">
        <f t="shared" si="405"/>
        <v>2565955.92</v>
      </c>
      <c r="AN130" s="98">
        <f t="shared" si="406"/>
        <v>2926740</v>
      </c>
      <c r="AO130" s="222">
        <f>GAAP!P135</f>
        <v>0</v>
      </c>
      <c r="AP130" s="129">
        <f t="shared" si="407"/>
        <v>513903.27721398353</v>
      </c>
    </row>
    <row r="131" spans="1:42" ht="13.5" customHeight="1">
      <c r="A131" s="258">
        <v>54.935600000000001</v>
      </c>
      <c r="B131" s="57" t="s">
        <v>480</v>
      </c>
      <c r="C131" s="163">
        <v>1298330</v>
      </c>
      <c r="D131" s="354">
        <f t="shared" si="374"/>
        <v>913330</v>
      </c>
      <c r="E131" s="149">
        <v>385000</v>
      </c>
      <c r="F131" s="163">
        <v>775780.75</v>
      </c>
      <c r="G131" s="217">
        <f t="shared" si="375"/>
        <v>0.8493980817448239</v>
      </c>
      <c r="H131" s="149">
        <v>327018.2614717572</v>
      </c>
      <c r="I131" s="214">
        <f t="shared" si="376"/>
        <v>1102799.0114717572</v>
      </c>
      <c r="J131" s="149">
        <v>685017</v>
      </c>
      <c r="K131" s="214">
        <f t="shared" si="392"/>
        <v>-417782.0114717572</v>
      </c>
      <c r="L131" s="214">
        <f t="shared" si="393"/>
        <v>137549.25</v>
      </c>
      <c r="M131" s="214">
        <f t="shared" si="394"/>
        <v>613313</v>
      </c>
      <c r="N131" s="222">
        <v>62884.76</v>
      </c>
      <c r="O131" s="222">
        <v>63200</v>
      </c>
      <c r="P131" s="222">
        <v>0</v>
      </c>
      <c r="Q131" s="214">
        <f t="shared" si="395"/>
        <v>712895.99</v>
      </c>
      <c r="R131" s="214">
        <f t="shared" si="396"/>
        <v>621817</v>
      </c>
      <c r="S131" s="214">
        <f t="shared" si="397"/>
        <v>327018.2614717572</v>
      </c>
      <c r="T131" s="273" t="s">
        <v>278</v>
      </c>
      <c r="U131" s="273"/>
      <c r="V131" s="57" t="str">
        <f t="shared" si="411"/>
        <v>.</v>
      </c>
      <c r="W131" s="282">
        <v>0</v>
      </c>
      <c r="Y131" s="311">
        <v>192031.94929543539</v>
      </c>
      <c r="Z131" s="192">
        <f t="shared" si="323"/>
        <v>134986.31217632181</v>
      </c>
      <c r="AA131" t="str">
        <f t="shared" si="324"/>
        <v>-</v>
      </c>
      <c r="AB131" t="str">
        <f t="shared" si="325"/>
        <v>-</v>
      </c>
      <c r="AC131" s="523"/>
      <c r="AD131" s="34" t="e">
        <f>C131-GAAP!#REF!</f>
        <v>#REF!</v>
      </c>
      <c r="AF131" s="64">
        <f t="shared" si="398"/>
        <v>1298330</v>
      </c>
      <c r="AG131" s="64">
        <f t="shared" si="399"/>
        <v>913330</v>
      </c>
      <c r="AH131" s="64">
        <f t="shared" si="400"/>
        <v>385000</v>
      </c>
      <c r="AI131" s="217">
        <f t="shared" si="401"/>
        <v>0.8493980817448239</v>
      </c>
      <c r="AJ131" s="98">
        <f t="shared" si="402"/>
        <v>327018.2614717572</v>
      </c>
      <c r="AK131" s="98">
        <f t="shared" si="403"/>
        <v>1102799.0114717572</v>
      </c>
      <c r="AL131" s="98">
        <f t="shared" si="404"/>
        <v>-417782.0114717572</v>
      </c>
      <c r="AM131" s="98">
        <f t="shared" si="405"/>
        <v>137549.25</v>
      </c>
      <c r="AN131" s="98">
        <f t="shared" si="406"/>
        <v>613313</v>
      </c>
      <c r="AO131" s="222">
        <f>GAAP!P140</f>
        <v>0</v>
      </c>
      <c r="AP131" s="129">
        <f t="shared" si="407"/>
        <v>327018.2614717572</v>
      </c>
    </row>
    <row r="132" spans="1:42" ht="13.5" customHeight="1">
      <c r="A132" s="258">
        <v>54.936599999999999</v>
      </c>
      <c r="B132" s="57" t="s">
        <v>482</v>
      </c>
      <c r="C132" s="163">
        <v>1230131</v>
      </c>
      <c r="D132" s="354">
        <f t="shared" si="374"/>
        <v>1080131</v>
      </c>
      <c r="E132" s="149">
        <v>150000</v>
      </c>
      <c r="F132" s="163">
        <v>923220.5</v>
      </c>
      <c r="G132" s="217">
        <f t="shared" si="375"/>
        <v>0.85473012069832266</v>
      </c>
      <c r="H132" s="149">
        <v>128209.51810474839</v>
      </c>
      <c r="I132" s="214">
        <f t="shared" si="376"/>
        <v>1051430.0181047483</v>
      </c>
      <c r="J132" s="149">
        <v>1160831</v>
      </c>
      <c r="K132" s="214">
        <f t="shared" si="392"/>
        <v>109400.98189525167</v>
      </c>
      <c r="L132" s="214">
        <f t="shared" si="393"/>
        <v>156910.5</v>
      </c>
      <c r="M132" s="214">
        <f t="shared" si="394"/>
        <v>69300</v>
      </c>
      <c r="N132" s="222">
        <v>5513.06</v>
      </c>
      <c r="O132" s="222">
        <v>0</v>
      </c>
      <c r="P132" s="222">
        <v>0</v>
      </c>
      <c r="Q132" s="214">
        <f t="shared" si="395"/>
        <v>917707.44</v>
      </c>
      <c r="R132" s="214">
        <f t="shared" si="396"/>
        <v>1160831</v>
      </c>
      <c r="S132" s="214">
        <f t="shared" si="397"/>
        <v>128209.51810474839</v>
      </c>
      <c r="T132" s="273" t="s">
        <v>278</v>
      </c>
      <c r="U132" s="273"/>
      <c r="V132" s="57" t="str">
        <f t="shared" si="411"/>
        <v>.</v>
      </c>
      <c r="W132" s="282">
        <v>0</v>
      </c>
      <c r="Y132" s="311">
        <v>65624.270361692004</v>
      </c>
      <c r="Z132" s="192">
        <f t="shared" si="323"/>
        <v>62585.247743056389</v>
      </c>
      <c r="AA132" t="str">
        <f t="shared" si="324"/>
        <v>-</v>
      </c>
      <c r="AB132" t="str">
        <f t="shared" si="325"/>
        <v>-</v>
      </c>
      <c r="AC132" s="523"/>
      <c r="AD132" s="34" t="e">
        <f>C132-GAAP!#REF!</f>
        <v>#REF!</v>
      </c>
      <c r="AF132" s="64">
        <f t="shared" si="398"/>
        <v>1230131</v>
      </c>
      <c r="AG132" s="64">
        <f t="shared" si="399"/>
        <v>1080131</v>
      </c>
      <c r="AH132" s="64">
        <f t="shared" si="400"/>
        <v>150000</v>
      </c>
      <c r="AI132" s="217">
        <f t="shared" si="401"/>
        <v>0.85473012069832266</v>
      </c>
      <c r="AJ132" s="98">
        <f t="shared" si="402"/>
        <v>128209.51810474839</v>
      </c>
      <c r="AK132" s="98">
        <f t="shared" si="403"/>
        <v>1051430.0181047483</v>
      </c>
      <c r="AL132" s="98">
        <f t="shared" si="404"/>
        <v>109400.98189525167</v>
      </c>
      <c r="AM132" s="98">
        <f t="shared" si="405"/>
        <v>156910.5</v>
      </c>
      <c r="AN132" s="98">
        <f t="shared" si="406"/>
        <v>69300</v>
      </c>
      <c r="AO132" s="222">
        <f>GAAP!P143</f>
        <v>0</v>
      </c>
      <c r="AP132" s="129">
        <f t="shared" si="407"/>
        <v>128209.51810474839</v>
      </c>
    </row>
    <row r="133" spans="1:42" ht="13.5" customHeight="1">
      <c r="A133" s="258">
        <v>54.936900000000001</v>
      </c>
      <c r="B133" s="57" t="s">
        <v>484</v>
      </c>
      <c r="C133" s="163">
        <v>28550624.699999999</v>
      </c>
      <c r="D133" s="354">
        <f t="shared" si="374"/>
        <v>26179781.699999999</v>
      </c>
      <c r="E133" s="149">
        <v>2370843</v>
      </c>
      <c r="F133" s="163">
        <v>2787466.66</v>
      </c>
      <c r="G133" s="217">
        <f t="shared" si="375"/>
        <v>0.106474022279567</v>
      </c>
      <c r="H133" s="149">
        <v>0</v>
      </c>
      <c r="I133" s="214">
        <f t="shared" si="376"/>
        <v>2787466.66</v>
      </c>
      <c r="J133" s="149">
        <v>2927422.95</v>
      </c>
      <c r="K133" s="214">
        <f t="shared" si="392"/>
        <v>139956.29000000004</v>
      </c>
      <c r="L133" s="214">
        <f t="shared" si="393"/>
        <v>23392315.039999999</v>
      </c>
      <c r="M133" s="214">
        <f t="shared" si="394"/>
        <v>25623201.75</v>
      </c>
      <c r="N133" s="222">
        <v>1242.45</v>
      </c>
      <c r="O133" s="222">
        <v>0</v>
      </c>
      <c r="P133" s="222">
        <v>0</v>
      </c>
      <c r="Q133" s="214">
        <f t="shared" si="395"/>
        <v>2786224.21</v>
      </c>
      <c r="R133" s="214">
        <f t="shared" si="396"/>
        <v>2927422.95</v>
      </c>
      <c r="S133" s="214">
        <f t="shared" si="397"/>
        <v>0</v>
      </c>
      <c r="T133" s="273" t="s">
        <v>278</v>
      </c>
      <c r="U133" s="273"/>
      <c r="V133" s="57" t="str">
        <f t="shared" si="411"/>
        <v>.</v>
      </c>
      <c r="W133" s="282">
        <v>0</v>
      </c>
      <c r="Y133" s="311">
        <v>0</v>
      </c>
      <c r="Z133" s="192">
        <f t="shared" si="323"/>
        <v>0</v>
      </c>
      <c r="AA133" t="str">
        <f t="shared" si="324"/>
        <v>-</v>
      </c>
      <c r="AB133" t="str">
        <f t="shared" si="325"/>
        <v>-</v>
      </c>
      <c r="AC133" s="523"/>
      <c r="AD133" s="34" t="e">
        <f>C133-GAAP!#REF!</f>
        <v>#REF!</v>
      </c>
      <c r="AF133" s="64">
        <f t="shared" si="398"/>
        <v>28550624.699999999</v>
      </c>
      <c r="AG133" s="64">
        <f t="shared" si="399"/>
        <v>26179781.699999999</v>
      </c>
      <c r="AH133" s="64">
        <f t="shared" si="400"/>
        <v>2370843</v>
      </c>
      <c r="AI133" s="217">
        <f t="shared" si="401"/>
        <v>0.106474022279567</v>
      </c>
      <c r="AJ133" s="98">
        <f t="shared" si="402"/>
        <v>252433.19040335546</v>
      </c>
      <c r="AK133" s="98">
        <f t="shared" si="403"/>
        <v>3039899.8504033554</v>
      </c>
      <c r="AL133" s="98">
        <f t="shared" si="404"/>
        <v>-112476.90040335525</v>
      </c>
      <c r="AM133" s="98">
        <f t="shared" si="405"/>
        <v>23392315.039999999</v>
      </c>
      <c r="AN133" s="98">
        <f t="shared" si="406"/>
        <v>25623201.75</v>
      </c>
      <c r="AO133" s="222">
        <f>GAAP!P144</f>
        <v>0</v>
      </c>
      <c r="AP133" s="129">
        <f t="shared" si="407"/>
        <v>252433.19040335546</v>
      </c>
    </row>
    <row r="134" spans="1:42" ht="13.5" customHeight="1">
      <c r="A134" s="258">
        <v>54.9373</v>
      </c>
      <c r="B134" s="57" t="s">
        <v>518</v>
      </c>
      <c r="C134" s="163">
        <v>1524766</v>
      </c>
      <c r="D134" s="354">
        <f t="shared" si="374"/>
        <v>1393326</v>
      </c>
      <c r="E134" s="149">
        <v>131440</v>
      </c>
      <c r="F134" s="163">
        <v>50303.97</v>
      </c>
      <c r="G134" s="217">
        <f t="shared" si="375"/>
        <v>3.6103517769710748E-2</v>
      </c>
      <c r="H134" s="149">
        <v>0</v>
      </c>
      <c r="I134" s="214">
        <f t="shared" si="376"/>
        <v>50303.97</v>
      </c>
      <c r="J134" s="149">
        <v>0</v>
      </c>
      <c r="K134" s="214">
        <f t="shared" si="392"/>
        <v>-50303.97</v>
      </c>
      <c r="L134" s="214">
        <f t="shared" si="393"/>
        <v>1343022.03</v>
      </c>
      <c r="M134" s="214">
        <f t="shared" si="394"/>
        <v>1524766</v>
      </c>
      <c r="N134" s="222"/>
      <c r="O134" s="222"/>
      <c r="P134" s="222"/>
      <c r="Q134" s="214">
        <f t="shared" si="395"/>
        <v>50303.97</v>
      </c>
      <c r="R134" s="214">
        <f t="shared" si="396"/>
        <v>0</v>
      </c>
      <c r="S134" s="214">
        <f t="shared" si="397"/>
        <v>0</v>
      </c>
      <c r="T134" s="273" t="s">
        <v>510</v>
      </c>
      <c r="U134" s="273"/>
      <c r="V134" s="57" t="str">
        <f t="shared" ref="V134:V152" si="412">IF(C134&lt;250000, "&lt; 250k",".")</f>
        <v>.</v>
      </c>
      <c r="Y134" s="311">
        <v>0</v>
      </c>
      <c r="Z134" s="192">
        <f t="shared" si="323"/>
        <v>0</v>
      </c>
      <c r="AA134" t="str">
        <f t="shared" si="324"/>
        <v>-</v>
      </c>
      <c r="AB134" t="str">
        <f t="shared" si="325"/>
        <v>-</v>
      </c>
      <c r="AC134" s="523"/>
      <c r="AD134" s="34"/>
      <c r="AF134" s="64">
        <f t="shared" si="398"/>
        <v>1524766</v>
      </c>
      <c r="AG134" s="64">
        <f t="shared" si="399"/>
        <v>1393326</v>
      </c>
      <c r="AH134" s="64">
        <f t="shared" si="400"/>
        <v>131440</v>
      </c>
      <c r="AI134" s="217">
        <f t="shared" si="401"/>
        <v>3.6103517769710748E-2</v>
      </c>
      <c r="AJ134" s="98">
        <f t="shared" si="402"/>
        <v>0</v>
      </c>
      <c r="AK134" s="98">
        <f t="shared" si="403"/>
        <v>50303.97</v>
      </c>
      <c r="AL134" s="98">
        <f t="shared" si="404"/>
        <v>-50303.97</v>
      </c>
      <c r="AM134" s="98">
        <f t="shared" si="405"/>
        <v>1343022.03</v>
      </c>
      <c r="AN134" s="98">
        <f t="shared" si="406"/>
        <v>1524766</v>
      </c>
      <c r="AO134" s="222">
        <f>GAAP!P147</f>
        <v>0</v>
      </c>
      <c r="AP134" s="129">
        <f t="shared" si="407"/>
        <v>0</v>
      </c>
    </row>
    <row r="135" spans="1:42" ht="13.5" customHeight="1">
      <c r="A135" s="258">
        <v>54.938899999999997</v>
      </c>
      <c r="B135" s="57" t="s">
        <v>581</v>
      </c>
      <c r="C135" s="163">
        <v>299780</v>
      </c>
      <c r="D135" s="354">
        <f t="shared" si="374"/>
        <v>314780</v>
      </c>
      <c r="E135" s="149">
        <v>-15000</v>
      </c>
      <c r="F135" s="163">
        <v>311891.84999999998</v>
      </c>
      <c r="G135" s="217">
        <f t="shared" si="375"/>
        <v>0.99082486180824692</v>
      </c>
      <c r="H135" s="149">
        <v>-15000</v>
      </c>
      <c r="I135" s="214">
        <f t="shared" si="376"/>
        <v>296891.84999999998</v>
      </c>
      <c r="J135" s="149">
        <v>291620</v>
      </c>
      <c r="K135" s="214">
        <f t="shared" ref="K135:K136" si="413">J135-I135</f>
        <v>-5271.8499999999767</v>
      </c>
      <c r="L135" s="214">
        <f t="shared" ref="L135:L136" si="414">+D135-F135</f>
        <v>2888.1500000000233</v>
      </c>
      <c r="M135" s="214">
        <f t="shared" ref="M135:M136" si="415">+C135-J135</f>
        <v>8160</v>
      </c>
      <c r="N135" s="222"/>
      <c r="O135" s="222"/>
      <c r="P135" s="222"/>
      <c r="Q135" s="214">
        <f t="shared" ref="Q135:Q136" si="416">F135-N135</f>
        <v>311891.84999999998</v>
      </c>
      <c r="R135" s="214">
        <f t="shared" ref="R135:R136" si="417">+J135-O135</f>
        <v>291620</v>
      </c>
      <c r="S135" s="214">
        <f t="shared" ref="S135:S136" si="418">+H135-P135</f>
        <v>-15000</v>
      </c>
      <c r="T135" s="273" t="s">
        <v>510</v>
      </c>
      <c r="U135" s="273"/>
      <c r="V135" s="57" t="str">
        <f t="shared" si="412"/>
        <v>.</v>
      </c>
      <c r="Y135" s="311">
        <v>-15000</v>
      </c>
      <c r="Z135" s="192">
        <f t="shared" ref="Z135:Z136" si="419">S135-Y135</f>
        <v>0</v>
      </c>
      <c r="AA135" t="str">
        <f t="shared" ref="AA135:AA136" si="420">IF(L135&lt;0,"CHECK","-")</f>
        <v>-</v>
      </c>
      <c r="AB135" t="str">
        <f t="shared" ref="AB135:AB136" si="421">IF(M135&lt;0,"CHECK","-")</f>
        <v>-</v>
      </c>
      <c r="AC135" s="523"/>
      <c r="AD135" s="34"/>
      <c r="AF135" s="64"/>
      <c r="AG135" s="64"/>
      <c r="AH135" s="64"/>
      <c r="AI135" s="217"/>
      <c r="AJ135" s="98"/>
      <c r="AK135" s="98"/>
      <c r="AL135" s="98"/>
      <c r="AM135" s="98"/>
      <c r="AN135" s="98"/>
      <c r="AO135" s="222"/>
      <c r="AP135" s="129"/>
    </row>
    <row r="136" spans="1:42" ht="13.5" customHeight="1">
      <c r="A136" s="258">
        <v>54.939100000000003</v>
      </c>
      <c r="B136" s="57" t="s">
        <v>582</v>
      </c>
      <c r="C136" s="149">
        <v>532604.56999999995</v>
      </c>
      <c r="D136" s="354">
        <f t="shared" si="374"/>
        <v>512057.34</v>
      </c>
      <c r="E136" s="149">
        <v>20547.229999999923</v>
      </c>
      <c r="F136" s="163">
        <v>512057.34</v>
      </c>
      <c r="G136" s="217">
        <f t="shared" si="375"/>
        <v>1</v>
      </c>
      <c r="H136" s="149">
        <v>20547.229999999923</v>
      </c>
      <c r="I136" s="214">
        <f t="shared" si="376"/>
        <v>532604.56999999995</v>
      </c>
      <c r="J136" s="149">
        <v>532604.56999999995</v>
      </c>
      <c r="K136" s="214">
        <f t="shared" si="413"/>
        <v>0</v>
      </c>
      <c r="L136" s="214">
        <f t="shared" si="414"/>
        <v>0</v>
      </c>
      <c r="M136" s="214">
        <f t="shared" si="415"/>
        <v>0</v>
      </c>
      <c r="N136" s="222"/>
      <c r="O136" s="222"/>
      <c r="P136" s="222"/>
      <c r="Q136" s="214">
        <f t="shared" si="416"/>
        <v>512057.34</v>
      </c>
      <c r="R136" s="214">
        <f t="shared" si="417"/>
        <v>532604.56999999995</v>
      </c>
      <c r="S136" s="214">
        <f t="shared" si="418"/>
        <v>20547.229999999923</v>
      </c>
      <c r="T136" s="273" t="s">
        <v>510</v>
      </c>
      <c r="U136" s="273"/>
      <c r="V136" s="57" t="str">
        <f t="shared" si="412"/>
        <v>.</v>
      </c>
      <c r="Y136" s="311">
        <v>19322.91849056604</v>
      </c>
      <c r="Z136" s="192">
        <f t="shared" si="419"/>
        <v>1224.3115094338827</v>
      </c>
      <c r="AA136" t="str">
        <f t="shared" si="420"/>
        <v>-</v>
      </c>
      <c r="AB136" t="str">
        <f t="shared" si="421"/>
        <v>-</v>
      </c>
      <c r="AC136" s="523"/>
      <c r="AD136" s="34"/>
      <c r="AF136" s="64"/>
      <c r="AG136" s="64"/>
      <c r="AH136" s="64"/>
      <c r="AI136" s="217"/>
      <c r="AJ136" s="98"/>
      <c r="AK136" s="98"/>
      <c r="AL136" s="98"/>
      <c r="AM136" s="98"/>
      <c r="AN136" s="98"/>
      <c r="AO136" s="222"/>
      <c r="AP136" s="129"/>
    </row>
    <row r="137" spans="1:42" ht="13.5" customHeight="1">
      <c r="A137" s="258">
        <v>54.939500000000002</v>
      </c>
      <c r="B137" s="57" t="s">
        <v>593</v>
      </c>
      <c r="C137" s="163">
        <v>1795652.66</v>
      </c>
      <c r="D137" s="354">
        <f t="shared" si="374"/>
        <v>1693652.66</v>
      </c>
      <c r="E137" s="149">
        <v>102000</v>
      </c>
      <c r="F137" s="163">
        <v>1349601.92</v>
      </c>
      <c r="G137" s="217">
        <f t="shared" si="375"/>
        <v>0.79685873725726031</v>
      </c>
      <c r="H137" s="149">
        <v>81279.591200240553</v>
      </c>
      <c r="I137" s="214">
        <f t="shared" si="376"/>
        <v>1430881.5112002406</v>
      </c>
      <c r="J137" s="149">
        <v>1374448.17</v>
      </c>
      <c r="K137" s="214">
        <f t="shared" ref="K137" si="422">J137-I137</f>
        <v>-56433.341200240655</v>
      </c>
      <c r="L137" s="214">
        <f t="shared" ref="L137" si="423">+D137-F137</f>
        <v>344050.74</v>
      </c>
      <c r="M137" s="214">
        <f t="shared" ref="M137" si="424">+C137-J137</f>
        <v>421204.49</v>
      </c>
      <c r="N137" s="222"/>
      <c r="O137" s="222"/>
      <c r="P137" s="222"/>
      <c r="Q137" s="214">
        <f t="shared" ref="Q137" si="425">F137-N137</f>
        <v>1349601.92</v>
      </c>
      <c r="R137" s="214">
        <f t="shared" ref="R137" si="426">+J137-O137</f>
        <v>1374448.17</v>
      </c>
      <c r="S137" s="214">
        <f t="shared" ref="S137" si="427">+H137-P137</f>
        <v>81279.591200240553</v>
      </c>
      <c r="T137" s="273" t="s">
        <v>510</v>
      </c>
      <c r="U137" s="273"/>
      <c r="V137" s="57" t="str">
        <f t="shared" si="412"/>
        <v>.</v>
      </c>
      <c r="Y137" s="311">
        <v>22223.670358262723</v>
      </c>
      <c r="Z137" s="192">
        <f t="shared" ref="Z137" si="428">S137-Y137</f>
        <v>59055.92084197783</v>
      </c>
      <c r="AA137" t="str">
        <f t="shared" ref="AA137" si="429">IF(L137&lt;0,"CHECK","-")</f>
        <v>-</v>
      </c>
      <c r="AB137" t="str">
        <f t="shared" ref="AB137" si="430">IF(M137&lt;0,"CHECK","-")</f>
        <v>-</v>
      </c>
      <c r="AC137" s="523"/>
      <c r="AD137" s="34"/>
      <c r="AF137" s="64"/>
      <c r="AG137" s="64"/>
      <c r="AH137" s="64"/>
      <c r="AI137" s="217"/>
      <c r="AJ137" s="98"/>
      <c r="AK137" s="98"/>
      <c r="AL137" s="98"/>
      <c r="AM137" s="98"/>
      <c r="AN137" s="98"/>
      <c r="AO137" s="222"/>
      <c r="AP137" s="129"/>
    </row>
    <row r="138" spans="1:42" ht="13.5" customHeight="1">
      <c r="A138" s="258">
        <v>54.939599999999999</v>
      </c>
      <c r="B138" s="57" t="s">
        <v>667</v>
      </c>
      <c r="C138" s="163">
        <v>157746.09</v>
      </c>
      <c r="D138" s="354">
        <f t="shared" si="374"/>
        <v>157746.09</v>
      </c>
      <c r="E138" s="149">
        <v>0</v>
      </c>
      <c r="F138" s="163">
        <v>157746.09</v>
      </c>
      <c r="G138" s="217">
        <f t="shared" si="375"/>
        <v>1</v>
      </c>
      <c r="H138" s="149">
        <v>0</v>
      </c>
      <c r="I138" s="214">
        <f t="shared" si="376"/>
        <v>157746.09</v>
      </c>
      <c r="J138" s="149">
        <v>0</v>
      </c>
      <c r="K138" s="214">
        <f t="shared" ref="K138:K139" si="431">J138-I138</f>
        <v>-157746.09</v>
      </c>
      <c r="L138" s="214">
        <f t="shared" ref="L138:L139" si="432">+D138-F138</f>
        <v>0</v>
      </c>
      <c r="M138" s="214">
        <f t="shared" ref="M138:M139" si="433">+C138-J138</f>
        <v>157746.09</v>
      </c>
      <c r="N138" s="222"/>
      <c r="O138" s="222"/>
      <c r="P138" s="222"/>
      <c r="Q138" s="214">
        <f t="shared" ref="Q138:Q139" si="434">F138-N138</f>
        <v>157746.09</v>
      </c>
      <c r="R138" s="214">
        <f t="shared" ref="R138:R139" si="435">+J138-O138</f>
        <v>0</v>
      </c>
      <c r="S138" s="214">
        <f t="shared" ref="S138:S139" si="436">+H138-P138</f>
        <v>0</v>
      </c>
      <c r="T138" s="273" t="s">
        <v>510</v>
      </c>
      <c r="U138" s="273"/>
      <c r="V138" s="57" t="str">
        <f t="shared" si="412"/>
        <v>&lt; 250k</v>
      </c>
      <c r="Y138" s="311">
        <v>0</v>
      </c>
      <c r="Z138" s="192">
        <f t="shared" ref="Z138:Z152" si="437">S138-Y138</f>
        <v>0</v>
      </c>
      <c r="AA138" t="str">
        <f t="shared" ref="AA138:AA152" si="438">IF(L138&lt;0,"CHECK","-")</f>
        <v>-</v>
      </c>
      <c r="AB138" t="str">
        <f t="shared" ref="AB138:AB152" si="439">IF(M138&lt;0,"CHECK","-")</f>
        <v>-</v>
      </c>
      <c r="AC138" s="523"/>
      <c r="AD138" s="34"/>
      <c r="AF138" s="64"/>
      <c r="AG138" s="64"/>
      <c r="AH138" s="64"/>
      <c r="AI138" s="217"/>
      <c r="AJ138" s="98"/>
      <c r="AK138" s="98"/>
      <c r="AL138" s="98"/>
      <c r="AM138" s="98"/>
      <c r="AN138" s="98"/>
      <c r="AO138" s="222"/>
      <c r="AP138" s="129"/>
    </row>
    <row r="139" spans="1:42" ht="13.5" customHeight="1">
      <c r="A139" s="258">
        <v>54.939700000000002</v>
      </c>
      <c r="B139" s="57" t="s">
        <v>594</v>
      </c>
      <c r="C139" s="163">
        <v>3690645</v>
      </c>
      <c r="D139" s="354">
        <f t="shared" si="374"/>
        <v>3390645</v>
      </c>
      <c r="E139" s="149">
        <v>300000</v>
      </c>
      <c r="F139" s="163">
        <v>1035065.41</v>
      </c>
      <c r="G139" s="217">
        <f t="shared" si="375"/>
        <v>0.305270946973216</v>
      </c>
      <c r="H139" s="149">
        <v>91581.284091964801</v>
      </c>
      <c r="I139" s="214">
        <f t="shared" si="376"/>
        <v>1126646.6940919647</v>
      </c>
      <c r="J139" s="149">
        <v>1033150.21</v>
      </c>
      <c r="K139" s="214">
        <f t="shared" si="431"/>
        <v>-93496.484091964783</v>
      </c>
      <c r="L139" s="214">
        <f t="shared" si="432"/>
        <v>2355579.59</v>
      </c>
      <c r="M139" s="214">
        <f t="shared" si="433"/>
        <v>2657494.79</v>
      </c>
      <c r="N139" s="222"/>
      <c r="O139" s="222"/>
      <c r="P139" s="222"/>
      <c r="Q139" s="214">
        <f t="shared" si="434"/>
        <v>1035065.41</v>
      </c>
      <c r="R139" s="214">
        <f t="shared" si="435"/>
        <v>1033150.21</v>
      </c>
      <c r="S139" s="214">
        <f t="shared" si="436"/>
        <v>91581.284091964801</v>
      </c>
      <c r="T139" s="273" t="s">
        <v>510</v>
      </c>
      <c r="U139" s="273"/>
      <c r="V139" s="57" t="str">
        <f t="shared" si="412"/>
        <v>.</v>
      </c>
      <c r="Y139" s="311">
        <v>73613.210760784452</v>
      </c>
      <c r="Z139" s="192">
        <f t="shared" si="437"/>
        <v>17968.073331180349</v>
      </c>
      <c r="AA139" t="str">
        <f t="shared" si="438"/>
        <v>-</v>
      </c>
      <c r="AB139" t="str">
        <f t="shared" si="439"/>
        <v>-</v>
      </c>
      <c r="AC139" s="523"/>
      <c r="AD139" s="34"/>
      <c r="AF139" s="64"/>
      <c r="AG139" s="64"/>
      <c r="AH139" s="64"/>
      <c r="AI139" s="217"/>
      <c r="AJ139" s="98"/>
      <c r="AK139" s="98"/>
      <c r="AL139" s="98"/>
      <c r="AM139" s="98"/>
      <c r="AN139" s="98"/>
      <c r="AO139" s="222"/>
      <c r="AP139" s="129"/>
    </row>
    <row r="140" spans="1:42" ht="13.5" customHeight="1">
      <c r="A140" s="258">
        <v>54.940300000000001</v>
      </c>
      <c r="B140" s="57" t="s">
        <v>675</v>
      </c>
      <c r="C140" s="163">
        <v>381600</v>
      </c>
      <c r="D140" s="354">
        <f t="shared" si="374"/>
        <v>338101</v>
      </c>
      <c r="E140" s="149">
        <v>43499</v>
      </c>
      <c r="F140" s="163">
        <v>129004.89</v>
      </c>
      <c r="G140" s="217">
        <f t="shared" si="375"/>
        <v>0.38155725655943046</v>
      </c>
      <c r="H140" s="149">
        <v>16597.359103078667</v>
      </c>
      <c r="I140" s="214">
        <f t="shared" si="376"/>
        <v>145602.24910307868</v>
      </c>
      <c r="J140" s="149">
        <v>140100</v>
      </c>
      <c r="K140" s="214">
        <f t="shared" ref="K140:K142" si="440">J140-I140</f>
        <v>-5502.2491030786769</v>
      </c>
      <c r="L140" s="214">
        <f t="shared" ref="L140:L142" si="441">+D140-F140</f>
        <v>209096.11</v>
      </c>
      <c r="M140" s="214">
        <f t="shared" ref="M140:M142" si="442">+C140-J140</f>
        <v>241500</v>
      </c>
      <c r="N140" s="222"/>
      <c r="O140" s="222"/>
      <c r="P140" s="222"/>
      <c r="Q140" s="214">
        <f t="shared" ref="Q140:Q142" si="443">F140-N140</f>
        <v>129004.89</v>
      </c>
      <c r="R140" s="214">
        <f t="shared" ref="R140:R142" si="444">+J140-O140</f>
        <v>140100</v>
      </c>
      <c r="S140" s="214">
        <f t="shared" ref="S140:S142" si="445">+H140-P140</f>
        <v>16597.359103078667</v>
      </c>
      <c r="T140" s="273" t="s">
        <v>510</v>
      </c>
      <c r="U140" s="273"/>
      <c r="V140" s="57" t="str">
        <f t="shared" si="412"/>
        <v>.</v>
      </c>
      <c r="Y140" s="311">
        <v>0</v>
      </c>
      <c r="Z140" s="192">
        <f t="shared" si="437"/>
        <v>16597.359103078667</v>
      </c>
      <c r="AA140" t="str">
        <f t="shared" si="438"/>
        <v>-</v>
      </c>
      <c r="AB140" t="str">
        <f t="shared" si="439"/>
        <v>-</v>
      </c>
      <c r="AC140" s="523"/>
      <c r="AD140" s="34"/>
      <c r="AF140" s="64"/>
      <c r="AG140" s="64"/>
      <c r="AH140" s="64"/>
      <c r="AI140" s="217"/>
      <c r="AJ140" s="98"/>
      <c r="AK140" s="98"/>
      <c r="AL140" s="98"/>
      <c r="AM140" s="98"/>
      <c r="AN140" s="98"/>
      <c r="AO140" s="222"/>
      <c r="AP140" s="129"/>
    </row>
    <row r="141" spans="1:42" ht="13.5" customHeight="1">
      <c r="A141" s="258">
        <v>54.940399999999997</v>
      </c>
      <c r="B141" s="57" t="s">
        <v>676</v>
      </c>
      <c r="C141" s="163">
        <v>3720000</v>
      </c>
      <c r="D141" s="354">
        <f t="shared" si="374"/>
        <v>3585392</v>
      </c>
      <c r="E141" s="149">
        <v>134608</v>
      </c>
      <c r="F141" s="163">
        <v>1939024.63</v>
      </c>
      <c r="G141" s="217">
        <f t="shared" si="375"/>
        <v>0.54081244951737495</v>
      </c>
      <c r="H141" s="149">
        <v>72797.68220463481</v>
      </c>
      <c r="I141" s="214">
        <f t="shared" si="376"/>
        <v>2011822.3122046348</v>
      </c>
      <c r="J141" s="149">
        <v>1746890</v>
      </c>
      <c r="K141" s="214">
        <f t="shared" si="440"/>
        <v>-264932.31220463477</v>
      </c>
      <c r="L141" s="214">
        <f t="shared" si="441"/>
        <v>1646367.37</v>
      </c>
      <c r="M141" s="214">
        <f t="shared" si="442"/>
        <v>1973110</v>
      </c>
      <c r="N141" s="222"/>
      <c r="O141" s="222"/>
      <c r="P141" s="222"/>
      <c r="Q141" s="214">
        <f t="shared" si="443"/>
        <v>1939024.63</v>
      </c>
      <c r="R141" s="214">
        <f t="shared" si="444"/>
        <v>1746890</v>
      </c>
      <c r="S141" s="214">
        <f t="shared" si="445"/>
        <v>72797.68220463481</v>
      </c>
      <c r="T141" s="273" t="s">
        <v>510</v>
      </c>
      <c r="U141" s="273"/>
      <c r="V141" s="57" t="str">
        <f t="shared" si="412"/>
        <v>.</v>
      </c>
      <c r="Y141" s="311">
        <v>42196.458404548233</v>
      </c>
      <c r="Z141" s="192">
        <f t="shared" si="437"/>
        <v>30601.223800086576</v>
      </c>
      <c r="AA141" t="str">
        <f t="shared" si="438"/>
        <v>-</v>
      </c>
      <c r="AB141" t="str">
        <f t="shared" si="439"/>
        <v>-</v>
      </c>
      <c r="AC141" s="523"/>
      <c r="AD141" s="34"/>
      <c r="AF141" s="64"/>
      <c r="AG141" s="64"/>
      <c r="AH141" s="64"/>
      <c r="AI141" s="217"/>
      <c r="AJ141" s="98"/>
      <c r="AK141" s="98"/>
      <c r="AL141" s="98"/>
      <c r="AM141" s="98"/>
      <c r="AN141" s="98"/>
      <c r="AO141" s="222"/>
      <c r="AP141" s="129"/>
    </row>
    <row r="142" spans="1:42" ht="13.5" customHeight="1">
      <c r="A142" s="258">
        <v>54.9405</v>
      </c>
      <c r="B142" s="57" t="s">
        <v>677</v>
      </c>
      <c r="C142" s="163">
        <v>942000</v>
      </c>
      <c r="D142" s="354">
        <f t="shared" si="374"/>
        <v>812000</v>
      </c>
      <c r="E142" s="149">
        <v>130000</v>
      </c>
      <c r="F142" s="163">
        <v>577796.16</v>
      </c>
      <c r="G142" s="217">
        <f t="shared" si="375"/>
        <v>0.71157162561576359</v>
      </c>
      <c r="H142" s="149">
        <v>92504.31133004927</v>
      </c>
      <c r="I142" s="214">
        <f t="shared" si="376"/>
        <v>670300.47133004933</v>
      </c>
      <c r="J142" s="149">
        <v>746125</v>
      </c>
      <c r="K142" s="214">
        <f t="shared" si="440"/>
        <v>75824.528669950669</v>
      </c>
      <c r="L142" s="214">
        <f t="shared" si="441"/>
        <v>234203.83999999997</v>
      </c>
      <c r="M142" s="214">
        <f t="shared" si="442"/>
        <v>195875</v>
      </c>
      <c r="N142" s="222"/>
      <c r="O142" s="222"/>
      <c r="P142" s="222"/>
      <c r="Q142" s="214">
        <f t="shared" si="443"/>
        <v>577796.16</v>
      </c>
      <c r="R142" s="214">
        <f t="shared" si="444"/>
        <v>746125</v>
      </c>
      <c r="S142" s="214">
        <f t="shared" si="445"/>
        <v>92504.31133004927</v>
      </c>
      <c r="T142" s="273" t="s">
        <v>510</v>
      </c>
      <c r="U142" s="273"/>
      <c r="V142" s="57" t="str">
        <f t="shared" si="412"/>
        <v>.</v>
      </c>
      <c r="Y142" s="311">
        <v>0</v>
      </c>
      <c r="Z142" s="192">
        <f t="shared" si="437"/>
        <v>92504.31133004927</v>
      </c>
      <c r="AA142" t="str">
        <f t="shared" si="438"/>
        <v>-</v>
      </c>
      <c r="AB142" t="str">
        <f t="shared" si="439"/>
        <v>-</v>
      </c>
      <c r="AC142" s="523"/>
      <c r="AD142" s="34"/>
      <c r="AF142" s="64"/>
      <c r="AG142" s="64"/>
      <c r="AH142" s="64"/>
      <c r="AI142" s="217"/>
      <c r="AJ142" s="98"/>
      <c r="AK142" s="98"/>
      <c r="AL142" s="98"/>
      <c r="AM142" s="98"/>
      <c r="AN142" s="98"/>
      <c r="AO142" s="222"/>
      <c r="AP142" s="129"/>
    </row>
    <row r="143" spans="1:42" ht="13.5" customHeight="1">
      <c r="A143" s="258">
        <v>54.940600000000003</v>
      </c>
      <c r="B143" s="57" t="s">
        <v>715</v>
      </c>
      <c r="C143" s="163">
        <v>1120.6500000000001</v>
      </c>
      <c r="D143" s="354">
        <f t="shared" si="374"/>
        <v>1120.6500000000001</v>
      </c>
      <c r="E143" s="149">
        <v>0</v>
      </c>
      <c r="F143" s="163">
        <v>1120.6500000000001</v>
      </c>
      <c r="G143" s="217">
        <f t="shared" si="375"/>
        <v>1</v>
      </c>
      <c r="H143" s="149">
        <v>0</v>
      </c>
      <c r="I143" s="214">
        <f t="shared" si="376"/>
        <v>1120.6500000000001</v>
      </c>
      <c r="J143" s="149">
        <v>0</v>
      </c>
      <c r="K143" s="214">
        <f t="shared" ref="K143:K152" si="446">J143-I143</f>
        <v>-1120.6500000000001</v>
      </c>
      <c r="L143" s="214">
        <f t="shared" ref="L143:L152" si="447">+D143-F143</f>
        <v>0</v>
      </c>
      <c r="M143" s="214">
        <f t="shared" ref="M143:M152" si="448">+C143-J143</f>
        <v>1120.6500000000001</v>
      </c>
      <c r="N143" s="222"/>
      <c r="O143" s="222"/>
      <c r="P143" s="222"/>
      <c r="Q143" s="214">
        <f t="shared" ref="Q143:Q152" si="449">F143-N143</f>
        <v>1120.6500000000001</v>
      </c>
      <c r="R143" s="214">
        <f t="shared" ref="R143:R152" si="450">+J143-O143</f>
        <v>0</v>
      </c>
      <c r="S143" s="214">
        <f t="shared" ref="S143:S152" si="451">+H143-P143</f>
        <v>0</v>
      </c>
      <c r="T143" s="273" t="s">
        <v>510</v>
      </c>
      <c r="U143" s="273"/>
      <c r="V143" s="57" t="str">
        <f t="shared" si="412"/>
        <v>&lt; 250k</v>
      </c>
      <c r="Z143" s="192">
        <f t="shared" si="437"/>
        <v>0</v>
      </c>
      <c r="AA143" t="str">
        <f t="shared" si="438"/>
        <v>-</v>
      </c>
      <c r="AB143" t="str">
        <f t="shared" si="439"/>
        <v>-</v>
      </c>
      <c r="AC143" s="523"/>
      <c r="AD143" s="34"/>
      <c r="AF143" s="64"/>
      <c r="AG143" s="64"/>
      <c r="AH143" s="64"/>
      <c r="AI143" s="217"/>
      <c r="AJ143" s="98"/>
      <c r="AK143" s="98"/>
      <c r="AL143" s="98"/>
      <c r="AM143" s="98"/>
      <c r="AN143" s="98"/>
      <c r="AO143" s="222"/>
      <c r="AP143" s="129"/>
    </row>
    <row r="144" spans="1:42" ht="13.5" customHeight="1">
      <c r="A144" s="258">
        <v>54.940800000000003</v>
      </c>
      <c r="B144" s="57" t="s">
        <v>693</v>
      </c>
      <c r="C144" s="163">
        <v>3777777</v>
      </c>
      <c r="D144" s="354">
        <f t="shared" si="374"/>
        <v>3537185</v>
      </c>
      <c r="E144" s="149">
        <v>240592</v>
      </c>
      <c r="F144" s="163">
        <v>41652.43</v>
      </c>
      <c r="G144" s="217">
        <f t="shared" si="375"/>
        <v>1.1775587084079572E-2</v>
      </c>
      <c r="H144" s="149">
        <v>0</v>
      </c>
      <c r="I144" s="214">
        <f t="shared" si="376"/>
        <v>41652.43</v>
      </c>
      <c r="J144" s="149">
        <v>0</v>
      </c>
      <c r="K144" s="214">
        <f t="shared" si="446"/>
        <v>-41652.43</v>
      </c>
      <c r="L144" s="214">
        <f t="shared" si="447"/>
        <v>3495532.57</v>
      </c>
      <c r="M144" s="214">
        <f t="shared" si="448"/>
        <v>3777777</v>
      </c>
      <c r="N144" s="222"/>
      <c r="O144" s="222"/>
      <c r="P144" s="222"/>
      <c r="Q144" s="214">
        <f t="shared" si="449"/>
        <v>41652.43</v>
      </c>
      <c r="R144" s="214">
        <f t="shared" si="450"/>
        <v>0</v>
      </c>
      <c r="S144" s="214">
        <f t="shared" si="451"/>
        <v>0</v>
      </c>
      <c r="T144" s="273" t="s">
        <v>510</v>
      </c>
      <c r="U144" s="273"/>
      <c r="V144" s="57" t="str">
        <f t="shared" si="412"/>
        <v>.</v>
      </c>
      <c r="Y144" s="311">
        <v>0</v>
      </c>
      <c r="Z144" s="192">
        <f t="shared" si="437"/>
        <v>0</v>
      </c>
      <c r="AA144" t="str">
        <f t="shared" si="438"/>
        <v>-</v>
      </c>
      <c r="AB144" t="str">
        <f t="shared" si="439"/>
        <v>-</v>
      </c>
      <c r="AC144" s="523"/>
      <c r="AD144" s="34"/>
      <c r="AF144" s="64"/>
      <c r="AG144" s="64"/>
      <c r="AH144" s="64"/>
      <c r="AI144" s="217"/>
      <c r="AJ144" s="98"/>
      <c r="AK144" s="98"/>
      <c r="AL144" s="98"/>
      <c r="AM144" s="98"/>
      <c r="AN144" s="98"/>
      <c r="AO144" s="222"/>
      <c r="AP144" s="129"/>
    </row>
    <row r="145" spans="1:42" ht="13.5" customHeight="1">
      <c r="A145" s="258">
        <v>54.941099999999999</v>
      </c>
      <c r="B145" s="57" t="s">
        <v>694</v>
      </c>
      <c r="C145" s="163">
        <v>103300</v>
      </c>
      <c r="D145" s="354">
        <f t="shared" si="374"/>
        <v>78300</v>
      </c>
      <c r="E145" s="149">
        <v>25000</v>
      </c>
      <c r="F145" s="163">
        <v>71370.850000000006</v>
      </c>
      <c r="G145" s="217">
        <f t="shared" si="375"/>
        <v>0.91150510855683275</v>
      </c>
      <c r="H145" s="149">
        <v>22787.627713920818</v>
      </c>
      <c r="I145" s="214">
        <f t="shared" si="376"/>
        <v>94158.477713920816</v>
      </c>
      <c r="J145" s="149">
        <v>103000</v>
      </c>
      <c r="K145" s="214">
        <f t="shared" si="446"/>
        <v>8841.5222860791837</v>
      </c>
      <c r="L145" s="214">
        <f t="shared" si="447"/>
        <v>6929.1499999999942</v>
      </c>
      <c r="M145" s="214">
        <f t="shared" si="448"/>
        <v>300</v>
      </c>
      <c r="N145" s="222"/>
      <c r="O145" s="222"/>
      <c r="P145" s="222"/>
      <c r="Q145" s="214">
        <f t="shared" si="449"/>
        <v>71370.850000000006</v>
      </c>
      <c r="R145" s="214">
        <f t="shared" si="450"/>
        <v>103000</v>
      </c>
      <c r="S145" s="214">
        <f t="shared" si="451"/>
        <v>22787.627713920818</v>
      </c>
      <c r="T145" s="273" t="s">
        <v>510</v>
      </c>
      <c r="U145" s="273"/>
      <c r="V145" s="57" t="str">
        <f t="shared" si="412"/>
        <v>&lt; 250k</v>
      </c>
      <c r="Y145" s="311">
        <v>22875.272435897437</v>
      </c>
      <c r="Z145" s="192">
        <f t="shared" si="437"/>
        <v>-87.644721976619621</v>
      </c>
      <c r="AA145" t="str">
        <f t="shared" si="438"/>
        <v>-</v>
      </c>
      <c r="AB145" t="str">
        <f t="shared" si="439"/>
        <v>-</v>
      </c>
      <c r="AC145" s="523"/>
      <c r="AD145" s="34"/>
      <c r="AF145" s="64"/>
      <c r="AG145" s="64"/>
      <c r="AH145" s="64"/>
      <c r="AI145" s="217"/>
      <c r="AJ145" s="98"/>
      <c r="AK145" s="98"/>
      <c r="AL145" s="98"/>
      <c r="AM145" s="98"/>
      <c r="AN145" s="98"/>
      <c r="AO145" s="222"/>
      <c r="AP145" s="129"/>
    </row>
    <row r="146" spans="1:42" ht="13.5" customHeight="1">
      <c r="A146" s="258">
        <v>54.941200000000002</v>
      </c>
      <c r="B146" s="57" t="s">
        <v>695</v>
      </c>
      <c r="C146" s="163">
        <v>116752.04</v>
      </c>
      <c r="D146" s="354">
        <f t="shared" si="374"/>
        <v>115708.88</v>
      </c>
      <c r="E146" s="149">
        <v>1043.1599999999889</v>
      </c>
      <c r="F146" s="163">
        <v>115708.88</v>
      </c>
      <c r="G146" s="217">
        <f t="shared" si="375"/>
        <v>1</v>
      </c>
      <c r="H146" s="149">
        <v>1043.1599999999889</v>
      </c>
      <c r="I146" s="214">
        <f t="shared" si="376"/>
        <v>116752.04</v>
      </c>
      <c r="J146" s="149">
        <v>116752.04</v>
      </c>
      <c r="K146" s="214">
        <f t="shared" si="446"/>
        <v>0</v>
      </c>
      <c r="L146" s="214">
        <f t="shared" si="447"/>
        <v>0</v>
      </c>
      <c r="M146" s="214">
        <f t="shared" si="448"/>
        <v>0</v>
      </c>
      <c r="N146" s="222"/>
      <c r="O146" s="222"/>
      <c r="P146" s="222"/>
      <c r="Q146" s="214">
        <f t="shared" si="449"/>
        <v>115708.88</v>
      </c>
      <c r="R146" s="214">
        <f t="shared" si="450"/>
        <v>116752.04</v>
      </c>
      <c r="S146" s="214">
        <f t="shared" si="451"/>
        <v>1043.1599999999889</v>
      </c>
      <c r="T146" s="273" t="s">
        <v>510</v>
      </c>
      <c r="U146" s="273"/>
      <c r="V146" s="57" t="str">
        <f t="shared" si="412"/>
        <v>&lt; 250k</v>
      </c>
      <c r="Y146" s="311">
        <v>5212.8916216216221</v>
      </c>
      <c r="Z146" s="192">
        <f t="shared" si="437"/>
        <v>-4169.7316216216332</v>
      </c>
      <c r="AA146" t="str">
        <f t="shared" si="438"/>
        <v>-</v>
      </c>
      <c r="AB146" t="str">
        <f t="shared" si="439"/>
        <v>-</v>
      </c>
      <c r="AC146" s="523"/>
      <c r="AD146" s="34"/>
      <c r="AF146" s="64"/>
      <c r="AG146" s="64"/>
      <c r="AH146" s="64"/>
      <c r="AI146" s="217"/>
      <c r="AJ146" s="98"/>
      <c r="AK146" s="98"/>
      <c r="AL146" s="98"/>
      <c r="AM146" s="98"/>
      <c r="AN146" s="98"/>
      <c r="AO146" s="222"/>
      <c r="AP146" s="129"/>
    </row>
    <row r="147" spans="1:42" ht="13.5" customHeight="1">
      <c r="A147" s="258">
        <v>54.941299999999998</v>
      </c>
      <c r="B147" s="57" t="s">
        <v>696</v>
      </c>
      <c r="C147" s="163">
        <v>149366.82999999999</v>
      </c>
      <c r="D147" s="354">
        <f t="shared" si="374"/>
        <v>132138.74</v>
      </c>
      <c r="E147" s="149">
        <v>17228.089999999997</v>
      </c>
      <c r="F147" s="163">
        <v>132138.74</v>
      </c>
      <c r="G147" s="217">
        <f t="shared" si="375"/>
        <v>1</v>
      </c>
      <c r="H147" s="149">
        <v>17228.089999999997</v>
      </c>
      <c r="I147" s="214">
        <f t="shared" si="376"/>
        <v>149366.82999999999</v>
      </c>
      <c r="J147" s="149">
        <v>149366.82999999999</v>
      </c>
      <c r="K147" s="214">
        <f t="shared" si="446"/>
        <v>0</v>
      </c>
      <c r="L147" s="214">
        <f t="shared" si="447"/>
        <v>0</v>
      </c>
      <c r="M147" s="214">
        <f t="shared" si="448"/>
        <v>0</v>
      </c>
      <c r="N147" s="222"/>
      <c r="O147" s="222"/>
      <c r="P147" s="222"/>
      <c r="Q147" s="214">
        <f t="shared" si="449"/>
        <v>132138.74</v>
      </c>
      <c r="R147" s="214">
        <f t="shared" si="450"/>
        <v>149366.82999999999</v>
      </c>
      <c r="S147" s="214">
        <f t="shared" si="451"/>
        <v>17228.089999999997</v>
      </c>
      <c r="T147" s="273" t="s">
        <v>510</v>
      </c>
      <c r="U147" s="273"/>
      <c r="V147" s="57" t="str">
        <f t="shared" si="412"/>
        <v>&lt; 250k</v>
      </c>
      <c r="Y147" s="311">
        <v>9987.3860215053774</v>
      </c>
      <c r="Z147" s="192">
        <f t="shared" si="437"/>
        <v>7240.7039784946192</v>
      </c>
      <c r="AA147" t="str">
        <f t="shared" si="438"/>
        <v>-</v>
      </c>
      <c r="AB147" t="str">
        <f t="shared" si="439"/>
        <v>-</v>
      </c>
      <c r="AC147" s="523"/>
      <c r="AD147" s="34"/>
      <c r="AF147" s="64"/>
      <c r="AG147" s="64"/>
      <c r="AH147" s="64"/>
      <c r="AI147" s="217"/>
      <c r="AJ147" s="98"/>
      <c r="AK147" s="98"/>
      <c r="AL147" s="98"/>
      <c r="AM147" s="98"/>
      <c r="AN147" s="98"/>
      <c r="AO147" s="222"/>
      <c r="AP147" s="129"/>
    </row>
    <row r="148" spans="1:42" ht="13.5" customHeight="1">
      <c r="A148" s="258">
        <v>54.941400000000002</v>
      </c>
      <c r="B148" s="57" t="s">
        <v>700</v>
      </c>
      <c r="C148" s="163">
        <v>358674.83</v>
      </c>
      <c r="D148" s="354">
        <f t="shared" si="374"/>
        <v>338674.83</v>
      </c>
      <c r="E148" s="149">
        <v>20000</v>
      </c>
      <c r="F148" s="163">
        <v>337485.68</v>
      </c>
      <c r="G148" s="217">
        <f t="shared" si="375"/>
        <v>0.99648881494972619</v>
      </c>
      <c r="H148" s="149">
        <v>19929.776298994522</v>
      </c>
      <c r="I148" s="214">
        <f t="shared" si="376"/>
        <v>357415.45629899454</v>
      </c>
      <c r="J148" s="149">
        <v>0</v>
      </c>
      <c r="K148" s="214">
        <f t="shared" si="446"/>
        <v>-357415.45629899454</v>
      </c>
      <c r="L148" s="214">
        <f t="shared" si="447"/>
        <v>1189.1500000000233</v>
      </c>
      <c r="M148" s="214">
        <f t="shared" si="448"/>
        <v>358674.83</v>
      </c>
      <c r="N148" s="222"/>
      <c r="O148" s="222"/>
      <c r="P148" s="222"/>
      <c r="Q148" s="214">
        <f t="shared" si="449"/>
        <v>337485.68</v>
      </c>
      <c r="R148" s="214">
        <f t="shared" si="450"/>
        <v>0</v>
      </c>
      <c r="S148" s="214">
        <f t="shared" si="451"/>
        <v>19929.776298994522</v>
      </c>
      <c r="T148" s="273" t="s">
        <v>510</v>
      </c>
      <c r="U148" s="273"/>
      <c r="V148" s="57" t="str">
        <f t="shared" si="412"/>
        <v>.</v>
      </c>
      <c r="Y148" s="311">
        <v>0</v>
      </c>
      <c r="Z148" s="192">
        <f t="shared" si="437"/>
        <v>19929.776298994522</v>
      </c>
      <c r="AA148" t="str">
        <f t="shared" si="438"/>
        <v>-</v>
      </c>
      <c r="AB148" t="str">
        <f t="shared" si="439"/>
        <v>-</v>
      </c>
      <c r="AC148" s="523"/>
      <c r="AD148" s="34"/>
      <c r="AF148" s="64"/>
      <c r="AG148" s="64"/>
      <c r="AH148" s="64"/>
      <c r="AI148" s="217"/>
      <c r="AJ148" s="98"/>
      <c r="AK148" s="98"/>
      <c r="AL148" s="98"/>
      <c r="AM148" s="98"/>
      <c r="AN148" s="98"/>
      <c r="AO148" s="222"/>
      <c r="AP148" s="129"/>
    </row>
    <row r="149" spans="1:42" ht="13.5" customHeight="1">
      <c r="A149" s="258">
        <v>54.941600000000001</v>
      </c>
      <c r="B149" s="57" t="s">
        <v>701</v>
      </c>
      <c r="C149" s="163">
        <v>1260000</v>
      </c>
      <c r="D149" s="354">
        <f t="shared" si="374"/>
        <v>1132398</v>
      </c>
      <c r="E149" s="149">
        <v>127602</v>
      </c>
      <c r="F149" s="163">
        <v>7257.82</v>
      </c>
      <c r="G149" s="217">
        <f t="shared" si="375"/>
        <v>6.4092483384816995E-3</v>
      </c>
      <c r="H149" s="149">
        <v>0</v>
      </c>
      <c r="I149" s="214">
        <f t="shared" si="376"/>
        <v>7257.82</v>
      </c>
      <c r="J149" s="149">
        <v>0</v>
      </c>
      <c r="K149" s="214">
        <f t="shared" si="446"/>
        <v>-7257.82</v>
      </c>
      <c r="L149" s="214">
        <f t="shared" si="447"/>
        <v>1125140.18</v>
      </c>
      <c r="M149" s="214">
        <f t="shared" si="448"/>
        <v>1260000</v>
      </c>
      <c r="N149" s="222"/>
      <c r="O149" s="222"/>
      <c r="P149" s="222"/>
      <c r="Q149" s="214">
        <f t="shared" si="449"/>
        <v>7257.82</v>
      </c>
      <c r="R149" s="214">
        <f t="shared" si="450"/>
        <v>0</v>
      </c>
      <c r="S149" s="214">
        <f t="shared" si="451"/>
        <v>0</v>
      </c>
      <c r="T149" s="273" t="s">
        <v>510</v>
      </c>
      <c r="U149" s="273"/>
      <c r="V149" s="57" t="str">
        <f t="shared" si="412"/>
        <v>.</v>
      </c>
      <c r="Y149" s="311">
        <v>0</v>
      </c>
      <c r="Z149" s="192">
        <f t="shared" si="437"/>
        <v>0</v>
      </c>
      <c r="AA149" t="str">
        <f t="shared" si="438"/>
        <v>-</v>
      </c>
      <c r="AB149" t="str">
        <f t="shared" si="439"/>
        <v>-</v>
      </c>
      <c r="AC149" s="523"/>
      <c r="AD149" s="34"/>
      <c r="AF149" s="64"/>
      <c r="AG149" s="64"/>
      <c r="AH149" s="64"/>
      <c r="AI149" s="217"/>
      <c r="AJ149" s="98"/>
      <c r="AK149" s="98"/>
      <c r="AL149" s="98"/>
      <c r="AM149" s="98"/>
      <c r="AN149" s="98"/>
      <c r="AO149" s="222"/>
      <c r="AP149" s="129"/>
    </row>
    <row r="150" spans="1:42" ht="13.5" customHeight="1">
      <c r="A150" s="258">
        <v>54.941699999999997</v>
      </c>
      <c r="B150" s="57" t="s">
        <v>714</v>
      </c>
      <c r="C150" s="163">
        <v>48439</v>
      </c>
      <c r="D150" s="354">
        <f t="shared" si="374"/>
        <v>42893</v>
      </c>
      <c r="E150" s="149">
        <v>5546</v>
      </c>
      <c r="F150" s="163">
        <v>2299.41</v>
      </c>
      <c r="G150" s="217">
        <f t="shared" si="375"/>
        <v>5.3608047933229194E-2</v>
      </c>
      <c r="H150" s="149">
        <v>0</v>
      </c>
      <c r="I150" s="214">
        <f t="shared" si="376"/>
        <v>2299.41</v>
      </c>
      <c r="J150" s="149">
        <v>0</v>
      </c>
      <c r="K150" s="214">
        <f t="shared" si="446"/>
        <v>-2299.41</v>
      </c>
      <c r="L150" s="214">
        <f t="shared" si="447"/>
        <v>40593.589999999997</v>
      </c>
      <c r="M150" s="214">
        <f t="shared" si="448"/>
        <v>48439</v>
      </c>
      <c r="N150" s="222"/>
      <c r="O150" s="222"/>
      <c r="P150" s="222"/>
      <c r="Q150" s="214">
        <f t="shared" si="449"/>
        <v>2299.41</v>
      </c>
      <c r="R150" s="214">
        <f t="shared" si="450"/>
        <v>0</v>
      </c>
      <c r="S150" s="214">
        <f t="shared" si="451"/>
        <v>0</v>
      </c>
      <c r="T150" s="273" t="s">
        <v>510</v>
      </c>
      <c r="U150" s="273"/>
      <c r="V150" s="57" t="str">
        <f t="shared" si="412"/>
        <v>&lt; 250k</v>
      </c>
      <c r="Z150" s="192">
        <f t="shared" si="437"/>
        <v>0</v>
      </c>
      <c r="AA150" t="str">
        <f t="shared" si="438"/>
        <v>-</v>
      </c>
      <c r="AB150" t="str">
        <f t="shared" si="439"/>
        <v>-</v>
      </c>
      <c r="AC150" s="523"/>
      <c r="AD150" s="34"/>
      <c r="AF150" s="64"/>
      <c r="AG150" s="64"/>
      <c r="AH150" s="64"/>
      <c r="AI150" s="217"/>
      <c r="AJ150" s="98"/>
      <c r="AK150" s="98"/>
      <c r="AL150" s="98"/>
      <c r="AM150" s="98"/>
      <c r="AN150" s="98"/>
      <c r="AO150" s="222"/>
      <c r="AP150" s="129"/>
    </row>
    <row r="151" spans="1:42" ht="13.5" customHeight="1">
      <c r="A151" s="258">
        <v>54.941800000000001</v>
      </c>
      <c r="B151" s="57" t="s">
        <v>702</v>
      </c>
      <c r="C151" s="163">
        <v>15739</v>
      </c>
      <c r="D151" s="354">
        <f t="shared" si="374"/>
        <v>15739</v>
      </c>
      <c r="E151" s="149">
        <v>0</v>
      </c>
      <c r="F151" s="163">
        <v>15739</v>
      </c>
      <c r="G151" s="217">
        <f t="shared" si="375"/>
        <v>1</v>
      </c>
      <c r="H151" s="149">
        <v>0</v>
      </c>
      <c r="I151" s="214">
        <f t="shared" si="376"/>
        <v>15739</v>
      </c>
      <c r="J151" s="149">
        <v>0</v>
      </c>
      <c r="K151" s="214">
        <f t="shared" si="446"/>
        <v>-15739</v>
      </c>
      <c r="L151" s="214">
        <f t="shared" si="447"/>
        <v>0</v>
      </c>
      <c r="M151" s="214">
        <f t="shared" si="448"/>
        <v>15739</v>
      </c>
      <c r="N151" s="222"/>
      <c r="O151" s="222"/>
      <c r="P151" s="222"/>
      <c r="Q151" s="214">
        <f t="shared" si="449"/>
        <v>15739</v>
      </c>
      <c r="R151" s="214">
        <f t="shared" si="450"/>
        <v>0</v>
      </c>
      <c r="S151" s="214">
        <f t="shared" si="451"/>
        <v>0</v>
      </c>
      <c r="T151" s="273" t="s">
        <v>510</v>
      </c>
      <c r="U151" s="273"/>
      <c r="V151" s="57" t="str">
        <f t="shared" si="412"/>
        <v>&lt; 250k</v>
      </c>
      <c r="Y151" s="311">
        <v>0</v>
      </c>
      <c r="Z151" s="192">
        <f t="shared" si="437"/>
        <v>0</v>
      </c>
      <c r="AA151" t="str">
        <f t="shared" si="438"/>
        <v>-</v>
      </c>
      <c r="AB151" t="str">
        <f t="shared" si="439"/>
        <v>-</v>
      </c>
      <c r="AC151" s="523"/>
      <c r="AD151" s="34"/>
      <c r="AF151" s="64"/>
      <c r="AG151" s="64"/>
      <c r="AH151" s="64"/>
      <c r="AI151" s="217"/>
      <c r="AJ151" s="98"/>
      <c r="AK151" s="98"/>
      <c r="AL151" s="98"/>
      <c r="AM151" s="98"/>
      <c r="AN151" s="98"/>
      <c r="AO151" s="222"/>
      <c r="AP151" s="129"/>
    </row>
    <row r="152" spans="1:42" ht="13.5" customHeight="1">
      <c r="A152" s="258">
        <v>54.942100000000003</v>
      </c>
      <c r="B152" s="57" t="s">
        <v>713</v>
      </c>
      <c r="C152" s="163">
        <v>3703.18</v>
      </c>
      <c r="D152" s="354">
        <f t="shared" si="374"/>
        <v>3703.18</v>
      </c>
      <c r="E152" s="149">
        <v>0</v>
      </c>
      <c r="F152" s="163">
        <v>3703.18</v>
      </c>
      <c r="G152" s="217">
        <f t="shared" si="375"/>
        <v>1</v>
      </c>
      <c r="H152" s="149">
        <v>0</v>
      </c>
      <c r="I152" s="214">
        <f t="shared" si="376"/>
        <v>3703.18</v>
      </c>
      <c r="J152" s="149">
        <v>0</v>
      </c>
      <c r="K152" s="214">
        <f t="shared" si="446"/>
        <v>-3703.18</v>
      </c>
      <c r="L152" s="214">
        <f t="shared" si="447"/>
        <v>0</v>
      </c>
      <c r="M152" s="214">
        <f t="shared" si="448"/>
        <v>3703.18</v>
      </c>
      <c r="N152" s="222"/>
      <c r="O152" s="222"/>
      <c r="P152" s="222"/>
      <c r="Q152" s="214">
        <f t="shared" si="449"/>
        <v>3703.18</v>
      </c>
      <c r="R152" s="214">
        <f t="shared" si="450"/>
        <v>0</v>
      </c>
      <c r="S152" s="214">
        <f t="shared" si="451"/>
        <v>0</v>
      </c>
      <c r="T152" s="273" t="s">
        <v>510</v>
      </c>
      <c r="U152" s="273"/>
      <c r="V152" s="57" t="str">
        <f t="shared" si="412"/>
        <v>&lt; 250k</v>
      </c>
      <c r="Z152" s="192">
        <f t="shared" si="437"/>
        <v>0</v>
      </c>
      <c r="AA152" t="str">
        <f t="shared" si="438"/>
        <v>-</v>
      </c>
      <c r="AB152" t="str">
        <f t="shared" si="439"/>
        <v>-</v>
      </c>
      <c r="AC152" s="523"/>
      <c r="AD152" s="34"/>
      <c r="AF152" s="64"/>
      <c r="AG152" s="64"/>
      <c r="AH152" s="64"/>
      <c r="AI152" s="217"/>
      <c r="AJ152" s="98"/>
      <c r="AK152" s="98"/>
      <c r="AL152" s="98"/>
      <c r="AM152" s="98"/>
      <c r="AN152" s="98"/>
      <c r="AO152" s="222"/>
      <c r="AP152" s="129"/>
    </row>
    <row r="153" spans="1:42" ht="13.5" hidden="1" customHeight="1">
      <c r="A153" s="258"/>
      <c r="B153" s="57"/>
      <c r="C153" s="163"/>
      <c r="D153" s="354"/>
      <c r="E153" s="149"/>
      <c r="F153" s="163"/>
      <c r="G153" s="217"/>
      <c r="H153" s="149"/>
      <c r="I153" s="214"/>
      <c r="J153" s="149"/>
      <c r="K153" s="214"/>
      <c r="L153" s="214"/>
      <c r="M153" s="214"/>
      <c r="N153" s="222"/>
      <c r="O153" s="222"/>
      <c r="P153" s="222"/>
      <c r="Q153" s="214"/>
      <c r="R153" s="214"/>
      <c r="S153" s="214"/>
      <c r="T153" s="273"/>
      <c r="U153" s="273"/>
      <c r="V153" s="57"/>
      <c r="Z153" s="192">
        <f t="shared" ref="Z153" si="452">S153-Y153</f>
        <v>0</v>
      </c>
      <c r="AA153" t="str">
        <f t="shared" ref="AA153" si="453">IF(L153&lt;0,"CHECK","-")</f>
        <v>-</v>
      </c>
      <c r="AB153" t="str">
        <f t="shared" ref="AB153" si="454">IF(M153&lt;0,"CHECK","-")</f>
        <v>-</v>
      </c>
      <c r="AC153" s="523"/>
      <c r="AD153" s="34"/>
      <c r="AF153" s="64"/>
      <c r="AG153" s="64"/>
      <c r="AH153" s="64"/>
      <c r="AI153" s="217"/>
      <c r="AJ153" s="98"/>
      <c r="AK153" s="98"/>
      <c r="AL153" s="98"/>
      <c r="AM153" s="98"/>
      <c r="AN153" s="98"/>
      <c r="AO153" s="222"/>
      <c r="AP153" s="129"/>
    </row>
    <row r="154" spans="1:42" s="85" customFormat="1" ht="13.5" customHeight="1">
      <c r="A154" s="176" t="s">
        <v>336</v>
      </c>
      <c r="C154" s="355">
        <f>SUM(C120:C153)</f>
        <v>107445536.59</v>
      </c>
      <c r="D154" s="355">
        <f>SUM(D120:D153)</f>
        <v>98595644.99000001</v>
      </c>
      <c r="E154" s="355">
        <f>SUM(E120:E153)</f>
        <v>8849891.5999999996</v>
      </c>
      <c r="F154" s="355">
        <f>SUM(F120:F153)</f>
        <v>46923257.49000001</v>
      </c>
      <c r="G154" s="193"/>
      <c r="H154" s="355">
        <f t="shared" ref="H154:S154" si="455">SUM(H120:H153)</f>
        <v>4051564.7525865901</v>
      </c>
      <c r="I154" s="355">
        <f t="shared" si="455"/>
        <v>50974822.242586583</v>
      </c>
      <c r="J154" s="355">
        <f t="shared" si="455"/>
        <v>50310970.710000001</v>
      </c>
      <c r="K154" s="355">
        <f t="shared" si="455"/>
        <v>-663851.53258658864</v>
      </c>
      <c r="L154" s="355">
        <f t="shared" si="455"/>
        <v>51672387.500000007</v>
      </c>
      <c r="M154" s="355">
        <f t="shared" si="455"/>
        <v>57134565.880000003</v>
      </c>
      <c r="N154" s="355">
        <f t="shared" si="455"/>
        <v>13793631.719999999</v>
      </c>
      <c r="O154" s="355">
        <f t="shared" si="455"/>
        <v>13358693.09</v>
      </c>
      <c r="P154" s="355">
        <f t="shared" si="455"/>
        <v>912266.22808157455</v>
      </c>
      <c r="Q154" s="355">
        <f t="shared" si="455"/>
        <v>33129625.769999992</v>
      </c>
      <c r="R154" s="355">
        <f t="shared" si="455"/>
        <v>36952277.619999997</v>
      </c>
      <c r="S154" s="355">
        <f t="shared" si="455"/>
        <v>3139298.5245050155</v>
      </c>
      <c r="T154" s="194"/>
      <c r="U154" s="118"/>
      <c r="V154" s="57"/>
      <c r="W154" s="282"/>
      <c r="X154" s="291"/>
      <c r="Y154" s="311">
        <v>815171.66640090698</v>
      </c>
      <c r="Z154" s="192">
        <f t="shared" si="323"/>
        <v>2324126.8581041084</v>
      </c>
      <c r="AA154" t="str">
        <f t="shared" si="324"/>
        <v>-</v>
      </c>
      <c r="AB154" t="str">
        <f t="shared" si="325"/>
        <v>-</v>
      </c>
      <c r="AD154" s="34">
        <f>C154-GAAP!C154</f>
        <v>21189.149999991059</v>
      </c>
      <c r="AF154" s="177">
        <f>SUM(AF120:AF135)</f>
        <v>90090635.739999995</v>
      </c>
      <c r="AG154" s="177">
        <f>SUM(AG120:AG135)</f>
        <v>82393409.620000005</v>
      </c>
      <c r="AH154" s="177">
        <f>SUM(AH120:AH135)</f>
        <v>7697226.1200000001</v>
      </c>
      <c r="AI154" s="177"/>
      <c r="AJ154" s="177">
        <f t="shared" ref="AJ154:AP154" si="456">SUM(AJ120:AJ135)</f>
        <v>3877351.1820711573</v>
      </c>
      <c r="AK154" s="177">
        <f t="shared" si="456"/>
        <v>44059943.742071152</v>
      </c>
      <c r="AL154" s="177">
        <f t="shared" si="456"/>
        <v>16970.147928844177</v>
      </c>
      <c r="AM154" s="177">
        <f t="shared" si="456"/>
        <v>42210817.060000002</v>
      </c>
      <c r="AN154" s="177">
        <f t="shared" si="456"/>
        <v>46013721.850000001</v>
      </c>
      <c r="AO154" s="177" t="e">
        <f t="shared" si="456"/>
        <v>#REF!</v>
      </c>
      <c r="AP154" s="177" t="e">
        <f t="shared" si="456"/>
        <v>#REF!</v>
      </c>
    </row>
    <row r="155" spans="1:42" s="57" customFormat="1" ht="10.5" customHeight="1">
      <c r="A155" s="66"/>
      <c r="C155" s="221"/>
      <c r="D155" s="221"/>
      <c r="E155" s="221"/>
      <c r="F155" s="221"/>
      <c r="G155" s="221"/>
      <c r="H155" s="221"/>
      <c r="I155" s="221"/>
      <c r="J155" s="221"/>
      <c r="K155" s="221"/>
      <c r="L155" s="221"/>
      <c r="M155" s="221"/>
      <c r="N155" s="221"/>
      <c r="O155" s="221"/>
      <c r="P155" s="221"/>
      <c r="Q155" s="221"/>
      <c r="R155" s="221"/>
      <c r="S155" s="221"/>
      <c r="T155" s="149"/>
      <c r="U155" s="185"/>
      <c r="W155" s="288"/>
      <c r="X155" s="289"/>
      <c r="Y155" s="311"/>
      <c r="Z155" s="192">
        <f t="shared" si="323"/>
        <v>0</v>
      </c>
      <c r="AA155" t="str">
        <f t="shared" si="324"/>
        <v>-</v>
      </c>
      <c r="AB155" t="str">
        <f t="shared" si="325"/>
        <v>-</v>
      </c>
      <c r="AD155" s="34">
        <f>C155-GAAP!C155</f>
        <v>0</v>
      </c>
    </row>
    <row r="156" spans="1:42" s="57" customFormat="1" ht="13.5" customHeight="1">
      <c r="A156" s="80" t="s">
        <v>337</v>
      </c>
      <c r="C156" s="221"/>
      <c r="D156" s="221"/>
      <c r="E156" s="221"/>
      <c r="F156" s="221"/>
      <c r="G156" s="221"/>
      <c r="H156" s="221"/>
      <c r="I156" s="221"/>
      <c r="J156" s="221"/>
      <c r="K156" s="221"/>
      <c r="L156" s="221"/>
      <c r="M156" s="221"/>
      <c r="N156" s="221"/>
      <c r="O156" s="221"/>
      <c r="P156" s="221"/>
      <c r="Q156" s="221"/>
      <c r="R156" s="221"/>
      <c r="S156" s="221"/>
      <c r="T156" s="185"/>
      <c r="U156" s="185"/>
      <c r="W156" s="288"/>
      <c r="X156" s="289"/>
      <c r="Y156" s="311"/>
      <c r="Z156" s="192">
        <f t="shared" si="323"/>
        <v>0</v>
      </c>
      <c r="AA156" t="str">
        <f t="shared" si="324"/>
        <v>-</v>
      </c>
      <c r="AB156" t="str">
        <f t="shared" si="325"/>
        <v>-</v>
      </c>
      <c r="AD156" s="34">
        <f>C156-GAAP!C156</f>
        <v>0</v>
      </c>
    </row>
    <row r="157" spans="1:42" ht="13.5" customHeight="1">
      <c r="A157" s="267">
        <v>54.9099</v>
      </c>
      <c r="B157" s="57" t="s">
        <v>185</v>
      </c>
      <c r="C157" s="163">
        <v>55712110</v>
      </c>
      <c r="D157" s="354">
        <f t="shared" ref="D157" si="457">+C157-E157</f>
        <v>45328892.68</v>
      </c>
      <c r="E157" s="163">
        <v>10383217.32</v>
      </c>
      <c r="F157" s="163">
        <v>45328892.68</v>
      </c>
      <c r="G157" s="217">
        <f t="shared" ref="G157" si="458">IF(D157&lt;&gt;0,+F157/D157,0)</f>
        <v>1</v>
      </c>
      <c r="H157" s="149">
        <v>10383217.32</v>
      </c>
      <c r="I157" s="214">
        <f t="shared" ref="I157" si="459">+F157+H157</f>
        <v>55712110</v>
      </c>
      <c r="J157" s="149">
        <v>55712110</v>
      </c>
      <c r="K157" s="214">
        <f t="shared" ref="K157" si="460">J157-I157</f>
        <v>0</v>
      </c>
      <c r="L157" s="214">
        <f t="shared" ref="L157" si="461">+D157-F157</f>
        <v>0</v>
      </c>
      <c r="M157" s="214">
        <f t="shared" ref="M157" si="462">+C157-J157</f>
        <v>0</v>
      </c>
      <c r="N157" s="222">
        <v>45063061.289999999</v>
      </c>
      <c r="O157" s="222">
        <v>55369229</v>
      </c>
      <c r="P157" s="222">
        <v>10372751.581458578</v>
      </c>
      <c r="Q157" s="214">
        <f t="shared" ref="Q157" si="463">F157-N157</f>
        <v>265831.3900000006</v>
      </c>
      <c r="R157" s="214">
        <f t="shared" ref="R157" si="464">+J157-O157</f>
        <v>342881</v>
      </c>
      <c r="S157" s="214">
        <f t="shared" ref="S157" si="465">+H157-P157</f>
        <v>10465.738541422412</v>
      </c>
      <c r="T157" s="185" t="s">
        <v>183</v>
      </c>
      <c r="U157" s="273" t="s">
        <v>510</v>
      </c>
      <c r="V157" s="57" t="str">
        <f t="shared" ref="V157" si="466">IF(C157&lt;250000, "&lt; 250k",".")</f>
        <v>.</v>
      </c>
      <c r="W157" s="282">
        <v>10372751.581458578</v>
      </c>
      <c r="Y157" s="311">
        <v>0</v>
      </c>
      <c r="Z157" s="192">
        <f t="shared" ref="Z157" si="467">S157-Y157</f>
        <v>10465.738541422412</v>
      </c>
      <c r="AA157" t="str">
        <f t="shared" ref="AA157" si="468">IF(L157&lt;0,"CHECK","-")</f>
        <v>-</v>
      </c>
      <c r="AB157" t="str">
        <f t="shared" ref="AB157" si="469">IF(M157&lt;0,"CHECK","-")</f>
        <v>-</v>
      </c>
      <c r="AC157" s="523"/>
      <c r="AD157" s="34">
        <f>C157-GAAP!C159</f>
        <v>53239945.950000003</v>
      </c>
      <c r="AF157" s="64">
        <f t="shared" ref="AF157" si="470">C157</f>
        <v>55712110</v>
      </c>
      <c r="AG157" s="64">
        <f t="shared" ref="AG157" si="471">D157</f>
        <v>45328892.68</v>
      </c>
      <c r="AH157" s="64">
        <f t="shared" ref="AH157" si="472">E157</f>
        <v>10383217.32</v>
      </c>
      <c r="AI157" s="217">
        <f t="shared" ref="AI157" si="473">IF(AG157&lt;&gt;0,+F157/AG157,0)</f>
        <v>1</v>
      </c>
      <c r="AJ157" s="98">
        <f t="shared" ref="AJ157" si="474">IF(AH157&lt;=0,AH157,IF(G157&lt;0.1,0,IF(G157&lt;=1,G157*AH157,AH157)))</f>
        <v>10383217.32</v>
      </c>
      <c r="AK157" s="98">
        <f t="shared" ref="AK157" si="475">+F157+AJ157</f>
        <v>55712110</v>
      </c>
      <c r="AL157" s="98">
        <f t="shared" ref="AL157" si="476">J157-AK157</f>
        <v>0</v>
      </c>
      <c r="AM157" s="98">
        <f t="shared" ref="AM157" si="477">+AG157-F157</f>
        <v>0</v>
      </c>
      <c r="AN157" s="98">
        <f t="shared" ref="AN157" si="478">+AF157-J157</f>
        <v>0</v>
      </c>
      <c r="AO157" s="222">
        <f>GAAP!P159</f>
        <v>140849.75354732186</v>
      </c>
      <c r="AP157" s="129">
        <f t="shared" ref="AP157" si="479">AJ157-AO157</f>
        <v>10242367.566452678</v>
      </c>
    </row>
    <row r="158" spans="1:42" ht="13.5" customHeight="1">
      <c r="A158" s="267">
        <v>54.917200000000001</v>
      </c>
      <c r="B158" s="57" t="s">
        <v>207</v>
      </c>
      <c r="C158" s="163">
        <v>24160002.440000001</v>
      </c>
      <c r="D158" s="354">
        <f t="shared" ref="D158:D213" si="480">+C158-E158</f>
        <v>21018432.220000003</v>
      </c>
      <c r="E158" s="163">
        <v>3141570.2199999988</v>
      </c>
      <c r="F158" s="163">
        <v>21018432.220000003</v>
      </c>
      <c r="G158" s="217">
        <f t="shared" ref="G158:G213" si="481">IF(D158&lt;&gt;0,+F158/D158,0)</f>
        <v>1</v>
      </c>
      <c r="H158" s="149">
        <v>3141570.2199999988</v>
      </c>
      <c r="I158" s="214">
        <f t="shared" ref="I158:I213" si="482">+F158+H158</f>
        <v>24160002.440000001</v>
      </c>
      <c r="J158" s="149">
        <v>24160002.440000001</v>
      </c>
      <c r="K158" s="214">
        <f t="shared" ref="K158:K163" si="483">J158-I158</f>
        <v>0</v>
      </c>
      <c r="L158" s="214">
        <f t="shared" ref="L158:L162" si="484">+D158-F158</f>
        <v>0</v>
      </c>
      <c r="M158" s="214">
        <f t="shared" ref="M158:M163" si="485">+C158-J158</f>
        <v>0</v>
      </c>
      <c r="N158" s="222">
        <v>21046229.25</v>
      </c>
      <c r="O158" s="222">
        <v>24154131.07</v>
      </c>
      <c r="P158" s="222">
        <v>3076351.4491544566</v>
      </c>
      <c r="Q158" s="214">
        <f t="shared" ref="Q158:Q163" si="486">F158-N158</f>
        <v>-27797.029999997467</v>
      </c>
      <c r="R158" s="214">
        <f t="shared" ref="R158:R163" si="487">+J158-O158</f>
        <v>5871.3700000010431</v>
      </c>
      <c r="S158" s="214">
        <f t="shared" ref="S158:S163" si="488">+H158-P158</f>
        <v>65218.770845542196</v>
      </c>
      <c r="T158" s="185" t="s">
        <v>190</v>
      </c>
      <c r="U158" s="273" t="s">
        <v>510</v>
      </c>
      <c r="V158" s="57" t="s">
        <v>545</v>
      </c>
      <c r="W158" s="282">
        <v>3107901.8200000003</v>
      </c>
      <c r="Y158" s="311">
        <v>65218.770845542196</v>
      </c>
      <c r="Z158" s="192">
        <f t="shared" si="323"/>
        <v>0</v>
      </c>
      <c r="AA158" t="str">
        <f t="shared" si="324"/>
        <v>-</v>
      </c>
      <c r="AB158" t="str">
        <f t="shared" si="325"/>
        <v>-</v>
      </c>
      <c r="AC158" s="523"/>
      <c r="AD158" s="34">
        <v>0</v>
      </c>
      <c r="AF158" s="64">
        <f t="shared" ref="AF158:AF163" si="489">C158</f>
        <v>24160002.440000001</v>
      </c>
      <c r="AG158" s="64">
        <f t="shared" ref="AG158:AG163" si="490">D158</f>
        <v>21018432.220000003</v>
      </c>
      <c r="AH158" s="64">
        <f t="shared" ref="AH158:AH163" si="491">E158</f>
        <v>3141570.2199999988</v>
      </c>
      <c r="AI158" s="217">
        <f t="shared" ref="AI158:AI163" si="492">IF(AG158&lt;&gt;0,+F158/AG158,0)</f>
        <v>1</v>
      </c>
      <c r="AJ158" s="98">
        <f t="shared" ref="AJ158:AJ163" si="493">IF(AH158&lt;=0,AH158,IF(G158&lt;0.1,0,IF(G158&lt;=1,G158*AH158,AH158)))</f>
        <v>3141570.2199999988</v>
      </c>
      <c r="AK158" s="98">
        <f t="shared" ref="AK158:AK163" si="494">+F158+AJ158</f>
        <v>24160002.440000001</v>
      </c>
      <c r="AL158" s="98">
        <f t="shared" ref="AL158:AL163" si="495">J158-AK158</f>
        <v>0</v>
      </c>
      <c r="AM158" s="98">
        <f t="shared" ref="AM158:AM163" si="496">+AG158-F158</f>
        <v>0</v>
      </c>
      <c r="AN158" s="98">
        <f t="shared" ref="AN158:AN163" si="497">+AF158-J158</f>
        <v>0</v>
      </c>
      <c r="AO158" s="222">
        <f>GAAP!P158</f>
        <v>3107901.8200000003</v>
      </c>
      <c r="AP158" s="129">
        <f t="shared" ref="AP158:AP163" si="498">AJ158-AO158</f>
        <v>33668.39999999851</v>
      </c>
    </row>
    <row r="159" spans="1:42" ht="13.5" customHeight="1">
      <c r="A159" s="258">
        <v>54.921599999999998</v>
      </c>
      <c r="B159" s="57" t="s">
        <v>231</v>
      </c>
      <c r="C159" s="163">
        <v>2472164.0499999998</v>
      </c>
      <c r="D159" s="354">
        <f t="shared" si="480"/>
        <v>2286264.4300000002</v>
      </c>
      <c r="E159" s="163">
        <v>185899.61999999965</v>
      </c>
      <c r="F159" s="163">
        <v>2286264.4300000002</v>
      </c>
      <c r="G159" s="217">
        <f t="shared" si="481"/>
        <v>1</v>
      </c>
      <c r="H159" s="149">
        <v>185899.61999999965</v>
      </c>
      <c r="I159" s="214">
        <f t="shared" si="482"/>
        <v>2472164.0499999998</v>
      </c>
      <c r="J159" s="149">
        <v>2472164.0499999998</v>
      </c>
      <c r="K159" s="214">
        <f t="shared" si="483"/>
        <v>0</v>
      </c>
      <c r="L159" s="214">
        <f t="shared" si="484"/>
        <v>0</v>
      </c>
      <c r="M159" s="214">
        <f t="shared" si="485"/>
        <v>0</v>
      </c>
      <c r="N159" s="222">
        <v>2054298.05</v>
      </c>
      <c r="O159" s="222">
        <v>2312435</v>
      </c>
      <c r="P159" s="222">
        <v>140849.75354732186</v>
      </c>
      <c r="Q159" s="214">
        <f t="shared" si="486"/>
        <v>231966.38000000012</v>
      </c>
      <c r="R159" s="214">
        <f t="shared" si="487"/>
        <v>159729.04999999981</v>
      </c>
      <c r="S159" s="214">
        <f t="shared" si="488"/>
        <v>45049.866452677787</v>
      </c>
      <c r="T159" s="273" t="s">
        <v>227</v>
      </c>
      <c r="U159" s="273" t="s">
        <v>510</v>
      </c>
      <c r="V159" s="57" t="str">
        <f t="shared" ref="V159:V160" si="499">IF(C159&lt;250000, "&lt; 250k",".")</f>
        <v>.</v>
      </c>
      <c r="W159" s="282">
        <v>140849.75354732186</v>
      </c>
      <c r="Y159" s="311">
        <v>45246.596452677768</v>
      </c>
      <c r="Z159" s="192">
        <f t="shared" ref="Z159:Z160" si="500">S159-Y159</f>
        <v>-196.72999999998137</v>
      </c>
      <c r="AA159" t="str">
        <f t="shared" ref="AA159:AA160" si="501">IF(L159&lt;0,"CHECK","-")</f>
        <v>-</v>
      </c>
      <c r="AB159" t="str">
        <f t="shared" ref="AB159:AB160" si="502">IF(M159&lt;0,"CHECK","-")</f>
        <v>-</v>
      </c>
      <c r="AC159" s="523"/>
      <c r="AD159" s="34">
        <f>C159-GAAP!C164</f>
        <v>2467864.0499999998</v>
      </c>
      <c r="AF159" s="64">
        <f t="shared" si="489"/>
        <v>2472164.0499999998</v>
      </c>
      <c r="AG159" s="64">
        <f t="shared" si="490"/>
        <v>2286264.4300000002</v>
      </c>
      <c r="AH159" s="64">
        <f t="shared" si="491"/>
        <v>185899.61999999965</v>
      </c>
      <c r="AI159" s="217">
        <f t="shared" si="492"/>
        <v>1</v>
      </c>
      <c r="AJ159" s="98">
        <f t="shared" si="493"/>
        <v>185899.61999999965</v>
      </c>
      <c r="AK159" s="98">
        <f t="shared" si="494"/>
        <v>2472164.0499999998</v>
      </c>
      <c r="AL159" s="98">
        <f t="shared" si="495"/>
        <v>0</v>
      </c>
      <c r="AM159" s="98">
        <f t="shared" si="496"/>
        <v>0</v>
      </c>
      <c r="AN159" s="98">
        <f t="shared" si="497"/>
        <v>0</v>
      </c>
      <c r="AO159" s="222">
        <f>GAAP!P163</f>
        <v>669.80999999999949</v>
      </c>
      <c r="AP159" s="129">
        <f t="shared" si="498"/>
        <v>185229.80999999965</v>
      </c>
    </row>
    <row r="160" spans="1:42" ht="13.5" customHeight="1">
      <c r="A160" s="258">
        <v>54.924599999999998</v>
      </c>
      <c r="B160" s="57" t="s">
        <v>234</v>
      </c>
      <c r="C160" s="163">
        <v>1777852</v>
      </c>
      <c r="D160" s="354">
        <f t="shared" si="480"/>
        <v>1708475.32</v>
      </c>
      <c r="E160" s="163">
        <v>69376.679999999935</v>
      </c>
      <c r="F160" s="163">
        <v>1708475.32</v>
      </c>
      <c r="G160" s="217">
        <f t="shared" si="481"/>
        <v>1</v>
      </c>
      <c r="H160" s="149">
        <v>69376.679999999935</v>
      </c>
      <c r="I160" s="214">
        <f t="shared" si="482"/>
        <v>1777852</v>
      </c>
      <c r="J160" s="149">
        <v>1777852</v>
      </c>
      <c r="K160" s="214">
        <f t="shared" si="483"/>
        <v>0</v>
      </c>
      <c r="L160" s="214">
        <f t="shared" si="484"/>
        <v>0</v>
      </c>
      <c r="M160" s="214">
        <f t="shared" si="485"/>
        <v>0</v>
      </c>
      <c r="N160" s="222">
        <v>1350527.55</v>
      </c>
      <c r="O160" s="222">
        <v>1389025.21</v>
      </c>
      <c r="P160" s="222">
        <v>69196.454275845856</v>
      </c>
      <c r="Q160" s="214">
        <f t="shared" si="486"/>
        <v>357947.77</v>
      </c>
      <c r="R160" s="214">
        <f t="shared" si="487"/>
        <v>388826.79000000004</v>
      </c>
      <c r="S160" s="214">
        <f t="shared" si="488"/>
        <v>180.22572415407922</v>
      </c>
      <c r="T160" s="273" t="s">
        <v>227</v>
      </c>
      <c r="U160" s="273" t="s">
        <v>510</v>
      </c>
      <c r="V160" s="57" t="str">
        <f t="shared" si="499"/>
        <v>.</v>
      </c>
      <c r="W160" s="282">
        <v>69196.454275845856</v>
      </c>
      <c r="Y160" s="311">
        <v>-9196.4542758458556</v>
      </c>
      <c r="Z160" s="192">
        <f t="shared" si="500"/>
        <v>9376.6799999999348</v>
      </c>
      <c r="AA160" t="str">
        <f t="shared" si="501"/>
        <v>-</v>
      </c>
      <c r="AB160" t="str">
        <f t="shared" si="502"/>
        <v>-</v>
      </c>
      <c r="AC160" s="523"/>
      <c r="AD160" s="34">
        <f>C160-GAAP!C164</f>
        <v>1773552</v>
      </c>
      <c r="AF160" s="64">
        <f t="shared" si="489"/>
        <v>1777852</v>
      </c>
      <c r="AG160" s="64">
        <f t="shared" si="490"/>
        <v>1708475.32</v>
      </c>
      <c r="AH160" s="64">
        <f t="shared" si="491"/>
        <v>69376.679999999935</v>
      </c>
      <c r="AI160" s="217">
        <f t="shared" si="492"/>
        <v>1</v>
      </c>
      <c r="AJ160" s="98">
        <f t="shared" si="493"/>
        <v>69376.679999999935</v>
      </c>
      <c r="AK160" s="98">
        <f t="shared" si="494"/>
        <v>1777852</v>
      </c>
      <c r="AL160" s="98">
        <f t="shared" si="495"/>
        <v>0</v>
      </c>
      <c r="AM160" s="98">
        <f t="shared" si="496"/>
        <v>0</v>
      </c>
      <c r="AN160" s="98">
        <f t="shared" si="497"/>
        <v>0</v>
      </c>
      <c r="AO160" s="222">
        <f>GAAP!P163</f>
        <v>669.80999999999949</v>
      </c>
      <c r="AP160" s="129">
        <f t="shared" si="498"/>
        <v>68706.869999999937</v>
      </c>
    </row>
    <row r="161" spans="1:42" ht="13.5" customHeight="1">
      <c r="A161" s="258">
        <v>54.926499999999997</v>
      </c>
      <c r="B161" s="57" t="s">
        <v>239</v>
      </c>
      <c r="C161" s="163">
        <v>223896.47</v>
      </c>
      <c r="D161" s="354">
        <f t="shared" si="480"/>
        <v>220754.51</v>
      </c>
      <c r="E161" s="473">
        <v>3141.9599999999919</v>
      </c>
      <c r="F161" s="163">
        <v>220754.51</v>
      </c>
      <c r="G161" s="217">
        <f t="shared" si="481"/>
        <v>1</v>
      </c>
      <c r="H161" s="149">
        <v>3141.9599999999919</v>
      </c>
      <c r="I161" s="214">
        <f t="shared" si="482"/>
        <v>223896.47</v>
      </c>
      <c r="J161" s="149">
        <v>223896.47</v>
      </c>
      <c r="K161" s="214">
        <f t="shared" si="483"/>
        <v>0</v>
      </c>
      <c r="L161" s="214">
        <f t="shared" si="484"/>
        <v>0</v>
      </c>
      <c r="M161" s="214">
        <f t="shared" si="485"/>
        <v>0</v>
      </c>
      <c r="N161" s="222">
        <v>203244.51</v>
      </c>
      <c r="O161" s="222">
        <v>191463.66</v>
      </c>
      <c r="P161" s="222">
        <v>0</v>
      </c>
      <c r="Q161" s="214">
        <f t="shared" si="486"/>
        <v>17510</v>
      </c>
      <c r="R161" s="214">
        <f t="shared" si="487"/>
        <v>32432.809999999998</v>
      </c>
      <c r="S161" s="214">
        <f t="shared" si="488"/>
        <v>3141.9599999999919</v>
      </c>
      <c r="T161" s="273" t="s">
        <v>237</v>
      </c>
      <c r="U161" s="273" t="s">
        <v>510</v>
      </c>
      <c r="V161" s="57" t="str">
        <f t="shared" ref="V161:V162" si="503">IF(C161&lt;250000, "&lt; 250k",".")</f>
        <v>&lt; 250k</v>
      </c>
      <c r="W161" s="282">
        <v>0</v>
      </c>
      <c r="Y161" s="311">
        <v>3141.9599999999919</v>
      </c>
      <c r="Z161" s="192">
        <f t="shared" ref="Z161:Z163" si="504">S161-Y161</f>
        <v>0</v>
      </c>
      <c r="AA161" t="str">
        <f t="shared" ref="AA161:AA163" si="505">IF(L161&lt;0,"CHECK","-")</f>
        <v>-</v>
      </c>
      <c r="AB161" t="str">
        <f t="shared" ref="AB161:AB163" si="506">IF(M161&lt;0,"CHECK","-")</f>
        <v>-</v>
      </c>
      <c r="AC161" s="523"/>
      <c r="AD161" s="34">
        <f>C161-GAAP!C164</f>
        <v>219596.47</v>
      </c>
      <c r="AF161" s="64">
        <f t="shared" si="489"/>
        <v>223896.47</v>
      </c>
      <c r="AG161" s="64">
        <f t="shared" si="490"/>
        <v>220754.51</v>
      </c>
      <c r="AH161" s="64">
        <f t="shared" si="491"/>
        <v>3141.9599999999919</v>
      </c>
      <c r="AI161" s="217">
        <f t="shared" si="492"/>
        <v>1</v>
      </c>
      <c r="AJ161" s="98">
        <f t="shared" si="493"/>
        <v>3141.9599999999919</v>
      </c>
      <c r="AK161" s="98">
        <f t="shared" si="494"/>
        <v>223896.47</v>
      </c>
      <c r="AL161" s="98">
        <f t="shared" si="495"/>
        <v>0</v>
      </c>
      <c r="AM161" s="98">
        <f t="shared" si="496"/>
        <v>0</v>
      </c>
      <c r="AN161" s="98">
        <f t="shared" si="497"/>
        <v>0</v>
      </c>
      <c r="AO161" s="222">
        <f>GAAP!P163</f>
        <v>669.80999999999949</v>
      </c>
      <c r="AP161" s="129">
        <f t="shared" si="498"/>
        <v>2472.1499999999924</v>
      </c>
    </row>
    <row r="162" spans="1:42" ht="13.5" customHeight="1">
      <c r="A162" s="258">
        <v>54.927900000000001</v>
      </c>
      <c r="B162" s="57" t="s">
        <v>253</v>
      </c>
      <c r="C162" s="163">
        <v>3216240.01</v>
      </c>
      <c r="D162" s="354">
        <f t="shared" si="480"/>
        <v>3153237.4</v>
      </c>
      <c r="E162" s="473">
        <v>63002.60999999987</v>
      </c>
      <c r="F162" s="163">
        <v>3153237.4</v>
      </c>
      <c r="G162" s="217">
        <f t="shared" si="481"/>
        <v>1</v>
      </c>
      <c r="H162" s="149">
        <v>63002.60999999987</v>
      </c>
      <c r="I162" s="214">
        <f t="shared" si="482"/>
        <v>3216240.01</v>
      </c>
      <c r="J162" s="149">
        <v>3216240.01</v>
      </c>
      <c r="K162" s="214">
        <f t="shared" si="483"/>
        <v>0</v>
      </c>
      <c r="L162" s="214">
        <f t="shared" si="484"/>
        <v>0</v>
      </c>
      <c r="M162" s="214">
        <f t="shared" si="485"/>
        <v>0</v>
      </c>
      <c r="N162" s="222">
        <v>2754167.5</v>
      </c>
      <c r="O162" s="222">
        <v>2243686.3999999999</v>
      </c>
      <c r="P162" s="222">
        <v>-15000</v>
      </c>
      <c r="Q162" s="214">
        <f t="shared" si="486"/>
        <v>399069.89999999991</v>
      </c>
      <c r="R162" s="214">
        <f t="shared" si="487"/>
        <v>972553.60999999987</v>
      </c>
      <c r="S162" s="214">
        <f t="shared" si="488"/>
        <v>78002.60999999987</v>
      </c>
      <c r="T162" s="273" t="s">
        <v>237</v>
      </c>
      <c r="U162" s="185" t="s">
        <v>510</v>
      </c>
      <c r="V162" s="57" t="str">
        <f t="shared" si="503"/>
        <v>.</v>
      </c>
      <c r="W162" s="282">
        <v>-15000</v>
      </c>
      <c r="Y162" s="311">
        <v>78002.60999999987</v>
      </c>
      <c r="Z162" s="192">
        <f t="shared" si="504"/>
        <v>0</v>
      </c>
      <c r="AA162" t="str">
        <f t="shared" si="505"/>
        <v>-</v>
      </c>
      <c r="AB162" t="str">
        <f t="shared" si="506"/>
        <v>-</v>
      </c>
      <c r="AC162" s="523"/>
      <c r="AD162" s="34">
        <f>C162-GAAP!C166</f>
        <v>3105578.5399999996</v>
      </c>
      <c r="AF162" s="64">
        <f t="shared" si="489"/>
        <v>3216240.01</v>
      </c>
      <c r="AG162" s="64">
        <f t="shared" si="490"/>
        <v>3153237.4</v>
      </c>
      <c r="AH162" s="64">
        <f t="shared" si="491"/>
        <v>63002.60999999987</v>
      </c>
      <c r="AI162" s="217">
        <f t="shared" si="492"/>
        <v>1</v>
      </c>
      <c r="AJ162" s="98">
        <f t="shared" si="493"/>
        <v>63002.60999999987</v>
      </c>
      <c r="AK162" s="98">
        <f t="shared" si="494"/>
        <v>3216240.01</v>
      </c>
      <c r="AL162" s="98">
        <f t="shared" si="495"/>
        <v>0</v>
      </c>
      <c r="AM162" s="98">
        <f t="shared" si="496"/>
        <v>0</v>
      </c>
      <c r="AN162" s="98">
        <f t="shared" si="497"/>
        <v>0</v>
      </c>
      <c r="AO162" s="222">
        <f>GAAP!P164</f>
        <v>2986.55</v>
      </c>
      <c r="AP162" s="129">
        <f t="shared" si="498"/>
        <v>60016.059999999867</v>
      </c>
    </row>
    <row r="163" spans="1:42" ht="13.5" customHeight="1">
      <c r="A163" s="258">
        <v>54.928899999999999</v>
      </c>
      <c r="B163" s="57" t="s">
        <v>266</v>
      </c>
      <c r="C163" s="163">
        <v>44560</v>
      </c>
      <c r="D163" s="354">
        <f t="shared" si="480"/>
        <v>25097.25</v>
      </c>
      <c r="E163" s="163">
        <v>19462.75</v>
      </c>
      <c r="F163" s="163">
        <v>25097.25</v>
      </c>
      <c r="G163" s="217">
        <f t="shared" si="481"/>
        <v>1</v>
      </c>
      <c r="H163" s="149">
        <v>19462.75</v>
      </c>
      <c r="I163" s="214">
        <f t="shared" si="482"/>
        <v>44560</v>
      </c>
      <c r="J163" s="149">
        <v>44560</v>
      </c>
      <c r="K163" s="214">
        <f t="shared" si="483"/>
        <v>0</v>
      </c>
      <c r="L163" s="214">
        <f>+D163-F163</f>
        <v>0</v>
      </c>
      <c r="M163" s="214">
        <f t="shared" si="485"/>
        <v>0</v>
      </c>
      <c r="N163" s="222">
        <v>13506.19</v>
      </c>
      <c r="O163" s="222">
        <v>14176</v>
      </c>
      <c r="P163" s="222">
        <v>669.80999999999949</v>
      </c>
      <c r="Q163" s="214">
        <f t="shared" si="486"/>
        <v>11591.06</v>
      </c>
      <c r="R163" s="214">
        <f t="shared" si="487"/>
        <v>30384</v>
      </c>
      <c r="S163" s="214">
        <f t="shared" si="488"/>
        <v>18792.940000000002</v>
      </c>
      <c r="T163" s="273" t="s">
        <v>237</v>
      </c>
      <c r="U163" s="185" t="s">
        <v>510</v>
      </c>
      <c r="V163" s="57" t="s">
        <v>544</v>
      </c>
      <c r="W163" s="282">
        <v>669.80999999999949</v>
      </c>
      <c r="Y163" s="311">
        <v>18792.940000000002</v>
      </c>
      <c r="Z163" s="192">
        <f t="shared" si="504"/>
        <v>0</v>
      </c>
      <c r="AA163" t="str">
        <f t="shared" si="505"/>
        <v>-</v>
      </c>
      <c r="AB163" t="str">
        <f t="shared" si="506"/>
        <v>-</v>
      </c>
      <c r="AC163" s="523"/>
      <c r="AD163" s="34">
        <v>0</v>
      </c>
      <c r="AF163" s="64">
        <f t="shared" si="489"/>
        <v>44560</v>
      </c>
      <c r="AG163" s="64">
        <f t="shared" si="490"/>
        <v>25097.25</v>
      </c>
      <c r="AH163" s="64">
        <f t="shared" si="491"/>
        <v>19462.75</v>
      </c>
      <c r="AI163" s="217">
        <f t="shared" si="492"/>
        <v>1</v>
      </c>
      <c r="AJ163" s="98">
        <f t="shared" si="493"/>
        <v>19462.75</v>
      </c>
      <c r="AK163" s="98">
        <f t="shared" si="494"/>
        <v>44560</v>
      </c>
      <c r="AL163" s="98">
        <f t="shared" si="495"/>
        <v>0</v>
      </c>
      <c r="AM163" s="98">
        <f t="shared" si="496"/>
        <v>0</v>
      </c>
      <c r="AN163" s="98">
        <f t="shared" si="497"/>
        <v>0</v>
      </c>
      <c r="AO163" s="222">
        <f>GAAP!P166</f>
        <v>0</v>
      </c>
      <c r="AP163" s="129">
        <f t="shared" si="498"/>
        <v>19462.75</v>
      </c>
    </row>
    <row r="164" spans="1:42" ht="13.5" customHeight="1">
      <c r="A164" s="258">
        <v>54.929200000000002</v>
      </c>
      <c r="B164" s="57" t="s">
        <v>261</v>
      </c>
      <c r="C164" s="163">
        <v>4300</v>
      </c>
      <c r="D164" s="354">
        <f t="shared" si="480"/>
        <v>1313.4499999999998</v>
      </c>
      <c r="E164" s="163">
        <v>2986.55</v>
      </c>
      <c r="F164" s="163">
        <v>1313.45</v>
      </c>
      <c r="G164" s="217">
        <f t="shared" si="481"/>
        <v>1.0000000000000002</v>
      </c>
      <c r="H164" s="149">
        <v>2986.5500000000006</v>
      </c>
      <c r="I164" s="214">
        <f t="shared" si="482"/>
        <v>4300.0000000000009</v>
      </c>
      <c r="J164" s="149">
        <v>4300</v>
      </c>
      <c r="K164" s="214">
        <f t="shared" ref="K164:K213" si="507">J164-I164</f>
        <v>0</v>
      </c>
      <c r="L164" s="214">
        <f t="shared" ref="L164:L213" si="508">+D164-F164</f>
        <v>0</v>
      </c>
      <c r="M164" s="214">
        <f t="shared" ref="M164:M213" si="509">+C164-J164</f>
        <v>0</v>
      </c>
      <c r="N164" s="222">
        <v>1313.45</v>
      </c>
      <c r="O164" s="222">
        <v>4300</v>
      </c>
      <c r="P164" s="222">
        <v>2986.5500000000006</v>
      </c>
      <c r="Q164" s="214">
        <f t="shared" ref="Q164:Q213" si="510">F164-N164</f>
        <v>0</v>
      </c>
      <c r="R164" s="214">
        <f t="shared" ref="R164:R213" si="511">+J164-O164</f>
        <v>0</v>
      </c>
      <c r="S164" s="214">
        <f t="shared" ref="S164:S213" si="512">+H164-P164</f>
        <v>0</v>
      </c>
      <c r="T164" s="273" t="s">
        <v>237</v>
      </c>
      <c r="U164" s="273" t="s">
        <v>510</v>
      </c>
      <c r="V164" s="57" t="s">
        <v>544</v>
      </c>
      <c r="W164" s="282">
        <v>2986.55</v>
      </c>
      <c r="Y164" s="311">
        <v>0</v>
      </c>
      <c r="Z164" s="192">
        <f t="shared" si="323"/>
        <v>0</v>
      </c>
      <c r="AA164" t="str">
        <f t="shared" si="324"/>
        <v>-</v>
      </c>
      <c r="AB164" t="str">
        <f t="shared" si="325"/>
        <v>-</v>
      </c>
      <c r="AC164" s="523"/>
      <c r="AD164" s="34">
        <v>0</v>
      </c>
      <c r="AF164" s="64">
        <f t="shared" ref="AF164:AF203" si="513">C164</f>
        <v>4300</v>
      </c>
      <c r="AG164" s="64">
        <f t="shared" ref="AG164:AG203" si="514">D164</f>
        <v>1313.4499999999998</v>
      </c>
      <c r="AH164" s="64">
        <f t="shared" ref="AH164:AH203" si="515">E164</f>
        <v>2986.55</v>
      </c>
      <c r="AI164" s="217">
        <f t="shared" ref="AI164:AI203" si="516">IF(AG164&lt;&gt;0,+F164/AG164,0)</f>
        <v>1.0000000000000002</v>
      </c>
      <c r="AJ164" s="98">
        <f t="shared" ref="AJ164:AJ203" si="517">IF(AH164&lt;=0,AH164,IF(G164&lt;0.1,0,IF(G164&lt;=1,G164*AH164,AH164)))</f>
        <v>2986.5500000000006</v>
      </c>
      <c r="AK164" s="98">
        <f t="shared" ref="AK164:AK203" si="518">+F164+AJ164</f>
        <v>4300.0000000000009</v>
      </c>
      <c r="AL164" s="98">
        <f t="shared" ref="AL164:AL203" si="519">J164-AK164</f>
        <v>0</v>
      </c>
      <c r="AM164" s="98">
        <f t="shared" ref="AM164:AM203" si="520">+AG164-F164</f>
        <v>0</v>
      </c>
      <c r="AN164" s="98">
        <f t="shared" ref="AN164:AN203" si="521">+AF164-J164</f>
        <v>0</v>
      </c>
      <c r="AO164" s="222">
        <f>GAAP!P162</f>
        <v>-15000</v>
      </c>
      <c r="AP164" s="129">
        <f t="shared" ref="AP164:AP203" si="522">AJ164-AO164</f>
        <v>17986.55</v>
      </c>
    </row>
    <row r="165" spans="1:42" ht="13.5" customHeight="1">
      <c r="A165" s="258">
        <v>54.930900000000001</v>
      </c>
      <c r="B165" s="57" t="s">
        <v>280</v>
      </c>
      <c r="C165" s="163">
        <v>3968668.9</v>
      </c>
      <c r="D165" s="354">
        <f t="shared" si="480"/>
        <v>3790858.34</v>
      </c>
      <c r="E165" s="149">
        <v>177810.56000000006</v>
      </c>
      <c r="F165" s="163">
        <v>3790858.34</v>
      </c>
      <c r="G165" s="217">
        <f t="shared" si="481"/>
        <v>1</v>
      </c>
      <c r="H165" s="149">
        <v>177810.56000000006</v>
      </c>
      <c r="I165" s="214">
        <f t="shared" si="482"/>
        <v>3968668.9</v>
      </c>
      <c r="J165" s="149">
        <v>3968668.9</v>
      </c>
      <c r="K165" s="214">
        <f t="shared" si="507"/>
        <v>0</v>
      </c>
      <c r="L165" s="214">
        <f t="shared" si="508"/>
        <v>0</v>
      </c>
      <c r="M165" s="214">
        <f>+C165-J165</f>
        <v>0</v>
      </c>
      <c r="N165" s="222">
        <v>1941399.17</v>
      </c>
      <c r="O165" s="222">
        <v>2378548.71</v>
      </c>
      <c r="P165" s="222">
        <v>62853.415841272123</v>
      </c>
      <c r="Q165" s="214">
        <f t="shared" si="510"/>
        <v>1849459.17</v>
      </c>
      <c r="R165" s="214">
        <f t="shared" si="511"/>
        <v>1590120.19</v>
      </c>
      <c r="S165" s="214">
        <f t="shared" si="512"/>
        <v>114957.14415872793</v>
      </c>
      <c r="T165" s="273" t="s">
        <v>278</v>
      </c>
      <c r="U165" s="273" t="s">
        <v>510</v>
      </c>
      <c r="V165" s="57" t="str">
        <f t="shared" ref="V165" si="523">IF(C165&lt;250000, "&lt; 250k",".")</f>
        <v>.</v>
      </c>
      <c r="W165" s="282">
        <v>62853.415841272123</v>
      </c>
      <c r="Y165" s="311">
        <v>96568.763373643247</v>
      </c>
      <c r="Z165" s="192">
        <f t="shared" ref="Z165" si="524">S165-Y165</f>
        <v>18388.380785084679</v>
      </c>
      <c r="AA165" t="str">
        <f t="shared" ref="AA165" si="525">IF(L165&lt;0,"CHECK","-")</f>
        <v>-</v>
      </c>
      <c r="AB165" t="str">
        <f t="shared" ref="AB165" si="526">IF(M165&lt;0,"CHECK","-")</f>
        <v>-</v>
      </c>
      <c r="AC165" s="523"/>
      <c r="AD165" s="34">
        <f>C165-GAAP!C173</f>
        <v>3678539.9</v>
      </c>
      <c r="AF165" s="64">
        <f t="shared" si="513"/>
        <v>3968668.9</v>
      </c>
      <c r="AG165" s="64">
        <f t="shared" si="514"/>
        <v>3790858.34</v>
      </c>
      <c r="AH165" s="64">
        <f t="shared" si="515"/>
        <v>177810.56000000006</v>
      </c>
      <c r="AI165" s="217">
        <f t="shared" si="516"/>
        <v>1</v>
      </c>
      <c r="AJ165" s="98">
        <f t="shared" si="517"/>
        <v>177810.56000000006</v>
      </c>
      <c r="AK165" s="98">
        <f t="shared" si="518"/>
        <v>3968668.9</v>
      </c>
      <c r="AL165" s="98">
        <f t="shared" si="519"/>
        <v>0</v>
      </c>
      <c r="AM165" s="98">
        <f t="shared" si="520"/>
        <v>0</v>
      </c>
      <c r="AN165" s="98">
        <f t="shared" si="521"/>
        <v>0</v>
      </c>
      <c r="AO165" s="222">
        <f>GAAP!P169</f>
        <v>54179.797702390708</v>
      </c>
      <c r="AP165" s="129">
        <f t="shared" si="522"/>
        <v>123630.76229760936</v>
      </c>
    </row>
    <row r="166" spans="1:42" ht="13.5" customHeight="1">
      <c r="A166" s="258">
        <v>54.932299999999998</v>
      </c>
      <c r="B166" s="57" t="s">
        <v>398</v>
      </c>
      <c r="C166" s="163">
        <v>110661.47</v>
      </c>
      <c r="D166" s="354">
        <f t="shared" si="480"/>
        <v>94483.21</v>
      </c>
      <c r="E166" s="149">
        <v>16178.259999999995</v>
      </c>
      <c r="F166" s="163">
        <v>94483.21</v>
      </c>
      <c r="G166" s="217">
        <f t="shared" si="481"/>
        <v>1</v>
      </c>
      <c r="H166" s="149">
        <v>16178.259999999995</v>
      </c>
      <c r="I166" s="214">
        <f t="shared" si="482"/>
        <v>110661.47</v>
      </c>
      <c r="J166" s="149">
        <v>110661.47</v>
      </c>
      <c r="K166" s="214">
        <f t="shared" si="507"/>
        <v>0</v>
      </c>
      <c r="L166" s="214">
        <f t="shared" si="508"/>
        <v>0</v>
      </c>
      <c r="M166" s="214">
        <f t="shared" si="509"/>
        <v>0</v>
      </c>
      <c r="N166" s="222">
        <v>85064.63</v>
      </c>
      <c r="O166" s="222">
        <v>16235.09</v>
      </c>
      <c r="P166" s="222">
        <v>0</v>
      </c>
      <c r="Q166" s="214">
        <f t="shared" si="510"/>
        <v>9418.5800000000017</v>
      </c>
      <c r="R166" s="214">
        <f t="shared" si="511"/>
        <v>94426.38</v>
      </c>
      <c r="S166" s="214">
        <f t="shared" si="512"/>
        <v>16178.259999999995</v>
      </c>
      <c r="T166" s="273" t="s">
        <v>278</v>
      </c>
      <c r="U166" s="273" t="s">
        <v>510</v>
      </c>
      <c r="V166" s="57" t="str">
        <f t="shared" ref="V166:V168" si="527">IF(C166&lt;250000, "&lt; 250k",".")</f>
        <v>&lt; 250k</v>
      </c>
      <c r="W166" s="282">
        <v>0</v>
      </c>
      <c r="Y166" s="311">
        <v>16178.259999999995</v>
      </c>
      <c r="Z166" s="192">
        <f t="shared" ref="Z166:Z168" si="528">S166-Y166</f>
        <v>0</v>
      </c>
      <c r="AA166" t="str">
        <f t="shared" ref="AA166:AA168" si="529">IF(L166&lt;0,"CHECK","-")</f>
        <v>-</v>
      </c>
      <c r="AB166" t="str">
        <f t="shared" ref="AB166:AB168" si="530">IF(M166&lt;0,"CHECK","-")</f>
        <v>-</v>
      </c>
      <c r="AC166" s="523"/>
      <c r="AD166" s="34">
        <f>C166-GAAP!C169</f>
        <v>-65223.170000000013</v>
      </c>
      <c r="AF166" s="64">
        <f t="shared" si="513"/>
        <v>110661.47</v>
      </c>
      <c r="AG166" s="64">
        <f t="shared" si="514"/>
        <v>94483.21</v>
      </c>
      <c r="AH166" s="64">
        <f t="shared" si="515"/>
        <v>16178.259999999995</v>
      </c>
      <c r="AI166" s="217">
        <f t="shared" si="516"/>
        <v>1</v>
      </c>
      <c r="AJ166" s="98">
        <f t="shared" si="517"/>
        <v>16178.259999999995</v>
      </c>
      <c r="AK166" s="98">
        <f t="shared" si="518"/>
        <v>110661.47</v>
      </c>
      <c r="AL166" s="98">
        <f t="shared" si="519"/>
        <v>0</v>
      </c>
      <c r="AM166" s="98">
        <f t="shared" si="520"/>
        <v>0</v>
      </c>
      <c r="AN166" s="98">
        <f t="shared" si="521"/>
        <v>0</v>
      </c>
      <c r="AO166" s="222">
        <f>GAAP!P165</f>
        <v>62853.415841272123</v>
      </c>
      <c r="AP166" s="129">
        <f t="shared" si="522"/>
        <v>-46675.155841272128</v>
      </c>
    </row>
    <row r="167" spans="1:42" ht="13.5" customHeight="1">
      <c r="A167" s="258">
        <v>54.932899999999997</v>
      </c>
      <c r="B167" s="57" t="s">
        <v>692</v>
      </c>
      <c r="C167" s="163">
        <v>18201.12</v>
      </c>
      <c r="D167" s="354">
        <f t="shared" si="480"/>
        <v>16466.72</v>
      </c>
      <c r="E167" s="149">
        <v>1734.3999999999978</v>
      </c>
      <c r="F167" s="163">
        <v>16466.72</v>
      </c>
      <c r="G167" s="217">
        <f t="shared" si="481"/>
        <v>1</v>
      </c>
      <c r="H167" s="149">
        <v>1734.3999999999978</v>
      </c>
      <c r="I167" s="214">
        <f t="shared" si="482"/>
        <v>18201.12</v>
      </c>
      <c r="J167" s="149">
        <v>18201.12</v>
      </c>
      <c r="K167" s="214">
        <f t="shared" si="507"/>
        <v>0</v>
      </c>
      <c r="L167" s="214">
        <f t="shared" si="508"/>
        <v>0</v>
      </c>
      <c r="M167" s="214">
        <f t="shared" si="509"/>
        <v>0</v>
      </c>
      <c r="N167" s="222"/>
      <c r="O167" s="222"/>
      <c r="P167" s="222"/>
      <c r="Q167" s="214">
        <f t="shared" si="510"/>
        <v>16466.72</v>
      </c>
      <c r="R167" s="214">
        <f t="shared" si="511"/>
        <v>18201.12</v>
      </c>
      <c r="S167" s="214">
        <f t="shared" si="512"/>
        <v>1734.3999999999978</v>
      </c>
      <c r="T167" s="273" t="s">
        <v>510</v>
      </c>
      <c r="U167" s="273" t="s">
        <v>510</v>
      </c>
      <c r="V167" s="57" t="str">
        <f t="shared" si="527"/>
        <v>&lt; 250k</v>
      </c>
      <c r="Y167" s="311">
        <v>1734.3999999999978</v>
      </c>
      <c r="Z167" s="192">
        <f t="shared" si="528"/>
        <v>0</v>
      </c>
      <c r="AA167" t="str">
        <f t="shared" si="529"/>
        <v>-</v>
      </c>
      <c r="AB167" t="str">
        <f t="shared" si="530"/>
        <v>-</v>
      </c>
      <c r="AC167" s="523"/>
      <c r="AD167" s="34"/>
      <c r="AF167" s="64"/>
      <c r="AG167" s="64"/>
      <c r="AH167" s="64"/>
      <c r="AI167" s="217"/>
      <c r="AJ167" s="98"/>
      <c r="AK167" s="98"/>
      <c r="AL167" s="98"/>
      <c r="AM167" s="98"/>
      <c r="AN167" s="98"/>
      <c r="AO167" s="222"/>
      <c r="AP167" s="129"/>
    </row>
    <row r="168" spans="1:42" ht="13.5" customHeight="1">
      <c r="A168" s="258">
        <v>54.933300000000003</v>
      </c>
      <c r="B168" s="57" t="s">
        <v>408</v>
      </c>
      <c r="C168" s="163">
        <v>427464.77</v>
      </c>
      <c r="D168" s="354">
        <f t="shared" si="480"/>
        <v>371915.25999999995</v>
      </c>
      <c r="E168" s="149">
        <v>55549.510000000068</v>
      </c>
      <c r="F168" s="163">
        <v>371915.25999999995</v>
      </c>
      <c r="G168" s="217">
        <f t="shared" si="481"/>
        <v>1</v>
      </c>
      <c r="H168" s="149">
        <v>55549.510000000068</v>
      </c>
      <c r="I168" s="214">
        <f t="shared" si="482"/>
        <v>427464.77</v>
      </c>
      <c r="J168" s="149">
        <v>427464.77</v>
      </c>
      <c r="K168" s="214">
        <f t="shared" si="507"/>
        <v>0</v>
      </c>
      <c r="L168" s="214">
        <f t="shared" si="508"/>
        <v>0</v>
      </c>
      <c r="M168" s="214">
        <f t="shared" si="509"/>
        <v>0</v>
      </c>
      <c r="N168" s="222">
        <v>152091.76</v>
      </c>
      <c r="O168" s="222">
        <v>166980.44</v>
      </c>
      <c r="P168" s="222">
        <v>14888.679999999993</v>
      </c>
      <c r="Q168" s="214">
        <f t="shared" si="510"/>
        <v>219823.49999999994</v>
      </c>
      <c r="R168" s="214">
        <f t="shared" si="511"/>
        <v>260484.33000000002</v>
      </c>
      <c r="S168" s="214">
        <f t="shared" si="512"/>
        <v>40660.830000000075</v>
      </c>
      <c r="T168" s="273" t="s">
        <v>278</v>
      </c>
      <c r="U168" s="273" t="s">
        <v>510</v>
      </c>
      <c r="V168" s="57" t="str">
        <f t="shared" si="527"/>
        <v>.</v>
      </c>
      <c r="W168" s="282">
        <v>14888.679999999993</v>
      </c>
      <c r="Y168" s="311">
        <v>43760.800000000047</v>
      </c>
      <c r="Z168" s="192">
        <f t="shared" si="528"/>
        <v>-3099.9699999999721</v>
      </c>
      <c r="AA168" t="str">
        <f t="shared" si="529"/>
        <v>-</v>
      </c>
      <c r="AB168" t="str">
        <f t="shared" si="530"/>
        <v>-</v>
      </c>
      <c r="AC168" s="523"/>
      <c r="AD168" s="34">
        <f>C168-GAAP!C170</f>
        <v>-823814.23</v>
      </c>
      <c r="AF168" s="64">
        <f t="shared" si="513"/>
        <v>427464.77</v>
      </c>
      <c r="AG168" s="64">
        <f t="shared" si="514"/>
        <v>371915.25999999995</v>
      </c>
      <c r="AH168" s="64">
        <f t="shared" si="515"/>
        <v>55549.510000000068</v>
      </c>
      <c r="AI168" s="217">
        <f t="shared" si="516"/>
        <v>1</v>
      </c>
      <c r="AJ168" s="98">
        <f t="shared" si="517"/>
        <v>55549.510000000068</v>
      </c>
      <c r="AK168" s="98">
        <f t="shared" si="518"/>
        <v>427464.77</v>
      </c>
      <c r="AL168" s="98">
        <f t="shared" si="519"/>
        <v>0</v>
      </c>
      <c r="AM168" s="98">
        <f t="shared" si="520"/>
        <v>0</v>
      </c>
      <c r="AN168" s="98">
        <f t="shared" si="521"/>
        <v>0</v>
      </c>
      <c r="AO168" s="222">
        <f>GAAP!P166</f>
        <v>0</v>
      </c>
      <c r="AP168" s="129">
        <f t="shared" si="522"/>
        <v>55549.510000000068</v>
      </c>
    </row>
    <row r="169" spans="1:42" ht="13.5" customHeight="1">
      <c r="A169" s="258">
        <v>54.933799999999998</v>
      </c>
      <c r="B169" s="57" t="s">
        <v>471</v>
      </c>
      <c r="C169" s="163">
        <v>175884.64</v>
      </c>
      <c r="D169" s="354">
        <f t="shared" si="480"/>
        <v>119186.11</v>
      </c>
      <c r="E169" s="149">
        <v>56698.530000000013</v>
      </c>
      <c r="F169" s="163">
        <v>119186.11</v>
      </c>
      <c r="G169" s="217">
        <f t="shared" si="481"/>
        <v>1</v>
      </c>
      <c r="H169" s="149">
        <v>56698.530000000013</v>
      </c>
      <c r="I169" s="214">
        <f t="shared" si="482"/>
        <v>175884.64</v>
      </c>
      <c r="J169" s="149">
        <v>175884.64</v>
      </c>
      <c r="K169" s="214">
        <f t="shared" si="507"/>
        <v>0</v>
      </c>
      <c r="L169" s="214">
        <f t="shared" si="508"/>
        <v>0</v>
      </c>
      <c r="M169" s="214">
        <f t="shared" si="509"/>
        <v>0</v>
      </c>
      <c r="N169" s="222">
        <v>105814.13</v>
      </c>
      <c r="O169" s="222">
        <v>162416</v>
      </c>
      <c r="P169" s="222">
        <v>54179.797702390708</v>
      </c>
      <c r="Q169" s="214">
        <f t="shared" si="510"/>
        <v>13371.979999999996</v>
      </c>
      <c r="R169" s="214">
        <f t="shared" si="511"/>
        <v>13468.640000000014</v>
      </c>
      <c r="S169" s="214">
        <f t="shared" si="512"/>
        <v>2518.7322976093055</v>
      </c>
      <c r="T169" s="273" t="s">
        <v>278</v>
      </c>
      <c r="U169" s="273" t="s">
        <v>510</v>
      </c>
      <c r="V169" s="57" t="s">
        <v>544</v>
      </c>
      <c r="W169" s="282">
        <v>54179.797702390708</v>
      </c>
      <c r="Y169" s="311">
        <v>2518.7322976093055</v>
      </c>
      <c r="Z169" s="192">
        <f t="shared" si="323"/>
        <v>0</v>
      </c>
      <c r="AA169" t="str">
        <f t="shared" si="324"/>
        <v>-</v>
      </c>
      <c r="AB169" t="str">
        <f t="shared" si="325"/>
        <v>-</v>
      </c>
      <c r="AC169" s="523"/>
      <c r="AD169" s="34">
        <v>0</v>
      </c>
      <c r="AF169" s="64">
        <f t="shared" si="513"/>
        <v>175884.64</v>
      </c>
      <c r="AG169" s="64">
        <f t="shared" si="514"/>
        <v>119186.11</v>
      </c>
      <c r="AH169" s="64">
        <f t="shared" si="515"/>
        <v>56698.530000000013</v>
      </c>
      <c r="AI169" s="217">
        <f t="shared" si="516"/>
        <v>1</v>
      </c>
      <c r="AJ169" s="98">
        <f t="shared" si="517"/>
        <v>56698.530000000013</v>
      </c>
      <c r="AK169" s="98">
        <f t="shared" si="518"/>
        <v>175884.64</v>
      </c>
      <c r="AL169" s="98">
        <f t="shared" si="519"/>
        <v>0</v>
      </c>
      <c r="AM169" s="98">
        <f t="shared" si="520"/>
        <v>0</v>
      </c>
      <c r="AN169" s="98">
        <f t="shared" si="521"/>
        <v>0</v>
      </c>
      <c r="AO169" s="222">
        <f>GAAP!P163</f>
        <v>669.80999999999949</v>
      </c>
      <c r="AP169" s="129">
        <f t="shared" si="522"/>
        <v>56028.720000000016</v>
      </c>
    </row>
    <row r="170" spans="1:42" ht="13.5" customHeight="1">
      <c r="A170" s="258">
        <v>54.934100000000001</v>
      </c>
      <c r="B170" s="57" t="s">
        <v>442</v>
      </c>
      <c r="C170" s="163">
        <v>1251279</v>
      </c>
      <c r="D170" s="354">
        <f t="shared" si="480"/>
        <v>1063532.3999999999</v>
      </c>
      <c r="E170" s="149">
        <v>187746.60000000009</v>
      </c>
      <c r="F170" s="163">
        <v>1063532.3999999999</v>
      </c>
      <c r="G170" s="217">
        <f t="shared" si="481"/>
        <v>1</v>
      </c>
      <c r="H170" s="149">
        <v>187746.60000000009</v>
      </c>
      <c r="I170" s="214">
        <f t="shared" si="482"/>
        <v>1251279</v>
      </c>
      <c r="J170" s="149">
        <v>1251279</v>
      </c>
      <c r="K170" s="214">
        <f t="shared" si="507"/>
        <v>0</v>
      </c>
      <c r="L170" s="214">
        <f t="shared" si="508"/>
        <v>0</v>
      </c>
      <c r="M170" s="214">
        <f t="shared" si="509"/>
        <v>0</v>
      </c>
      <c r="N170" s="222">
        <v>197572.74</v>
      </c>
      <c r="O170" s="222">
        <v>180080</v>
      </c>
      <c r="P170" s="222">
        <v>0</v>
      </c>
      <c r="Q170" s="214">
        <f t="shared" si="510"/>
        <v>865959.65999999992</v>
      </c>
      <c r="R170" s="214">
        <f t="shared" si="511"/>
        <v>1071199</v>
      </c>
      <c r="S170" s="214">
        <f t="shared" si="512"/>
        <v>187746.60000000009</v>
      </c>
      <c r="T170" s="273" t="s">
        <v>278</v>
      </c>
      <c r="U170" s="273" t="s">
        <v>510</v>
      </c>
      <c r="V170" s="57" t="str">
        <f t="shared" ref="V170" si="531">IF(C170&lt;250000, "&lt; 250k",".")</f>
        <v>.</v>
      </c>
      <c r="W170" s="282">
        <v>9297.3859483269152</v>
      </c>
      <c r="Y170" s="311">
        <v>181979.42285339581</v>
      </c>
      <c r="Z170" s="192">
        <f t="shared" ref="Z170" si="532">S170-Y170</f>
        <v>5767.1771466042846</v>
      </c>
      <c r="AA170" t="str">
        <f t="shared" ref="AA170" si="533">IF(L170&lt;0,"CHECK","-")</f>
        <v>-</v>
      </c>
      <c r="AB170" t="str">
        <f t="shared" ref="AB170" si="534">IF(M170&lt;0,"CHECK","-")</f>
        <v>-</v>
      </c>
      <c r="AC170" s="523"/>
      <c r="AD170" s="34">
        <f>C170-GAAP!C181</f>
        <v>1249423.08</v>
      </c>
      <c r="AF170" s="64">
        <f t="shared" si="513"/>
        <v>1251279</v>
      </c>
      <c r="AG170" s="64">
        <f t="shared" si="514"/>
        <v>1063532.3999999999</v>
      </c>
      <c r="AH170" s="64">
        <f t="shared" si="515"/>
        <v>187746.60000000009</v>
      </c>
      <c r="AI170" s="217">
        <f t="shared" si="516"/>
        <v>1</v>
      </c>
      <c r="AJ170" s="98">
        <f t="shared" si="517"/>
        <v>187746.60000000009</v>
      </c>
      <c r="AK170" s="98">
        <f t="shared" si="518"/>
        <v>1251279</v>
      </c>
      <c r="AL170" s="98">
        <f t="shared" si="519"/>
        <v>0</v>
      </c>
      <c r="AM170" s="98">
        <f t="shared" si="520"/>
        <v>0</v>
      </c>
      <c r="AN170" s="98">
        <f t="shared" si="521"/>
        <v>0</v>
      </c>
      <c r="AO170" s="222">
        <f>GAAP!P176</f>
        <v>0</v>
      </c>
      <c r="AP170" s="129">
        <f t="shared" si="522"/>
        <v>187746.60000000009</v>
      </c>
    </row>
    <row r="171" spans="1:42" ht="13.5" customHeight="1">
      <c r="A171" s="258">
        <v>54.934199999999997</v>
      </c>
      <c r="B171" s="57" t="s">
        <v>430</v>
      </c>
      <c r="C171" s="163">
        <v>199161.5</v>
      </c>
      <c r="D171" s="354">
        <f t="shared" si="480"/>
        <v>124146.3</v>
      </c>
      <c r="E171" s="149">
        <v>75015.199999999997</v>
      </c>
      <c r="F171" s="163">
        <v>124146.3</v>
      </c>
      <c r="G171" s="217">
        <f t="shared" si="481"/>
        <v>1</v>
      </c>
      <c r="H171" s="149">
        <v>75015.199999999997</v>
      </c>
      <c r="I171" s="214">
        <f t="shared" si="482"/>
        <v>199161.5</v>
      </c>
      <c r="J171" s="149">
        <v>199161.5</v>
      </c>
      <c r="K171" s="214">
        <f t="shared" si="507"/>
        <v>0</v>
      </c>
      <c r="L171" s="214">
        <f t="shared" si="508"/>
        <v>0</v>
      </c>
      <c r="M171" s="214">
        <f t="shared" si="509"/>
        <v>0</v>
      </c>
      <c r="N171" s="222">
        <v>119458.81</v>
      </c>
      <c r="O171" s="222">
        <v>174865</v>
      </c>
      <c r="P171" s="222">
        <v>41394.11273245293</v>
      </c>
      <c r="Q171" s="214">
        <f t="shared" si="510"/>
        <v>4687.4900000000052</v>
      </c>
      <c r="R171" s="214">
        <f t="shared" si="511"/>
        <v>24296.5</v>
      </c>
      <c r="S171" s="214">
        <f t="shared" si="512"/>
        <v>33621.087267547067</v>
      </c>
      <c r="T171" s="273" t="s">
        <v>278</v>
      </c>
      <c r="U171" s="273" t="s">
        <v>510</v>
      </c>
      <c r="V171" s="57" t="s">
        <v>544</v>
      </c>
      <c r="W171" s="282">
        <v>41394.11273245293</v>
      </c>
      <c r="Y171" s="311">
        <v>33621.087267547067</v>
      </c>
      <c r="Z171" s="192">
        <f t="shared" ref="Z171:Z263" si="535">S171-Y171</f>
        <v>0</v>
      </c>
      <c r="AA171" t="str">
        <f t="shared" ref="AA171:AA263" si="536">IF(L171&lt;0,"CHECK","-")</f>
        <v>-</v>
      </c>
      <c r="AB171" t="str">
        <f t="shared" ref="AB171:AB263" si="537">IF(M171&lt;0,"CHECK","-")</f>
        <v>-</v>
      </c>
      <c r="AC171" s="523"/>
      <c r="AD171" s="34">
        <v>0</v>
      </c>
      <c r="AF171" s="64">
        <f t="shared" si="513"/>
        <v>199161.5</v>
      </c>
      <c r="AG171" s="64">
        <f t="shared" si="514"/>
        <v>124146.3</v>
      </c>
      <c r="AH171" s="64">
        <f t="shared" si="515"/>
        <v>75015.199999999997</v>
      </c>
      <c r="AI171" s="217">
        <f t="shared" si="516"/>
        <v>1</v>
      </c>
      <c r="AJ171" s="98">
        <f t="shared" si="517"/>
        <v>75015.199999999997</v>
      </c>
      <c r="AK171" s="98">
        <f t="shared" si="518"/>
        <v>199161.5</v>
      </c>
      <c r="AL171" s="98">
        <f t="shared" si="519"/>
        <v>0</v>
      </c>
      <c r="AM171" s="98">
        <f t="shared" si="520"/>
        <v>0</v>
      </c>
      <c r="AN171" s="98">
        <f t="shared" si="521"/>
        <v>0</v>
      </c>
      <c r="AO171" s="222">
        <f>GAAP!P164</f>
        <v>2986.55</v>
      </c>
      <c r="AP171" s="129">
        <f t="shared" si="522"/>
        <v>72028.649999999994</v>
      </c>
    </row>
    <row r="172" spans="1:42" ht="13.5" customHeight="1">
      <c r="A172" s="258">
        <v>54.934699999999999</v>
      </c>
      <c r="B172" s="57" t="s">
        <v>514</v>
      </c>
      <c r="C172" s="163">
        <v>7100</v>
      </c>
      <c r="D172" s="354">
        <f t="shared" si="480"/>
        <v>3227.7</v>
      </c>
      <c r="E172" s="149">
        <v>3872.3</v>
      </c>
      <c r="F172" s="163">
        <v>3227.7</v>
      </c>
      <c r="G172" s="217">
        <f t="shared" si="481"/>
        <v>1</v>
      </c>
      <c r="H172" s="149">
        <v>3872.3</v>
      </c>
      <c r="I172" s="214">
        <f t="shared" si="482"/>
        <v>7100</v>
      </c>
      <c r="J172" s="149">
        <v>7100</v>
      </c>
      <c r="K172" s="214">
        <f t="shared" si="507"/>
        <v>0</v>
      </c>
      <c r="L172" s="214">
        <f t="shared" si="508"/>
        <v>0</v>
      </c>
      <c r="M172" s="214">
        <f t="shared" si="509"/>
        <v>0</v>
      </c>
      <c r="N172" s="222"/>
      <c r="O172" s="222"/>
      <c r="P172" s="222"/>
      <c r="Q172" s="214">
        <f t="shared" si="510"/>
        <v>3227.7</v>
      </c>
      <c r="R172" s="214">
        <f t="shared" si="511"/>
        <v>7100</v>
      </c>
      <c r="S172" s="214">
        <f t="shared" si="512"/>
        <v>3872.3</v>
      </c>
      <c r="T172" s="273" t="s">
        <v>510</v>
      </c>
      <c r="U172" s="273" t="s">
        <v>510</v>
      </c>
      <c r="V172" s="57" t="str">
        <f t="shared" ref="V172:V175" si="538">IF(C172&lt;250000, "&lt; 250k",".")</f>
        <v>&lt; 250k</v>
      </c>
      <c r="Y172" s="311">
        <v>3872.3</v>
      </c>
      <c r="Z172" s="192">
        <f t="shared" si="535"/>
        <v>0</v>
      </c>
      <c r="AA172" t="str">
        <f t="shared" si="536"/>
        <v>-</v>
      </c>
      <c r="AB172" t="str">
        <f t="shared" si="537"/>
        <v>-</v>
      </c>
      <c r="AC172" s="523"/>
      <c r="AD172" s="34"/>
      <c r="AF172" s="64">
        <f t="shared" si="513"/>
        <v>7100</v>
      </c>
      <c r="AG172" s="64">
        <f t="shared" si="514"/>
        <v>3227.7</v>
      </c>
      <c r="AH172" s="64">
        <f t="shared" si="515"/>
        <v>3872.3</v>
      </c>
      <c r="AI172" s="217">
        <f t="shared" si="516"/>
        <v>1</v>
      </c>
      <c r="AJ172" s="98">
        <f t="shared" si="517"/>
        <v>3872.3</v>
      </c>
      <c r="AK172" s="98">
        <f t="shared" si="518"/>
        <v>7100</v>
      </c>
      <c r="AL172" s="98">
        <f t="shared" si="519"/>
        <v>0</v>
      </c>
      <c r="AM172" s="98">
        <f t="shared" si="520"/>
        <v>0</v>
      </c>
      <c r="AN172" s="98">
        <f t="shared" si="521"/>
        <v>0</v>
      </c>
      <c r="AO172" s="222">
        <f>GAAP!P165</f>
        <v>62853.415841272123</v>
      </c>
      <c r="AP172" s="129">
        <f t="shared" si="522"/>
        <v>-58981.11584127212</v>
      </c>
    </row>
    <row r="173" spans="1:42" ht="13.5" customHeight="1">
      <c r="A173" s="258">
        <v>54.934899999999999</v>
      </c>
      <c r="B173" s="57" t="s">
        <v>451</v>
      </c>
      <c r="C173" s="163">
        <v>290129</v>
      </c>
      <c r="D173" s="354">
        <f t="shared" si="480"/>
        <v>197889.31</v>
      </c>
      <c r="E173" s="149">
        <v>92239.69</v>
      </c>
      <c r="F173" s="163">
        <v>197889.31</v>
      </c>
      <c r="G173" s="217">
        <f t="shared" si="481"/>
        <v>1</v>
      </c>
      <c r="H173" s="149">
        <v>92239.69</v>
      </c>
      <c r="I173" s="214">
        <f t="shared" si="482"/>
        <v>290129</v>
      </c>
      <c r="J173" s="149">
        <v>290129</v>
      </c>
      <c r="K173" s="214">
        <f t="shared" si="507"/>
        <v>0</v>
      </c>
      <c r="L173" s="214">
        <f t="shared" si="508"/>
        <v>0</v>
      </c>
      <c r="M173" s="214">
        <f t="shared" si="509"/>
        <v>0</v>
      </c>
      <c r="N173" s="222">
        <v>106438.55</v>
      </c>
      <c r="O173" s="222">
        <v>156414.25</v>
      </c>
      <c r="P173" s="222">
        <v>4519.6836518046712</v>
      </c>
      <c r="Q173" s="214">
        <f t="shared" si="510"/>
        <v>91450.76</v>
      </c>
      <c r="R173" s="214">
        <f t="shared" si="511"/>
        <v>133714.75</v>
      </c>
      <c r="S173" s="214">
        <f t="shared" si="512"/>
        <v>87720.006348195326</v>
      </c>
      <c r="T173" s="273" t="s">
        <v>278</v>
      </c>
      <c r="U173" s="273" t="s">
        <v>510</v>
      </c>
      <c r="V173" s="57" t="str">
        <f t="shared" si="538"/>
        <v>.</v>
      </c>
      <c r="W173" s="282">
        <v>4519.6836518046712</v>
      </c>
      <c r="Y173" s="311">
        <v>87720.006348195326</v>
      </c>
      <c r="Z173" s="192">
        <f t="shared" si="535"/>
        <v>0</v>
      </c>
      <c r="AA173" t="str">
        <f t="shared" si="536"/>
        <v>-</v>
      </c>
      <c r="AB173" t="str">
        <f t="shared" si="537"/>
        <v>-</v>
      </c>
      <c r="AC173" s="523"/>
      <c r="AD173" s="34">
        <f>C173-GAAP!C171</f>
        <v>90967.5</v>
      </c>
      <c r="AF173" s="64">
        <f t="shared" si="513"/>
        <v>290129</v>
      </c>
      <c r="AG173" s="64">
        <f t="shared" si="514"/>
        <v>197889.31</v>
      </c>
      <c r="AH173" s="64">
        <f t="shared" si="515"/>
        <v>92239.69</v>
      </c>
      <c r="AI173" s="217">
        <f t="shared" si="516"/>
        <v>1</v>
      </c>
      <c r="AJ173" s="98">
        <f t="shared" si="517"/>
        <v>92239.69</v>
      </c>
      <c r="AK173" s="98">
        <f t="shared" si="518"/>
        <v>290129</v>
      </c>
      <c r="AL173" s="98">
        <f t="shared" si="519"/>
        <v>0</v>
      </c>
      <c r="AM173" s="98">
        <f t="shared" si="520"/>
        <v>0</v>
      </c>
      <c r="AN173" s="98">
        <f t="shared" si="521"/>
        <v>0</v>
      </c>
      <c r="AO173" s="222">
        <f>GAAP!P166</f>
        <v>0</v>
      </c>
      <c r="AP173" s="129">
        <f t="shared" si="522"/>
        <v>92239.69</v>
      </c>
    </row>
    <row r="174" spans="1:42" ht="13.5" customHeight="1">
      <c r="A174" s="258">
        <v>54.935000000000002</v>
      </c>
      <c r="B174" s="57" t="s">
        <v>452</v>
      </c>
      <c r="C174" s="163">
        <v>129965.06</v>
      </c>
      <c r="D174" s="354">
        <f t="shared" si="480"/>
        <v>120318.68</v>
      </c>
      <c r="E174" s="149">
        <v>9646.3800000000047</v>
      </c>
      <c r="F174" s="163">
        <v>120318.68</v>
      </c>
      <c r="G174" s="217">
        <f t="shared" si="481"/>
        <v>1</v>
      </c>
      <c r="H174" s="149">
        <v>9646.3800000000047</v>
      </c>
      <c r="I174" s="214">
        <f t="shared" si="482"/>
        <v>129965.06</v>
      </c>
      <c r="J174" s="149">
        <v>129965.06</v>
      </c>
      <c r="K174" s="214">
        <f t="shared" si="507"/>
        <v>0</v>
      </c>
      <c r="L174" s="214">
        <f t="shared" si="508"/>
        <v>0</v>
      </c>
      <c r="M174" s="214">
        <f t="shared" si="509"/>
        <v>0</v>
      </c>
      <c r="N174" s="222">
        <v>10110.6</v>
      </c>
      <c r="O174" s="222">
        <v>0</v>
      </c>
      <c r="P174" s="222">
        <v>0</v>
      </c>
      <c r="Q174" s="214">
        <f t="shared" si="510"/>
        <v>110208.07999999999</v>
      </c>
      <c r="R174" s="214">
        <f t="shared" si="511"/>
        <v>129965.06</v>
      </c>
      <c r="S174" s="214">
        <f t="shared" si="512"/>
        <v>9646.3800000000047</v>
      </c>
      <c r="T174" s="273" t="s">
        <v>278</v>
      </c>
      <c r="U174" s="273" t="s">
        <v>510</v>
      </c>
      <c r="V174" s="57" t="str">
        <f t="shared" si="538"/>
        <v>&lt; 250k</v>
      </c>
      <c r="W174" s="282">
        <v>0</v>
      </c>
      <c r="Y174" s="311">
        <v>9646.3800000000047</v>
      </c>
      <c r="Z174" s="192">
        <f t="shared" si="535"/>
        <v>0</v>
      </c>
      <c r="AA174" t="str">
        <f t="shared" si="536"/>
        <v>-</v>
      </c>
      <c r="AB174" t="str">
        <f t="shared" si="537"/>
        <v>-</v>
      </c>
      <c r="AC174" s="523"/>
      <c r="AD174" s="34">
        <f>C174-GAAP!C178</f>
        <v>127158.64</v>
      </c>
      <c r="AF174" s="64">
        <f t="shared" si="513"/>
        <v>129965.06</v>
      </c>
      <c r="AG174" s="64">
        <f t="shared" si="514"/>
        <v>120318.68</v>
      </c>
      <c r="AH174" s="64">
        <f t="shared" si="515"/>
        <v>9646.3800000000047</v>
      </c>
      <c r="AI174" s="217">
        <f t="shared" si="516"/>
        <v>1</v>
      </c>
      <c r="AJ174" s="98">
        <f t="shared" si="517"/>
        <v>9646.3800000000047</v>
      </c>
      <c r="AK174" s="98">
        <f t="shared" si="518"/>
        <v>129965.06</v>
      </c>
      <c r="AL174" s="98">
        <f t="shared" si="519"/>
        <v>0</v>
      </c>
      <c r="AM174" s="98">
        <f t="shared" si="520"/>
        <v>0</v>
      </c>
      <c r="AN174" s="98">
        <f t="shared" si="521"/>
        <v>0</v>
      </c>
      <c r="AO174" s="222">
        <f>GAAP!P173</f>
        <v>4519.6836518046712</v>
      </c>
      <c r="AP174" s="129">
        <f t="shared" si="522"/>
        <v>5126.6963481953335</v>
      </c>
    </row>
    <row r="175" spans="1:42" ht="13.5" customHeight="1">
      <c r="A175" s="258">
        <v>54.935099999999998</v>
      </c>
      <c r="B175" s="57" t="s">
        <v>453</v>
      </c>
      <c r="C175" s="163">
        <v>153298.79</v>
      </c>
      <c r="D175" s="354">
        <f t="shared" si="480"/>
        <v>136808.29999999999</v>
      </c>
      <c r="E175" s="149">
        <v>16490.49000000002</v>
      </c>
      <c r="F175" s="163">
        <v>136808.29999999999</v>
      </c>
      <c r="G175" s="217">
        <f t="shared" si="481"/>
        <v>1</v>
      </c>
      <c r="H175" s="149">
        <v>16490.49000000002</v>
      </c>
      <c r="I175" s="214">
        <f t="shared" si="482"/>
        <v>153298.79</v>
      </c>
      <c r="J175" s="149">
        <v>153298.79</v>
      </c>
      <c r="K175" s="214">
        <f t="shared" si="507"/>
        <v>0</v>
      </c>
      <c r="L175" s="214">
        <f t="shared" si="508"/>
        <v>0</v>
      </c>
      <c r="M175" s="214">
        <f t="shared" si="509"/>
        <v>0</v>
      </c>
      <c r="N175" s="222">
        <v>136808.29999999999</v>
      </c>
      <c r="O175" s="222">
        <v>105656.18</v>
      </c>
      <c r="P175" s="222">
        <v>11095.267103478103</v>
      </c>
      <c r="Q175" s="214">
        <f t="shared" si="510"/>
        <v>0</v>
      </c>
      <c r="R175" s="214">
        <f t="shared" si="511"/>
        <v>47642.610000000015</v>
      </c>
      <c r="S175" s="214">
        <f t="shared" si="512"/>
        <v>5395.2228965219165</v>
      </c>
      <c r="T175" s="273" t="s">
        <v>278</v>
      </c>
      <c r="U175" s="273" t="s">
        <v>510</v>
      </c>
      <c r="V175" s="57" t="str">
        <f t="shared" si="538"/>
        <v>&lt; 250k</v>
      </c>
      <c r="W175" s="282">
        <v>0</v>
      </c>
      <c r="Y175" s="311">
        <v>5395.2228965219165</v>
      </c>
      <c r="Z175" s="192">
        <f t="shared" si="535"/>
        <v>0</v>
      </c>
      <c r="AA175" t="str">
        <f t="shared" si="536"/>
        <v>-</v>
      </c>
      <c r="AB175" t="str">
        <f t="shared" si="537"/>
        <v>-</v>
      </c>
      <c r="AC175" s="523"/>
      <c r="AD175" s="34">
        <f>C175-GAAP!C172</f>
        <v>146198.79</v>
      </c>
      <c r="AF175" s="64">
        <f t="shared" si="513"/>
        <v>153298.79</v>
      </c>
      <c r="AG175" s="64">
        <f t="shared" si="514"/>
        <v>136808.29999999999</v>
      </c>
      <c r="AH175" s="64">
        <f t="shared" si="515"/>
        <v>16490.49000000002</v>
      </c>
      <c r="AI175" s="217">
        <f t="shared" si="516"/>
        <v>1</v>
      </c>
      <c r="AJ175" s="98">
        <f t="shared" si="517"/>
        <v>16490.49000000002</v>
      </c>
      <c r="AK175" s="98">
        <f t="shared" si="518"/>
        <v>153298.79</v>
      </c>
      <c r="AL175" s="98">
        <f t="shared" si="519"/>
        <v>0</v>
      </c>
      <c r="AM175" s="98">
        <f t="shared" si="520"/>
        <v>0</v>
      </c>
      <c r="AN175" s="98">
        <f t="shared" si="521"/>
        <v>0</v>
      </c>
      <c r="AO175" s="222">
        <f>GAAP!P167</f>
        <v>0</v>
      </c>
      <c r="AP175" s="129">
        <f t="shared" si="522"/>
        <v>16490.49000000002</v>
      </c>
    </row>
    <row r="176" spans="1:42" ht="13.5" customHeight="1">
      <c r="A176" s="258">
        <v>54.935299999999998</v>
      </c>
      <c r="B176" s="57" t="s">
        <v>454</v>
      </c>
      <c r="C176" s="163">
        <v>2008.42</v>
      </c>
      <c r="D176" s="354">
        <f t="shared" si="480"/>
        <v>1117.5</v>
      </c>
      <c r="E176" s="149">
        <v>890.92000000000007</v>
      </c>
      <c r="F176" s="163">
        <v>1117.5</v>
      </c>
      <c r="G176" s="217">
        <f t="shared" si="481"/>
        <v>1</v>
      </c>
      <c r="H176" s="149">
        <v>890.92000000000007</v>
      </c>
      <c r="I176" s="214">
        <f t="shared" si="482"/>
        <v>2008.42</v>
      </c>
      <c r="J176" s="149">
        <v>2008.42</v>
      </c>
      <c r="K176" s="214">
        <f t="shared" si="507"/>
        <v>0</v>
      </c>
      <c r="L176" s="214">
        <f t="shared" si="508"/>
        <v>0</v>
      </c>
      <c r="M176" s="214">
        <f t="shared" si="509"/>
        <v>0</v>
      </c>
      <c r="N176" s="222">
        <v>1117.5</v>
      </c>
      <c r="O176" s="222">
        <v>0</v>
      </c>
      <c r="P176" s="222">
        <v>0</v>
      </c>
      <c r="Q176" s="214">
        <f t="shared" si="510"/>
        <v>0</v>
      </c>
      <c r="R176" s="214">
        <f t="shared" si="511"/>
        <v>2008.42</v>
      </c>
      <c r="S176" s="214">
        <f t="shared" si="512"/>
        <v>890.92000000000007</v>
      </c>
      <c r="T176" s="273" t="s">
        <v>278</v>
      </c>
      <c r="U176" s="273" t="s">
        <v>510</v>
      </c>
      <c r="V176" s="57" t="s">
        <v>544</v>
      </c>
      <c r="W176" s="282">
        <v>0</v>
      </c>
      <c r="Y176" s="311">
        <v>890.92000000000007</v>
      </c>
      <c r="Z176" s="192">
        <f t="shared" si="535"/>
        <v>0</v>
      </c>
      <c r="AA176" t="str">
        <f t="shared" si="536"/>
        <v>-</v>
      </c>
      <c r="AB176" t="str">
        <f t="shared" si="537"/>
        <v>-</v>
      </c>
      <c r="AC176" s="523"/>
      <c r="AD176" s="34">
        <v>-151290.37</v>
      </c>
      <c r="AF176" s="64">
        <f t="shared" si="513"/>
        <v>2008.42</v>
      </c>
      <c r="AG176" s="64">
        <f t="shared" si="514"/>
        <v>1117.5</v>
      </c>
      <c r="AH176" s="64">
        <f t="shared" si="515"/>
        <v>890.92000000000007</v>
      </c>
      <c r="AI176" s="217">
        <f t="shared" si="516"/>
        <v>1</v>
      </c>
      <c r="AJ176" s="98">
        <f t="shared" si="517"/>
        <v>890.92000000000007</v>
      </c>
      <c r="AK176" s="98">
        <f t="shared" si="518"/>
        <v>2008.42</v>
      </c>
      <c r="AL176" s="98">
        <f t="shared" si="519"/>
        <v>0</v>
      </c>
      <c r="AM176" s="98">
        <f t="shared" si="520"/>
        <v>0</v>
      </c>
      <c r="AN176" s="98">
        <f t="shared" si="521"/>
        <v>0</v>
      </c>
      <c r="AO176" s="222">
        <f>GAAP!P165</f>
        <v>62853.415841272123</v>
      </c>
      <c r="AP176" s="129">
        <f t="shared" si="522"/>
        <v>-61962.495841272124</v>
      </c>
    </row>
    <row r="177" spans="1:42" ht="13.5" customHeight="1">
      <c r="A177" s="258">
        <v>54.935400000000001</v>
      </c>
      <c r="B177" s="57" t="s">
        <v>455</v>
      </c>
      <c r="C177" s="163">
        <v>9571.2000000000007</v>
      </c>
      <c r="D177" s="354">
        <f t="shared" si="480"/>
        <v>8230.8300000000017</v>
      </c>
      <c r="E177" s="149">
        <v>1340.369999999999</v>
      </c>
      <c r="F177" s="163">
        <v>8230.8300000000017</v>
      </c>
      <c r="G177" s="217">
        <f t="shared" si="481"/>
        <v>1</v>
      </c>
      <c r="H177" s="149">
        <v>1340.369999999999</v>
      </c>
      <c r="I177" s="214">
        <f t="shared" si="482"/>
        <v>9571.2000000000007</v>
      </c>
      <c r="J177" s="149">
        <v>9571.2000000000007</v>
      </c>
      <c r="K177" s="214">
        <f t="shared" si="507"/>
        <v>0</v>
      </c>
      <c r="L177" s="214">
        <f t="shared" si="508"/>
        <v>0</v>
      </c>
      <c r="M177" s="214">
        <f t="shared" si="509"/>
        <v>0</v>
      </c>
      <c r="N177" s="222">
        <v>12351.11</v>
      </c>
      <c r="O177" s="222">
        <v>14274.54</v>
      </c>
      <c r="P177" s="222">
        <v>1923.4300000000003</v>
      </c>
      <c r="Q177" s="214">
        <f t="shared" si="510"/>
        <v>-4120.2799999999988</v>
      </c>
      <c r="R177" s="214">
        <f t="shared" si="511"/>
        <v>-4703.34</v>
      </c>
      <c r="S177" s="214">
        <f t="shared" si="512"/>
        <v>-583.06000000000131</v>
      </c>
      <c r="T177" s="273" t="s">
        <v>278</v>
      </c>
      <c r="U177" s="273" t="s">
        <v>510</v>
      </c>
      <c r="V177" s="57" t="s">
        <v>544</v>
      </c>
      <c r="W177" s="282">
        <v>1923.4300000000003</v>
      </c>
      <c r="Y177" s="311">
        <v>-583.06000000000131</v>
      </c>
      <c r="Z177" s="192">
        <f t="shared" si="535"/>
        <v>0</v>
      </c>
      <c r="AA177" t="str">
        <f t="shared" si="536"/>
        <v>-</v>
      </c>
      <c r="AB177" t="str">
        <f t="shared" si="537"/>
        <v>-</v>
      </c>
      <c r="AC177" s="523"/>
      <c r="AD177" s="34">
        <v>12266.12</v>
      </c>
      <c r="AF177" s="64">
        <f t="shared" si="513"/>
        <v>9571.2000000000007</v>
      </c>
      <c r="AG177" s="64">
        <f t="shared" si="514"/>
        <v>8230.8300000000017</v>
      </c>
      <c r="AH177" s="64">
        <f t="shared" si="515"/>
        <v>1340.369999999999</v>
      </c>
      <c r="AI177" s="217">
        <f t="shared" si="516"/>
        <v>1</v>
      </c>
      <c r="AJ177" s="98">
        <f t="shared" si="517"/>
        <v>1340.369999999999</v>
      </c>
      <c r="AK177" s="98">
        <f t="shared" si="518"/>
        <v>9571.2000000000007</v>
      </c>
      <c r="AL177" s="98">
        <f t="shared" si="519"/>
        <v>0</v>
      </c>
      <c r="AM177" s="98">
        <f t="shared" si="520"/>
        <v>0</v>
      </c>
      <c r="AN177" s="98">
        <f t="shared" si="521"/>
        <v>0</v>
      </c>
      <c r="AO177" s="222">
        <f>GAAP!P166</f>
        <v>0</v>
      </c>
      <c r="AP177" s="129">
        <f t="shared" si="522"/>
        <v>1340.369999999999</v>
      </c>
    </row>
    <row r="178" spans="1:42" ht="13.5" customHeight="1">
      <c r="A178" s="258">
        <v>54.935499999999998</v>
      </c>
      <c r="B178" s="57" t="s">
        <v>456</v>
      </c>
      <c r="C178" s="163">
        <v>2806.42</v>
      </c>
      <c r="D178" s="354">
        <f t="shared" si="480"/>
        <v>1815.23</v>
      </c>
      <c r="E178" s="149">
        <v>991.19</v>
      </c>
      <c r="F178" s="163">
        <v>1815.23</v>
      </c>
      <c r="G178" s="217">
        <f t="shared" si="481"/>
        <v>1</v>
      </c>
      <c r="H178" s="149">
        <v>991.19</v>
      </c>
      <c r="I178" s="214">
        <f t="shared" si="482"/>
        <v>2806.42</v>
      </c>
      <c r="J178" s="149">
        <v>2806.42</v>
      </c>
      <c r="K178" s="214">
        <f t="shared" si="507"/>
        <v>0</v>
      </c>
      <c r="L178" s="214">
        <f t="shared" si="508"/>
        <v>0</v>
      </c>
      <c r="M178" s="214">
        <f t="shared" si="509"/>
        <v>0</v>
      </c>
      <c r="N178" s="222">
        <v>1815.23</v>
      </c>
      <c r="O178" s="222">
        <v>0</v>
      </c>
      <c r="P178" s="222">
        <v>0</v>
      </c>
      <c r="Q178" s="214">
        <f t="shared" si="510"/>
        <v>0</v>
      </c>
      <c r="R178" s="214">
        <f t="shared" si="511"/>
        <v>2806.42</v>
      </c>
      <c r="S178" s="214">
        <f t="shared" si="512"/>
        <v>991.19</v>
      </c>
      <c r="T178" s="273" t="s">
        <v>278</v>
      </c>
      <c r="U178" s="273" t="s">
        <v>510</v>
      </c>
      <c r="V178" s="57" t="s">
        <v>544</v>
      </c>
      <c r="W178" s="282">
        <v>0</v>
      </c>
      <c r="Y178" s="311">
        <v>991.19</v>
      </c>
      <c r="Z178" s="192">
        <f t="shared" si="535"/>
        <v>0</v>
      </c>
      <c r="AA178" t="str">
        <f t="shared" si="536"/>
        <v>-</v>
      </c>
      <c r="AB178" t="str">
        <f t="shared" si="537"/>
        <v>-</v>
      </c>
      <c r="AC178" s="523"/>
      <c r="AD178" s="34">
        <v>-11468.12</v>
      </c>
      <c r="AF178" s="64">
        <f t="shared" si="513"/>
        <v>2806.42</v>
      </c>
      <c r="AG178" s="64">
        <f t="shared" si="514"/>
        <v>1815.23</v>
      </c>
      <c r="AH178" s="64">
        <f t="shared" si="515"/>
        <v>991.19</v>
      </c>
      <c r="AI178" s="217">
        <f t="shared" si="516"/>
        <v>1</v>
      </c>
      <c r="AJ178" s="98">
        <f t="shared" si="517"/>
        <v>991.19</v>
      </c>
      <c r="AK178" s="98">
        <f t="shared" si="518"/>
        <v>2806.42</v>
      </c>
      <c r="AL178" s="98">
        <f t="shared" si="519"/>
        <v>0</v>
      </c>
      <c r="AM178" s="98">
        <f t="shared" si="520"/>
        <v>0</v>
      </c>
      <c r="AN178" s="98">
        <f t="shared" si="521"/>
        <v>0</v>
      </c>
      <c r="AO178" s="222">
        <f>GAAP!P167</f>
        <v>0</v>
      </c>
      <c r="AP178" s="129">
        <f t="shared" si="522"/>
        <v>991.19</v>
      </c>
    </row>
    <row r="179" spans="1:42" ht="13.5" customHeight="1">
      <c r="A179" s="258">
        <v>54.935699999999997</v>
      </c>
      <c r="B179" s="57" t="s">
        <v>457</v>
      </c>
      <c r="C179" s="163">
        <v>1760.42</v>
      </c>
      <c r="D179" s="354">
        <f t="shared" si="480"/>
        <v>889.66</v>
      </c>
      <c r="E179" s="149">
        <v>870.7600000000001</v>
      </c>
      <c r="F179" s="163">
        <v>889.66</v>
      </c>
      <c r="G179" s="217">
        <f t="shared" si="481"/>
        <v>1</v>
      </c>
      <c r="H179" s="149">
        <v>870.7600000000001</v>
      </c>
      <c r="I179" s="214">
        <f t="shared" si="482"/>
        <v>1760.42</v>
      </c>
      <c r="J179" s="149">
        <v>1760.42</v>
      </c>
      <c r="K179" s="214">
        <f t="shared" si="507"/>
        <v>0</v>
      </c>
      <c r="L179" s="214">
        <f t="shared" si="508"/>
        <v>0</v>
      </c>
      <c r="M179" s="214">
        <f t="shared" si="509"/>
        <v>0</v>
      </c>
      <c r="N179" s="222">
        <v>889.66</v>
      </c>
      <c r="O179" s="222">
        <v>0</v>
      </c>
      <c r="P179" s="222">
        <v>0</v>
      </c>
      <c r="Q179" s="214">
        <f t="shared" si="510"/>
        <v>0</v>
      </c>
      <c r="R179" s="214">
        <f t="shared" si="511"/>
        <v>1760.42</v>
      </c>
      <c r="S179" s="214">
        <f t="shared" si="512"/>
        <v>870.7600000000001</v>
      </c>
      <c r="T179" s="273" t="s">
        <v>278</v>
      </c>
      <c r="U179" s="273" t="s">
        <v>510</v>
      </c>
      <c r="V179" s="57" t="s">
        <v>544</v>
      </c>
      <c r="W179" s="282">
        <v>0</v>
      </c>
      <c r="Y179" s="311">
        <v>870.7600000000001</v>
      </c>
      <c r="Z179" s="192">
        <f t="shared" si="535"/>
        <v>0</v>
      </c>
      <c r="AA179" t="str">
        <f t="shared" si="536"/>
        <v>-</v>
      </c>
      <c r="AB179" t="str">
        <f t="shared" si="537"/>
        <v>-</v>
      </c>
      <c r="AC179" s="523"/>
      <c r="AD179" s="34">
        <v>-1293069.58</v>
      </c>
      <c r="AF179" s="64">
        <f t="shared" si="513"/>
        <v>1760.42</v>
      </c>
      <c r="AG179" s="64">
        <f t="shared" si="514"/>
        <v>889.66</v>
      </c>
      <c r="AH179" s="64">
        <f t="shared" si="515"/>
        <v>870.7600000000001</v>
      </c>
      <c r="AI179" s="217">
        <f t="shared" si="516"/>
        <v>1</v>
      </c>
      <c r="AJ179" s="98">
        <f t="shared" si="517"/>
        <v>870.7600000000001</v>
      </c>
      <c r="AK179" s="98">
        <f t="shared" si="518"/>
        <v>1760.42</v>
      </c>
      <c r="AL179" s="98">
        <f t="shared" si="519"/>
        <v>0</v>
      </c>
      <c r="AM179" s="98">
        <f t="shared" si="520"/>
        <v>0</v>
      </c>
      <c r="AN179" s="98">
        <f t="shared" si="521"/>
        <v>0</v>
      </c>
      <c r="AO179" s="222">
        <f>GAAP!P168</f>
        <v>14888.679999999993</v>
      </c>
      <c r="AP179" s="129">
        <f t="shared" si="522"/>
        <v>-14017.919999999993</v>
      </c>
    </row>
    <row r="180" spans="1:42" ht="13.5" customHeight="1">
      <c r="A180" s="258">
        <v>54.9358</v>
      </c>
      <c r="B180" s="57" t="s">
        <v>472</v>
      </c>
      <c r="C180" s="163">
        <v>1147640</v>
      </c>
      <c r="D180" s="354">
        <f t="shared" si="480"/>
        <v>1125399.83</v>
      </c>
      <c r="E180" s="149">
        <v>22240.169999999925</v>
      </c>
      <c r="F180" s="163">
        <v>1125399.83</v>
      </c>
      <c r="G180" s="217">
        <f t="shared" si="481"/>
        <v>1</v>
      </c>
      <c r="H180" s="149">
        <v>22240.169999999925</v>
      </c>
      <c r="I180" s="214">
        <f t="shared" si="482"/>
        <v>1147640</v>
      </c>
      <c r="J180" s="149">
        <v>1147640</v>
      </c>
      <c r="K180" s="214">
        <f t="shared" si="507"/>
        <v>0</v>
      </c>
      <c r="L180" s="214">
        <f t="shared" si="508"/>
        <v>0</v>
      </c>
      <c r="M180" s="214">
        <f t="shared" si="509"/>
        <v>0</v>
      </c>
      <c r="N180" s="222">
        <v>320292.15000000002</v>
      </c>
      <c r="O180" s="222">
        <v>268994</v>
      </c>
      <c r="P180" s="222">
        <v>15917.550693127087</v>
      </c>
      <c r="Q180" s="214">
        <f t="shared" si="510"/>
        <v>805107.68</v>
      </c>
      <c r="R180" s="214">
        <f t="shared" si="511"/>
        <v>878646</v>
      </c>
      <c r="S180" s="214">
        <f t="shared" si="512"/>
        <v>6322.6193068728389</v>
      </c>
      <c r="T180" s="273" t="s">
        <v>278</v>
      </c>
      <c r="U180" s="273" t="s">
        <v>510</v>
      </c>
      <c r="V180" s="57" t="str">
        <f t="shared" ref="V180" si="539">IF(C180&lt;250000, "&lt; 250k",".")</f>
        <v>.</v>
      </c>
      <c r="W180" s="282">
        <v>15917.550693127087</v>
      </c>
      <c r="Y180" s="311">
        <v>6322.6193068728389</v>
      </c>
      <c r="Z180" s="192">
        <f t="shared" si="535"/>
        <v>0</v>
      </c>
      <c r="AA180" t="str">
        <f t="shared" si="536"/>
        <v>-</v>
      </c>
      <c r="AB180" t="str">
        <f t="shared" si="537"/>
        <v>-</v>
      </c>
      <c r="AC180" s="523"/>
      <c r="AD180" s="34">
        <f>C180-GAAP!C198</f>
        <v>1068108.02</v>
      </c>
      <c r="AF180" s="64">
        <f t="shared" si="513"/>
        <v>1147640</v>
      </c>
      <c r="AG180" s="64">
        <f t="shared" si="514"/>
        <v>1125399.83</v>
      </c>
      <c r="AH180" s="64">
        <f t="shared" si="515"/>
        <v>22240.169999999925</v>
      </c>
      <c r="AI180" s="217">
        <f t="shared" si="516"/>
        <v>1</v>
      </c>
      <c r="AJ180" s="98">
        <f t="shared" si="517"/>
        <v>22240.169999999925</v>
      </c>
      <c r="AK180" s="98">
        <f t="shared" si="518"/>
        <v>1147640</v>
      </c>
      <c r="AL180" s="98">
        <f t="shared" si="519"/>
        <v>0</v>
      </c>
      <c r="AM180" s="98">
        <f t="shared" si="520"/>
        <v>0</v>
      </c>
      <c r="AN180" s="98">
        <f t="shared" si="521"/>
        <v>0</v>
      </c>
      <c r="AO180" s="222">
        <f>GAAP!P188</f>
        <v>0</v>
      </c>
      <c r="AP180" s="129">
        <f t="shared" si="522"/>
        <v>22240.169999999925</v>
      </c>
    </row>
    <row r="181" spans="1:42" ht="13.5" customHeight="1">
      <c r="A181" s="258">
        <v>54.936</v>
      </c>
      <c r="B181" s="57" t="s">
        <v>458</v>
      </c>
      <c r="C181" s="163">
        <v>1855.92</v>
      </c>
      <c r="D181" s="354">
        <f t="shared" si="480"/>
        <v>1144.8800000000001</v>
      </c>
      <c r="E181" s="149">
        <v>711.04</v>
      </c>
      <c r="F181" s="163">
        <v>1144.8800000000001</v>
      </c>
      <c r="G181" s="217">
        <f t="shared" si="481"/>
        <v>1</v>
      </c>
      <c r="H181" s="149">
        <v>711.04</v>
      </c>
      <c r="I181" s="214">
        <f t="shared" si="482"/>
        <v>1855.92</v>
      </c>
      <c r="J181" s="149">
        <v>1855.92</v>
      </c>
      <c r="K181" s="214">
        <f t="shared" si="507"/>
        <v>0</v>
      </c>
      <c r="L181" s="214">
        <f t="shared" si="508"/>
        <v>0</v>
      </c>
      <c r="M181" s="214">
        <f t="shared" si="509"/>
        <v>0</v>
      </c>
      <c r="N181" s="222">
        <v>1144.8800000000001</v>
      </c>
      <c r="O181" s="222">
        <v>0</v>
      </c>
      <c r="P181" s="222">
        <v>0</v>
      </c>
      <c r="Q181" s="214">
        <f t="shared" si="510"/>
        <v>0</v>
      </c>
      <c r="R181" s="214">
        <f t="shared" si="511"/>
        <v>1855.92</v>
      </c>
      <c r="S181" s="214">
        <f t="shared" si="512"/>
        <v>711.04</v>
      </c>
      <c r="T181" s="273" t="s">
        <v>278</v>
      </c>
      <c r="U181" s="273" t="s">
        <v>510</v>
      </c>
      <c r="V181" s="57" t="s">
        <v>544</v>
      </c>
      <c r="W181" s="282">
        <v>0</v>
      </c>
      <c r="Y181" s="311">
        <v>711.04</v>
      </c>
      <c r="Z181" s="192">
        <f t="shared" si="535"/>
        <v>0</v>
      </c>
      <c r="AA181" t="str">
        <f t="shared" si="536"/>
        <v>-</v>
      </c>
      <c r="AB181" t="str">
        <f t="shared" si="537"/>
        <v>-</v>
      </c>
      <c r="AC181" s="523"/>
      <c r="AD181" s="34">
        <v>-1145784.08</v>
      </c>
      <c r="AF181" s="64">
        <f t="shared" si="513"/>
        <v>1855.92</v>
      </c>
      <c r="AG181" s="64">
        <f t="shared" si="514"/>
        <v>1144.8800000000001</v>
      </c>
      <c r="AH181" s="64">
        <f t="shared" si="515"/>
        <v>711.04</v>
      </c>
      <c r="AI181" s="217">
        <f t="shared" si="516"/>
        <v>1</v>
      </c>
      <c r="AJ181" s="98">
        <f t="shared" si="517"/>
        <v>711.04</v>
      </c>
      <c r="AK181" s="98">
        <f t="shared" si="518"/>
        <v>1855.92</v>
      </c>
      <c r="AL181" s="98">
        <f t="shared" si="519"/>
        <v>0</v>
      </c>
      <c r="AM181" s="98">
        <f t="shared" si="520"/>
        <v>0</v>
      </c>
      <c r="AN181" s="98">
        <f t="shared" si="521"/>
        <v>0</v>
      </c>
      <c r="AO181" s="222">
        <f>GAAP!P169</f>
        <v>54179.797702390708</v>
      </c>
      <c r="AP181" s="129">
        <f t="shared" si="522"/>
        <v>-53468.757702390707</v>
      </c>
    </row>
    <row r="182" spans="1:42" ht="13.5" customHeight="1">
      <c r="A182" s="258">
        <v>54.936100000000003</v>
      </c>
      <c r="B182" s="57" t="s">
        <v>515</v>
      </c>
      <c r="C182" s="163">
        <v>108668.35</v>
      </c>
      <c r="D182" s="354">
        <f t="shared" si="480"/>
        <v>107074.87000000001</v>
      </c>
      <c r="E182" s="149">
        <v>1593.4799999999959</v>
      </c>
      <c r="F182" s="163">
        <v>107074.87000000001</v>
      </c>
      <c r="G182" s="217">
        <f t="shared" si="481"/>
        <v>1</v>
      </c>
      <c r="H182" s="149">
        <v>1593.4799999999959</v>
      </c>
      <c r="I182" s="214">
        <f t="shared" si="482"/>
        <v>108668.35</v>
      </c>
      <c r="J182" s="149">
        <v>108668.35</v>
      </c>
      <c r="K182" s="214">
        <f t="shared" si="507"/>
        <v>0</v>
      </c>
      <c r="L182" s="214">
        <f t="shared" si="508"/>
        <v>0</v>
      </c>
      <c r="M182" s="214">
        <f t="shared" si="509"/>
        <v>0</v>
      </c>
      <c r="N182" s="222"/>
      <c r="O182" s="222"/>
      <c r="P182" s="222"/>
      <c r="Q182" s="214">
        <f t="shared" si="510"/>
        <v>107074.87000000001</v>
      </c>
      <c r="R182" s="214">
        <f t="shared" si="511"/>
        <v>108668.35</v>
      </c>
      <c r="S182" s="214">
        <f t="shared" si="512"/>
        <v>1593.4799999999959</v>
      </c>
      <c r="T182" s="273" t="s">
        <v>510</v>
      </c>
      <c r="U182" s="273" t="s">
        <v>510</v>
      </c>
      <c r="V182" s="57" t="str">
        <f t="shared" ref="V182" si="540">IF(C182&lt;250000, "&lt; 250k",".")</f>
        <v>&lt; 250k</v>
      </c>
      <c r="Y182" s="311">
        <v>1593.4799999999959</v>
      </c>
      <c r="Z182" s="192">
        <f t="shared" si="535"/>
        <v>0</v>
      </c>
      <c r="AA182" t="str">
        <f t="shared" si="536"/>
        <v>-</v>
      </c>
      <c r="AB182" t="str">
        <f t="shared" si="537"/>
        <v>-</v>
      </c>
      <c r="AC182" s="523"/>
      <c r="AD182" s="34"/>
      <c r="AF182" s="64">
        <f t="shared" si="513"/>
        <v>108668.35</v>
      </c>
      <c r="AG182" s="64">
        <f t="shared" si="514"/>
        <v>107074.87000000001</v>
      </c>
      <c r="AH182" s="64">
        <f t="shared" si="515"/>
        <v>1593.4799999999959</v>
      </c>
      <c r="AI182" s="217">
        <f t="shared" si="516"/>
        <v>1</v>
      </c>
      <c r="AJ182" s="98">
        <f t="shared" si="517"/>
        <v>1593.4799999999959</v>
      </c>
      <c r="AK182" s="98">
        <f t="shared" si="518"/>
        <v>108668.35</v>
      </c>
      <c r="AL182" s="98">
        <f t="shared" si="519"/>
        <v>0</v>
      </c>
      <c r="AM182" s="98">
        <f t="shared" si="520"/>
        <v>0</v>
      </c>
      <c r="AN182" s="98">
        <f t="shared" si="521"/>
        <v>0</v>
      </c>
      <c r="AO182" s="222">
        <f>GAAP!P214</f>
        <v>0</v>
      </c>
      <c r="AP182" s="129">
        <f t="shared" si="522"/>
        <v>1593.4799999999959</v>
      </c>
    </row>
    <row r="183" spans="1:42" ht="13.5" customHeight="1">
      <c r="A183" s="258">
        <v>54.936199999999999</v>
      </c>
      <c r="B183" s="57" t="s">
        <v>481</v>
      </c>
      <c r="C183" s="163">
        <v>425035.04</v>
      </c>
      <c r="D183" s="354">
        <f t="shared" si="480"/>
        <v>375601.24</v>
      </c>
      <c r="E183" s="149">
        <v>49433.799999999988</v>
      </c>
      <c r="F183" s="163">
        <v>375601.24</v>
      </c>
      <c r="G183" s="217">
        <f t="shared" si="481"/>
        <v>1</v>
      </c>
      <c r="H183" s="149">
        <v>49433.799999999988</v>
      </c>
      <c r="I183" s="214">
        <f t="shared" si="482"/>
        <v>425035.04</v>
      </c>
      <c r="J183" s="149">
        <v>425035.04</v>
      </c>
      <c r="K183" s="214">
        <f t="shared" si="507"/>
        <v>0</v>
      </c>
      <c r="L183" s="214">
        <f t="shared" si="508"/>
        <v>0</v>
      </c>
      <c r="M183" s="214">
        <f t="shared" si="509"/>
        <v>0</v>
      </c>
      <c r="N183" s="222">
        <v>162458.93</v>
      </c>
      <c r="O183" s="222">
        <v>0</v>
      </c>
      <c r="P183" s="222">
        <v>18050.992222222223</v>
      </c>
      <c r="Q183" s="214">
        <f t="shared" si="510"/>
        <v>213142.31</v>
      </c>
      <c r="R183" s="214">
        <f t="shared" si="511"/>
        <v>425035.04</v>
      </c>
      <c r="S183" s="214">
        <f t="shared" si="512"/>
        <v>31382.807777777765</v>
      </c>
      <c r="T183" s="273" t="s">
        <v>278</v>
      </c>
      <c r="U183" s="273" t="s">
        <v>510</v>
      </c>
      <c r="V183" s="57" t="s">
        <v>545</v>
      </c>
      <c r="W183" s="282">
        <v>0</v>
      </c>
      <c r="Y183" s="311">
        <v>31382.807777777765</v>
      </c>
      <c r="Z183" s="192">
        <f t="shared" si="535"/>
        <v>0</v>
      </c>
      <c r="AA183" t="str">
        <f t="shared" si="536"/>
        <v>-</v>
      </c>
      <c r="AB183" t="str">
        <f t="shared" si="537"/>
        <v>-</v>
      </c>
      <c r="AC183" s="523"/>
      <c r="AD183" s="34">
        <v>423179.12</v>
      </c>
      <c r="AF183" s="64">
        <f t="shared" si="513"/>
        <v>425035.04</v>
      </c>
      <c r="AG183" s="64">
        <f t="shared" si="514"/>
        <v>375601.24</v>
      </c>
      <c r="AH183" s="64">
        <f t="shared" si="515"/>
        <v>49433.799999999988</v>
      </c>
      <c r="AI183" s="217">
        <f t="shared" si="516"/>
        <v>1</v>
      </c>
      <c r="AJ183" s="98">
        <f t="shared" si="517"/>
        <v>49433.799999999988</v>
      </c>
      <c r="AK183" s="98">
        <f t="shared" si="518"/>
        <v>425035.04</v>
      </c>
      <c r="AL183" s="98">
        <f t="shared" si="519"/>
        <v>0</v>
      </c>
      <c r="AM183" s="98">
        <f t="shared" si="520"/>
        <v>0</v>
      </c>
      <c r="AN183" s="98">
        <f t="shared" si="521"/>
        <v>0</v>
      </c>
      <c r="AO183" s="222">
        <f>GAAP!P170</f>
        <v>9297.3859483269152</v>
      </c>
      <c r="AP183" s="129">
        <f t="shared" si="522"/>
        <v>40136.414051673069</v>
      </c>
    </row>
    <row r="184" spans="1:42" ht="13.5" customHeight="1">
      <c r="A184" s="258">
        <v>54.936300000000003</v>
      </c>
      <c r="B184" s="57" t="s">
        <v>459</v>
      </c>
      <c r="C184" s="163">
        <v>1855.92</v>
      </c>
      <c r="D184" s="354">
        <f t="shared" si="480"/>
        <v>777.55</v>
      </c>
      <c r="E184" s="149">
        <v>1078.3700000000001</v>
      </c>
      <c r="F184" s="163">
        <v>777.55</v>
      </c>
      <c r="G184" s="217">
        <f t="shared" si="481"/>
        <v>1</v>
      </c>
      <c r="H184" s="149">
        <v>1078.3700000000001</v>
      </c>
      <c r="I184" s="214">
        <f t="shared" si="482"/>
        <v>1855.92</v>
      </c>
      <c r="J184" s="149">
        <v>1855.92</v>
      </c>
      <c r="K184" s="214">
        <f t="shared" si="507"/>
        <v>0</v>
      </c>
      <c r="L184" s="214">
        <f t="shared" si="508"/>
        <v>0</v>
      </c>
      <c r="M184" s="214">
        <f t="shared" si="509"/>
        <v>0</v>
      </c>
      <c r="N184" s="222">
        <v>777.55</v>
      </c>
      <c r="O184" s="222">
        <v>0</v>
      </c>
      <c r="P184" s="222">
        <v>0</v>
      </c>
      <c r="Q184" s="214">
        <f t="shared" si="510"/>
        <v>0</v>
      </c>
      <c r="R184" s="214">
        <f t="shared" si="511"/>
        <v>1855.92</v>
      </c>
      <c r="S184" s="214">
        <f t="shared" si="512"/>
        <v>1078.3700000000001</v>
      </c>
      <c r="T184" s="273" t="s">
        <v>278</v>
      </c>
      <c r="U184" s="273" t="s">
        <v>510</v>
      </c>
      <c r="V184" s="57" t="s">
        <v>544</v>
      </c>
      <c r="W184" s="282">
        <v>0</v>
      </c>
      <c r="Y184" s="311">
        <v>1078.3700000000001</v>
      </c>
      <c r="Z184" s="192">
        <f t="shared" si="535"/>
        <v>0</v>
      </c>
      <c r="AA184" t="str">
        <f t="shared" si="536"/>
        <v>-</v>
      </c>
      <c r="AB184" t="str">
        <f t="shared" si="537"/>
        <v>-</v>
      </c>
      <c r="AC184" s="523"/>
      <c r="AD184" s="34">
        <v>-106144.08</v>
      </c>
      <c r="AF184" s="64">
        <f t="shared" si="513"/>
        <v>1855.92</v>
      </c>
      <c r="AG184" s="64">
        <f t="shared" si="514"/>
        <v>777.55</v>
      </c>
      <c r="AH184" s="64">
        <f t="shared" si="515"/>
        <v>1078.3700000000001</v>
      </c>
      <c r="AI184" s="217">
        <f t="shared" si="516"/>
        <v>1</v>
      </c>
      <c r="AJ184" s="98">
        <f t="shared" si="517"/>
        <v>1078.3700000000001</v>
      </c>
      <c r="AK184" s="98">
        <f t="shared" si="518"/>
        <v>1855.92</v>
      </c>
      <c r="AL184" s="98">
        <f t="shared" si="519"/>
        <v>0</v>
      </c>
      <c r="AM184" s="98">
        <f t="shared" si="520"/>
        <v>0</v>
      </c>
      <c r="AN184" s="98">
        <f t="shared" si="521"/>
        <v>0</v>
      </c>
      <c r="AO184" s="222">
        <f>GAAP!P171</f>
        <v>41394.11273245293</v>
      </c>
      <c r="AP184" s="129">
        <f t="shared" si="522"/>
        <v>-40315.742732452927</v>
      </c>
    </row>
    <row r="185" spans="1:42" ht="13.5" customHeight="1">
      <c r="A185" s="258">
        <v>54.936500000000002</v>
      </c>
      <c r="B185" s="57" t="s">
        <v>460</v>
      </c>
      <c r="C185" s="163">
        <v>2216.42</v>
      </c>
      <c r="D185" s="354">
        <f t="shared" si="480"/>
        <v>1263.33</v>
      </c>
      <c r="E185" s="149">
        <v>953.09000000000015</v>
      </c>
      <c r="F185" s="163">
        <v>1263.33</v>
      </c>
      <c r="G185" s="217">
        <f t="shared" si="481"/>
        <v>1</v>
      </c>
      <c r="H185" s="149">
        <v>953.09000000000015</v>
      </c>
      <c r="I185" s="214">
        <f t="shared" si="482"/>
        <v>2216.42</v>
      </c>
      <c r="J185" s="149">
        <v>2216.42</v>
      </c>
      <c r="K185" s="214">
        <f t="shared" si="507"/>
        <v>0</v>
      </c>
      <c r="L185" s="214">
        <f t="shared" si="508"/>
        <v>0</v>
      </c>
      <c r="M185" s="214">
        <f t="shared" si="509"/>
        <v>0</v>
      </c>
      <c r="N185" s="222">
        <v>1263.33</v>
      </c>
      <c r="O185" s="222">
        <v>0</v>
      </c>
      <c r="P185" s="222">
        <v>0</v>
      </c>
      <c r="Q185" s="214">
        <f t="shared" si="510"/>
        <v>0</v>
      </c>
      <c r="R185" s="214">
        <f t="shared" si="511"/>
        <v>2216.42</v>
      </c>
      <c r="S185" s="214">
        <f t="shared" si="512"/>
        <v>953.09000000000015</v>
      </c>
      <c r="T185" s="273" t="s">
        <v>278</v>
      </c>
      <c r="U185" s="273" t="s">
        <v>510</v>
      </c>
      <c r="V185" s="57" t="s">
        <v>544</v>
      </c>
      <c r="W185" s="282">
        <v>0</v>
      </c>
      <c r="Y185" s="311">
        <v>953.09000000000015</v>
      </c>
      <c r="Z185" s="192">
        <f t="shared" si="535"/>
        <v>0</v>
      </c>
      <c r="AA185" t="str">
        <f t="shared" si="536"/>
        <v>-</v>
      </c>
      <c r="AB185" t="str">
        <f t="shared" si="537"/>
        <v>-</v>
      </c>
      <c r="AC185" s="523"/>
      <c r="AD185" s="34">
        <v>-422818.62</v>
      </c>
      <c r="AF185" s="64">
        <f t="shared" si="513"/>
        <v>2216.42</v>
      </c>
      <c r="AG185" s="64">
        <f t="shared" si="514"/>
        <v>1263.33</v>
      </c>
      <c r="AH185" s="64">
        <f t="shared" si="515"/>
        <v>953.09000000000015</v>
      </c>
      <c r="AI185" s="217">
        <f t="shared" si="516"/>
        <v>1</v>
      </c>
      <c r="AJ185" s="98">
        <f t="shared" si="517"/>
        <v>953.09000000000015</v>
      </c>
      <c r="AK185" s="98">
        <f t="shared" si="518"/>
        <v>2216.42</v>
      </c>
      <c r="AL185" s="98">
        <f t="shared" si="519"/>
        <v>0</v>
      </c>
      <c r="AM185" s="98">
        <f t="shared" si="520"/>
        <v>0</v>
      </c>
      <c r="AN185" s="98">
        <f t="shared" si="521"/>
        <v>0</v>
      </c>
      <c r="AO185" s="222">
        <f>GAAP!P172</f>
        <v>0</v>
      </c>
      <c r="AP185" s="129">
        <f t="shared" si="522"/>
        <v>953.09000000000015</v>
      </c>
    </row>
    <row r="186" spans="1:42" ht="13.5" customHeight="1">
      <c r="A186" s="258">
        <v>54.936700000000002</v>
      </c>
      <c r="B186" s="57" t="s">
        <v>461</v>
      </c>
      <c r="C186" s="163">
        <v>2540.42</v>
      </c>
      <c r="D186" s="354">
        <f t="shared" si="480"/>
        <v>1602.33</v>
      </c>
      <c r="E186" s="149">
        <v>938.09000000000015</v>
      </c>
      <c r="F186" s="163">
        <v>1602.33</v>
      </c>
      <c r="G186" s="217">
        <f t="shared" si="481"/>
        <v>1</v>
      </c>
      <c r="H186" s="149">
        <v>938.09000000000015</v>
      </c>
      <c r="I186" s="214">
        <f t="shared" si="482"/>
        <v>2540.42</v>
      </c>
      <c r="J186" s="149">
        <v>2540.42</v>
      </c>
      <c r="K186" s="214">
        <f t="shared" si="507"/>
        <v>0</v>
      </c>
      <c r="L186" s="214">
        <f t="shared" si="508"/>
        <v>0</v>
      </c>
      <c r="M186" s="214">
        <f t="shared" si="509"/>
        <v>0</v>
      </c>
      <c r="N186" s="222">
        <v>1602.33</v>
      </c>
      <c r="O186" s="222">
        <v>0</v>
      </c>
      <c r="P186" s="222">
        <v>0</v>
      </c>
      <c r="Q186" s="214">
        <f t="shared" si="510"/>
        <v>0</v>
      </c>
      <c r="R186" s="214">
        <f t="shared" si="511"/>
        <v>2540.42</v>
      </c>
      <c r="S186" s="214">
        <f t="shared" si="512"/>
        <v>938.09000000000015</v>
      </c>
      <c r="T186" s="273" t="s">
        <v>278</v>
      </c>
      <c r="U186" s="273" t="s">
        <v>510</v>
      </c>
      <c r="V186" s="57" t="s">
        <v>544</v>
      </c>
      <c r="W186" s="282">
        <v>0</v>
      </c>
      <c r="Y186" s="311">
        <v>938.09000000000015</v>
      </c>
      <c r="Z186" s="192">
        <f t="shared" si="535"/>
        <v>0</v>
      </c>
      <c r="AA186" t="str">
        <f t="shared" si="536"/>
        <v>-</v>
      </c>
      <c r="AB186" t="str">
        <f t="shared" si="537"/>
        <v>-</v>
      </c>
      <c r="AC186" s="523"/>
      <c r="AD186" s="34">
        <v>324</v>
      </c>
      <c r="AF186" s="64">
        <f t="shared" si="513"/>
        <v>2540.42</v>
      </c>
      <c r="AG186" s="64">
        <f t="shared" si="514"/>
        <v>1602.33</v>
      </c>
      <c r="AH186" s="64">
        <f t="shared" si="515"/>
        <v>938.09000000000015</v>
      </c>
      <c r="AI186" s="217">
        <f t="shared" si="516"/>
        <v>1</v>
      </c>
      <c r="AJ186" s="98">
        <f t="shared" si="517"/>
        <v>938.09000000000015</v>
      </c>
      <c r="AK186" s="98">
        <f t="shared" si="518"/>
        <v>2540.42</v>
      </c>
      <c r="AL186" s="98">
        <f t="shared" si="519"/>
        <v>0</v>
      </c>
      <c r="AM186" s="98">
        <f t="shared" si="520"/>
        <v>0</v>
      </c>
      <c r="AN186" s="98">
        <f t="shared" si="521"/>
        <v>0</v>
      </c>
      <c r="AO186" s="222">
        <f>GAAP!P173</f>
        <v>4519.6836518046712</v>
      </c>
      <c r="AP186" s="129">
        <f t="shared" si="522"/>
        <v>-3581.593651804671</v>
      </c>
    </row>
    <row r="187" spans="1:42" ht="13.5" customHeight="1">
      <c r="A187" s="258">
        <v>54.936799999999998</v>
      </c>
      <c r="B187" s="57" t="s">
        <v>483</v>
      </c>
      <c r="C187" s="163">
        <v>15697.91</v>
      </c>
      <c r="D187" s="354">
        <f t="shared" si="480"/>
        <v>13653.62</v>
      </c>
      <c r="E187" s="149">
        <v>2044.2899999999991</v>
      </c>
      <c r="F187" s="163">
        <v>13653.62</v>
      </c>
      <c r="G187" s="217">
        <f t="shared" si="481"/>
        <v>1</v>
      </c>
      <c r="H187" s="149">
        <v>2044.2899999999991</v>
      </c>
      <c r="I187" s="214">
        <f t="shared" si="482"/>
        <v>15697.91</v>
      </c>
      <c r="J187" s="149">
        <v>15697.91</v>
      </c>
      <c r="K187" s="214">
        <f t="shared" si="507"/>
        <v>0</v>
      </c>
      <c r="L187" s="214">
        <f t="shared" si="508"/>
        <v>0</v>
      </c>
      <c r="M187" s="214">
        <f t="shared" si="509"/>
        <v>0</v>
      </c>
      <c r="N187" s="222">
        <v>13653.62</v>
      </c>
      <c r="O187" s="222">
        <v>15697.91</v>
      </c>
      <c r="P187" s="222">
        <v>2044.2899999999991</v>
      </c>
      <c r="Q187" s="214">
        <f t="shared" si="510"/>
        <v>0</v>
      </c>
      <c r="R187" s="214">
        <f t="shared" si="511"/>
        <v>0</v>
      </c>
      <c r="S187" s="214">
        <f t="shared" si="512"/>
        <v>0</v>
      </c>
      <c r="T187" s="273" t="s">
        <v>278</v>
      </c>
      <c r="U187" s="273" t="s">
        <v>510</v>
      </c>
      <c r="V187" s="57" t="s">
        <v>544</v>
      </c>
      <c r="W187" s="282">
        <v>2044.2899999999991</v>
      </c>
      <c r="Y187" s="311">
        <v>0</v>
      </c>
      <c r="Z187" s="192">
        <f t="shared" si="535"/>
        <v>0</v>
      </c>
      <c r="AA187" t="str">
        <f t="shared" si="536"/>
        <v>-</v>
      </c>
      <c r="AB187" t="str">
        <f t="shared" si="537"/>
        <v>-</v>
      </c>
      <c r="AC187" s="523"/>
      <c r="AD187" s="34">
        <v>-1209522.0900000001</v>
      </c>
      <c r="AF187" s="64">
        <f t="shared" si="513"/>
        <v>15697.91</v>
      </c>
      <c r="AG187" s="64">
        <f t="shared" si="514"/>
        <v>13653.62</v>
      </c>
      <c r="AH187" s="64">
        <f t="shared" si="515"/>
        <v>2044.2899999999991</v>
      </c>
      <c r="AI187" s="217">
        <f t="shared" si="516"/>
        <v>1</v>
      </c>
      <c r="AJ187" s="98">
        <f t="shared" si="517"/>
        <v>2044.2899999999991</v>
      </c>
      <c r="AK187" s="98">
        <f t="shared" si="518"/>
        <v>15697.91</v>
      </c>
      <c r="AL187" s="98">
        <f t="shared" si="519"/>
        <v>0</v>
      </c>
      <c r="AM187" s="98">
        <f t="shared" si="520"/>
        <v>0</v>
      </c>
      <c r="AN187" s="98">
        <f t="shared" si="521"/>
        <v>0</v>
      </c>
      <c r="AO187" s="222">
        <f>GAAP!P174</f>
        <v>0</v>
      </c>
      <c r="AP187" s="129">
        <f t="shared" si="522"/>
        <v>2044.2899999999991</v>
      </c>
    </row>
    <row r="188" spans="1:42" ht="13.5" customHeight="1">
      <c r="A188" s="258">
        <v>54.936999999999998</v>
      </c>
      <c r="B188" s="57" t="s">
        <v>462</v>
      </c>
      <c r="C188" s="163">
        <v>1760.42</v>
      </c>
      <c r="D188" s="354">
        <f t="shared" si="480"/>
        <v>889.64</v>
      </c>
      <c r="E188" s="149">
        <v>870.78000000000009</v>
      </c>
      <c r="F188" s="163">
        <v>889.64</v>
      </c>
      <c r="G188" s="217">
        <f t="shared" si="481"/>
        <v>1</v>
      </c>
      <c r="H188" s="149">
        <v>870.78000000000009</v>
      </c>
      <c r="I188" s="214">
        <f t="shared" si="482"/>
        <v>1760.42</v>
      </c>
      <c r="J188" s="149">
        <v>1760.42</v>
      </c>
      <c r="K188" s="214">
        <f t="shared" si="507"/>
        <v>0</v>
      </c>
      <c r="L188" s="214">
        <f t="shared" si="508"/>
        <v>0</v>
      </c>
      <c r="M188" s="214">
        <f t="shared" si="509"/>
        <v>0</v>
      </c>
      <c r="N188" s="222">
        <v>889.64</v>
      </c>
      <c r="O188" s="222">
        <v>0</v>
      </c>
      <c r="P188" s="222">
        <v>0</v>
      </c>
      <c r="Q188" s="214">
        <f t="shared" si="510"/>
        <v>0</v>
      </c>
      <c r="R188" s="214">
        <f t="shared" si="511"/>
        <v>1760.42</v>
      </c>
      <c r="S188" s="214">
        <f t="shared" si="512"/>
        <v>870.78000000000009</v>
      </c>
      <c r="T188" s="273" t="s">
        <v>278</v>
      </c>
      <c r="U188" s="273" t="s">
        <v>510</v>
      </c>
      <c r="V188" s="57" t="s">
        <v>544</v>
      </c>
      <c r="W188" s="282">
        <v>0</v>
      </c>
      <c r="Y188" s="311">
        <v>870.78000000000009</v>
      </c>
      <c r="Z188" s="192">
        <f t="shared" si="535"/>
        <v>0</v>
      </c>
      <c r="AA188" t="str">
        <f t="shared" si="536"/>
        <v>-</v>
      </c>
      <c r="AB188" t="str">
        <f t="shared" si="537"/>
        <v>-</v>
      </c>
      <c r="AC188" s="523"/>
      <c r="AD188" s="34">
        <v>-13937.49</v>
      </c>
      <c r="AF188" s="64">
        <f t="shared" si="513"/>
        <v>1760.42</v>
      </c>
      <c r="AG188" s="64">
        <f t="shared" si="514"/>
        <v>889.64</v>
      </c>
      <c r="AH188" s="64">
        <f t="shared" si="515"/>
        <v>870.78000000000009</v>
      </c>
      <c r="AI188" s="217">
        <f t="shared" si="516"/>
        <v>1</v>
      </c>
      <c r="AJ188" s="98">
        <f t="shared" si="517"/>
        <v>870.78000000000009</v>
      </c>
      <c r="AK188" s="98">
        <f t="shared" si="518"/>
        <v>1760.42</v>
      </c>
      <c r="AL188" s="98">
        <f t="shared" si="519"/>
        <v>0</v>
      </c>
      <c r="AM188" s="98">
        <f t="shared" si="520"/>
        <v>0</v>
      </c>
      <c r="AN188" s="98">
        <f t="shared" si="521"/>
        <v>0</v>
      </c>
      <c r="AO188" s="222">
        <f>GAAP!P175</f>
        <v>0</v>
      </c>
      <c r="AP188" s="129">
        <f t="shared" si="522"/>
        <v>870.78000000000009</v>
      </c>
    </row>
    <row r="189" spans="1:42" ht="13.5" customHeight="1">
      <c r="A189" s="258">
        <v>54.937100000000001</v>
      </c>
      <c r="B189" s="57" t="s">
        <v>516</v>
      </c>
      <c r="C189" s="163"/>
      <c r="D189" s="354">
        <f t="shared" si="480"/>
        <v>1267652.77</v>
      </c>
      <c r="E189" s="149">
        <v>-1267652.77</v>
      </c>
      <c r="F189" s="163">
        <v>1267652.77</v>
      </c>
      <c r="G189" s="217">
        <f t="shared" si="481"/>
        <v>1</v>
      </c>
      <c r="H189" s="149">
        <v>-1267652.77</v>
      </c>
      <c r="I189" s="214">
        <f t="shared" si="482"/>
        <v>0</v>
      </c>
      <c r="J189" s="149">
        <v>0</v>
      </c>
      <c r="K189" s="214">
        <f t="shared" si="507"/>
        <v>0</v>
      </c>
      <c r="L189" s="214">
        <f t="shared" si="508"/>
        <v>0</v>
      </c>
      <c r="M189" s="214">
        <f t="shared" si="509"/>
        <v>0</v>
      </c>
      <c r="N189" s="222"/>
      <c r="O189" s="222"/>
      <c r="P189" s="222"/>
      <c r="Q189" s="214">
        <f t="shared" si="510"/>
        <v>1267652.77</v>
      </c>
      <c r="R189" s="214">
        <f t="shared" si="511"/>
        <v>0</v>
      </c>
      <c r="S189" s="214">
        <f t="shared" si="512"/>
        <v>-1267652.77</v>
      </c>
      <c r="T189" s="273" t="s">
        <v>510</v>
      </c>
      <c r="U189" s="185" t="s">
        <v>510</v>
      </c>
      <c r="V189" s="57" t="s">
        <v>511</v>
      </c>
      <c r="Y189" s="311">
        <v>-1197386.6399999999</v>
      </c>
      <c r="Z189" s="192">
        <f t="shared" si="535"/>
        <v>-70266.130000000121</v>
      </c>
      <c r="AA189" t="str">
        <f t="shared" si="536"/>
        <v>-</v>
      </c>
      <c r="AB189" t="str">
        <f t="shared" si="537"/>
        <v>-</v>
      </c>
      <c r="AC189" s="523"/>
      <c r="AD189" s="34"/>
      <c r="AF189" s="64">
        <f t="shared" si="513"/>
        <v>0</v>
      </c>
      <c r="AG189" s="64">
        <f t="shared" si="514"/>
        <v>1267652.77</v>
      </c>
      <c r="AH189" s="64">
        <f t="shared" si="515"/>
        <v>-1267652.77</v>
      </c>
      <c r="AI189" s="217">
        <f t="shared" si="516"/>
        <v>1</v>
      </c>
      <c r="AJ189" s="98">
        <f t="shared" si="517"/>
        <v>-1267652.77</v>
      </c>
      <c r="AK189" s="98">
        <f t="shared" si="518"/>
        <v>0</v>
      </c>
      <c r="AL189" s="98">
        <f t="shared" si="519"/>
        <v>0</v>
      </c>
      <c r="AM189" s="98">
        <f t="shared" si="520"/>
        <v>0</v>
      </c>
      <c r="AN189" s="98">
        <f t="shared" si="521"/>
        <v>0</v>
      </c>
      <c r="AO189" s="222">
        <f>GAAP!P204</f>
        <v>0</v>
      </c>
      <c r="AP189" s="129">
        <f t="shared" si="522"/>
        <v>-1267652.77</v>
      </c>
    </row>
    <row r="190" spans="1:42" ht="13.5" customHeight="1">
      <c r="A190" s="258">
        <v>54.937199999999997</v>
      </c>
      <c r="B190" s="57" t="s">
        <v>517</v>
      </c>
      <c r="C190" s="163"/>
      <c r="D190" s="354">
        <f t="shared" si="480"/>
        <v>588792.6</v>
      </c>
      <c r="E190" s="149">
        <v>-588792.6</v>
      </c>
      <c r="F190" s="163">
        <v>588792.6</v>
      </c>
      <c r="G190" s="217">
        <f t="shared" si="481"/>
        <v>1</v>
      </c>
      <c r="H190" s="149">
        <v>-588792.6</v>
      </c>
      <c r="I190" s="214">
        <f t="shared" si="482"/>
        <v>0</v>
      </c>
      <c r="J190" s="149">
        <v>0</v>
      </c>
      <c r="K190" s="214">
        <f t="shared" si="507"/>
        <v>0</v>
      </c>
      <c r="L190" s="214">
        <f t="shared" si="508"/>
        <v>0</v>
      </c>
      <c r="M190" s="214">
        <f t="shared" si="509"/>
        <v>0</v>
      </c>
      <c r="N190" s="222"/>
      <c r="O190" s="222"/>
      <c r="P190" s="222"/>
      <c r="Q190" s="214">
        <f t="shared" si="510"/>
        <v>588792.6</v>
      </c>
      <c r="R190" s="214">
        <f t="shared" si="511"/>
        <v>0</v>
      </c>
      <c r="S190" s="214">
        <f t="shared" si="512"/>
        <v>-588792.6</v>
      </c>
      <c r="T190" s="273" t="s">
        <v>510</v>
      </c>
      <c r="U190" s="185" t="s">
        <v>510</v>
      </c>
      <c r="V190" s="57" t="s">
        <v>511</v>
      </c>
      <c r="Y190" s="311">
        <v>-549403.88</v>
      </c>
      <c r="Z190" s="192">
        <f t="shared" si="535"/>
        <v>-39388.719999999972</v>
      </c>
      <c r="AA190" t="str">
        <f t="shared" si="536"/>
        <v>-</v>
      </c>
      <c r="AB190" t="str">
        <f t="shared" si="537"/>
        <v>-</v>
      </c>
      <c r="AC190" s="523"/>
      <c r="AD190" s="34"/>
      <c r="AF190" s="64">
        <f t="shared" si="513"/>
        <v>0</v>
      </c>
      <c r="AG190" s="64">
        <f t="shared" si="514"/>
        <v>588792.6</v>
      </c>
      <c r="AH190" s="64">
        <f t="shared" si="515"/>
        <v>-588792.6</v>
      </c>
      <c r="AI190" s="217">
        <f t="shared" si="516"/>
        <v>1</v>
      </c>
      <c r="AJ190" s="98">
        <f t="shared" si="517"/>
        <v>-588792.6</v>
      </c>
      <c r="AK190" s="98">
        <f t="shared" si="518"/>
        <v>0</v>
      </c>
      <c r="AL190" s="98">
        <f t="shared" si="519"/>
        <v>0</v>
      </c>
      <c r="AM190" s="98">
        <f t="shared" si="520"/>
        <v>0</v>
      </c>
      <c r="AN190" s="98">
        <f t="shared" si="521"/>
        <v>0</v>
      </c>
      <c r="AO190" s="222">
        <f>GAAP!P205</f>
        <v>0</v>
      </c>
      <c r="AP190" s="129">
        <f t="shared" si="522"/>
        <v>-588792.6</v>
      </c>
    </row>
    <row r="191" spans="1:42" ht="13.5" customHeight="1">
      <c r="A191" s="258">
        <v>54.937399999999997</v>
      </c>
      <c r="B191" s="57" t="s">
        <v>519</v>
      </c>
      <c r="C191" s="163">
        <v>32962</v>
      </c>
      <c r="D191" s="354">
        <f t="shared" si="480"/>
        <v>19986.45</v>
      </c>
      <c r="E191" s="149">
        <v>12975.55</v>
      </c>
      <c r="F191" s="163">
        <v>19986.45</v>
      </c>
      <c r="G191" s="217">
        <f t="shared" si="481"/>
        <v>1</v>
      </c>
      <c r="H191" s="149">
        <v>12975.55</v>
      </c>
      <c r="I191" s="214">
        <f t="shared" si="482"/>
        <v>32962</v>
      </c>
      <c r="J191" s="149">
        <v>32962</v>
      </c>
      <c r="K191" s="214">
        <f t="shared" si="507"/>
        <v>0</v>
      </c>
      <c r="L191" s="214">
        <f t="shared" si="508"/>
        <v>0</v>
      </c>
      <c r="M191" s="214">
        <f t="shared" si="509"/>
        <v>0</v>
      </c>
      <c r="N191" s="222"/>
      <c r="O191" s="222"/>
      <c r="P191" s="222"/>
      <c r="Q191" s="214">
        <f t="shared" si="510"/>
        <v>19986.45</v>
      </c>
      <c r="R191" s="214">
        <f t="shared" si="511"/>
        <v>32962</v>
      </c>
      <c r="S191" s="214">
        <f t="shared" si="512"/>
        <v>12975.55</v>
      </c>
      <c r="T191" s="273" t="s">
        <v>510</v>
      </c>
      <c r="U191" s="273" t="s">
        <v>510</v>
      </c>
      <c r="V191" s="57" t="str">
        <f t="shared" ref="V191" si="541">IF(C191&lt;250000, "&lt; 250k",".")</f>
        <v>&lt; 250k</v>
      </c>
      <c r="Y191" s="311">
        <v>12975.55</v>
      </c>
      <c r="Z191" s="192">
        <f t="shared" si="535"/>
        <v>0</v>
      </c>
      <c r="AA191" t="str">
        <f t="shared" si="536"/>
        <v>-</v>
      </c>
      <c r="AB191" t="str">
        <f t="shared" si="537"/>
        <v>-</v>
      </c>
      <c r="AC191" s="523"/>
      <c r="AD191" s="34"/>
      <c r="AF191" s="64">
        <f t="shared" si="513"/>
        <v>32962</v>
      </c>
      <c r="AG191" s="64">
        <f t="shared" si="514"/>
        <v>19986.45</v>
      </c>
      <c r="AH191" s="64">
        <f t="shared" si="515"/>
        <v>12975.55</v>
      </c>
      <c r="AI191" s="217">
        <f t="shared" si="516"/>
        <v>1</v>
      </c>
      <c r="AJ191" s="98">
        <f t="shared" si="517"/>
        <v>12975.55</v>
      </c>
      <c r="AK191" s="98">
        <f t="shared" si="518"/>
        <v>32962</v>
      </c>
      <c r="AL191" s="98">
        <f t="shared" si="519"/>
        <v>0</v>
      </c>
      <c r="AM191" s="98">
        <f t="shared" si="520"/>
        <v>0</v>
      </c>
      <c r="AN191" s="98">
        <f t="shared" si="521"/>
        <v>0</v>
      </c>
      <c r="AO191" s="222">
        <f>GAAP!P219</f>
        <v>0</v>
      </c>
      <c r="AP191" s="129">
        <f t="shared" si="522"/>
        <v>12975.55</v>
      </c>
    </row>
    <row r="192" spans="1:42" ht="13.5" customHeight="1">
      <c r="A192" s="258">
        <v>54.9375</v>
      </c>
      <c r="B192" s="57" t="s">
        <v>520</v>
      </c>
      <c r="C192" s="163">
        <v>8232.73</v>
      </c>
      <c r="D192" s="354">
        <f t="shared" si="480"/>
        <v>4545.4799999999996</v>
      </c>
      <c r="E192" s="149">
        <v>3687.25</v>
      </c>
      <c r="F192" s="163">
        <v>4545.4799999999996</v>
      </c>
      <c r="G192" s="217">
        <f t="shared" si="481"/>
        <v>1</v>
      </c>
      <c r="H192" s="149">
        <v>3687.25</v>
      </c>
      <c r="I192" s="214">
        <f t="shared" si="482"/>
        <v>8232.73</v>
      </c>
      <c r="J192" s="149">
        <v>8232.73</v>
      </c>
      <c r="K192" s="214">
        <f t="shared" si="507"/>
        <v>0</v>
      </c>
      <c r="L192" s="214">
        <f t="shared" si="508"/>
        <v>0</v>
      </c>
      <c r="M192" s="214">
        <f t="shared" si="509"/>
        <v>0</v>
      </c>
      <c r="N192" s="222"/>
      <c r="O192" s="222"/>
      <c r="P192" s="222"/>
      <c r="Q192" s="214">
        <f t="shared" si="510"/>
        <v>4545.4799999999996</v>
      </c>
      <c r="R192" s="214">
        <f t="shared" si="511"/>
        <v>8232.73</v>
      </c>
      <c r="S192" s="214">
        <f t="shared" si="512"/>
        <v>3687.25</v>
      </c>
      <c r="T192" s="273" t="s">
        <v>510</v>
      </c>
      <c r="U192" s="273" t="s">
        <v>510</v>
      </c>
      <c r="V192" s="57" t="s">
        <v>544</v>
      </c>
      <c r="Y192" s="311">
        <v>3687.25</v>
      </c>
      <c r="Z192" s="192">
        <f t="shared" si="535"/>
        <v>0</v>
      </c>
      <c r="AA192" t="str">
        <f t="shared" si="536"/>
        <v>-</v>
      </c>
      <c r="AB192" t="str">
        <f t="shared" si="537"/>
        <v>-</v>
      </c>
      <c r="AC192" s="523"/>
      <c r="AD192" s="34"/>
      <c r="AF192" s="64">
        <f t="shared" si="513"/>
        <v>8232.73</v>
      </c>
      <c r="AG192" s="64">
        <f t="shared" si="514"/>
        <v>4545.4799999999996</v>
      </c>
      <c r="AH192" s="64">
        <f t="shared" si="515"/>
        <v>3687.25</v>
      </c>
      <c r="AI192" s="217">
        <f t="shared" si="516"/>
        <v>1</v>
      </c>
      <c r="AJ192" s="98">
        <f t="shared" si="517"/>
        <v>3687.25</v>
      </c>
      <c r="AK192" s="98">
        <f t="shared" si="518"/>
        <v>8232.73</v>
      </c>
      <c r="AL192" s="98">
        <f t="shared" si="519"/>
        <v>0</v>
      </c>
      <c r="AM192" s="98">
        <f t="shared" si="520"/>
        <v>0</v>
      </c>
      <c r="AN192" s="98">
        <f t="shared" si="521"/>
        <v>0</v>
      </c>
      <c r="AO192" s="222">
        <f>GAAP!P176</f>
        <v>0</v>
      </c>
      <c r="AP192" s="129">
        <f t="shared" si="522"/>
        <v>3687.25</v>
      </c>
    </row>
    <row r="193" spans="1:42" ht="13.5" customHeight="1">
      <c r="A193" s="258">
        <v>54.937899999999999</v>
      </c>
      <c r="B193" s="57" t="s">
        <v>521</v>
      </c>
      <c r="C193" s="163">
        <v>41679.769999999997</v>
      </c>
      <c r="D193" s="354">
        <f t="shared" si="480"/>
        <v>36111.949999999997</v>
      </c>
      <c r="E193" s="149">
        <v>5567.82</v>
      </c>
      <c r="F193" s="163">
        <v>36111.949999999997</v>
      </c>
      <c r="G193" s="217">
        <f t="shared" si="481"/>
        <v>1</v>
      </c>
      <c r="H193" s="149">
        <v>5567.82</v>
      </c>
      <c r="I193" s="214">
        <f t="shared" si="482"/>
        <v>41679.769999999997</v>
      </c>
      <c r="J193" s="149">
        <v>41679.769999999997</v>
      </c>
      <c r="K193" s="214">
        <f t="shared" si="507"/>
        <v>0</v>
      </c>
      <c r="L193" s="214">
        <f t="shared" si="508"/>
        <v>0</v>
      </c>
      <c r="M193" s="214">
        <f t="shared" si="509"/>
        <v>0</v>
      </c>
      <c r="N193" s="222"/>
      <c r="O193" s="222"/>
      <c r="P193" s="222"/>
      <c r="Q193" s="214">
        <f t="shared" si="510"/>
        <v>36111.949999999997</v>
      </c>
      <c r="R193" s="214">
        <f t="shared" si="511"/>
        <v>41679.769999999997</v>
      </c>
      <c r="S193" s="214">
        <f t="shared" si="512"/>
        <v>5567.82</v>
      </c>
      <c r="T193" s="273" t="s">
        <v>510</v>
      </c>
      <c r="U193" s="273" t="s">
        <v>510</v>
      </c>
      <c r="V193" s="57" t="s">
        <v>544</v>
      </c>
      <c r="Y193" s="311">
        <v>5567.82</v>
      </c>
      <c r="Z193" s="192">
        <f t="shared" si="535"/>
        <v>0</v>
      </c>
      <c r="AA193" t="str">
        <f t="shared" si="536"/>
        <v>-</v>
      </c>
      <c r="AB193" t="str">
        <f t="shared" si="537"/>
        <v>-</v>
      </c>
      <c r="AC193" s="523"/>
      <c r="AD193" s="34"/>
      <c r="AF193" s="64">
        <f t="shared" si="513"/>
        <v>41679.769999999997</v>
      </c>
      <c r="AG193" s="64">
        <f t="shared" si="514"/>
        <v>36111.949999999997</v>
      </c>
      <c r="AH193" s="64">
        <f t="shared" si="515"/>
        <v>5567.82</v>
      </c>
      <c r="AI193" s="217">
        <f t="shared" si="516"/>
        <v>1</v>
      </c>
      <c r="AJ193" s="98">
        <f t="shared" si="517"/>
        <v>5567.82</v>
      </c>
      <c r="AK193" s="98">
        <f t="shared" si="518"/>
        <v>41679.769999999997</v>
      </c>
      <c r="AL193" s="98">
        <f t="shared" si="519"/>
        <v>0</v>
      </c>
      <c r="AM193" s="98">
        <f t="shared" si="520"/>
        <v>0</v>
      </c>
      <c r="AN193" s="98">
        <f t="shared" si="521"/>
        <v>0</v>
      </c>
      <c r="AO193" s="222">
        <f>GAAP!P177</f>
        <v>1923.4300000000003</v>
      </c>
      <c r="AP193" s="129">
        <f t="shared" si="522"/>
        <v>3644.3899999999994</v>
      </c>
    </row>
    <row r="194" spans="1:42" ht="13.5" customHeight="1">
      <c r="A194" s="258">
        <v>54.938000000000002</v>
      </c>
      <c r="B194" s="57" t="s">
        <v>522</v>
      </c>
      <c r="C194" s="163">
        <v>22446.19</v>
      </c>
      <c r="D194" s="354">
        <f t="shared" si="480"/>
        <v>18064.72</v>
      </c>
      <c r="E194" s="149">
        <v>4381.4699999999975</v>
      </c>
      <c r="F194" s="163">
        <v>18064.72</v>
      </c>
      <c r="G194" s="217">
        <f t="shared" si="481"/>
        <v>1</v>
      </c>
      <c r="H194" s="149">
        <v>4381.4699999999975</v>
      </c>
      <c r="I194" s="214">
        <f t="shared" si="482"/>
        <v>22446.19</v>
      </c>
      <c r="J194" s="149">
        <v>22446.19</v>
      </c>
      <c r="K194" s="214">
        <f t="shared" si="507"/>
        <v>0</v>
      </c>
      <c r="L194" s="214">
        <f t="shared" si="508"/>
        <v>0</v>
      </c>
      <c r="M194" s="214">
        <f t="shared" si="509"/>
        <v>0</v>
      </c>
      <c r="N194" s="222"/>
      <c r="O194" s="222"/>
      <c r="P194" s="222"/>
      <c r="Q194" s="214">
        <f t="shared" si="510"/>
        <v>18064.72</v>
      </c>
      <c r="R194" s="214">
        <f t="shared" si="511"/>
        <v>22446.19</v>
      </c>
      <c r="S194" s="214">
        <f t="shared" si="512"/>
        <v>4381.4699999999975</v>
      </c>
      <c r="T194" s="273" t="s">
        <v>510</v>
      </c>
      <c r="U194" s="273" t="s">
        <v>510</v>
      </c>
      <c r="V194" s="57" t="s">
        <v>544</v>
      </c>
      <c r="Y194" s="311">
        <v>4381.4699999999975</v>
      </c>
      <c r="Z194" s="192">
        <f t="shared" si="535"/>
        <v>0</v>
      </c>
      <c r="AA194" t="str">
        <f t="shared" si="536"/>
        <v>-</v>
      </c>
      <c r="AB194" t="str">
        <f t="shared" si="537"/>
        <v>-</v>
      </c>
      <c r="AC194" s="523"/>
      <c r="AD194" s="34"/>
      <c r="AF194" s="64">
        <f t="shared" si="513"/>
        <v>22446.19</v>
      </c>
      <c r="AG194" s="64">
        <f t="shared" si="514"/>
        <v>18064.72</v>
      </c>
      <c r="AH194" s="64">
        <f t="shared" si="515"/>
        <v>4381.4699999999975</v>
      </c>
      <c r="AI194" s="217">
        <f t="shared" si="516"/>
        <v>1</v>
      </c>
      <c r="AJ194" s="98">
        <f t="shared" si="517"/>
        <v>4381.4699999999975</v>
      </c>
      <c r="AK194" s="98">
        <f t="shared" si="518"/>
        <v>22446.19</v>
      </c>
      <c r="AL194" s="98">
        <f t="shared" si="519"/>
        <v>0</v>
      </c>
      <c r="AM194" s="98">
        <f t="shared" si="520"/>
        <v>0</v>
      </c>
      <c r="AN194" s="98">
        <f t="shared" si="521"/>
        <v>0</v>
      </c>
      <c r="AO194" s="222">
        <f>GAAP!P178</f>
        <v>0</v>
      </c>
      <c r="AP194" s="129">
        <f t="shared" si="522"/>
        <v>4381.4699999999975</v>
      </c>
    </row>
    <row r="195" spans="1:42" ht="13.5" customHeight="1">
      <c r="A195" s="258">
        <v>54.938099999999999</v>
      </c>
      <c r="B195" s="57" t="s">
        <v>523</v>
      </c>
      <c r="C195" s="163">
        <v>58900</v>
      </c>
      <c r="D195" s="354">
        <f t="shared" si="480"/>
        <v>28875.38</v>
      </c>
      <c r="E195" s="149">
        <v>30024.62</v>
      </c>
      <c r="F195" s="163">
        <v>28875.38</v>
      </c>
      <c r="G195" s="217">
        <f t="shared" si="481"/>
        <v>1</v>
      </c>
      <c r="H195" s="149">
        <v>30024.62</v>
      </c>
      <c r="I195" s="214">
        <f t="shared" si="482"/>
        <v>58900</v>
      </c>
      <c r="J195" s="149">
        <v>58900</v>
      </c>
      <c r="K195" s="214">
        <f t="shared" si="507"/>
        <v>0</v>
      </c>
      <c r="L195" s="214">
        <f t="shared" si="508"/>
        <v>0</v>
      </c>
      <c r="M195" s="214">
        <f t="shared" si="509"/>
        <v>0</v>
      </c>
      <c r="N195" s="222"/>
      <c r="O195" s="222"/>
      <c r="P195" s="222"/>
      <c r="Q195" s="214">
        <f t="shared" si="510"/>
        <v>28875.38</v>
      </c>
      <c r="R195" s="214">
        <f t="shared" si="511"/>
        <v>58900</v>
      </c>
      <c r="S195" s="214">
        <f t="shared" si="512"/>
        <v>30024.62</v>
      </c>
      <c r="T195" s="273" t="s">
        <v>510</v>
      </c>
      <c r="U195" s="273" t="s">
        <v>510</v>
      </c>
      <c r="V195" s="57" t="str">
        <f t="shared" ref="V195:V213" si="542">IF(C195&lt;250000, "&lt; 250k",".")</f>
        <v>&lt; 250k</v>
      </c>
      <c r="Y195" s="311">
        <v>30024.62</v>
      </c>
      <c r="Z195" s="192">
        <f t="shared" si="535"/>
        <v>0</v>
      </c>
      <c r="AA195" t="str">
        <f t="shared" si="536"/>
        <v>-</v>
      </c>
      <c r="AB195" t="str">
        <f t="shared" si="537"/>
        <v>-</v>
      </c>
      <c r="AC195" s="523"/>
      <c r="AD195" s="34"/>
      <c r="AF195" s="64">
        <f t="shared" si="513"/>
        <v>58900</v>
      </c>
      <c r="AG195" s="64">
        <f t="shared" si="514"/>
        <v>28875.38</v>
      </c>
      <c r="AH195" s="64">
        <f t="shared" si="515"/>
        <v>30024.62</v>
      </c>
      <c r="AI195" s="217">
        <f t="shared" si="516"/>
        <v>1</v>
      </c>
      <c r="AJ195" s="98">
        <f t="shared" si="517"/>
        <v>30024.62</v>
      </c>
      <c r="AK195" s="98">
        <f t="shared" si="518"/>
        <v>58900</v>
      </c>
      <c r="AL195" s="98">
        <f t="shared" si="519"/>
        <v>0</v>
      </c>
      <c r="AM195" s="98">
        <f t="shared" si="520"/>
        <v>0</v>
      </c>
      <c r="AN195" s="98">
        <f t="shared" si="521"/>
        <v>0</v>
      </c>
      <c r="AO195" s="222">
        <f>GAAP!P217</f>
        <v>0</v>
      </c>
      <c r="AP195" s="129">
        <f t="shared" si="522"/>
        <v>30024.62</v>
      </c>
    </row>
    <row r="196" spans="1:42" ht="13.5" customHeight="1">
      <c r="A196" s="258">
        <v>54.938200000000002</v>
      </c>
      <c r="B196" s="57" t="s">
        <v>524</v>
      </c>
      <c r="C196" s="163">
        <v>143799</v>
      </c>
      <c r="D196" s="354">
        <f t="shared" si="480"/>
        <v>108690.45</v>
      </c>
      <c r="E196" s="149">
        <v>35108.550000000003</v>
      </c>
      <c r="F196" s="163">
        <v>108690.45</v>
      </c>
      <c r="G196" s="217">
        <f t="shared" si="481"/>
        <v>1</v>
      </c>
      <c r="H196" s="149">
        <v>35108.550000000003</v>
      </c>
      <c r="I196" s="214">
        <f t="shared" si="482"/>
        <v>143799</v>
      </c>
      <c r="J196" s="149">
        <v>143799</v>
      </c>
      <c r="K196" s="214">
        <f t="shared" si="507"/>
        <v>0</v>
      </c>
      <c r="L196" s="214">
        <f t="shared" si="508"/>
        <v>0</v>
      </c>
      <c r="M196" s="214">
        <f t="shared" si="509"/>
        <v>0</v>
      </c>
      <c r="N196" s="222"/>
      <c r="O196" s="222"/>
      <c r="P196" s="222"/>
      <c r="Q196" s="214">
        <f t="shared" si="510"/>
        <v>108690.45</v>
      </c>
      <c r="R196" s="214">
        <f t="shared" si="511"/>
        <v>143799</v>
      </c>
      <c r="S196" s="214">
        <f t="shared" si="512"/>
        <v>35108.550000000003</v>
      </c>
      <c r="T196" s="273" t="s">
        <v>510</v>
      </c>
      <c r="U196" s="273" t="s">
        <v>510</v>
      </c>
      <c r="V196" s="57" t="str">
        <f t="shared" si="542"/>
        <v>&lt; 250k</v>
      </c>
      <c r="Y196" s="311">
        <v>31476.866487964693</v>
      </c>
      <c r="Z196" s="192">
        <f t="shared" si="535"/>
        <v>3631.6835120353098</v>
      </c>
      <c r="AA196" t="str">
        <f t="shared" si="536"/>
        <v>-</v>
      </c>
      <c r="AB196" t="str">
        <f t="shared" si="537"/>
        <v>-</v>
      </c>
      <c r="AC196" s="523"/>
      <c r="AD196" s="34"/>
      <c r="AF196" s="64">
        <f t="shared" si="513"/>
        <v>143799</v>
      </c>
      <c r="AG196" s="64">
        <f t="shared" si="514"/>
        <v>108690.45</v>
      </c>
      <c r="AH196" s="64">
        <f t="shared" si="515"/>
        <v>35108.550000000003</v>
      </c>
      <c r="AI196" s="217">
        <f t="shared" si="516"/>
        <v>1</v>
      </c>
      <c r="AJ196" s="98">
        <f t="shared" si="517"/>
        <v>35108.550000000003</v>
      </c>
      <c r="AK196" s="98">
        <f t="shared" si="518"/>
        <v>143799</v>
      </c>
      <c r="AL196" s="98">
        <f t="shared" si="519"/>
        <v>0</v>
      </c>
      <c r="AM196" s="98">
        <f t="shared" si="520"/>
        <v>0</v>
      </c>
      <c r="AN196" s="98">
        <f t="shared" si="521"/>
        <v>0</v>
      </c>
      <c r="AO196" s="222">
        <f>GAAP!P214</f>
        <v>0</v>
      </c>
      <c r="AP196" s="129">
        <f t="shared" si="522"/>
        <v>35108.550000000003</v>
      </c>
    </row>
    <row r="197" spans="1:42" ht="13.5" customHeight="1">
      <c r="A197" s="258">
        <v>54.938299999999998</v>
      </c>
      <c r="B197" s="57" t="s">
        <v>525</v>
      </c>
      <c r="C197" s="163">
        <v>17542.439999999999</v>
      </c>
      <c r="D197" s="354">
        <f t="shared" si="480"/>
        <v>15759.76</v>
      </c>
      <c r="E197" s="149">
        <v>1782.6799999999985</v>
      </c>
      <c r="F197" s="163">
        <v>15759.76</v>
      </c>
      <c r="G197" s="217">
        <f t="shared" si="481"/>
        <v>1</v>
      </c>
      <c r="H197" s="149">
        <v>1782.6799999999985</v>
      </c>
      <c r="I197" s="214">
        <f t="shared" si="482"/>
        <v>17542.439999999999</v>
      </c>
      <c r="J197" s="149">
        <v>17542.439999999999</v>
      </c>
      <c r="K197" s="214">
        <f t="shared" si="507"/>
        <v>0</v>
      </c>
      <c r="L197" s="214">
        <f t="shared" si="508"/>
        <v>0</v>
      </c>
      <c r="M197" s="214">
        <f t="shared" si="509"/>
        <v>0</v>
      </c>
      <c r="N197" s="222"/>
      <c r="O197" s="222"/>
      <c r="P197" s="222"/>
      <c r="Q197" s="214">
        <f t="shared" si="510"/>
        <v>15759.76</v>
      </c>
      <c r="R197" s="214">
        <f t="shared" si="511"/>
        <v>17542.439999999999</v>
      </c>
      <c r="S197" s="214">
        <f t="shared" si="512"/>
        <v>1782.6799999999985</v>
      </c>
      <c r="T197" s="273" t="s">
        <v>510</v>
      </c>
      <c r="U197" s="273" t="s">
        <v>510</v>
      </c>
      <c r="V197" s="57" t="str">
        <f t="shared" si="542"/>
        <v>&lt; 250k</v>
      </c>
      <c r="Y197" s="311">
        <v>1782.6799999999985</v>
      </c>
      <c r="Z197" s="192">
        <f t="shared" si="535"/>
        <v>0</v>
      </c>
      <c r="AA197" t="str">
        <f t="shared" si="536"/>
        <v>-</v>
      </c>
      <c r="AB197" t="str">
        <f t="shared" si="537"/>
        <v>-</v>
      </c>
      <c r="AC197" s="523"/>
      <c r="AD197" s="34"/>
      <c r="AF197" s="64">
        <f t="shared" si="513"/>
        <v>17542.439999999999</v>
      </c>
      <c r="AG197" s="64">
        <f t="shared" si="514"/>
        <v>15759.76</v>
      </c>
      <c r="AH197" s="64">
        <f t="shared" si="515"/>
        <v>1782.6799999999985</v>
      </c>
      <c r="AI197" s="217">
        <f t="shared" si="516"/>
        <v>1</v>
      </c>
      <c r="AJ197" s="98">
        <f t="shared" si="517"/>
        <v>1782.6799999999985</v>
      </c>
      <c r="AK197" s="98">
        <f t="shared" si="518"/>
        <v>17542.439999999999</v>
      </c>
      <c r="AL197" s="98">
        <f t="shared" si="519"/>
        <v>0</v>
      </c>
      <c r="AM197" s="98">
        <f t="shared" si="520"/>
        <v>0</v>
      </c>
      <c r="AN197" s="98">
        <f t="shared" si="521"/>
        <v>0</v>
      </c>
      <c r="AO197" s="222">
        <f>GAAP!P226</f>
        <v>4174832.9099999964</v>
      </c>
      <c r="AP197" s="129">
        <f t="shared" si="522"/>
        <v>-4173050.2299999963</v>
      </c>
    </row>
    <row r="198" spans="1:42" ht="13.5" customHeight="1">
      <c r="A198" s="258">
        <v>54.938400000000001</v>
      </c>
      <c r="B198" s="57" t="s">
        <v>526</v>
      </c>
      <c r="C198" s="163">
        <v>79531.98</v>
      </c>
      <c r="D198" s="354">
        <f t="shared" si="480"/>
        <v>70340.570000000007</v>
      </c>
      <c r="E198" s="149">
        <v>9191.4099999999889</v>
      </c>
      <c r="F198" s="163">
        <v>70340.570000000007</v>
      </c>
      <c r="G198" s="217">
        <f t="shared" si="481"/>
        <v>1</v>
      </c>
      <c r="H198" s="149">
        <v>9191.4099999999889</v>
      </c>
      <c r="I198" s="214">
        <f t="shared" si="482"/>
        <v>79531.98</v>
      </c>
      <c r="J198" s="149">
        <v>79531.98</v>
      </c>
      <c r="K198" s="214">
        <f t="shared" si="507"/>
        <v>0</v>
      </c>
      <c r="L198" s="214">
        <f t="shared" si="508"/>
        <v>0</v>
      </c>
      <c r="M198" s="214">
        <f t="shared" si="509"/>
        <v>0</v>
      </c>
      <c r="N198" s="222"/>
      <c r="O198" s="222"/>
      <c r="P198" s="222"/>
      <c r="Q198" s="214">
        <f t="shared" si="510"/>
        <v>70340.570000000007</v>
      </c>
      <c r="R198" s="214">
        <f t="shared" si="511"/>
        <v>79531.98</v>
      </c>
      <c r="S198" s="214">
        <f t="shared" si="512"/>
        <v>9191.4099999999889</v>
      </c>
      <c r="T198" s="273" t="s">
        <v>510</v>
      </c>
      <c r="U198" s="273" t="s">
        <v>510</v>
      </c>
      <c r="V198" s="57" t="str">
        <f t="shared" si="542"/>
        <v>&lt; 250k</v>
      </c>
      <c r="Y198" s="311">
        <v>9191.4099999999889</v>
      </c>
      <c r="Z198" s="192">
        <f t="shared" si="535"/>
        <v>0</v>
      </c>
      <c r="AA198" t="str">
        <f t="shared" si="536"/>
        <v>-</v>
      </c>
      <c r="AB198" t="str">
        <f t="shared" si="537"/>
        <v>-</v>
      </c>
      <c r="AC198" s="523"/>
      <c r="AD198" s="34"/>
      <c r="AF198" s="64">
        <f t="shared" si="513"/>
        <v>79531.98</v>
      </c>
      <c r="AG198" s="64">
        <f t="shared" si="514"/>
        <v>70340.570000000007</v>
      </c>
      <c r="AH198" s="64">
        <f t="shared" si="515"/>
        <v>9191.4099999999889</v>
      </c>
      <c r="AI198" s="217">
        <f t="shared" si="516"/>
        <v>1</v>
      </c>
      <c r="AJ198" s="98">
        <f t="shared" si="517"/>
        <v>9191.4099999999889</v>
      </c>
      <c r="AK198" s="98">
        <f t="shared" si="518"/>
        <v>79531.98</v>
      </c>
      <c r="AL198" s="98">
        <f t="shared" si="519"/>
        <v>0</v>
      </c>
      <c r="AM198" s="98">
        <f t="shared" si="520"/>
        <v>0</v>
      </c>
      <c r="AN198" s="98">
        <f t="shared" si="521"/>
        <v>0</v>
      </c>
      <c r="AO198" s="222">
        <f>GAAP!P223</f>
        <v>1356365.0899999999</v>
      </c>
      <c r="AP198" s="129">
        <f t="shared" si="522"/>
        <v>-1347173.68</v>
      </c>
    </row>
    <row r="199" spans="1:42" ht="13.5" customHeight="1">
      <c r="A199" s="258">
        <v>54.938499999999998</v>
      </c>
      <c r="B199" s="57" t="s">
        <v>527</v>
      </c>
      <c r="C199" s="163">
        <v>102913.84</v>
      </c>
      <c r="D199" s="354">
        <f t="shared" si="480"/>
        <v>98598.77</v>
      </c>
      <c r="E199" s="149">
        <v>4315.0699999999924</v>
      </c>
      <c r="F199" s="163">
        <v>98598.77</v>
      </c>
      <c r="G199" s="217">
        <f t="shared" si="481"/>
        <v>1</v>
      </c>
      <c r="H199" s="149">
        <v>4315.0699999999924</v>
      </c>
      <c r="I199" s="214">
        <f t="shared" si="482"/>
        <v>102913.84</v>
      </c>
      <c r="J199" s="149">
        <v>102913.84</v>
      </c>
      <c r="K199" s="214">
        <f t="shared" si="507"/>
        <v>0</v>
      </c>
      <c r="L199" s="214">
        <f t="shared" si="508"/>
        <v>0</v>
      </c>
      <c r="M199" s="214">
        <f t="shared" si="509"/>
        <v>0</v>
      </c>
      <c r="N199" s="222"/>
      <c r="O199" s="222"/>
      <c r="P199" s="222"/>
      <c r="Q199" s="214">
        <f t="shared" si="510"/>
        <v>98598.77</v>
      </c>
      <c r="R199" s="214">
        <f t="shared" si="511"/>
        <v>102913.84</v>
      </c>
      <c r="S199" s="214">
        <f t="shared" si="512"/>
        <v>4315.0699999999924</v>
      </c>
      <c r="T199" s="273" t="s">
        <v>510</v>
      </c>
      <c r="U199" s="273" t="s">
        <v>510</v>
      </c>
      <c r="V199" s="57" t="str">
        <f t="shared" si="542"/>
        <v>&lt; 250k</v>
      </c>
      <c r="Y199" s="311">
        <v>4315.0699999999924</v>
      </c>
      <c r="Z199" s="192">
        <f t="shared" si="535"/>
        <v>0</v>
      </c>
      <c r="AA199" t="str">
        <f t="shared" si="536"/>
        <v>-</v>
      </c>
      <c r="AB199" t="str">
        <f t="shared" si="537"/>
        <v>-</v>
      </c>
      <c r="AC199" s="523"/>
      <c r="AD199" s="34"/>
      <c r="AF199" s="64">
        <f t="shared" si="513"/>
        <v>102913.84</v>
      </c>
      <c r="AG199" s="64">
        <f t="shared" si="514"/>
        <v>98598.77</v>
      </c>
      <c r="AH199" s="64">
        <f t="shared" si="515"/>
        <v>4315.0699999999924</v>
      </c>
      <c r="AI199" s="217">
        <f t="shared" si="516"/>
        <v>1</v>
      </c>
      <c r="AJ199" s="98">
        <f t="shared" si="517"/>
        <v>4315.0699999999924</v>
      </c>
      <c r="AK199" s="98">
        <f t="shared" si="518"/>
        <v>102913.84</v>
      </c>
      <c r="AL199" s="98">
        <f t="shared" si="519"/>
        <v>0</v>
      </c>
      <c r="AM199" s="98">
        <f t="shared" si="520"/>
        <v>0</v>
      </c>
      <c r="AN199" s="98">
        <f t="shared" si="521"/>
        <v>0</v>
      </c>
      <c r="AO199" s="222" t="e">
        <f>GAAP!#REF!</f>
        <v>#REF!</v>
      </c>
      <c r="AP199" s="129" t="e">
        <f t="shared" si="522"/>
        <v>#REF!</v>
      </c>
    </row>
    <row r="200" spans="1:42" ht="13.5" customHeight="1">
      <c r="A200" s="258">
        <v>54.938600000000001</v>
      </c>
      <c r="B200" s="57" t="s">
        <v>528</v>
      </c>
      <c r="C200" s="163">
        <v>96086</v>
      </c>
      <c r="D200" s="354">
        <f t="shared" si="480"/>
        <v>75784.739999999991</v>
      </c>
      <c r="E200" s="149">
        <v>20301.260000000009</v>
      </c>
      <c r="F200" s="163">
        <v>75784.739999999991</v>
      </c>
      <c r="G200" s="217">
        <f t="shared" si="481"/>
        <v>1</v>
      </c>
      <c r="H200" s="149">
        <v>20301.260000000009</v>
      </c>
      <c r="I200" s="214">
        <f t="shared" si="482"/>
        <v>96086</v>
      </c>
      <c r="J200" s="149">
        <v>96086</v>
      </c>
      <c r="K200" s="214">
        <f t="shared" si="507"/>
        <v>0</v>
      </c>
      <c r="L200" s="214">
        <f t="shared" si="508"/>
        <v>0</v>
      </c>
      <c r="M200" s="214">
        <f t="shared" si="509"/>
        <v>0</v>
      </c>
      <c r="N200" s="222"/>
      <c r="O200" s="222"/>
      <c r="P200" s="222"/>
      <c r="Q200" s="214">
        <f t="shared" si="510"/>
        <v>75784.739999999991</v>
      </c>
      <c r="R200" s="214">
        <f t="shared" si="511"/>
        <v>96086</v>
      </c>
      <c r="S200" s="214">
        <f t="shared" si="512"/>
        <v>20301.260000000009</v>
      </c>
      <c r="T200" s="273" t="s">
        <v>510</v>
      </c>
      <c r="U200" s="273" t="s">
        <v>510</v>
      </c>
      <c r="V200" s="57" t="str">
        <f t="shared" si="542"/>
        <v>&lt; 250k</v>
      </c>
      <c r="Y200" s="311">
        <v>20301.260000000009</v>
      </c>
      <c r="Z200" s="192">
        <f t="shared" si="535"/>
        <v>0</v>
      </c>
      <c r="AA200" t="str">
        <f t="shared" si="536"/>
        <v>-</v>
      </c>
      <c r="AB200" t="str">
        <f t="shared" si="537"/>
        <v>-</v>
      </c>
      <c r="AC200" s="523"/>
      <c r="AD200" s="34"/>
      <c r="AF200" s="64">
        <f t="shared" si="513"/>
        <v>96086</v>
      </c>
      <c r="AG200" s="64">
        <f t="shared" si="514"/>
        <v>75784.739999999991</v>
      </c>
      <c r="AH200" s="64">
        <f t="shared" si="515"/>
        <v>20301.260000000009</v>
      </c>
      <c r="AI200" s="217">
        <f t="shared" si="516"/>
        <v>1</v>
      </c>
      <c r="AJ200" s="98">
        <f t="shared" si="517"/>
        <v>20301.260000000009</v>
      </c>
      <c r="AK200" s="98">
        <f t="shared" si="518"/>
        <v>96086</v>
      </c>
      <c r="AL200" s="98">
        <f t="shared" si="519"/>
        <v>0</v>
      </c>
      <c r="AM200" s="98">
        <f t="shared" si="520"/>
        <v>0</v>
      </c>
      <c r="AN200" s="98">
        <f t="shared" si="521"/>
        <v>0</v>
      </c>
      <c r="AO200" s="222">
        <f>GAAP!P224</f>
        <v>6702671.5016121669</v>
      </c>
      <c r="AP200" s="129">
        <f t="shared" si="522"/>
        <v>-6682370.2416121671</v>
      </c>
    </row>
    <row r="201" spans="1:42" ht="13.5" customHeight="1">
      <c r="A201" s="258">
        <v>54.938699999999997</v>
      </c>
      <c r="B201" s="57" t="s">
        <v>573</v>
      </c>
      <c r="C201" s="163">
        <v>22619.54</v>
      </c>
      <c r="D201" s="354">
        <f t="shared" si="480"/>
        <v>19011.650000000001</v>
      </c>
      <c r="E201" s="149">
        <v>3607.8899999999994</v>
      </c>
      <c r="F201" s="163">
        <v>19011.650000000001</v>
      </c>
      <c r="G201" s="217">
        <f t="shared" si="481"/>
        <v>1</v>
      </c>
      <c r="H201" s="149">
        <v>3607.8899999999994</v>
      </c>
      <c r="I201" s="214">
        <f t="shared" si="482"/>
        <v>22619.54</v>
      </c>
      <c r="J201" s="149">
        <v>22619.54</v>
      </c>
      <c r="K201" s="214">
        <f t="shared" si="507"/>
        <v>0</v>
      </c>
      <c r="L201" s="214">
        <f t="shared" si="508"/>
        <v>0</v>
      </c>
      <c r="M201" s="214">
        <f t="shared" si="509"/>
        <v>0</v>
      </c>
      <c r="N201" s="222"/>
      <c r="O201" s="222"/>
      <c r="P201" s="222"/>
      <c r="Q201" s="214">
        <f t="shared" si="510"/>
        <v>19011.650000000001</v>
      </c>
      <c r="R201" s="214">
        <f t="shared" si="511"/>
        <v>22619.54</v>
      </c>
      <c r="S201" s="214">
        <f t="shared" si="512"/>
        <v>3607.8899999999994</v>
      </c>
      <c r="T201" s="273" t="s">
        <v>510</v>
      </c>
      <c r="U201" s="185" t="s">
        <v>510</v>
      </c>
      <c r="V201" s="57" t="str">
        <f t="shared" si="542"/>
        <v>&lt; 250k</v>
      </c>
      <c r="Y201" s="311">
        <v>3607.8899999999994</v>
      </c>
      <c r="Z201" s="192">
        <f t="shared" si="535"/>
        <v>0</v>
      </c>
      <c r="AA201" t="str">
        <f t="shared" si="536"/>
        <v>-</v>
      </c>
      <c r="AB201" t="str">
        <f t="shared" si="537"/>
        <v>-</v>
      </c>
      <c r="AC201" s="523"/>
      <c r="AD201" s="34"/>
      <c r="AF201" s="64">
        <f t="shared" si="513"/>
        <v>22619.54</v>
      </c>
      <c r="AG201" s="64">
        <f t="shared" si="514"/>
        <v>19011.650000000001</v>
      </c>
      <c r="AH201" s="64">
        <f t="shared" si="515"/>
        <v>3607.8899999999994</v>
      </c>
      <c r="AI201" s="217">
        <f t="shared" si="516"/>
        <v>1</v>
      </c>
      <c r="AJ201" s="98">
        <f t="shared" si="517"/>
        <v>3607.8899999999994</v>
      </c>
      <c r="AK201" s="98">
        <f t="shared" si="518"/>
        <v>22619.54</v>
      </c>
      <c r="AL201" s="98">
        <f t="shared" si="519"/>
        <v>0</v>
      </c>
      <c r="AM201" s="98">
        <f t="shared" si="520"/>
        <v>0</v>
      </c>
      <c r="AN201" s="98">
        <f t="shared" si="521"/>
        <v>0</v>
      </c>
      <c r="AO201" s="222" t="e">
        <f>GAAP!#REF!</f>
        <v>#REF!</v>
      </c>
      <c r="AP201" s="129" t="e">
        <f t="shared" si="522"/>
        <v>#REF!</v>
      </c>
    </row>
    <row r="202" spans="1:42" ht="13.5" customHeight="1">
      <c r="A202" s="258">
        <v>54.938800000000001</v>
      </c>
      <c r="B202" s="57" t="s">
        <v>574</v>
      </c>
      <c r="C202" s="163">
        <v>7454.07</v>
      </c>
      <c r="D202" s="354">
        <f t="shared" si="480"/>
        <v>6535.41</v>
      </c>
      <c r="E202" s="149">
        <v>918.65999999999985</v>
      </c>
      <c r="F202" s="163">
        <v>6535.41</v>
      </c>
      <c r="G202" s="217">
        <f t="shared" si="481"/>
        <v>1</v>
      </c>
      <c r="H202" s="149">
        <v>918.65999999999985</v>
      </c>
      <c r="I202" s="214">
        <f t="shared" si="482"/>
        <v>7454.07</v>
      </c>
      <c r="J202" s="149">
        <v>7454.07</v>
      </c>
      <c r="K202" s="214">
        <f t="shared" si="507"/>
        <v>0</v>
      </c>
      <c r="L202" s="214">
        <f t="shared" si="508"/>
        <v>0</v>
      </c>
      <c r="M202" s="214">
        <f t="shared" si="509"/>
        <v>0</v>
      </c>
      <c r="N202" s="222"/>
      <c r="O202" s="222"/>
      <c r="P202" s="222"/>
      <c r="Q202" s="214">
        <f t="shared" si="510"/>
        <v>6535.41</v>
      </c>
      <c r="R202" s="214">
        <f t="shared" si="511"/>
        <v>7454.07</v>
      </c>
      <c r="S202" s="214">
        <f t="shared" si="512"/>
        <v>918.65999999999985</v>
      </c>
      <c r="T202" s="273" t="s">
        <v>510</v>
      </c>
      <c r="U202" s="273" t="s">
        <v>510</v>
      </c>
      <c r="V202" s="57" t="str">
        <f t="shared" si="542"/>
        <v>&lt; 250k</v>
      </c>
      <c r="Y202" s="311">
        <v>918.65999999999985</v>
      </c>
      <c r="Z202" s="192">
        <f t="shared" si="535"/>
        <v>0</v>
      </c>
      <c r="AA202" t="str">
        <f t="shared" si="536"/>
        <v>-</v>
      </c>
      <c r="AB202" t="str">
        <f t="shared" si="537"/>
        <v>-</v>
      </c>
      <c r="AC202" s="523"/>
      <c r="AD202" s="34"/>
      <c r="AF202" s="64">
        <f t="shared" si="513"/>
        <v>7454.07</v>
      </c>
      <c r="AG202" s="64">
        <f t="shared" si="514"/>
        <v>6535.41</v>
      </c>
      <c r="AH202" s="64">
        <f t="shared" si="515"/>
        <v>918.65999999999985</v>
      </c>
      <c r="AI202" s="217">
        <f t="shared" si="516"/>
        <v>1</v>
      </c>
      <c r="AJ202" s="98">
        <f t="shared" si="517"/>
        <v>918.65999999999985</v>
      </c>
      <c r="AK202" s="98">
        <f t="shared" si="518"/>
        <v>7454.07</v>
      </c>
      <c r="AL202" s="98">
        <f t="shared" si="519"/>
        <v>0</v>
      </c>
      <c r="AM202" s="98">
        <f t="shared" si="520"/>
        <v>0</v>
      </c>
      <c r="AN202" s="98">
        <f t="shared" si="521"/>
        <v>0</v>
      </c>
      <c r="AO202" s="222">
        <f>GAAP!P230</f>
        <v>8428.8399999999965</v>
      </c>
      <c r="AP202" s="129">
        <f t="shared" si="522"/>
        <v>-7510.1799999999967</v>
      </c>
    </row>
    <row r="203" spans="1:42" ht="13.5" customHeight="1">
      <c r="A203" s="258">
        <v>54.939</v>
      </c>
      <c r="B203" s="57" t="s">
        <v>575</v>
      </c>
      <c r="C203" s="163">
        <v>101491.67</v>
      </c>
      <c r="D203" s="354">
        <f t="shared" si="480"/>
        <v>96329.49</v>
      </c>
      <c r="E203" s="149">
        <v>5162.179999999993</v>
      </c>
      <c r="F203" s="163">
        <v>96329.49</v>
      </c>
      <c r="G203" s="217">
        <f t="shared" si="481"/>
        <v>1</v>
      </c>
      <c r="H203" s="149">
        <v>5162.179999999993</v>
      </c>
      <c r="I203" s="214">
        <f t="shared" si="482"/>
        <v>101491.67</v>
      </c>
      <c r="J203" s="149">
        <v>101491.67</v>
      </c>
      <c r="K203" s="214">
        <f t="shared" si="507"/>
        <v>0</v>
      </c>
      <c r="L203" s="214">
        <f t="shared" si="508"/>
        <v>0</v>
      </c>
      <c r="M203" s="214">
        <f t="shared" si="509"/>
        <v>0</v>
      </c>
      <c r="N203" s="222"/>
      <c r="O203" s="222"/>
      <c r="P203" s="222"/>
      <c r="Q203" s="214">
        <f t="shared" si="510"/>
        <v>96329.49</v>
      </c>
      <c r="R203" s="214">
        <f t="shared" si="511"/>
        <v>101491.67</v>
      </c>
      <c r="S203" s="214">
        <f t="shared" si="512"/>
        <v>5162.179999999993</v>
      </c>
      <c r="T203" s="273" t="s">
        <v>510</v>
      </c>
      <c r="U203" s="185" t="s">
        <v>510</v>
      </c>
      <c r="V203" s="57" t="str">
        <f t="shared" si="542"/>
        <v>&lt; 250k</v>
      </c>
      <c r="Y203" s="311">
        <v>5162.179999999993</v>
      </c>
      <c r="Z203" s="192">
        <f t="shared" si="535"/>
        <v>0</v>
      </c>
      <c r="AA203" t="str">
        <f t="shared" si="536"/>
        <v>-</v>
      </c>
      <c r="AB203" t="str">
        <f t="shared" si="537"/>
        <v>-</v>
      </c>
      <c r="AC203" s="523"/>
      <c r="AD203" s="34"/>
      <c r="AF203" s="64">
        <f t="shared" si="513"/>
        <v>101491.67</v>
      </c>
      <c r="AG203" s="64">
        <f t="shared" si="514"/>
        <v>96329.49</v>
      </c>
      <c r="AH203" s="64">
        <f t="shared" si="515"/>
        <v>5162.179999999993</v>
      </c>
      <c r="AI203" s="217">
        <f t="shared" si="516"/>
        <v>1</v>
      </c>
      <c r="AJ203" s="98">
        <f t="shared" si="517"/>
        <v>5162.179999999993</v>
      </c>
      <c r="AK203" s="98">
        <f t="shared" si="518"/>
        <v>101491.67</v>
      </c>
      <c r="AL203" s="98">
        <f t="shared" si="519"/>
        <v>0</v>
      </c>
      <c r="AM203" s="98">
        <f t="shared" si="520"/>
        <v>0</v>
      </c>
      <c r="AN203" s="98">
        <f t="shared" si="521"/>
        <v>0</v>
      </c>
      <c r="AO203" s="222">
        <f>GAAP!P232</f>
        <v>0</v>
      </c>
      <c r="AP203" s="129">
        <f t="shared" si="522"/>
        <v>5162.179999999993</v>
      </c>
    </row>
    <row r="204" spans="1:42" ht="13.5" customHeight="1">
      <c r="A204" s="258">
        <v>54.9392</v>
      </c>
      <c r="B204" s="57" t="s">
        <v>583</v>
      </c>
      <c r="C204" s="163">
        <v>217648.89</v>
      </c>
      <c r="D204" s="354">
        <f t="shared" si="480"/>
        <v>208346.69</v>
      </c>
      <c r="E204" s="149">
        <v>9302.2000000000116</v>
      </c>
      <c r="F204" s="163">
        <v>208346.69</v>
      </c>
      <c r="G204" s="217">
        <f t="shared" si="481"/>
        <v>1</v>
      </c>
      <c r="H204" s="149">
        <v>9302.2000000000116</v>
      </c>
      <c r="I204" s="214">
        <f t="shared" si="482"/>
        <v>217648.89</v>
      </c>
      <c r="J204" s="149">
        <v>217648.89</v>
      </c>
      <c r="K204" s="214">
        <f t="shared" si="507"/>
        <v>0</v>
      </c>
      <c r="L204" s="214">
        <f t="shared" si="508"/>
        <v>0</v>
      </c>
      <c r="M204" s="214">
        <f t="shared" si="509"/>
        <v>0</v>
      </c>
      <c r="N204" s="222"/>
      <c r="O204" s="222"/>
      <c r="P204" s="222"/>
      <c r="Q204" s="214">
        <f t="shared" si="510"/>
        <v>208346.69</v>
      </c>
      <c r="R204" s="214">
        <f t="shared" si="511"/>
        <v>217648.89</v>
      </c>
      <c r="S204" s="214">
        <f t="shared" si="512"/>
        <v>9302.2000000000116</v>
      </c>
      <c r="T204" s="273" t="s">
        <v>510</v>
      </c>
      <c r="U204" s="185" t="s">
        <v>510</v>
      </c>
      <c r="V204" s="57" t="str">
        <f t="shared" si="542"/>
        <v>&lt; 250k</v>
      </c>
      <c r="Y204" s="311">
        <v>6751.9760648148149</v>
      </c>
      <c r="Z204" s="192">
        <f t="shared" si="535"/>
        <v>2550.2239351851968</v>
      </c>
      <c r="AA204" t="str">
        <f t="shared" si="536"/>
        <v>-</v>
      </c>
      <c r="AB204" t="str">
        <f t="shared" si="537"/>
        <v>-</v>
      </c>
      <c r="AC204" s="523"/>
      <c r="AD204" s="34"/>
      <c r="AF204" s="64"/>
      <c r="AG204" s="64"/>
      <c r="AH204" s="64"/>
      <c r="AI204" s="217"/>
      <c r="AJ204" s="98"/>
      <c r="AK204" s="98"/>
      <c r="AL204" s="98"/>
      <c r="AM204" s="98"/>
      <c r="AN204" s="98"/>
      <c r="AO204" s="222"/>
      <c r="AP204" s="129"/>
    </row>
    <row r="205" spans="1:42" ht="13.5" customHeight="1">
      <c r="A205" s="258">
        <v>54.939300000000003</v>
      </c>
      <c r="B205" s="57" t="s">
        <v>584</v>
      </c>
      <c r="C205" s="163">
        <v>31523.02</v>
      </c>
      <c r="D205" s="354">
        <f t="shared" si="480"/>
        <v>27539.820000000003</v>
      </c>
      <c r="E205" s="149">
        <v>3983.1999999999971</v>
      </c>
      <c r="F205" s="163">
        <v>27539.820000000003</v>
      </c>
      <c r="G205" s="217">
        <f t="shared" si="481"/>
        <v>1</v>
      </c>
      <c r="H205" s="149">
        <v>3983.1999999999971</v>
      </c>
      <c r="I205" s="214">
        <f t="shared" si="482"/>
        <v>31523.02</v>
      </c>
      <c r="J205" s="149">
        <v>31523.02</v>
      </c>
      <c r="K205" s="214">
        <f t="shared" si="507"/>
        <v>0</v>
      </c>
      <c r="L205" s="214">
        <f t="shared" si="508"/>
        <v>0</v>
      </c>
      <c r="M205" s="214">
        <f t="shared" si="509"/>
        <v>0</v>
      </c>
      <c r="N205" s="222"/>
      <c r="O205" s="222"/>
      <c r="P205" s="222"/>
      <c r="Q205" s="214">
        <f t="shared" si="510"/>
        <v>27539.820000000003</v>
      </c>
      <c r="R205" s="214">
        <f t="shared" si="511"/>
        <v>31523.02</v>
      </c>
      <c r="S205" s="214">
        <f t="shared" si="512"/>
        <v>3983.1999999999971</v>
      </c>
      <c r="T205" s="273" t="s">
        <v>510</v>
      </c>
      <c r="U205" s="273" t="s">
        <v>510</v>
      </c>
      <c r="V205" s="57" t="str">
        <f t="shared" si="542"/>
        <v>&lt; 250k</v>
      </c>
      <c r="Y205" s="311">
        <v>3983.1999999999971</v>
      </c>
      <c r="Z205" s="192">
        <f t="shared" si="535"/>
        <v>0</v>
      </c>
      <c r="AA205" t="str">
        <f t="shared" si="536"/>
        <v>-</v>
      </c>
      <c r="AB205" t="str">
        <f t="shared" si="537"/>
        <v>-</v>
      </c>
      <c r="AC205" s="523"/>
      <c r="AD205" s="34"/>
      <c r="AF205" s="64"/>
      <c r="AG205" s="64"/>
      <c r="AH205" s="64"/>
      <c r="AI205" s="217"/>
      <c r="AJ205" s="98"/>
      <c r="AK205" s="98"/>
      <c r="AL205" s="98"/>
      <c r="AM205" s="98"/>
      <c r="AN205" s="98"/>
      <c r="AO205" s="222"/>
      <c r="AP205" s="129"/>
    </row>
    <row r="206" spans="1:42" ht="13.5" customHeight="1">
      <c r="A206" s="258">
        <v>54.939399999999999</v>
      </c>
      <c r="B206" s="57" t="s">
        <v>585</v>
      </c>
      <c r="C206" s="163">
        <v>15966.99</v>
      </c>
      <c r="D206" s="354">
        <f t="shared" si="480"/>
        <v>14039.55</v>
      </c>
      <c r="E206" s="149">
        <v>1927.4400000000005</v>
      </c>
      <c r="F206" s="163">
        <v>14039.55</v>
      </c>
      <c r="G206" s="217">
        <f t="shared" si="481"/>
        <v>1</v>
      </c>
      <c r="H206" s="149">
        <v>1927.4400000000005</v>
      </c>
      <c r="I206" s="214">
        <f t="shared" si="482"/>
        <v>15966.99</v>
      </c>
      <c r="J206" s="149">
        <v>15966.99</v>
      </c>
      <c r="K206" s="214">
        <f t="shared" si="507"/>
        <v>0</v>
      </c>
      <c r="L206" s="214">
        <f t="shared" si="508"/>
        <v>0</v>
      </c>
      <c r="M206" s="214">
        <f t="shared" si="509"/>
        <v>0</v>
      </c>
      <c r="N206" s="222"/>
      <c r="O206" s="222"/>
      <c r="P206" s="222"/>
      <c r="Q206" s="214">
        <f t="shared" si="510"/>
        <v>14039.55</v>
      </c>
      <c r="R206" s="214">
        <f t="shared" si="511"/>
        <v>15966.99</v>
      </c>
      <c r="S206" s="214">
        <f t="shared" si="512"/>
        <v>1927.4400000000005</v>
      </c>
      <c r="T206" s="273" t="s">
        <v>510</v>
      </c>
      <c r="U206" s="185" t="s">
        <v>510</v>
      </c>
      <c r="V206" s="57" t="str">
        <f t="shared" si="542"/>
        <v>&lt; 250k</v>
      </c>
      <c r="Y206" s="311">
        <v>1927.4400000000005</v>
      </c>
      <c r="Z206" s="192">
        <f t="shared" si="535"/>
        <v>0</v>
      </c>
      <c r="AA206" t="str">
        <f t="shared" si="536"/>
        <v>-</v>
      </c>
      <c r="AB206" t="str">
        <f t="shared" si="537"/>
        <v>-</v>
      </c>
      <c r="AC206" s="523"/>
      <c r="AD206" s="34"/>
      <c r="AF206" s="64"/>
      <c r="AG206" s="64"/>
      <c r="AH206" s="64"/>
      <c r="AI206" s="217"/>
      <c r="AJ206" s="98"/>
      <c r="AK206" s="98"/>
      <c r="AL206" s="98"/>
      <c r="AM206" s="98"/>
      <c r="AN206" s="98"/>
      <c r="AO206" s="222"/>
      <c r="AP206" s="129"/>
    </row>
    <row r="207" spans="1:42" ht="13.5" customHeight="1">
      <c r="A207" s="258">
        <v>54.939799999999998</v>
      </c>
      <c r="B207" s="57" t="s">
        <v>595</v>
      </c>
      <c r="C207" s="163">
        <v>14300</v>
      </c>
      <c r="D207" s="354">
        <f t="shared" si="480"/>
        <v>8192.7900000000009</v>
      </c>
      <c r="E207" s="149">
        <v>6107.2099999999991</v>
      </c>
      <c r="F207" s="163">
        <v>8192.7900000000009</v>
      </c>
      <c r="G207" s="217">
        <f t="shared" si="481"/>
        <v>1</v>
      </c>
      <c r="H207" s="149">
        <v>6107.2099999999991</v>
      </c>
      <c r="I207" s="214">
        <f t="shared" si="482"/>
        <v>14300</v>
      </c>
      <c r="J207" s="149">
        <v>14300</v>
      </c>
      <c r="K207" s="214">
        <f t="shared" si="507"/>
        <v>0</v>
      </c>
      <c r="L207" s="214">
        <f t="shared" si="508"/>
        <v>0</v>
      </c>
      <c r="M207" s="214">
        <f t="shared" si="509"/>
        <v>0</v>
      </c>
      <c r="N207" s="222"/>
      <c r="O207" s="222"/>
      <c r="P207" s="222"/>
      <c r="Q207" s="214">
        <f t="shared" si="510"/>
        <v>8192.7900000000009</v>
      </c>
      <c r="R207" s="214">
        <f t="shared" si="511"/>
        <v>14300</v>
      </c>
      <c r="S207" s="214">
        <f t="shared" si="512"/>
        <v>6107.2099999999991</v>
      </c>
      <c r="T207" s="273" t="s">
        <v>510</v>
      </c>
      <c r="U207" s="273" t="s">
        <v>510</v>
      </c>
      <c r="V207" s="57" t="str">
        <f t="shared" si="542"/>
        <v>&lt; 250k</v>
      </c>
      <c r="Y207" s="311">
        <v>6107.2099999999991</v>
      </c>
      <c r="Z207" s="192">
        <f t="shared" si="535"/>
        <v>0</v>
      </c>
      <c r="AA207" t="str">
        <f t="shared" si="536"/>
        <v>-</v>
      </c>
      <c r="AB207" t="str">
        <f t="shared" si="537"/>
        <v>-</v>
      </c>
      <c r="AC207" s="523"/>
      <c r="AD207" s="34"/>
      <c r="AF207" s="64"/>
      <c r="AG207" s="64"/>
      <c r="AH207" s="64"/>
      <c r="AI207" s="217"/>
      <c r="AJ207" s="98"/>
      <c r="AK207" s="98"/>
      <c r="AL207" s="98"/>
      <c r="AM207" s="98"/>
      <c r="AN207" s="98"/>
      <c r="AO207" s="222"/>
      <c r="AP207" s="129"/>
    </row>
    <row r="208" spans="1:42" ht="13.5" customHeight="1">
      <c r="A208" s="258">
        <v>54.939900000000002</v>
      </c>
      <c r="B208" s="57" t="s">
        <v>596</v>
      </c>
      <c r="C208" s="163">
        <v>24775</v>
      </c>
      <c r="D208" s="354">
        <f t="shared" si="480"/>
        <v>11291.59</v>
      </c>
      <c r="E208" s="149">
        <v>13483.41</v>
      </c>
      <c r="F208" s="163">
        <v>11291.59</v>
      </c>
      <c r="G208" s="217">
        <f t="shared" si="481"/>
        <v>1</v>
      </c>
      <c r="H208" s="149">
        <v>13483.41</v>
      </c>
      <c r="I208" s="214">
        <f t="shared" si="482"/>
        <v>24775</v>
      </c>
      <c r="J208" s="149">
        <v>24775</v>
      </c>
      <c r="K208" s="214">
        <f t="shared" si="507"/>
        <v>0</v>
      </c>
      <c r="L208" s="214">
        <f t="shared" si="508"/>
        <v>0</v>
      </c>
      <c r="M208" s="214">
        <f t="shared" si="509"/>
        <v>0</v>
      </c>
      <c r="N208" s="222"/>
      <c r="O208" s="222"/>
      <c r="P208" s="222"/>
      <c r="Q208" s="214">
        <f t="shared" si="510"/>
        <v>11291.59</v>
      </c>
      <c r="R208" s="214">
        <f t="shared" si="511"/>
        <v>24775</v>
      </c>
      <c r="S208" s="214">
        <f t="shared" si="512"/>
        <v>13483.41</v>
      </c>
      <c r="T208" s="273" t="s">
        <v>510</v>
      </c>
      <c r="U208" s="185" t="s">
        <v>510</v>
      </c>
      <c r="V208" s="57" t="str">
        <f t="shared" si="542"/>
        <v>&lt; 250k</v>
      </c>
      <c r="Y208" s="311">
        <v>13483.41</v>
      </c>
      <c r="Z208" s="192">
        <f t="shared" si="535"/>
        <v>0</v>
      </c>
      <c r="AA208" t="str">
        <f t="shared" si="536"/>
        <v>-</v>
      </c>
      <c r="AB208" t="str">
        <f t="shared" si="537"/>
        <v>-</v>
      </c>
      <c r="AC208" s="523"/>
      <c r="AD208" s="34"/>
      <c r="AF208" s="64"/>
      <c r="AG208" s="64"/>
      <c r="AH208" s="64"/>
      <c r="AI208" s="217"/>
      <c r="AJ208" s="98"/>
      <c r="AK208" s="98"/>
      <c r="AL208" s="98"/>
      <c r="AM208" s="98"/>
      <c r="AN208" s="98"/>
      <c r="AO208" s="222"/>
      <c r="AP208" s="129"/>
    </row>
    <row r="209" spans="1:42" ht="13.5" customHeight="1">
      <c r="A209" s="258">
        <v>54.94</v>
      </c>
      <c r="B209" s="57" t="s">
        <v>668</v>
      </c>
      <c r="C209" s="163">
        <v>800.69</v>
      </c>
      <c r="D209" s="354">
        <f t="shared" si="480"/>
        <v>771.32</v>
      </c>
      <c r="E209" s="149">
        <v>29.370000000000005</v>
      </c>
      <c r="F209" s="163">
        <v>771.32</v>
      </c>
      <c r="G209" s="217">
        <f t="shared" si="481"/>
        <v>1</v>
      </c>
      <c r="H209" s="149">
        <v>29.370000000000005</v>
      </c>
      <c r="I209" s="214">
        <f t="shared" si="482"/>
        <v>800.69</v>
      </c>
      <c r="J209" s="149">
        <v>800.69</v>
      </c>
      <c r="K209" s="214">
        <f t="shared" si="507"/>
        <v>0</v>
      </c>
      <c r="L209" s="214">
        <f t="shared" si="508"/>
        <v>0</v>
      </c>
      <c r="M209" s="214">
        <f t="shared" si="509"/>
        <v>0</v>
      </c>
      <c r="N209" s="222"/>
      <c r="O209" s="222"/>
      <c r="P209" s="222"/>
      <c r="Q209" s="214">
        <f t="shared" si="510"/>
        <v>771.32</v>
      </c>
      <c r="R209" s="214">
        <f t="shared" si="511"/>
        <v>800.69</v>
      </c>
      <c r="S209" s="214">
        <f t="shared" si="512"/>
        <v>29.370000000000005</v>
      </c>
      <c r="T209" s="273" t="s">
        <v>510</v>
      </c>
      <c r="U209" s="273" t="s">
        <v>510</v>
      </c>
      <c r="V209" s="57" t="str">
        <f t="shared" si="542"/>
        <v>&lt; 250k</v>
      </c>
      <c r="Y209" s="311">
        <v>29.370000000000005</v>
      </c>
      <c r="Z209" s="192">
        <f t="shared" si="535"/>
        <v>0</v>
      </c>
      <c r="AA209" t="str">
        <f t="shared" si="536"/>
        <v>-</v>
      </c>
      <c r="AB209" t="str">
        <f t="shared" si="537"/>
        <v>-</v>
      </c>
      <c r="AC209" s="523"/>
      <c r="AD209" s="34"/>
      <c r="AF209" s="64"/>
      <c r="AG209" s="64"/>
      <c r="AH209" s="64"/>
      <c r="AI209" s="217"/>
      <c r="AJ209" s="98"/>
      <c r="AK209" s="98"/>
      <c r="AL209" s="98"/>
      <c r="AM209" s="98"/>
      <c r="AN209" s="98"/>
      <c r="AO209" s="222"/>
      <c r="AP209" s="129"/>
    </row>
    <row r="210" spans="1:42" ht="13.5" customHeight="1">
      <c r="A210" s="258">
        <v>54.940100000000001</v>
      </c>
      <c r="B210" s="57" t="s">
        <v>674</v>
      </c>
      <c r="C210" s="163">
        <v>247539.61</v>
      </c>
      <c r="D210" s="354">
        <f t="shared" si="480"/>
        <v>236312.57</v>
      </c>
      <c r="E210" s="149">
        <v>11227.039999999979</v>
      </c>
      <c r="F210" s="163">
        <v>236312.57</v>
      </c>
      <c r="G210" s="217">
        <f t="shared" si="481"/>
        <v>1</v>
      </c>
      <c r="H210" s="149">
        <v>11227.039999999979</v>
      </c>
      <c r="I210" s="214">
        <f t="shared" si="482"/>
        <v>247539.61</v>
      </c>
      <c r="J210" s="149">
        <v>247539.61</v>
      </c>
      <c r="K210" s="214">
        <f t="shared" si="507"/>
        <v>0</v>
      </c>
      <c r="L210" s="214">
        <f t="shared" si="508"/>
        <v>0</v>
      </c>
      <c r="M210" s="214">
        <f t="shared" si="509"/>
        <v>0</v>
      </c>
      <c r="N210" s="222"/>
      <c r="O210" s="222"/>
      <c r="P210" s="222"/>
      <c r="Q210" s="214">
        <f t="shared" si="510"/>
        <v>236312.57</v>
      </c>
      <c r="R210" s="214">
        <f t="shared" si="511"/>
        <v>247539.61</v>
      </c>
      <c r="S210" s="214">
        <f t="shared" si="512"/>
        <v>11227.039999999979</v>
      </c>
      <c r="T210" s="273" t="s">
        <v>510</v>
      </c>
      <c r="U210" s="273" t="s">
        <v>510</v>
      </c>
      <c r="V210" s="57" t="str">
        <f t="shared" si="542"/>
        <v>&lt; 250k</v>
      </c>
      <c r="Y210" s="311">
        <v>11227.039999999979</v>
      </c>
      <c r="Z210" s="192">
        <f t="shared" si="535"/>
        <v>0</v>
      </c>
      <c r="AA210" t="str">
        <f t="shared" si="536"/>
        <v>-</v>
      </c>
      <c r="AB210" t="str">
        <f t="shared" si="537"/>
        <v>-</v>
      </c>
      <c r="AC210" s="523"/>
      <c r="AD210" s="34"/>
      <c r="AF210" s="64"/>
      <c r="AG210" s="64"/>
      <c r="AH210" s="64"/>
      <c r="AI210" s="217"/>
      <c r="AJ210" s="98"/>
      <c r="AK210" s="98"/>
      <c r="AL210" s="98"/>
      <c r="AM210" s="98"/>
      <c r="AN210" s="98"/>
      <c r="AO210" s="222"/>
      <c r="AP210" s="129"/>
    </row>
    <row r="211" spans="1:42" ht="13.5" customHeight="1">
      <c r="A211" s="258">
        <v>54.9407</v>
      </c>
      <c r="B211" s="57" t="s">
        <v>684</v>
      </c>
      <c r="C211" s="163">
        <v>31296.85</v>
      </c>
      <c r="D211" s="354">
        <f t="shared" si="480"/>
        <v>25667.34</v>
      </c>
      <c r="E211" s="149">
        <v>5629.5099999999984</v>
      </c>
      <c r="F211" s="163">
        <v>25667.34</v>
      </c>
      <c r="G211" s="217">
        <f t="shared" si="481"/>
        <v>1</v>
      </c>
      <c r="H211" s="149">
        <v>5629.5099999999984</v>
      </c>
      <c r="I211" s="214">
        <f t="shared" si="482"/>
        <v>31296.85</v>
      </c>
      <c r="J211" s="149">
        <v>31296.85</v>
      </c>
      <c r="K211" s="214">
        <f t="shared" si="507"/>
        <v>0</v>
      </c>
      <c r="L211" s="214">
        <f t="shared" si="508"/>
        <v>0</v>
      </c>
      <c r="M211" s="214">
        <f t="shared" si="509"/>
        <v>0</v>
      </c>
      <c r="N211" s="222"/>
      <c r="O211" s="222"/>
      <c r="P211" s="222"/>
      <c r="Q211" s="214">
        <f t="shared" si="510"/>
        <v>25667.34</v>
      </c>
      <c r="R211" s="214">
        <f t="shared" si="511"/>
        <v>31296.85</v>
      </c>
      <c r="S211" s="214">
        <f t="shared" si="512"/>
        <v>5629.5099999999984</v>
      </c>
      <c r="T211" s="273" t="s">
        <v>510</v>
      </c>
      <c r="U211" s="273" t="s">
        <v>510</v>
      </c>
      <c r="V211" s="57" t="str">
        <f t="shared" si="542"/>
        <v>&lt; 250k</v>
      </c>
      <c r="Y211" s="311">
        <v>5629.5099999999984</v>
      </c>
      <c r="Z211" s="192">
        <f t="shared" si="535"/>
        <v>0</v>
      </c>
      <c r="AA211" t="str">
        <f t="shared" si="536"/>
        <v>-</v>
      </c>
      <c r="AB211" t="str">
        <f t="shared" si="537"/>
        <v>-</v>
      </c>
      <c r="AC211" s="523"/>
      <c r="AD211" s="34"/>
      <c r="AF211" s="64"/>
      <c r="AG211" s="64"/>
      <c r="AH211" s="64"/>
      <c r="AI211" s="217"/>
      <c r="AJ211" s="98"/>
      <c r="AK211" s="98"/>
      <c r="AL211" s="98"/>
      <c r="AM211" s="98"/>
      <c r="AN211" s="98"/>
      <c r="AO211" s="222"/>
      <c r="AP211" s="129"/>
    </row>
    <row r="212" spans="1:42" ht="13.5" customHeight="1">
      <c r="A212" s="258">
        <v>54.940899999999999</v>
      </c>
      <c r="B212" s="57" t="s">
        <v>685</v>
      </c>
      <c r="C212" s="163">
        <v>20123.71</v>
      </c>
      <c r="D212" s="354">
        <f t="shared" si="480"/>
        <v>17411.71</v>
      </c>
      <c r="E212" s="149">
        <v>2712</v>
      </c>
      <c r="F212" s="163">
        <v>17411.71</v>
      </c>
      <c r="G212" s="217">
        <f t="shared" si="481"/>
        <v>1</v>
      </c>
      <c r="H212" s="149">
        <v>2712</v>
      </c>
      <c r="I212" s="214">
        <f t="shared" si="482"/>
        <v>20123.71</v>
      </c>
      <c r="J212" s="149">
        <v>20123.71</v>
      </c>
      <c r="K212" s="214">
        <f t="shared" si="507"/>
        <v>0</v>
      </c>
      <c r="L212" s="214">
        <f t="shared" si="508"/>
        <v>0</v>
      </c>
      <c r="M212" s="214">
        <f t="shared" si="509"/>
        <v>0</v>
      </c>
      <c r="N212" s="222"/>
      <c r="O212" s="222"/>
      <c r="P212" s="222"/>
      <c r="Q212" s="214">
        <f t="shared" si="510"/>
        <v>17411.71</v>
      </c>
      <c r="R212" s="214">
        <f t="shared" si="511"/>
        <v>20123.71</v>
      </c>
      <c r="S212" s="214">
        <f t="shared" si="512"/>
        <v>2712</v>
      </c>
      <c r="T212" s="273" t="s">
        <v>510</v>
      </c>
      <c r="U212" s="273" t="s">
        <v>510</v>
      </c>
      <c r="V212" s="57" t="str">
        <f t="shared" si="542"/>
        <v>&lt; 250k</v>
      </c>
      <c r="Y212" s="311">
        <v>2712</v>
      </c>
      <c r="Z212" s="192">
        <f t="shared" si="535"/>
        <v>0</v>
      </c>
      <c r="AA212" t="str">
        <f t="shared" si="536"/>
        <v>-</v>
      </c>
      <c r="AB212" t="str">
        <f t="shared" si="537"/>
        <v>-</v>
      </c>
      <c r="AC212" s="523"/>
      <c r="AD212" s="34"/>
      <c r="AF212" s="64"/>
      <c r="AG212" s="64"/>
      <c r="AH212" s="64"/>
      <c r="AI212" s="217"/>
      <c r="AJ212" s="98"/>
      <c r="AK212" s="98"/>
      <c r="AL212" s="98"/>
      <c r="AM212" s="98"/>
      <c r="AN212" s="98"/>
      <c r="AO212" s="222"/>
      <c r="AP212" s="129"/>
    </row>
    <row r="213" spans="1:42" ht="13.5" customHeight="1">
      <c r="A213" s="258">
        <v>54.941000000000003</v>
      </c>
      <c r="B213" s="57" t="s">
        <v>686</v>
      </c>
      <c r="C213" s="163">
        <v>8241.5499999999993</v>
      </c>
      <c r="D213" s="354">
        <f t="shared" si="480"/>
        <v>6965.65</v>
      </c>
      <c r="E213" s="149">
        <v>1275.8999999999996</v>
      </c>
      <c r="F213" s="163">
        <v>6965.65</v>
      </c>
      <c r="G213" s="217">
        <f t="shared" si="481"/>
        <v>1</v>
      </c>
      <c r="H213" s="149">
        <v>1275.8999999999996</v>
      </c>
      <c r="I213" s="214">
        <f t="shared" si="482"/>
        <v>8241.5499999999993</v>
      </c>
      <c r="J213" s="149">
        <v>8241.5499999999993</v>
      </c>
      <c r="K213" s="214">
        <f t="shared" si="507"/>
        <v>0</v>
      </c>
      <c r="L213" s="214">
        <f t="shared" si="508"/>
        <v>0</v>
      </c>
      <c r="M213" s="214">
        <f t="shared" si="509"/>
        <v>0</v>
      </c>
      <c r="N213" s="222"/>
      <c r="O213" s="222"/>
      <c r="P213" s="222"/>
      <c r="Q213" s="214">
        <f t="shared" si="510"/>
        <v>6965.65</v>
      </c>
      <c r="R213" s="214">
        <f t="shared" si="511"/>
        <v>8241.5499999999993</v>
      </c>
      <c r="S213" s="214">
        <f t="shared" si="512"/>
        <v>1275.8999999999996</v>
      </c>
      <c r="T213" s="273" t="s">
        <v>510</v>
      </c>
      <c r="U213" s="273" t="s">
        <v>510</v>
      </c>
      <c r="V213" s="57" t="str">
        <f t="shared" si="542"/>
        <v>&lt; 250k</v>
      </c>
      <c r="Y213" s="311">
        <v>1275.8999999999996</v>
      </c>
      <c r="Z213" s="192">
        <f t="shared" si="535"/>
        <v>0</v>
      </c>
      <c r="AA213" t="str">
        <f t="shared" si="536"/>
        <v>-</v>
      </c>
      <c r="AB213" t="str">
        <f t="shared" si="537"/>
        <v>-</v>
      </c>
      <c r="AC213" s="523"/>
      <c r="AD213" s="34"/>
      <c r="AF213" s="64"/>
      <c r="AG213" s="64"/>
      <c r="AH213" s="64"/>
      <c r="AI213" s="217"/>
      <c r="AJ213" s="98"/>
      <c r="AK213" s="98"/>
      <c r="AL213" s="98"/>
      <c r="AM213" s="98"/>
      <c r="AN213" s="98"/>
      <c r="AO213" s="222"/>
      <c r="AP213" s="129"/>
    </row>
    <row r="214" spans="1:42" ht="13.5" hidden="1" customHeight="1">
      <c r="A214" s="258"/>
      <c r="B214" s="57"/>
      <c r="C214" s="163"/>
      <c r="D214" s="216"/>
      <c r="E214" s="149"/>
      <c r="F214" s="149"/>
      <c r="G214" s="217">
        <f>IF(D214&lt;&gt;0,+F214/D214,0)</f>
        <v>0</v>
      </c>
      <c r="H214" s="149"/>
      <c r="I214" s="214">
        <f t="shared" ref="I214" si="543">+F214+H214</f>
        <v>0</v>
      </c>
      <c r="J214" s="149"/>
      <c r="K214" s="214">
        <f>J214-I214</f>
        <v>0</v>
      </c>
      <c r="L214" s="214">
        <f>+D214-F214</f>
        <v>0</v>
      </c>
      <c r="M214" s="214">
        <f>+C214-J214</f>
        <v>0</v>
      </c>
      <c r="N214" s="222"/>
      <c r="O214" s="222"/>
      <c r="P214" s="220"/>
      <c r="Q214" s="214"/>
      <c r="R214" s="214"/>
      <c r="S214" s="214"/>
      <c r="T214" s="273"/>
      <c r="U214" s="273"/>
      <c r="V214" s="57"/>
      <c r="Z214" s="192">
        <f t="shared" si="535"/>
        <v>0</v>
      </c>
      <c r="AA214" t="str">
        <f t="shared" si="536"/>
        <v>-</v>
      </c>
      <c r="AB214" t="str">
        <f t="shared" si="537"/>
        <v>-</v>
      </c>
      <c r="AC214" s="523"/>
      <c r="AD214" s="34">
        <f>C214-GAAP!C214</f>
        <v>0</v>
      </c>
    </row>
    <row r="215" spans="1:42" s="82" customFormat="1" ht="13.5" customHeight="1">
      <c r="A215" s="176" t="s">
        <v>338</v>
      </c>
      <c r="B215" s="85"/>
      <c r="C215" s="177">
        <f>SUM(C157:C214)</f>
        <v>97414231.620000005</v>
      </c>
      <c r="D215" s="177">
        <f t="shared" ref="D215:F215" si="544">SUM(D157:D214)</f>
        <v>84432379.319999993</v>
      </c>
      <c r="E215" s="177">
        <f t="shared" si="544"/>
        <v>12981852.299999995</v>
      </c>
      <c r="F215" s="177">
        <f t="shared" si="544"/>
        <v>84432379.319999993</v>
      </c>
      <c r="G215" s="177"/>
      <c r="H215" s="177">
        <f t="shared" ref="H215:S215" si="545">SUM(H157:H214)</f>
        <v>12981852.299999995</v>
      </c>
      <c r="I215" s="177">
        <f t="shared" si="545"/>
        <v>97414231.620000005</v>
      </c>
      <c r="J215" s="177">
        <f t="shared" si="545"/>
        <v>97414231.620000005</v>
      </c>
      <c r="K215" s="177">
        <f t="shared" si="545"/>
        <v>0</v>
      </c>
      <c r="L215" s="177">
        <f t="shared" si="545"/>
        <v>0</v>
      </c>
      <c r="M215" s="177">
        <f t="shared" si="545"/>
        <v>0</v>
      </c>
      <c r="N215" s="177">
        <f t="shared" si="545"/>
        <v>75859362.409999996</v>
      </c>
      <c r="O215" s="177">
        <f t="shared" si="545"/>
        <v>89318608.459999993</v>
      </c>
      <c r="P215" s="177">
        <f t="shared" si="545"/>
        <v>13874672.81838295</v>
      </c>
      <c r="Q215" s="177">
        <f t="shared" si="545"/>
        <v>8573016.9100000057</v>
      </c>
      <c r="R215" s="177">
        <f t="shared" si="545"/>
        <v>8095623.1600000011</v>
      </c>
      <c r="S215" s="177">
        <f t="shared" si="545"/>
        <v>-892820.51838295127</v>
      </c>
      <c r="T215" s="123"/>
      <c r="U215" s="199"/>
      <c r="W215" s="288"/>
      <c r="X215" s="282"/>
      <c r="Y215" s="311">
        <v>609161.09319274419</v>
      </c>
      <c r="Z215" s="192">
        <f t="shared" si="535"/>
        <v>-1501981.6115756955</v>
      </c>
      <c r="AA215" t="str">
        <f t="shared" si="536"/>
        <v>-</v>
      </c>
      <c r="AB215" t="str">
        <f t="shared" si="537"/>
        <v>-</v>
      </c>
      <c r="AC215" s="523"/>
      <c r="AD215" s="34">
        <f>C215-GAAP!C215</f>
        <v>0</v>
      </c>
      <c r="AF215" s="177">
        <f>SUM(AF158:AF214)</f>
        <v>41071704.190000013</v>
      </c>
      <c r="AG215" s="177">
        <f>SUM(AG158:AG214)</f>
        <v>38530480.890000001</v>
      </c>
      <c r="AH215" s="177">
        <f>SUM(AH158:AH214)</f>
        <v>2541223.2999999989</v>
      </c>
      <c r="AI215" s="177"/>
      <c r="AJ215" s="177">
        <f t="shared" ref="AJ215:AP215" si="546">SUM(AJ158:AJ214)</f>
        <v>2541223.2999999989</v>
      </c>
      <c r="AK215" s="177">
        <f t="shared" si="546"/>
        <v>41071704.190000013</v>
      </c>
      <c r="AL215" s="177">
        <f t="shared" si="546"/>
        <v>0</v>
      </c>
      <c r="AM215" s="177">
        <f t="shared" si="546"/>
        <v>0</v>
      </c>
      <c r="AN215" s="177">
        <f t="shared" si="546"/>
        <v>0</v>
      </c>
      <c r="AO215" s="177" t="e">
        <f t="shared" si="546"/>
        <v>#REF!</v>
      </c>
      <c r="AP215" s="177" t="e">
        <f t="shared" si="546"/>
        <v>#REF!</v>
      </c>
    </row>
    <row r="216" spans="1:42" s="82" customFormat="1" ht="13.5" customHeight="1">
      <c r="A216" s="178" t="s">
        <v>339</v>
      </c>
      <c r="B216" s="87"/>
      <c r="C216" s="83">
        <f>C154+C215</f>
        <v>204859768.21000001</v>
      </c>
      <c r="D216" s="83">
        <f>D154+D215</f>
        <v>183028024.31</v>
      </c>
      <c r="E216" s="83">
        <f>E154+E215</f>
        <v>21831743.899999995</v>
      </c>
      <c r="F216" s="83">
        <f>F154+F215</f>
        <v>131355636.81</v>
      </c>
      <c r="G216" s="83"/>
      <c r="H216" s="83">
        <f t="shared" ref="H216:S216" si="547">H154+H215</f>
        <v>17033417.052586585</v>
      </c>
      <c r="I216" s="83">
        <f t="shared" si="547"/>
        <v>148389053.86258659</v>
      </c>
      <c r="J216" s="83">
        <f t="shared" si="547"/>
        <v>147725202.33000001</v>
      </c>
      <c r="K216" s="83">
        <f t="shared" si="547"/>
        <v>-663851.53258658864</v>
      </c>
      <c r="L216" s="83">
        <f t="shared" si="547"/>
        <v>51672387.500000007</v>
      </c>
      <c r="M216" s="83">
        <f t="shared" si="547"/>
        <v>57134565.880000003</v>
      </c>
      <c r="N216" s="83">
        <f t="shared" si="547"/>
        <v>89652994.129999995</v>
      </c>
      <c r="O216" s="83">
        <f t="shared" si="547"/>
        <v>102677301.55</v>
      </c>
      <c r="P216" s="83">
        <f t="shared" si="547"/>
        <v>14786939.046464525</v>
      </c>
      <c r="Q216" s="83">
        <f t="shared" si="547"/>
        <v>41702642.68</v>
      </c>
      <c r="R216" s="83">
        <f t="shared" si="547"/>
        <v>45047900.780000001</v>
      </c>
      <c r="S216" s="83">
        <f t="shared" si="547"/>
        <v>2246478.0061220643</v>
      </c>
      <c r="T216" s="123"/>
      <c r="U216" s="199"/>
      <c r="W216" s="288"/>
      <c r="X216" s="282"/>
      <c r="Y216" s="311">
        <v>1424332.7595936512</v>
      </c>
      <c r="Z216" s="192">
        <f t="shared" si="535"/>
        <v>822145.24652841315</v>
      </c>
      <c r="AA216" t="str">
        <f t="shared" si="536"/>
        <v>-</v>
      </c>
      <c r="AB216" t="str">
        <f t="shared" si="537"/>
        <v>-</v>
      </c>
      <c r="AC216" s="523"/>
      <c r="AD216" s="34">
        <f>C216-GAAP!C216</f>
        <v>21189.15000000596</v>
      </c>
      <c r="AF216" s="83">
        <f>AF215+AF154</f>
        <v>131162339.93000001</v>
      </c>
      <c r="AG216" s="83">
        <f>AG215+AG154</f>
        <v>120923890.51000001</v>
      </c>
      <c r="AH216" s="83">
        <f>AH215+AH154</f>
        <v>10238449.419999998</v>
      </c>
      <c r="AI216" s="83"/>
      <c r="AJ216" s="83">
        <f t="shared" ref="AJ216:AP216" si="548">AJ215+AJ154</f>
        <v>6418574.4820711557</v>
      </c>
      <c r="AK216" s="83">
        <f t="shared" si="548"/>
        <v>85131647.932071164</v>
      </c>
      <c r="AL216" s="83">
        <f t="shared" si="548"/>
        <v>16970.147928844177</v>
      </c>
      <c r="AM216" s="83">
        <f t="shared" si="548"/>
        <v>42210817.060000002</v>
      </c>
      <c r="AN216" s="83">
        <f t="shared" si="548"/>
        <v>46013721.850000001</v>
      </c>
      <c r="AO216" s="83" t="e">
        <f t="shared" si="548"/>
        <v>#REF!</v>
      </c>
      <c r="AP216" s="83" t="e">
        <f t="shared" si="548"/>
        <v>#REF!</v>
      </c>
    </row>
    <row r="217" spans="1:42" s="57" customFormat="1" ht="10.5" customHeight="1">
      <c r="A217" s="181"/>
      <c r="B217" s="82"/>
      <c r="C217" s="221"/>
      <c r="D217" s="63"/>
      <c r="E217" s="221"/>
      <c r="F217" s="221"/>
      <c r="G217" s="63"/>
      <c r="H217" s="168"/>
      <c r="I217" s="77"/>
      <c r="J217" s="221"/>
      <c r="K217" s="63"/>
      <c r="L217" s="77"/>
      <c r="M217" s="77"/>
      <c r="N217" s="221"/>
      <c r="O217" s="221"/>
      <c r="P217" s="221"/>
      <c r="Q217" s="77"/>
      <c r="R217" s="77"/>
      <c r="S217" s="77"/>
      <c r="T217" s="149"/>
      <c r="U217" s="185"/>
      <c r="W217" s="288"/>
      <c r="X217" s="289"/>
      <c r="Y217" s="311"/>
      <c r="Z217" s="192">
        <f t="shared" si="535"/>
        <v>0</v>
      </c>
      <c r="AA217" t="str">
        <f t="shared" si="536"/>
        <v>-</v>
      </c>
      <c r="AB217" t="str">
        <f t="shared" si="537"/>
        <v>-</v>
      </c>
      <c r="AD217" s="34">
        <f>C217-GAAP!C217</f>
        <v>0</v>
      </c>
    </row>
    <row r="218" spans="1:42" s="57" customFormat="1" ht="13.5" customHeight="1">
      <c r="A218" s="176" t="s">
        <v>360</v>
      </c>
      <c r="B218" s="82"/>
      <c r="C218" s="438">
        <f>C26+C65+C109+C154</f>
        <v>920400789.95000005</v>
      </c>
      <c r="D218" s="438">
        <f>D26+D65+D109+D154</f>
        <v>832749255.01999998</v>
      </c>
      <c r="E218" s="438">
        <f>E26+E65+E109+E154</f>
        <v>87651534.929999992</v>
      </c>
      <c r="F218" s="438">
        <f>F26+F65+F109+F154</f>
        <v>396319859.23000002</v>
      </c>
      <c r="G218" s="438"/>
      <c r="H218" s="438">
        <f t="shared" ref="H218:S218" si="549">H26+H65+H109+H154</f>
        <v>43136524.993270531</v>
      </c>
      <c r="I218" s="438">
        <f t="shared" si="549"/>
        <v>439456384.22327065</v>
      </c>
      <c r="J218" s="438">
        <f t="shared" si="549"/>
        <v>445904787.14999992</v>
      </c>
      <c r="K218" s="438">
        <f t="shared" si="549"/>
        <v>6448402.9267294761</v>
      </c>
      <c r="L218" s="438">
        <f t="shared" si="549"/>
        <v>436429395.78999996</v>
      </c>
      <c r="M218" s="438">
        <f t="shared" si="549"/>
        <v>474496002.79999995</v>
      </c>
      <c r="N218" s="438">
        <f t="shared" si="549"/>
        <v>227517552.45000002</v>
      </c>
      <c r="O218" s="438">
        <f t="shared" si="549"/>
        <v>246266637.70000002</v>
      </c>
      <c r="P218" s="438">
        <f t="shared" si="549"/>
        <v>19044365.780588809</v>
      </c>
      <c r="Q218" s="438">
        <f t="shared" si="549"/>
        <v>168802306.77999994</v>
      </c>
      <c r="R218" s="438">
        <f t="shared" si="549"/>
        <v>199638149.44999999</v>
      </c>
      <c r="S218" s="438">
        <f t="shared" si="549"/>
        <v>24092159.212681722</v>
      </c>
      <c r="T218" s="149"/>
      <c r="U218" s="185"/>
      <c r="W218" s="288"/>
      <c r="X218" s="289"/>
      <c r="Y218" s="311">
        <v>17090769.227364149</v>
      </c>
      <c r="Z218" s="192">
        <f t="shared" si="535"/>
        <v>7001389.985317573</v>
      </c>
      <c r="AA218" t="str">
        <f t="shared" si="536"/>
        <v>-</v>
      </c>
      <c r="AB218" t="str">
        <f t="shared" si="537"/>
        <v>-</v>
      </c>
      <c r="AD218" s="34">
        <f>C218-GAAP!C218</f>
        <v>920400789.95000005</v>
      </c>
      <c r="AF218" s="438">
        <f>AF26+AF65+AF109+AF154</f>
        <v>532581517.96999997</v>
      </c>
      <c r="AG218" s="438">
        <f>AG26+AG65+AG109+AG154</f>
        <v>481298825.33999997</v>
      </c>
      <c r="AH218" s="438">
        <f>AH26+AH65+AH109+AH154</f>
        <v>51282692.629999995</v>
      </c>
      <c r="AI218" s="438"/>
      <c r="AJ218" s="438">
        <f t="shared" ref="AJ218:AP218" si="550">AJ26+AJ65+AJ109+AJ154</f>
        <v>41933859.37597689</v>
      </c>
      <c r="AK218" s="438">
        <f t="shared" si="550"/>
        <v>426428578.21597689</v>
      </c>
      <c r="AL218" s="438">
        <f t="shared" si="550"/>
        <v>8253005.9740231149</v>
      </c>
      <c r="AM218" s="438">
        <f t="shared" si="550"/>
        <v>96804106.5</v>
      </c>
      <c r="AN218" s="438">
        <f t="shared" si="550"/>
        <v>97899933.780000001</v>
      </c>
      <c r="AO218" s="438" t="e">
        <f t="shared" si="550"/>
        <v>#REF!</v>
      </c>
      <c r="AP218" s="438" t="e">
        <f t="shared" si="550"/>
        <v>#REF!</v>
      </c>
    </row>
    <row r="219" spans="1:42" s="57" customFormat="1" ht="13.5" customHeight="1">
      <c r="A219" s="176" t="s">
        <v>361</v>
      </c>
      <c r="B219" s="82"/>
      <c r="C219" s="438">
        <f>C40+C103+C116+C215</f>
        <v>141195136.30000001</v>
      </c>
      <c r="D219" s="438">
        <f>D40+D103+D116+D215</f>
        <v>127887502.04999998</v>
      </c>
      <c r="E219" s="438">
        <f>E40+E103+E116+E215</f>
        <v>13307634.249999994</v>
      </c>
      <c r="F219" s="438">
        <f>F40+F103+F116+F215</f>
        <v>127887502.04999998</v>
      </c>
      <c r="G219" s="438"/>
      <c r="H219" s="438">
        <f t="shared" ref="H219:S219" si="551">H40+H103+H116+H215</f>
        <v>13307634.249999994</v>
      </c>
      <c r="I219" s="438">
        <f t="shared" si="551"/>
        <v>141195136.30000001</v>
      </c>
      <c r="J219" s="438">
        <f t="shared" si="551"/>
        <v>141195136.30000001</v>
      </c>
      <c r="K219" s="438">
        <f t="shared" si="551"/>
        <v>0</v>
      </c>
      <c r="L219" s="438">
        <f t="shared" si="551"/>
        <v>0</v>
      </c>
      <c r="M219" s="438">
        <f t="shared" si="551"/>
        <v>0</v>
      </c>
      <c r="N219" s="438">
        <f t="shared" si="551"/>
        <v>106319863.59999999</v>
      </c>
      <c r="O219" s="438">
        <f t="shared" si="551"/>
        <v>123306235.66999999</v>
      </c>
      <c r="P219" s="438">
        <f t="shared" si="551"/>
        <v>16281355.585740343</v>
      </c>
      <c r="Q219" s="438">
        <f t="shared" si="551"/>
        <v>21567638.450000007</v>
      </c>
      <c r="R219" s="438">
        <f t="shared" si="551"/>
        <v>17888900.630000003</v>
      </c>
      <c r="S219" s="438">
        <f t="shared" si="551"/>
        <v>-2973721.3357403441</v>
      </c>
      <c r="T219" s="149"/>
      <c r="U219" s="185"/>
      <c r="W219" s="288"/>
      <c r="X219" s="289"/>
      <c r="Y219" s="311">
        <v>1143973.4560141526</v>
      </c>
      <c r="Z219" s="192">
        <f t="shared" si="535"/>
        <v>-4117694.7917544967</v>
      </c>
      <c r="AA219" t="str">
        <f t="shared" si="536"/>
        <v>-</v>
      </c>
      <c r="AB219" t="str">
        <f t="shared" si="537"/>
        <v>-</v>
      </c>
      <c r="AD219" s="34">
        <f>C219-GAAP!C219</f>
        <v>141195136.30000001</v>
      </c>
      <c r="AF219" s="438">
        <f>AF40+AF103+AF116+AF215</f>
        <v>42652052.74000001</v>
      </c>
      <c r="AG219" s="438">
        <f>AG40+AG103+AG116+AG215</f>
        <v>41423671.579999998</v>
      </c>
      <c r="AH219" s="438">
        <f>AH40+AH103+AH116+AH215</f>
        <v>1228381.1599999988</v>
      </c>
      <c r="AI219" s="438"/>
      <c r="AJ219" s="438">
        <f t="shared" ref="AJ219:AP219" si="552">AJ40+AJ103+AJ116+AJ215</f>
        <v>1228381.1599999988</v>
      </c>
      <c r="AK219" s="438">
        <f t="shared" si="552"/>
        <v>42652052.74000001</v>
      </c>
      <c r="AL219" s="438">
        <f t="shared" si="552"/>
        <v>0</v>
      </c>
      <c r="AM219" s="438">
        <f t="shared" si="552"/>
        <v>0</v>
      </c>
      <c r="AN219" s="438">
        <f t="shared" si="552"/>
        <v>0</v>
      </c>
      <c r="AO219" s="438" t="e">
        <f t="shared" si="552"/>
        <v>#REF!</v>
      </c>
      <c r="AP219" s="438" t="e">
        <f t="shared" si="552"/>
        <v>#REF!</v>
      </c>
    </row>
    <row r="220" spans="1:42" s="57" customFormat="1" ht="13.5" customHeight="1" thickBot="1">
      <c r="A220" s="436" t="s">
        <v>373</v>
      </c>
      <c r="B220" s="437"/>
      <c r="C220" s="439">
        <f>SUM(C218:C219)</f>
        <v>1061595926.25</v>
      </c>
      <c r="D220" s="439">
        <f t="shared" ref="D220:F220" si="553">SUM(D218:D219)</f>
        <v>960636757.06999993</v>
      </c>
      <c r="E220" s="439">
        <f t="shared" si="553"/>
        <v>100959169.17999999</v>
      </c>
      <c r="F220" s="439">
        <f t="shared" si="553"/>
        <v>524207361.27999997</v>
      </c>
      <c r="G220" s="439"/>
      <c r="H220" s="439">
        <f t="shared" ref="H220:S220" si="554">SUM(H218:H219)</f>
        <v>56444159.243270524</v>
      </c>
      <c r="I220" s="439">
        <f t="shared" si="554"/>
        <v>580651520.52327061</v>
      </c>
      <c r="J220" s="439">
        <f>SUM(J218:J219)</f>
        <v>587099923.44999993</v>
      </c>
      <c r="K220" s="439">
        <f t="shared" si="554"/>
        <v>6448402.9267294761</v>
      </c>
      <c r="L220" s="439">
        <f t="shared" si="554"/>
        <v>436429395.78999996</v>
      </c>
      <c r="M220" s="439">
        <f t="shared" si="554"/>
        <v>474496002.79999995</v>
      </c>
      <c r="N220" s="439">
        <f t="shared" si="554"/>
        <v>333837416.05000001</v>
      </c>
      <c r="O220" s="439">
        <f t="shared" si="554"/>
        <v>369572873.37</v>
      </c>
      <c r="P220" s="439">
        <f t="shared" si="554"/>
        <v>35325721.366329148</v>
      </c>
      <c r="Q220" s="439">
        <f t="shared" si="554"/>
        <v>190369945.22999996</v>
      </c>
      <c r="R220" s="439">
        <f t="shared" si="554"/>
        <v>217527050.07999998</v>
      </c>
      <c r="S220" s="439">
        <f t="shared" si="554"/>
        <v>21118437.876941379</v>
      </c>
      <c r="T220" s="149"/>
      <c r="U220" s="185"/>
      <c r="W220" s="288"/>
      <c r="X220" s="289"/>
      <c r="Y220" s="311">
        <v>18234742.683378302</v>
      </c>
      <c r="Z220" s="192">
        <f t="shared" si="535"/>
        <v>2883695.1935630776</v>
      </c>
      <c r="AA220" t="str">
        <f t="shared" si="536"/>
        <v>-</v>
      </c>
      <c r="AB220" t="str">
        <f t="shared" si="537"/>
        <v>-</v>
      </c>
      <c r="AD220" s="34">
        <f>C220-GAAP!C220</f>
        <v>1061595926.25</v>
      </c>
      <c r="AF220" s="439">
        <f>SUM(AF218:AF219)</f>
        <v>575233570.71000004</v>
      </c>
      <c r="AG220" s="439">
        <f t="shared" ref="AG220:AP220" si="555">SUM(AG218:AG219)</f>
        <v>522722496.91999996</v>
      </c>
      <c r="AH220" s="439">
        <f t="shared" si="555"/>
        <v>52511073.789999992</v>
      </c>
      <c r="AI220" s="439"/>
      <c r="AJ220" s="439">
        <f t="shared" si="555"/>
        <v>43162240.535976887</v>
      </c>
      <c r="AK220" s="439">
        <f t="shared" si="555"/>
        <v>469080630.9559769</v>
      </c>
      <c r="AL220" s="439">
        <f t="shared" si="555"/>
        <v>8253005.9740231149</v>
      </c>
      <c r="AM220" s="439">
        <f t="shared" si="555"/>
        <v>96804106.5</v>
      </c>
      <c r="AN220" s="439">
        <f t="shared" si="555"/>
        <v>97899933.780000001</v>
      </c>
      <c r="AO220" s="439" t="e">
        <f t="shared" si="555"/>
        <v>#REF!</v>
      </c>
      <c r="AP220" s="439" t="e">
        <f t="shared" si="555"/>
        <v>#REF!</v>
      </c>
    </row>
    <row r="221" spans="1:42" s="57" customFormat="1" ht="10.5" customHeight="1" thickTop="1">
      <c r="A221" s="181"/>
      <c r="B221" s="82"/>
      <c r="C221" s="221"/>
      <c r="D221" s="63"/>
      <c r="E221" s="221"/>
      <c r="F221" s="221"/>
      <c r="G221" s="63"/>
      <c r="H221" s="168"/>
      <c r="I221" s="77"/>
      <c r="J221" s="221"/>
      <c r="K221" s="63"/>
      <c r="L221" s="77"/>
      <c r="M221" s="77"/>
      <c r="N221" s="221"/>
      <c r="O221" s="221"/>
      <c r="P221" s="221"/>
      <c r="Q221" s="77"/>
      <c r="R221" s="77"/>
      <c r="S221" s="77"/>
      <c r="T221" s="149"/>
      <c r="U221" s="185"/>
      <c r="W221" s="288"/>
      <c r="X221" s="289"/>
      <c r="Y221" s="311"/>
      <c r="Z221" s="192">
        <f t="shared" si="535"/>
        <v>0</v>
      </c>
      <c r="AA221" t="str">
        <f t="shared" si="536"/>
        <v>-</v>
      </c>
      <c r="AB221" t="str">
        <f t="shared" si="537"/>
        <v>-</v>
      </c>
      <c r="AD221" s="34">
        <f>C221-GAAP!C221</f>
        <v>0</v>
      </c>
    </row>
    <row r="222" spans="1:42" s="57" customFormat="1" ht="13.5" customHeight="1">
      <c r="A222" s="176" t="s">
        <v>344</v>
      </c>
      <c r="B222" s="82"/>
      <c r="C222" s="221"/>
      <c r="D222" s="63"/>
      <c r="E222" s="221"/>
      <c r="F222" s="221"/>
      <c r="G222" s="63"/>
      <c r="H222" s="168"/>
      <c r="I222" s="63"/>
      <c r="J222" s="221"/>
      <c r="K222" s="63"/>
      <c r="L222" s="63"/>
      <c r="M222" s="63"/>
      <c r="N222" s="221"/>
      <c r="O222" s="221"/>
      <c r="P222" s="221"/>
      <c r="Q222" s="63"/>
      <c r="R222" s="63"/>
      <c r="S222" s="214"/>
      <c r="T222" s="185"/>
      <c r="U222" s="185"/>
      <c r="W222" s="288"/>
      <c r="X222" s="289"/>
      <c r="Y222" s="311"/>
      <c r="Z222" s="192">
        <f t="shared" si="535"/>
        <v>0</v>
      </c>
      <c r="AA222" t="str">
        <f t="shared" si="536"/>
        <v>-</v>
      </c>
      <c r="AB222" t="str">
        <f t="shared" si="537"/>
        <v>-</v>
      </c>
      <c r="AD222" s="34">
        <f>C222-GAAP!C222</f>
        <v>0</v>
      </c>
    </row>
    <row r="223" spans="1:42" s="57" customFormat="1" ht="13.5" customHeight="1">
      <c r="A223" s="259">
        <v>55.109000000000002</v>
      </c>
      <c r="B223" s="82" t="s">
        <v>177</v>
      </c>
      <c r="C223" s="146">
        <v>5400000</v>
      </c>
      <c r="D223" s="216">
        <f>+C223-E223</f>
        <v>3900000</v>
      </c>
      <c r="E223" s="221">
        <v>1500000</v>
      </c>
      <c r="F223" s="221">
        <v>3834064.05</v>
      </c>
      <c r="G223" s="217">
        <f>IF(D223&lt;&gt;0,+F223/D223,0)</f>
        <v>0.98309334615384614</v>
      </c>
      <c r="H223" s="223">
        <v>1474640.0192307692</v>
      </c>
      <c r="I223" s="214">
        <f>+F223+H223</f>
        <v>5308704.0692307688</v>
      </c>
      <c r="J223" s="221">
        <v>5235272.3600000003</v>
      </c>
      <c r="K223" s="214">
        <f t="shared" ref="K223" si="556">J223-I223</f>
        <v>-73431.709230768494</v>
      </c>
      <c r="L223" s="214">
        <f t="shared" ref="L223" si="557">+D223-F223</f>
        <v>65935.950000000186</v>
      </c>
      <c r="M223" s="214">
        <f t="shared" ref="M223" si="558">+C223-J223</f>
        <v>164727.63999999966</v>
      </c>
      <c r="N223" s="222">
        <v>3617796.45</v>
      </c>
      <c r="O223" s="222">
        <v>4974161.54</v>
      </c>
      <c r="P223" s="222">
        <v>1463888.1685586551</v>
      </c>
      <c r="Q223" s="214">
        <f t="shared" ref="Q223" si="559">F223-N223</f>
        <v>216267.59999999963</v>
      </c>
      <c r="R223" s="214">
        <f t="shared" ref="R223" si="560">+J223-O223</f>
        <v>261110.8200000003</v>
      </c>
      <c r="S223" s="214">
        <f t="shared" ref="S223" si="561">+H223-P223</f>
        <v>10751.850672114175</v>
      </c>
      <c r="T223" s="185" t="s">
        <v>175</v>
      </c>
      <c r="U223" s="185"/>
      <c r="V223" s="57" t="str">
        <f t="shared" ref="V223:V232" si="562">IF(C223&lt;250000, "&lt; 250k",".")</f>
        <v>.</v>
      </c>
      <c r="W223" s="288">
        <v>1356365.0899999999</v>
      </c>
      <c r="X223" s="289"/>
      <c r="Y223" s="311">
        <v>32706.473699767608</v>
      </c>
      <c r="Z223" s="192">
        <f t="shared" si="535"/>
        <v>-21954.623027653433</v>
      </c>
      <c r="AA223" t="str">
        <f t="shared" si="536"/>
        <v>-</v>
      </c>
      <c r="AB223" t="str">
        <f t="shared" si="537"/>
        <v>-</v>
      </c>
      <c r="AD223" s="34">
        <f>C223-GAAP!C223</f>
        <v>164727.63999999966</v>
      </c>
      <c r="AF223" s="64">
        <f>J223</f>
        <v>5235272.3600000003</v>
      </c>
      <c r="AG223" s="64">
        <f>F223</f>
        <v>3834064.05</v>
      </c>
      <c r="AH223" s="63">
        <f>AF223-AG223</f>
        <v>1401208.3100000005</v>
      </c>
      <c r="AI223" s="217">
        <f t="shared" ref="AI223" si="563">IF(AG223&lt;&gt;0,+F223/AG223,0)</f>
        <v>1</v>
      </c>
      <c r="AJ223" s="98">
        <f>IF(AH223&lt;=0,AH223,IF(AI223&lt;0.1,0,IF(AI223&lt;=1,AI223*AH223,AH223)))</f>
        <v>1401208.3100000005</v>
      </c>
      <c r="AK223" s="98">
        <f>+F223+AJ223</f>
        <v>5235272.3600000003</v>
      </c>
      <c r="AL223" s="98">
        <f>J223-AK223</f>
        <v>0</v>
      </c>
      <c r="AM223" s="98">
        <f>+AG223-F223</f>
        <v>0</v>
      </c>
      <c r="AN223" s="98">
        <f t="shared" ref="AN223" si="564">+AF223-J223</f>
        <v>0</v>
      </c>
      <c r="AO223" s="222">
        <f>GAAP!P223</f>
        <v>1356365.0899999999</v>
      </c>
      <c r="AP223" s="129">
        <f t="shared" ref="AP223" si="565">AJ223-AO223</f>
        <v>44843.220000000671</v>
      </c>
    </row>
    <row r="224" spans="1:42" ht="13.5">
      <c r="A224" s="259">
        <v>55.119100000000003</v>
      </c>
      <c r="B224" s="57" t="s">
        <v>224</v>
      </c>
      <c r="C224" s="163">
        <v>341443133.70999998</v>
      </c>
      <c r="D224" s="216">
        <f t="shared" ref="D224:D235" si="566">+C224-E224</f>
        <v>337732635.70999998</v>
      </c>
      <c r="E224" s="149">
        <v>3710498</v>
      </c>
      <c r="F224" s="149">
        <v>299179624.83999997</v>
      </c>
      <c r="G224" s="217">
        <f t="shared" ref="G224:G235" si="567">IF(D224&lt;&gt;0,+F224/D224,0)</f>
        <v>0.88584754094329154</v>
      </c>
      <c r="H224" s="149">
        <v>3710498</v>
      </c>
      <c r="I224" s="214">
        <f t="shared" ref="I224:I235" si="568">+F224+H224</f>
        <v>302890122.83999997</v>
      </c>
      <c r="J224" s="149">
        <v>296634984.50999999</v>
      </c>
      <c r="K224" s="214">
        <f t="shared" ref="K224:K232" si="569">J224-I224</f>
        <v>-6255138.3299999833</v>
      </c>
      <c r="L224" s="214">
        <f t="shared" ref="L224:L232" si="570">+D224-F224</f>
        <v>38553010.870000005</v>
      </c>
      <c r="M224" s="214">
        <f t="shared" ref="M224:M232" si="571">+C224-J224</f>
        <v>44808149.199999988</v>
      </c>
      <c r="N224" s="222">
        <v>282667835.01999998</v>
      </c>
      <c r="O224" s="222">
        <v>285899505.27999997</v>
      </c>
      <c r="P224" s="222">
        <v>7900000</v>
      </c>
      <c r="Q224" s="214">
        <f t="shared" ref="Q224:Q232" si="572">F224-N224</f>
        <v>16511789.819999993</v>
      </c>
      <c r="R224" s="214">
        <f t="shared" ref="R224:R232" si="573">+J224-O224</f>
        <v>10735479.230000019</v>
      </c>
      <c r="S224" s="214">
        <f t="shared" ref="S224:S232" si="574">+H224-P224</f>
        <v>-4189502</v>
      </c>
      <c r="T224" s="185" t="s">
        <v>183</v>
      </c>
      <c r="V224" s="57" t="str">
        <f t="shared" si="562"/>
        <v>.</v>
      </c>
      <c r="W224" s="282">
        <v>6702671.5016121669</v>
      </c>
      <c r="Y224" s="311">
        <v>-2689502</v>
      </c>
      <c r="Z224" s="192">
        <f t="shared" si="535"/>
        <v>-1500000</v>
      </c>
      <c r="AA224" t="str">
        <f t="shared" si="536"/>
        <v>-</v>
      </c>
      <c r="AB224" t="str">
        <f t="shared" si="537"/>
        <v>-</v>
      </c>
      <c r="AD224" s="34">
        <f>C224-GAAP!C224</f>
        <v>0</v>
      </c>
      <c r="AF224" s="64">
        <f t="shared" ref="AF224:AH224" si="575">C224</f>
        <v>341443133.70999998</v>
      </c>
      <c r="AG224" s="64">
        <f t="shared" si="575"/>
        <v>337732635.70999998</v>
      </c>
      <c r="AH224" s="64">
        <f t="shared" si="575"/>
        <v>3710498</v>
      </c>
      <c r="AI224" s="217">
        <f t="shared" ref="AI224:AI229" si="576">IF(AG224&lt;&gt;0,+F224/AG224,0)</f>
        <v>0.88584754094329154</v>
      </c>
      <c r="AJ224" s="98">
        <f t="shared" ref="AJ224:AJ229" si="577">IF(AH224&lt;=0,AH224,IF(AI224&lt;0.1,0,IF(AI224&lt;=1,AI224*AH224,AH224)))</f>
        <v>3286935.5289750015</v>
      </c>
      <c r="AK224" s="98">
        <f t="shared" ref="AK224:AK229" si="578">+F224+AJ224</f>
        <v>302466560.36897498</v>
      </c>
      <c r="AL224" s="98">
        <f t="shared" ref="AL224:AL229" si="579">J224-AK224</f>
        <v>-5831575.8589749932</v>
      </c>
      <c r="AM224" s="98">
        <f t="shared" ref="AM224:AM229" si="580">+AG224-F224</f>
        <v>38553010.870000005</v>
      </c>
      <c r="AN224" s="98">
        <f t="shared" ref="AN224:AN229" si="581">+AF224-J224</f>
        <v>44808149.199999988</v>
      </c>
      <c r="AO224" s="222">
        <f>GAAP!P224</f>
        <v>6702671.5016121669</v>
      </c>
      <c r="AP224" s="129">
        <f t="shared" ref="AP224:AP229" si="582">AJ224-AO224</f>
        <v>-3415735.9726371653</v>
      </c>
    </row>
    <row r="225" spans="1:42" ht="13.5">
      <c r="A225" s="259">
        <v>55.119199999999999</v>
      </c>
      <c r="B225" s="57" t="s">
        <v>184</v>
      </c>
      <c r="C225" s="163">
        <v>6651803.5300000003</v>
      </c>
      <c r="D225" s="216">
        <f t="shared" si="566"/>
        <v>6401803.5300000003</v>
      </c>
      <c r="E225" s="149">
        <v>250000</v>
      </c>
      <c r="F225" s="149">
        <v>6393992.6900000004</v>
      </c>
      <c r="G225" s="217">
        <f t="shared" si="567"/>
        <v>0.99877990007606499</v>
      </c>
      <c r="H225" s="149">
        <v>250000</v>
      </c>
      <c r="I225" s="214">
        <f t="shared" si="568"/>
        <v>6643992.6900000004</v>
      </c>
      <c r="J225" s="149">
        <v>6645760.5099999998</v>
      </c>
      <c r="K225" s="214">
        <f t="shared" si="569"/>
        <v>1767.8199999993667</v>
      </c>
      <c r="L225" s="214">
        <f t="shared" si="570"/>
        <v>7810.839999999851</v>
      </c>
      <c r="M225" s="214">
        <f t="shared" si="571"/>
        <v>6043.0200000004843</v>
      </c>
      <c r="N225" s="222">
        <v>5962693.7300000004</v>
      </c>
      <c r="O225" s="222">
        <v>6385785.7599999998</v>
      </c>
      <c r="P225" s="222">
        <v>350000</v>
      </c>
      <c r="Q225" s="214">
        <f t="shared" si="572"/>
        <v>431298.95999999996</v>
      </c>
      <c r="R225" s="214">
        <f t="shared" si="573"/>
        <v>259974.75</v>
      </c>
      <c r="S225" s="214">
        <f t="shared" si="574"/>
        <v>-100000</v>
      </c>
      <c r="T225" s="185" t="s">
        <v>183</v>
      </c>
      <c r="V225" s="57" t="str">
        <f t="shared" si="562"/>
        <v>.</v>
      </c>
      <c r="W225" s="282">
        <v>334963.83959833492</v>
      </c>
      <c r="Y225" s="311">
        <v>-100000</v>
      </c>
      <c r="Z225" s="192">
        <f t="shared" si="535"/>
        <v>0</v>
      </c>
      <c r="AA225" t="str">
        <f t="shared" si="536"/>
        <v>-</v>
      </c>
      <c r="AB225" t="str">
        <f t="shared" si="537"/>
        <v>-</v>
      </c>
      <c r="AD225" s="34">
        <f>C225-GAAP!C225</f>
        <v>0</v>
      </c>
      <c r="AF225" s="64">
        <f t="shared" ref="AF225" si="583">C225</f>
        <v>6651803.5300000003</v>
      </c>
      <c r="AG225" s="64">
        <f t="shared" ref="AG225" si="584">D225</f>
        <v>6401803.5300000003</v>
      </c>
      <c r="AH225" s="64">
        <f t="shared" ref="AH225" si="585">E225</f>
        <v>250000</v>
      </c>
      <c r="AI225" s="217">
        <f t="shared" ref="AI225" si="586">IF(AG225&lt;&gt;0,+F225/AG225,0)</f>
        <v>0.99877990007606499</v>
      </c>
      <c r="AJ225" s="98">
        <f t="shared" ref="AJ225" si="587">IF(AH225&lt;=0,AH225,IF(AI225&lt;0.1,0,IF(AI225&lt;=1,AI225*AH225,AH225)))</f>
        <v>249694.97501901624</v>
      </c>
      <c r="AK225" s="98">
        <f t="shared" ref="AK225" si="588">+F225+AJ225</f>
        <v>6643687.6650190167</v>
      </c>
      <c r="AL225" s="98">
        <f t="shared" ref="AL225" si="589">J225-AK225</f>
        <v>2072.8449809830636</v>
      </c>
      <c r="AM225" s="98">
        <f t="shared" ref="AM225" si="590">+AG225-F225</f>
        <v>7810.839999999851</v>
      </c>
      <c r="AN225" s="98">
        <f t="shared" ref="AN225" si="591">+AF225-J225</f>
        <v>6043.0200000004843</v>
      </c>
      <c r="AO225" s="222">
        <f>GAAP!P225</f>
        <v>334963.83959833492</v>
      </c>
      <c r="AP225" s="129">
        <f t="shared" ref="AP225" si="592">AJ225-AO225</f>
        <v>-85268.864579318673</v>
      </c>
    </row>
    <row r="226" spans="1:42" ht="13.5">
      <c r="A226" s="259">
        <v>55.12</v>
      </c>
      <c r="B226" s="57" t="s">
        <v>186</v>
      </c>
      <c r="C226" s="163">
        <v>198075877</v>
      </c>
      <c r="D226" s="216">
        <f t="shared" si="566"/>
        <v>189975877</v>
      </c>
      <c r="E226" s="149">
        <v>8100000</v>
      </c>
      <c r="F226" s="149">
        <v>189971137.49000001</v>
      </c>
      <c r="G226" s="217">
        <f t="shared" si="567"/>
        <v>0.99997505204305492</v>
      </c>
      <c r="H226" s="149">
        <v>7779994.2800000003</v>
      </c>
      <c r="I226" s="214">
        <f t="shared" si="568"/>
        <v>197751131.77000001</v>
      </c>
      <c r="J226" s="149">
        <v>197175877</v>
      </c>
      <c r="K226" s="214">
        <f t="shared" si="569"/>
        <v>-575254.77000001073</v>
      </c>
      <c r="L226" s="214">
        <f t="shared" si="570"/>
        <v>4739.5099999904633</v>
      </c>
      <c r="M226" s="214">
        <f t="shared" si="571"/>
        <v>900000</v>
      </c>
      <c r="N226" s="222">
        <v>136204938.09</v>
      </c>
      <c r="O226" s="222">
        <v>140379771</v>
      </c>
      <c r="P226" s="222">
        <v>5995115.1299999999</v>
      </c>
      <c r="Q226" s="214">
        <f t="shared" si="572"/>
        <v>53766199.400000006</v>
      </c>
      <c r="R226" s="214">
        <f t="shared" si="573"/>
        <v>56796106</v>
      </c>
      <c r="S226" s="214">
        <f t="shared" si="574"/>
        <v>1784879.1500000004</v>
      </c>
      <c r="T226" s="185" t="s">
        <v>183</v>
      </c>
      <c r="U226" s="185"/>
      <c r="V226" s="57" t="str">
        <f t="shared" si="562"/>
        <v>.</v>
      </c>
      <c r="W226" s="282">
        <v>4174832.9099999964</v>
      </c>
      <c r="Y226" s="311">
        <v>1688487.2800000003</v>
      </c>
      <c r="Z226" s="192">
        <f t="shared" si="535"/>
        <v>96391.870000000112</v>
      </c>
      <c r="AA226" t="str">
        <f t="shared" si="536"/>
        <v>-</v>
      </c>
      <c r="AB226" t="str">
        <f t="shared" si="537"/>
        <v>-</v>
      </c>
      <c r="AD226" s="34">
        <f>C226-GAAP!C226</f>
        <v>900000</v>
      </c>
      <c r="AF226" s="64">
        <f t="shared" ref="AF226:AF228" si="593">J226</f>
        <v>197175877</v>
      </c>
      <c r="AG226" s="64">
        <f t="shared" ref="AG226:AG228" si="594">F226</f>
        <v>189971137.49000001</v>
      </c>
      <c r="AH226" s="63">
        <f t="shared" ref="AH226:AH228" si="595">AF226-AG226</f>
        <v>7204739.5099999905</v>
      </c>
      <c r="AI226" s="217">
        <f t="shared" si="576"/>
        <v>1</v>
      </c>
      <c r="AJ226" s="98">
        <f t="shared" si="577"/>
        <v>7204739.5099999905</v>
      </c>
      <c r="AK226" s="98">
        <f t="shared" si="578"/>
        <v>197175877</v>
      </c>
      <c r="AL226" s="98">
        <f t="shared" si="579"/>
        <v>0</v>
      </c>
      <c r="AM226" s="98">
        <f t="shared" si="580"/>
        <v>0</v>
      </c>
      <c r="AN226" s="98">
        <f t="shared" si="581"/>
        <v>0</v>
      </c>
      <c r="AO226" s="222">
        <f>GAAP!P226</f>
        <v>4174832.9099999964</v>
      </c>
      <c r="AP226" s="129">
        <f t="shared" si="582"/>
        <v>3029906.599999994</v>
      </c>
    </row>
    <row r="227" spans="1:42" ht="13.5">
      <c r="A227" s="259">
        <v>55.120199999999997</v>
      </c>
      <c r="B227" s="57" t="s">
        <v>187</v>
      </c>
      <c r="C227" s="163">
        <v>16396051.58</v>
      </c>
      <c r="D227" s="216">
        <f t="shared" si="566"/>
        <v>15220642.58</v>
      </c>
      <c r="E227" s="149">
        <v>1175409</v>
      </c>
      <c r="F227" s="149">
        <v>9590124.3499999996</v>
      </c>
      <c r="G227" s="217">
        <f t="shared" si="567"/>
        <v>0.63007355304443391</v>
      </c>
      <c r="H227" s="149">
        <v>740594.12491040502</v>
      </c>
      <c r="I227" s="214">
        <f t="shared" si="568"/>
        <v>10330718.474910405</v>
      </c>
      <c r="J227" s="149">
        <v>10912272.58</v>
      </c>
      <c r="K227" s="214">
        <f t="shared" si="569"/>
        <v>581554.10508959554</v>
      </c>
      <c r="L227" s="214">
        <f t="shared" si="570"/>
        <v>5630518.2300000004</v>
      </c>
      <c r="M227" s="214">
        <f t="shared" si="571"/>
        <v>5483779</v>
      </c>
      <c r="N227" s="222">
        <v>8229572.1299999999</v>
      </c>
      <c r="O227" s="222">
        <v>10369938.279999999</v>
      </c>
      <c r="P227" s="222">
        <v>647450.70626823581</v>
      </c>
      <c r="Q227" s="214">
        <f t="shared" si="572"/>
        <v>1360552.2199999997</v>
      </c>
      <c r="R227" s="214">
        <f t="shared" si="573"/>
        <v>542334.30000000075</v>
      </c>
      <c r="S227" s="214">
        <f t="shared" si="574"/>
        <v>93143.418642169214</v>
      </c>
      <c r="T227" s="185" t="s">
        <v>183</v>
      </c>
      <c r="U227" s="185"/>
      <c r="V227" s="57" t="str">
        <f t="shared" si="562"/>
        <v>.</v>
      </c>
      <c r="W227" s="282">
        <v>647450.70626823581</v>
      </c>
      <c r="Y227" s="311">
        <v>91788.714912440744</v>
      </c>
      <c r="Z227" s="192">
        <f t="shared" si="535"/>
        <v>1354.7037297284696</v>
      </c>
      <c r="AA227" t="str">
        <f t="shared" si="536"/>
        <v>-</v>
      </c>
      <c r="AB227" t="str">
        <f t="shared" si="537"/>
        <v>-</v>
      </c>
      <c r="AD227" s="34">
        <f>C227-GAAP!C227</f>
        <v>0</v>
      </c>
      <c r="AF227" s="64">
        <f t="shared" ref="AF227:AH227" si="596">C227</f>
        <v>16396051.58</v>
      </c>
      <c r="AG227" s="64">
        <f t="shared" si="596"/>
        <v>15220642.58</v>
      </c>
      <c r="AH227" s="64">
        <f t="shared" si="596"/>
        <v>1175409</v>
      </c>
      <c r="AI227" s="217">
        <f t="shared" si="576"/>
        <v>0.63007355304443391</v>
      </c>
      <c r="AJ227" s="98">
        <f t="shared" si="577"/>
        <v>740594.12491040502</v>
      </c>
      <c r="AK227" s="98">
        <f t="shared" si="578"/>
        <v>10330718.474910405</v>
      </c>
      <c r="AL227" s="98">
        <f t="shared" si="579"/>
        <v>581554.10508959554</v>
      </c>
      <c r="AM227" s="98">
        <f t="shared" si="580"/>
        <v>5630518.2300000004</v>
      </c>
      <c r="AN227" s="98">
        <f t="shared" si="581"/>
        <v>5483779</v>
      </c>
      <c r="AO227" s="222">
        <f>GAAP!P227</f>
        <v>647450.70626823581</v>
      </c>
      <c r="AP227" s="129">
        <f t="shared" si="582"/>
        <v>93143.418642169214</v>
      </c>
    </row>
    <row r="228" spans="1:42" ht="13.5">
      <c r="A228" s="259">
        <v>55.120399999999997</v>
      </c>
      <c r="B228" s="57" t="s">
        <v>188</v>
      </c>
      <c r="C228" s="163">
        <v>57722227</v>
      </c>
      <c r="D228" s="216">
        <f t="shared" si="566"/>
        <v>55222227</v>
      </c>
      <c r="E228" s="149">
        <v>2500000</v>
      </c>
      <c r="F228" s="149">
        <v>55213329.210000001</v>
      </c>
      <c r="G228" s="217">
        <f t="shared" si="567"/>
        <v>0.99983887303204921</v>
      </c>
      <c r="H228" s="149">
        <v>2362039.0099999998</v>
      </c>
      <c r="I228" s="214">
        <f t="shared" si="568"/>
        <v>57575368.219999999</v>
      </c>
      <c r="J228" s="149">
        <v>57142227</v>
      </c>
      <c r="K228" s="214">
        <f>J228-I228</f>
        <v>-433141.21999999881</v>
      </c>
      <c r="L228" s="214">
        <f>+D228-F228</f>
        <v>8897.7899999991059</v>
      </c>
      <c r="M228" s="214">
        <f t="shared" si="571"/>
        <v>580000</v>
      </c>
      <c r="N228" s="222">
        <v>38160537.219999999</v>
      </c>
      <c r="O228" s="222">
        <v>39787580</v>
      </c>
      <c r="P228" s="222">
        <v>1917801.19</v>
      </c>
      <c r="Q228" s="214">
        <f t="shared" si="572"/>
        <v>17052791.990000002</v>
      </c>
      <c r="R228" s="214">
        <f t="shared" si="573"/>
        <v>17354647</v>
      </c>
      <c r="S228" s="214">
        <f t="shared" si="574"/>
        <v>444237.81999999983</v>
      </c>
      <c r="T228" s="185" t="s">
        <v>183</v>
      </c>
      <c r="U228" s="185"/>
      <c r="V228" s="57" t="str">
        <f t="shared" si="562"/>
        <v>.</v>
      </c>
      <c r="W228" s="282">
        <v>1627042.7800000012</v>
      </c>
      <c r="Y228" s="311">
        <v>404480.12000000011</v>
      </c>
      <c r="Z228" s="192">
        <f t="shared" si="535"/>
        <v>39757.699999999721</v>
      </c>
      <c r="AA228" t="str">
        <f t="shared" si="536"/>
        <v>-</v>
      </c>
      <c r="AB228" t="str">
        <f t="shared" si="537"/>
        <v>-</v>
      </c>
      <c r="AD228" s="34">
        <f>C228-GAAP!C228</f>
        <v>580000</v>
      </c>
      <c r="AF228" s="64">
        <f t="shared" si="593"/>
        <v>57142227</v>
      </c>
      <c r="AG228" s="64">
        <f t="shared" si="594"/>
        <v>55213329.210000001</v>
      </c>
      <c r="AH228" s="63">
        <f t="shared" si="595"/>
        <v>1928897.7899999991</v>
      </c>
      <c r="AI228" s="217">
        <f t="shared" si="576"/>
        <v>1</v>
      </c>
      <c r="AJ228" s="98">
        <f t="shared" si="577"/>
        <v>1928897.7899999991</v>
      </c>
      <c r="AK228" s="98">
        <f t="shared" si="578"/>
        <v>57142227</v>
      </c>
      <c r="AL228" s="98">
        <f t="shared" si="579"/>
        <v>0</v>
      </c>
      <c r="AM228" s="98">
        <f t="shared" si="580"/>
        <v>0</v>
      </c>
      <c r="AN228" s="98">
        <f t="shared" si="581"/>
        <v>0</v>
      </c>
      <c r="AO228" s="222">
        <f>GAAP!P228</f>
        <v>1627042.7800000012</v>
      </c>
      <c r="AP228" s="129">
        <f t="shared" si="582"/>
        <v>301855.00999999791</v>
      </c>
    </row>
    <row r="229" spans="1:42" ht="13.5">
      <c r="A229" s="259">
        <v>55.122700000000002</v>
      </c>
      <c r="B229" s="57" t="s">
        <v>232</v>
      </c>
      <c r="C229" s="163">
        <v>41504206.390000001</v>
      </c>
      <c r="D229" s="216">
        <f t="shared" si="566"/>
        <v>37154206.390000001</v>
      </c>
      <c r="E229" s="149">
        <v>4350000</v>
      </c>
      <c r="F229" s="149">
        <v>36953022.960000001</v>
      </c>
      <c r="G229" s="217">
        <f t="shared" si="567"/>
        <v>0.99458517757348341</v>
      </c>
      <c r="H229" s="149">
        <v>4326445.5224446524</v>
      </c>
      <c r="I229" s="214">
        <f t="shared" si="568"/>
        <v>41279468.482444651</v>
      </c>
      <c r="J229" s="149">
        <v>41483406.390000001</v>
      </c>
      <c r="K229" s="214">
        <f t="shared" si="569"/>
        <v>203937.90755534917</v>
      </c>
      <c r="L229" s="214">
        <f t="shared" si="570"/>
        <v>201183.4299999997</v>
      </c>
      <c r="M229" s="214">
        <f t="shared" si="571"/>
        <v>20800</v>
      </c>
      <c r="N229" s="222">
        <v>29332771.27</v>
      </c>
      <c r="O229" s="222">
        <v>34411945.600000001</v>
      </c>
      <c r="P229" s="222">
        <v>3399354.1719071292</v>
      </c>
      <c r="Q229" s="214">
        <f t="shared" si="572"/>
        <v>7620251.6900000013</v>
      </c>
      <c r="R229" s="214">
        <f t="shared" si="573"/>
        <v>7071460.7899999991</v>
      </c>
      <c r="S229" s="214">
        <f t="shared" si="574"/>
        <v>927091.35053752316</v>
      </c>
      <c r="T229" s="185" t="s">
        <v>227</v>
      </c>
      <c r="U229" s="185"/>
      <c r="V229" s="57" t="str">
        <f t="shared" si="562"/>
        <v>.</v>
      </c>
      <c r="W229" s="282">
        <v>3409470.3387520085</v>
      </c>
      <c r="Y229" s="311">
        <v>907248.39217404136</v>
      </c>
      <c r="Z229" s="192">
        <f t="shared" si="535"/>
        <v>19842.958363481797</v>
      </c>
      <c r="AA229" t="str">
        <f t="shared" si="536"/>
        <v>-</v>
      </c>
      <c r="AB229" t="str">
        <f t="shared" si="537"/>
        <v>-</v>
      </c>
      <c r="AD229" s="34">
        <f>C229-GAAP!C229</f>
        <v>0</v>
      </c>
      <c r="AF229" s="64">
        <f t="shared" ref="AF229" si="597">C229</f>
        <v>41504206.390000001</v>
      </c>
      <c r="AG229" s="64">
        <f t="shared" ref="AG229" si="598">D229</f>
        <v>37154206.390000001</v>
      </c>
      <c r="AH229" s="64">
        <f t="shared" ref="AH229" si="599">E229</f>
        <v>4350000</v>
      </c>
      <c r="AI229" s="217">
        <f t="shared" si="576"/>
        <v>0.99458517757348341</v>
      </c>
      <c r="AJ229" s="98">
        <f t="shared" si="577"/>
        <v>4326445.5224446524</v>
      </c>
      <c r="AK229" s="98">
        <f t="shared" si="578"/>
        <v>41279468.482444651</v>
      </c>
      <c r="AL229" s="98">
        <f t="shared" si="579"/>
        <v>203937.90755534917</v>
      </c>
      <c r="AM229" s="98">
        <f t="shared" si="580"/>
        <v>201183.4299999997</v>
      </c>
      <c r="AN229" s="98">
        <f t="shared" si="581"/>
        <v>20800</v>
      </c>
      <c r="AO229" s="222">
        <f>GAAP!P229</f>
        <v>3409470.3387520085</v>
      </c>
      <c r="AP229" s="129">
        <f t="shared" si="582"/>
        <v>916975.18369264388</v>
      </c>
    </row>
    <row r="230" spans="1:42" ht="13.5">
      <c r="A230" s="259">
        <v>55.1233</v>
      </c>
      <c r="B230" s="57" t="s">
        <v>415</v>
      </c>
      <c r="C230" s="163">
        <v>9838187</v>
      </c>
      <c r="D230" s="216">
        <f t="shared" si="566"/>
        <v>9838187</v>
      </c>
      <c r="E230" s="149">
        <v>0</v>
      </c>
      <c r="F230" s="149">
        <v>126077.16</v>
      </c>
      <c r="G230" s="217">
        <f t="shared" si="567"/>
        <v>1.2815080664760692E-2</v>
      </c>
      <c r="H230" s="149">
        <v>8429</v>
      </c>
      <c r="I230" s="214">
        <f t="shared" si="568"/>
        <v>134506.16</v>
      </c>
      <c r="J230" s="149">
        <v>123617</v>
      </c>
      <c r="K230" s="214">
        <f t="shared" si="569"/>
        <v>-10889.160000000003</v>
      </c>
      <c r="L230" s="214">
        <f t="shared" si="570"/>
        <v>9712109.8399999999</v>
      </c>
      <c r="M230" s="214">
        <f t="shared" si="571"/>
        <v>9714570</v>
      </c>
      <c r="N230" s="222">
        <v>76329.8</v>
      </c>
      <c r="O230" s="222">
        <v>84758.64</v>
      </c>
      <c r="P230" s="222">
        <v>8428.8399999999965</v>
      </c>
      <c r="Q230" s="214">
        <f t="shared" si="572"/>
        <v>49747.360000000001</v>
      </c>
      <c r="R230" s="214">
        <f t="shared" si="573"/>
        <v>38858.36</v>
      </c>
      <c r="S230" s="214">
        <f t="shared" si="574"/>
        <v>0.16000000000349246</v>
      </c>
      <c r="T230" s="185" t="s">
        <v>278</v>
      </c>
      <c r="U230" s="185"/>
      <c r="V230" s="57" t="str">
        <f t="shared" si="562"/>
        <v>.</v>
      </c>
      <c r="W230" s="282">
        <v>8428.8399999999965</v>
      </c>
      <c r="Y230" s="311">
        <v>-10773.369999999995</v>
      </c>
      <c r="Z230" s="192">
        <f t="shared" si="535"/>
        <v>10773.529999999999</v>
      </c>
      <c r="AA230" t="str">
        <f t="shared" si="536"/>
        <v>-</v>
      </c>
      <c r="AB230" t="str">
        <f t="shared" si="537"/>
        <v>-</v>
      </c>
      <c r="AD230" s="34">
        <f>C230-GAAP!C231</f>
        <v>4078885.1900000004</v>
      </c>
      <c r="AF230" s="64">
        <f t="shared" ref="AF230:AF232" si="600">C230</f>
        <v>9838187</v>
      </c>
      <c r="AG230" s="64">
        <f t="shared" ref="AG230:AG232" si="601">D230</f>
        <v>9838187</v>
      </c>
      <c r="AH230" s="64">
        <f t="shared" ref="AH230:AH232" si="602">E230</f>
        <v>0</v>
      </c>
      <c r="AI230" s="217">
        <f t="shared" ref="AI230:AI232" si="603">IF(AG230&lt;&gt;0,+F230/AG230,0)</f>
        <v>1.2815080664760692E-2</v>
      </c>
      <c r="AJ230" s="98">
        <f t="shared" ref="AJ230:AJ232" si="604">IF(AH230&lt;=0,AH230,IF(AI230&lt;0.1,0,IF(AI230&lt;=1,AI230*AH230,AH230)))</f>
        <v>0</v>
      </c>
      <c r="AK230" s="98">
        <f t="shared" ref="AK230:AK232" si="605">+F230+AJ230</f>
        <v>126077.16</v>
      </c>
      <c r="AL230" s="98">
        <f t="shared" ref="AL230:AL232" si="606">J230-AK230</f>
        <v>-2460.1600000000035</v>
      </c>
      <c r="AM230" s="98">
        <f t="shared" ref="AM230:AM232" si="607">+AG230-F230</f>
        <v>9712109.8399999999</v>
      </c>
      <c r="AN230" s="98">
        <f t="shared" ref="AN230:AN232" si="608">+AF230-J230</f>
        <v>9714570</v>
      </c>
      <c r="AO230" s="222" t="e">
        <f>GAAP!#REF!</f>
        <v>#REF!</v>
      </c>
      <c r="AP230" s="129" t="e">
        <f t="shared" ref="AP230:AP232" si="609">AJ230-AO230</f>
        <v>#REF!</v>
      </c>
    </row>
    <row r="231" spans="1:42" ht="13.5">
      <c r="A231" s="259">
        <v>55.1248</v>
      </c>
      <c r="B231" s="57" t="s">
        <v>444</v>
      </c>
      <c r="C231" s="163">
        <v>5759301.8099999996</v>
      </c>
      <c r="D231" s="216">
        <f t="shared" si="566"/>
        <v>4934301.8099999996</v>
      </c>
      <c r="E231" s="149">
        <v>825000</v>
      </c>
      <c r="F231" s="149">
        <v>3621770.22</v>
      </c>
      <c r="G231" s="217">
        <f t="shared" si="567"/>
        <v>0.73399851882996203</v>
      </c>
      <c r="H231" s="149">
        <v>605548.77803471871</v>
      </c>
      <c r="I231" s="214">
        <f t="shared" si="568"/>
        <v>4227318.9980347194</v>
      </c>
      <c r="J231" s="149">
        <v>4861991.8099999996</v>
      </c>
      <c r="K231" s="214">
        <f t="shared" si="569"/>
        <v>634672.81196528021</v>
      </c>
      <c r="L231" s="214">
        <f t="shared" si="570"/>
        <v>1312531.5899999994</v>
      </c>
      <c r="M231" s="214">
        <f t="shared" si="571"/>
        <v>897310</v>
      </c>
      <c r="N231" s="222">
        <v>314753.09000000003</v>
      </c>
      <c r="O231" s="222">
        <v>711429.5</v>
      </c>
      <c r="P231" s="222">
        <v>0</v>
      </c>
      <c r="Q231" s="214">
        <f t="shared" si="572"/>
        <v>3307017.1300000004</v>
      </c>
      <c r="R231" s="214">
        <f t="shared" si="573"/>
        <v>4150562.3099999996</v>
      </c>
      <c r="S231" s="214">
        <f t="shared" si="574"/>
        <v>605548.77803471871</v>
      </c>
      <c r="T231" s="185" t="s">
        <v>278</v>
      </c>
      <c r="U231" s="185"/>
      <c r="V231" s="57" t="str">
        <f t="shared" si="562"/>
        <v>.</v>
      </c>
      <c r="W231" s="282">
        <v>0</v>
      </c>
      <c r="Y231" s="311">
        <v>372419.29159196251</v>
      </c>
      <c r="Z231" s="192">
        <f t="shared" si="535"/>
        <v>233129.4864427562</v>
      </c>
      <c r="AA231" t="str">
        <f t="shared" si="536"/>
        <v>-</v>
      </c>
      <c r="AB231" t="str">
        <f t="shared" si="537"/>
        <v>-</v>
      </c>
      <c r="AD231" s="34" t="e">
        <f>C231-GAAP!#REF!</f>
        <v>#REF!</v>
      </c>
      <c r="AF231" s="64">
        <f t="shared" si="600"/>
        <v>5759301.8099999996</v>
      </c>
      <c r="AG231" s="64">
        <f t="shared" si="601"/>
        <v>4934301.8099999996</v>
      </c>
      <c r="AH231" s="64">
        <f t="shared" si="602"/>
        <v>825000</v>
      </c>
      <c r="AI231" s="217">
        <f t="shared" si="603"/>
        <v>0.73399851882996203</v>
      </c>
      <c r="AJ231" s="98">
        <f t="shared" si="604"/>
        <v>605548.77803471871</v>
      </c>
      <c r="AK231" s="98">
        <f t="shared" si="605"/>
        <v>4227318.9980347194</v>
      </c>
      <c r="AL231" s="98">
        <f t="shared" si="606"/>
        <v>634672.81196528021</v>
      </c>
      <c r="AM231" s="98">
        <f t="shared" si="607"/>
        <v>1312531.5899999994</v>
      </c>
      <c r="AN231" s="98">
        <f t="shared" si="608"/>
        <v>897310</v>
      </c>
      <c r="AO231" s="222">
        <f>GAAP!P232</f>
        <v>0</v>
      </c>
      <c r="AP231" s="129">
        <f t="shared" si="609"/>
        <v>605548.77803471871</v>
      </c>
    </row>
    <row r="232" spans="1:42" ht="13.5">
      <c r="A232" s="259">
        <v>55.124899999999997</v>
      </c>
      <c r="B232" s="57" t="s">
        <v>463</v>
      </c>
      <c r="C232" s="163">
        <v>147525113</v>
      </c>
      <c r="D232" s="216">
        <f t="shared" si="566"/>
        <v>139703905</v>
      </c>
      <c r="E232" s="149">
        <v>7821208</v>
      </c>
      <c r="F232" s="149">
        <v>15046313.77</v>
      </c>
      <c r="G232" s="217">
        <f t="shared" si="567"/>
        <v>0.10770145451553412</v>
      </c>
      <c r="H232" s="149">
        <v>0</v>
      </c>
      <c r="I232" s="214">
        <f t="shared" si="568"/>
        <v>15046313.77</v>
      </c>
      <c r="J232" s="149">
        <v>15047042.84</v>
      </c>
      <c r="K232" s="214">
        <f t="shared" si="569"/>
        <v>729.07000000029802</v>
      </c>
      <c r="L232" s="214">
        <f t="shared" si="570"/>
        <v>124657591.23</v>
      </c>
      <c r="M232" s="214">
        <f t="shared" si="571"/>
        <v>132478070.16</v>
      </c>
      <c r="N232" s="222">
        <v>941255.62</v>
      </c>
      <c r="O232" s="222">
        <v>0</v>
      </c>
      <c r="P232" s="222">
        <v>0</v>
      </c>
      <c r="Q232" s="214">
        <f t="shared" si="572"/>
        <v>14105058.15</v>
      </c>
      <c r="R232" s="214">
        <f t="shared" si="573"/>
        <v>15047042.84</v>
      </c>
      <c r="S232" s="214">
        <f t="shared" si="574"/>
        <v>0</v>
      </c>
      <c r="T232" s="185" t="s">
        <v>278</v>
      </c>
      <c r="U232" s="185"/>
      <c r="V232" s="57" t="str">
        <f t="shared" si="562"/>
        <v>.</v>
      </c>
      <c r="W232" s="282">
        <v>0</v>
      </c>
      <c r="Y232" s="311">
        <v>0</v>
      </c>
      <c r="Z232" s="192">
        <f t="shared" si="535"/>
        <v>0</v>
      </c>
      <c r="AA232" t="str">
        <f t="shared" si="536"/>
        <v>-</v>
      </c>
      <c r="AB232" t="str">
        <f t="shared" si="537"/>
        <v>-</v>
      </c>
      <c r="AD232" s="34" t="e">
        <f>C232-GAAP!#REF!</f>
        <v>#REF!</v>
      </c>
      <c r="AF232" s="64">
        <f t="shared" si="600"/>
        <v>147525113</v>
      </c>
      <c r="AG232" s="64">
        <f t="shared" si="601"/>
        <v>139703905</v>
      </c>
      <c r="AH232" s="64">
        <f t="shared" si="602"/>
        <v>7821208</v>
      </c>
      <c r="AI232" s="217">
        <f t="shared" si="603"/>
        <v>0.10770145451553412</v>
      </c>
      <c r="AJ232" s="98">
        <f t="shared" si="604"/>
        <v>842355.47766853159</v>
      </c>
      <c r="AK232" s="98">
        <f t="shared" si="605"/>
        <v>15888669.247668531</v>
      </c>
      <c r="AL232" s="98">
        <f t="shared" si="606"/>
        <v>-841626.40766853094</v>
      </c>
      <c r="AM232" s="98">
        <f t="shared" si="607"/>
        <v>124657591.23</v>
      </c>
      <c r="AN232" s="98">
        <f t="shared" si="608"/>
        <v>132478070.16</v>
      </c>
      <c r="AO232" s="222" t="e">
        <f>GAAP!#REF!</f>
        <v>#REF!</v>
      </c>
      <c r="AP232" s="129" t="e">
        <f t="shared" si="609"/>
        <v>#REF!</v>
      </c>
    </row>
    <row r="233" spans="1:42" ht="13.5">
      <c r="A233" s="259">
        <v>55.125399999999999</v>
      </c>
      <c r="B233" s="57" t="s">
        <v>597</v>
      </c>
      <c r="C233" s="163">
        <v>471896.25</v>
      </c>
      <c r="D233" s="216">
        <f t="shared" si="566"/>
        <v>471896.25</v>
      </c>
      <c r="E233" s="149">
        <v>0</v>
      </c>
      <c r="F233" s="149">
        <v>156561.66</v>
      </c>
      <c r="G233" s="217">
        <f t="shared" si="567"/>
        <v>0.33177135864080293</v>
      </c>
      <c r="H233" s="149">
        <v>0</v>
      </c>
      <c r="I233" s="214">
        <f t="shared" si="568"/>
        <v>156561.66</v>
      </c>
      <c r="J233" s="149">
        <v>158952.89000000001</v>
      </c>
      <c r="K233" s="214">
        <f t="shared" ref="K233" si="610">J233-I233</f>
        <v>2391.2300000000105</v>
      </c>
      <c r="L233" s="214">
        <f t="shared" ref="L233" si="611">+D233-F233</f>
        <v>315334.58999999997</v>
      </c>
      <c r="M233" s="214">
        <f t="shared" ref="M233" si="612">+C233-J233</f>
        <v>312943.35999999999</v>
      </c>
      <c r="N233" s="222"/>
      <c r="O233" s="222"/>
      <c r="P233" s="222"/>
      <c r="Q233" s="214">
        <f t="shared" ref="Q233" si="613">F233-N233</f>
        <v>156561.66</v>
      </c>
      <c r="R233" s="214">
        <f t="shared" ref="R233" si="614">+J233-O233</f>
        <v>158952.89000000001</v>
      </c>
      <c r="S233" s="214">
        <f t="shared" ref="S233" si="615">+H233-P233</f>
        <v>0</v>
      </c>
      <c r="T233" s="185" t="s">
        <v>510</v>
      </c>
      <c r="U233" s="185"/>
      <c r="V233" s="57" t="str">
        <f t="shared" ref="V233:V235" si="616">IF(C233&lt;250000, "&lt; 250k",".")</f>
        <v>.</v>
      </c>
      <c r="Y233" s="311">
        <v>0</v>
      </c>
      <c r="Z233" s="192">
        <f t="shared" ref="Z233" si="617">S233-Y233</f>
        <v>0</v>
      </c>
      <c r="AA233" t="str">
        <f t="shared" ref="AA233" si="618">IF(L233&lt;0,"CHECK","-")</f>
        <v>-</v>
      </c>
      <c r="AB233" t="str">
        <f t="shared" ref="AB233" si="619">IF(M233&lt;0,"CHECK","-")</f>
        <v>-</v>
      </c>
      <c r="AD233" s="34"/>
      <c r="AF233" s="64"/>
      <c r="AG233" s="64"/>
      <c r="AH233" s="64"/>
      <c r="AI233" s="217"/>
      <c r="AJ233" s="98"/>
      <c r="AK233" s="98"/>
      <c r="AL233" s="98"/>
      <c r="AM233" s="98"/>
      <c r="AN233" s="98"/>
      <c r="AO233" s="222"/>
      <c r="AP233" s="129"/>
    </row>
    <row r="234" spans="1:42" ht="13.5">
      <c r="A234" s="259">
        <v>55.125500000000002</v>
      </c>
      <c r="B234" s="57" t="s">
        <v>678</v>
      </c>
      <c r="C234" s="163">
        <v>14160.81</v>
      </c>
      <c r="D234" s="216">
        <f t="shared" si="566"/>
        <v>14160.81</v>
      </c>
      <c r="E234" s="149">
        <v>0</v>
      </c>
      <c r="F234" s="149">
        <v>14160.81</v>
      </c>
      <c r="G234" s="217">
        <f t="shared" si="567"/>
        <v>1</v>
      </c>
      <c r="H234" s="149">
        <v>0</v>
      </c>
      <c r="I234" s="214">
        <f t="shared" si="568"/>
        <v>14160.81</v>
      </c>
      <c r="J234" s="149">
        <v>0</v>
      </c>
      <c r="K234" s="214">
        <f t="shared" ref="K234" si="620">J234-I234</f>
        <v>-14160.81</v>
      </c>
      <c r="L234" s="214">
        <f t="shared" ref="L234" si="621">+D234-F234</f>
        <v>0</v>
      </c>
      <c r="M234" s="214">
        <f t="shared" ref="M234" si="622">+C234-J234</f>
        <v>14160.81</v>
      </c>
      <c r="N234" s="222"/>
      <c r="O234" s="222"/>
      <c r="P234" s="222"/>
      <c r="Q234" s="214">
        <f t="shared" ref="Q234" si="623">F234-N234</f>
        <v>14160.81</v>
      </c>
      <c r="R234" s="214">
        <f t="shared" ref="R234" si="624">+J234-O234</f>
        <v>0</v>
      </c>
      <c r="S234" s="214">
        <f t="shared" ref="S234" si="625">+H234-P234</f>
        <v>0</v>
      </c>
      <c r="T234" s="185" t="s">
        <v>510</v>
      </c>
      <c r="U234" s="185"/>
      <c r="V234" s="57" t="str">
        <f t="shared" si="616"/>
        <v>&lt; 250k</v>
      </c>
      <c r="Y234" s="311">
        <v>0</v>
      </c>
      <c r="Z234" s="192">
        <f t="shared" ref="Z234" si="626">S234-Y234</f>
        <v>0</v>
      </c>
      <c r="AA234" t="str">
        <f t="shared" ref="AA234" si="627">IF(L234&lt;0,"CHECK","-")</f>
        <v>-</v>
      </c>
      <c r="AB234" t="str">
        <f t="shared" ref="AB234" si="628">IF(M234&lt;0,"CHECK","-")</f>
        <v>-</v>
      </c>
      <c r="AD234" s="34"/>
      <c r="AF234" s="64"/>
      <c r="AG234" s="64"/>
      <c r="AH234" s="64"/>
      <c r="AI234" s="217"/>
      <c r="AJ234" s="98"/>
      <c r="AK234" s="98"/>
      <c r="AL234" s="98"/>
      <c r="AM234" s="98"/>
      <c r="AN234" s="98"/>
      <c r="AO234" s="222"/>
      <c r="AP234" s="129"/>
    </row>
    <row r="235" spans="1:42" ht="13.5">
      <c r="A235" s="259">
        <v>55.125599999999999</v>
      </c>
      <c r="B235" s="57" t="s">
        <v>697</v>
      </c>
      <c r="C235" s="163">
        <v>2888100</v>
      </c>
      <c r="D235" s="216">
        <f t="shared" si="566"/>
        <v>2713100</v>
      </c>
      <c r="E235" s="149">
        <v>175000</v>
      </c>
      <c r="F235" s="149">
        <v>94989.88</v>
      </c>
      <c r="G235" s="217">
        <f t="shared" si="567"/>
        <v>3.501156610519332E-2</v>
      </c>
      <c r="H235" s="149">
        <v>0</v>
      </c>
      <c r="I235" s="214">
        <f t="shared" si="568"/>
        <v>94989.88</v>
      </c>
      <c r="J235" s="149">
        <v>101150</v>
      </c>
      <c r="K235" s="214">
        <f t="shared" ref="K235" si="629">J235-I235</f>
        <v>6160.1199999999953</v>
      </c>
      <c r="L235" s="214">
        <f t="shared" ref="L235" si="630">+D235-F235</f>
        <v>2618110.12</v>
      </c>
      <c r="M235" s="214">
        <f t="shared" ref="M235" si="631">+C235-J235</f>
        <v>2786950</v>
      </c>
      <c r="N235" s="222"/>
      <c r="O235" s="222"/>
      <c r="P235" s="222"/>
      <c r="Q235" s="214">
        <f t="shared" ref="Q235" si="632">F235-N235</f>
        <v>94989.88</v>
      </c>
      <c r="R235" s="214">
        <f t="shared" ref="R235" si="633">+J235-O235</f>
        <v>101150</v>
      </c>
      <c r="S235" s="214">
        <f t="shared" ref="S235" si="634">+H235-P235</f>
        <v>0</v>
      </c>
      <c r="T235" s="185" t="s">
        <v>510</v>
      </c>
      <c r="U235" s="185"/>
      <c r="V235" s="57" t="str">
        <f t="shared" si="616"/>
        <v>.</v>
      </c>
      <c r="Y235" s="311">
        <v>0</v>
      </c>
      <c r="Z235" s="192">
        <f t="shared" ref="Z235" si="635">S235-Y235</f>
        <v>0</v>
      </c>
      <c r="AA235" t="str">
        <f t="shared" ref="AA235" si="636">IF(L235&lt;0,"CHECK","-")</f>
        <v>-</v>
      </c>
      <c r="AB235" t="str">
        <f t="shared" ref="AB235" si="637">IF(M235&lt;0,"CHECK","-")</f>
        <v>-</v>
      </c>
      <c r="AD235" s="34"/>
      <c r="AF235" s="64"/>
      <c r="AG235" s="64"/>
      <c r="AH235" s="64"/>
      <c r="AI235" s="217"/>
      <c r="AJ235" s="98"/>
      <c r="AK235" s="98"/>
      <c r="AL235" s="98"/>
      <c r="AM235" s="98"/>
      <c r="AN235" s="98"/>
      <c r="AO235" s="222"/>
      <c r="AP235" s="129"/>
    </row>
    <row r="236" spans="1:42" ht="13.5" hidden="1">
      <c r="A236" s="259"/>
      <c r="B236" s="57"/>
      <c r="C236" s="163"/>
      <c r="D236" s="216"/>
      <c r="E236" s="149"/>
      <c r="F236" s="149"/>
      <c r="G236" s="217"/>
      <c r="H236" s="149"/>
      <c r="I236" s="214"/>
      <c r="J236" s="149"/>
      <c r="K236" s="214"/>
      <c r="L236" s="214"/>
      <c r="M236" s="214"/>
      <c r="N236" s="222"/>
      <c r="O236" s="222"/>
      <c r="P236" s="220"/>
      <c r="Q236" s="214"/>
      <c r="R236" s="214"/>
      <c r="S236" s="214"/>
      <c r="T236" s="185"/>
      <c r="U236" s="185"/>
      <c r="V236" s="57"/>
      <c r="Z236" s="192">
        <f t="shared" si="535"/>
        <v>0</v>
      </c>
      <c r="AA236" t="str">
        <f t="shared" si="536"/>
        <v>-</v>
      </c>
      <c r="AB236" t="str">
        <f t="shared" si="537"/>
        <v>-</v>
      </c>
      <c r="AD236" s="34">
        <f>C236-GAAP!C236</f>
        <v>0</v>
      </c>
    </row>
    <row r="237" spans="1:42" s="85" customFormat="1" ht="13.5" customHeight="1">
      <c r="A237" s="176" t="s">
        <v>345</v>
      </c>
      <c r="C237" s="84">
        <f>SUM(C$223:C$236)</f>
        <v>833690058.07999992</v>
      </c>
      <c r="D237" s="84">
        <f>SUM(D$223:D$236)</f>
        <v>803282943.07999992</v>
      </c>
      <c r="E237" s="84">
        <f>SUM(E$223:E$236)</f>
        <v>30407115</v>
      </c>
      <c r="F237" s="84">
        <f>SUM(F$223:F$236)</f>
        <v>620195169.08999991</v>
      </c>
      <c r="G237" s="84"/>
      <c r="H237" s="84">
        <f t="shared" ref="H237:S237" si="638">SUM(H$223:H$236)</f>
        <v>21258188.734620541</v>
      </c>
      <c r="I237" s="84">
        <f t="shared" si="638"/>
        <v>641453357.82462037</v>
      </c>
      <c r="J237" s="84">
        <f t="shared" si="638"/>
        <v>635522554.88999999</v>
      </c>
      <c r="K237" s="84">
        <f t="shared" si="638"/>
        <v>-5930802.9346205359</v>
      </c>
      <c r="L237" s="84">
        <f t="shared" si="638"/>
        <v>183087773.99000001</v>
      </c>
      <c r="M237" s="84">
        <f t="shared" si="638"/>
        <v>198167503.19</v>
      </c>
      <c r="N237" s="84">
        <f t="shared" si="638"/>
        <v>505508482.41999996</v>
      </c>
      <c r="O237" s="84">
        <f t="shared" si="638"/>
        <v>523004875.59999996</v>
      </c>
      <c r="P237" s="84">
        <f t="shared" si="638"/>
        <v>21682038.206734024</v>
      </c>
      <c r="Q237" s="84">
        <f t="shared" si="638"/>
        <v>114686686.67</v>
      </c>
      <c r="R237" s="84">
        <f t="shared" si="638"/>
        <v>112517679.29000002</v>
      </c>
      <c r="S237" s="84">
        <f t="shared" si="638"/>
        <v>-423849.47211347392</v>
      </c>
      <c r="T237" s="199"/>
      <c r="U237" s="199"/>
      <c r="V237" s="57"/>
      <c r="W237" s="288"/>
      <c r="X237" s="289"/>
      <c r="Y237" s="311">
        <v>-1563048.0076217875</v>
      </c>
      <c r="Z237" s="192">
        <f t="shared" si="535"/>
        <v>1139198.5355083137</v>
      </c>
      <c r="AA237" t="str">
        <f t="shared" si="536"/>
        <v>-</v>
      </c>
      <c r="AB237" t="str">
        <f t="shared" si="537"/>
        <v>-</v>
      </c>
      <c r="AD237" s="34">
        <f>C237-GAAP!C237</f>
        <v>11669780.840000153</v>
      </c>
      <c r="AF237" s="177">
        <f>SUM(AF223:AF236)</f>
        <v>828671173.37999988</v>
      </c>
      <c r="AG237" s="177">
        <f>SUM(AG223:AG236)</f>
        <v>800004212.76999998</v>
      </c>
      <c r="AH237" s="177">
        <f>SUM(AH223:AH236)</f>
        <v>28666960.609999992</v>
      </c>
      <c r="AI237" s="177"/>
      <c r="AJ237" s="177">
        <f t="shared" ref="AJ237:AP237" si="639">SUM(AJ223:AJ236)</f>
        <v>20586420.017052315</v>
      </c>
      <c r="AK237" s="177">
        <f t="shared" si="639"/>
        <v>640515876.75705218</v>
      </c>
      <c r="AL237" s="177">
        <f t="shared" si="639"/>
        <v>-5253424.7570523163</v>
      </c>
      <c r="AM237" s="177">
        <f t="shared" si="639"/>
        <v>180074756.03</v>
      </c>
      <c r="AN237" s="177">
        <f t="shared" si="639"/>
        <v>193408721.38</v>
      </c>
      <c r="AO237" s="177" t="e">
        <f t="shared" si="639"/>
        <v>#REF!</v>
      </c>
      <c r="AP237" s="177" t="e">
        <f t="shared" si="639"/>
        <v>#REF!</v>
      </c>
    </row>
    <row r="238" spans="1:42" s="57" customFormat="1" ht="10.5" customHeight="1">
      <c r="A238" s="181"/>
      <c r="B238" s="82"/>
      <c r="C238" s="146"/>
      <c r="D238" s="122"/>
      <c r="E238" s="122"/>
      <c r="F238" s="307"/>
      <c r="G238" s="122"/>
      <c r="H238" s="224"/>
      <c r="I238" s="122"/>
      <c r="J238" s="122"/>
      <c r="K238" s="122"/>
      <c r="L238" s="122"/>
      <c r="M238" s="122"/>
      <c r="N238" s="122"/>
      <c r="O238" s="122"/>
      <c r="P238" s="122"/>
      <c r="Q238" s="122"/>
      <c r="R238" s="122"/>
      <c r="S238" s="122"/>
      <c r="T238" s="185"/>
      <c r="U238" s="185"/>
      <c r="W238" s="288"/>
      <c r="X238" s="289"/>
      <c r="Y238" s="311"/>
      <c r="Z238" s="192">
        <f t="shared" si="535"/>
        <v>0</v>
      </c>
      <c r="AA238" t="str">
        <f t="shared" si="536"/>
        <v>-</v>
      </c>
      <c r="AB238" t="str">
        <f t="shared" si="537"/>
        <v>-</v>
      </c>
      <c r="AD238" s="34">
        <f>C238-GAAP!C238</f>
        <v>0</v>
      </c>
    </row>
    <row r="239" spans="1:42" s="57" customFormat="1" ht="12.6" customHeight="1">
      <c r="A239" s="176" t="s">
        <v>346</v>
      </c>
      <c r="B239" s="82"/>
      <c r="C239" s="146"/>
      <c r="D239" s="122"/>
      <c r="E239" s="122"/>
      <c r="F239" s="146"/>
      <c r="G239" s="122"/>
      <c r="H239" s="224"/>
      <c r="I239" s="122"/>
      <c r="J239" s="122"/>
      <c r="K239" s="122"/>
      <c r="L239" s="122"/>
      <c r="M239" s="122"/>
      <c r="N239" s="122"/>
      <c r="O239" s="122"/>
      <c r="P239" s="122"/>
      <c r="Q239" s="122"/>
      <c r="R239" s="122"/>
      <c r="S239" s="122"/>
      <c r="T239" s="185"/>
      <c r="U239" s="185"/>
      <c r="W239" s="288"/>
      <c r="X239" s="289"/>
      <c r="Y239" s="311"/>
      <c r="Z239" s="192">
        <f t="shared" si="535"/>
        <v>0</v>
      </c>
      <c r="AA239" t="str">
        <f t="shared" si="536"/>
        <v>-</v>
      </c>
      <c r="AB239" t="str">
        <f t="shared" si="537"/>
        <v>-</v>
      </c>
      <c r="AD239" s="34">
        <f>C239-GAAP!C239</f>
        <v>0</v>
      </c>
    </row>
    <row r="240" spans="1:42" ht="13.5">
      <c r="A240" s="259">
        <v>55.122999999999998</v>
      </c>
      <c r="B240" s="57" t="s">
        <v>240</v>
      </c>
      <c r="C240" s="163">
        <v>2273682.69</v>
      </c>
      <c r="D240" s="216">
        <f t="shared" ref="D240" si="640">+C240-E240</f>
        <v>1665145.3</v>
      </c>
      <c r="E240" s="149">
        <v>608537.3899999999</v>
      </c>
      <c r="F240" s="149">
        <v>1665145.3</v>
      </c>
      <c r="G240" s="217">
        <f t="shared" ref="G240" si="641">IF(D240&lt;&gt;0,+F240/D240,0)</f>
        <v>1</v>
      </c>
      <c r="H240" s="149">
        <v>608537.3899999999</v>
      </c>
      <c r="I240" s="214">
        <f t="shared" ref="I240" si="642">+F240+H240</f>
        <v>2273682.69</v>
      </c>
      <c r="J240" s="149">
        <v>2273682.69</v>
      </c>
      <c r="K240" s="214">
        <f t="shared" ref="K240" si="643">J240-I240</f>
        <v>0</v>
      </c>
      <c r="L240" s="214">
        <f t="shared" ref="L240" si="644">+D240-F240</f>
        <v>0</v>
      </c>
      <c r="M240" s="214">
        <f>+C240-J240</f>
        <v>0</v>
      </c>
      <c r="N240" s="222">
        <v>1665145.3</v>
      </c>
      <c r="O240" s="222">
        <v>2273682.69</v>
      </c>
      <c r="P240" s="222">
        <v>480252.03351581638</v>
      </c>
      <c r="Q240" s="214">
        <f t="shared" ref="Q240" si="645">F240-N240</f>
        <v>0</v>
      </c>
      <c r="R240" s="214">
        <f t="shared" ref="R240" si="646">+J240-O240</f>
        <v>0</v>
      </c>
      <c r="S240" s="214">
        <f t="shared" ref="S240" si="647">+H240-P240</f>
        <v>128285.35648418352</v>
      </c>
      <c r="T240" s="185" t="s">
        <v>237</v>
      </c>
      <c r="U240" s="185" t="s">
        <v>510</v>
      </c>
      <c r="V240" s="57" t="str">
        <f t="shared" ref="V240" si="648">IF(C240&lt;250000, "&lt; 250k",".")</f>
        <v>.</v>
      </c>
      <c r="W240" s="282">
        <v>480252.03351581638</v>
      </c>
      <c r="Y240" s="311">
        <v>128285.35648418352</v>
      </c>
      <c r="Z240" s="192">
        <f t="shared" ref="Z240" si="649">S240-Y240</f>
        <v>0</v>
      </c>
      <c r="AA240" t="str">
        <f t="shared" ref="AA240" si="650">IF(L240&lt;0,"CHECK","-")</f>
        <v>-</v>
      </c>
      <c r="AB240" t="str">
        <f t="shared" ref="AB240" si="651">IF(M240&lt;0,"CHECK","-")</f>
        <v>-</v>
      </c>
      <c r="AD240" s="34">
        <f>C240-GAAP!C241</f>
        <v>-1772517.31</v>
      </c>
      <c r="AF240" s="64">
        <f t="shared" ref="AF240" si="652">C240</f>
        <v>2273682.69</v>
      </c>
      <c r="AG240" s="64">
        <f t="shared" ref="AG240" si="653">D240</f>
        <v>1665145.3</v>
      </c>
      <c r="AH240" s="64">
        <f t="shared" ref="AH240" si="654">E240</f>
        <v>608537.3899999999</v>
      </c>
      <c r="AI240" s="217">
        <f t="shared" ref="AI240" si="655">IF(AG240&lt;&gt;0,+F240/AG240,0)</f>
        <v>1</v>
      </c>
      <c r="AJ240" s="98">
        <f t="shared" ref="AJ240" si="656">IF(AH240&lt;=0,AH240,IF(AI240&lt;0.1,0,IF(AI240&lt;=1,AI240*AH240,AH240)))</f>
        <v>608537.3899999999</v>
      </c>
      <c r="AK240" s="98">
        <f t="shared" ref="AK240" si="657">+F240+AJ240</f>
        <v>2273682.69</v>
      </c>
      <c r="AL240" s="98">
        <f t="shared" ref="AL240" si="658">J240-AK240</f>
        <v>0</v>
      </c>
      <c r="AM240" s="98">
        <f t="shared" ref="AM240" si="659">+AG240-F240</f>
        <v>0</v>
      </c>
      <c r="AN240" s="98">
        <f t="shared" ref="AN240" si="660">+AF240-J240</f>
        <v>0</v>
      </c>
      <c r="AO240" s="222">
        <f>GAAP!P241</f>
        <v>627907.39539551828</v>
      </c>
      <c r="AP240" s="129">
        <f t="shared" ref="AP240" si="661">AJ240-AO240</f>
        <v>-19370.005395518383</v>
      </c>
    </row>
    <row r="241" spans="1:42" ht="13.5">
      <c r="A241" s="259">
        <v>55.123100000000001</v>
      </c>
      <c r="B241" s="57" t="s">
        <v>251</v>
      </c>
      <c r="C241" s="163">
        <v>4046200</v>
      </c>
      <c r="D241" s="216">
        <f t="shared" ref="D241:D246" si="662">+C241-E241</f>
        <v>3321856.36</v>
      </c>
      <c r="E241" s="149">
        <v>724343.64000000013</v>
      </c>
      <c r="F241" s="149">
        <v>3321856.36</v>
      </c>
      <c r="G241" s="217">
        <f t="shared" ref="G241:G246" si="663">IF(D241&lt;&gt;0,+F241/D241,0)</f>
        <v>1</v>
      </c>
      <c r="H241" s="149">
        <v>724343.64000000013</v>
      </c>
      <c r="I241" s="214">
        <f t="shared" ref="I241:I246" si="664">+F241+H241</f>
        <v>4046200</v>
      </c>
      <c r="J241" s="149">
        <v>4046200</v>
      </c>
      <c r="K241" s="214">
        <f t="shared" ref="K241:K247" si="665">J241-I241</f>
        <v>0</v>
      </c>
      <c r="L241" s="214">
        <f t="shared" ref="L241:L247" si="666">+D241-F241</f>
        <v>0</v>
      </c>
      <c r="M241" s="214">
        <f t="shared" ref="M241:M247" si="667">+C241-J241</f>
        <v>0</v>
      </c>
      <c r="N241" s="222">
        <v>3306207.75</v>
      </c>
      <c r="O241" s="222">
        <v>4027535</v>
      </c>
      <c r="P241" s="222">
        <v>627907.39539551828</v>
      </c>
      <c r="Q241" s="214">
        <f t="shared" ref="Q241:Q242" si="668">F241-N241</f>
        <v>15648.60999999987</v>
      </c>
      <c r="R241" s="214">
        <f t="shared" ref="R241:R242" si="669">+J241-O241</f>
        <v>18665</v>
      </c>
      <c r="S241" s="214">
        <f t="shared" ref="S241:S242" si="670">+H241-P241</f>
        <v>96436.24460448185</v>
      </c>
      <c r="T241" s="185" t="s">
        <v>237</v>
      </c>
      <c r="U241" s="185" t="s">
        <v>510</v>
      </c>
      <c r="V241" s="57" t="s">
        <v>545</v>
      </c>
      <c r="W241" s="282">
        <v>627907.39539551828</v>
      </c>
      <c r="Y241" s="311">
        <v>96436.24460448185</v>
      </c>
      <c r="Z241" s="192">
        <f t="shared" si="535"/>
        <v>0</v>
      </c>
      <c r="AA241" t="str">
        <f t="shared" si="536"/>
        <v>-</v>
      </c>
      <c r="AB241" t="str">
        <f t="shared" si="537"/>
        <v>-</v>
      </c>
      <c r="AD241" s="34">
        <v>0</v>
      </c>
      <c r="AF241" s="64">
        <f t="shared" ref="AF241:AF242" si="671">C241</f>
        <v>4046200</v>
      </c>
      <c r="AG241" s="64">
        <f t="shared" ref="AG241:AG242" si="672">D241</f>
        <v>3321856.36</v>
      </c>
      <c r="AH241" s="64">
        <f t="shared" ref="AH241:AH242" si="673">E241</f>
        <v>724343.64000000013</v>
      </c>
      <c r="AI241" s="217">
        <f t="shared" ref="AI241:AI242" si="674">IF(AG241&lt;&gt;0,+F241/AG241,0)</f>
        <v>1</v>
      </c>
      <c r="AJ241" s="98">
        <f t="shared" ref="AJ241:AJ242" si="675">IF(AH241&lt;=0,AH241,IF(AI241&lt;0.1,0,IF(AI241&lt;=1,AI241*AH241,AH241)))</f>
        <v>724343.64000000013</v>
      </c>
      <c r="AK241" s="98">
        <f t="shared" ref="AK241:AK242" si="676">+F241+AJ241</f>
        <v>4046200</v>
      </c>
      <c r="AL241" s="98">
        <f t="shared" ref="AL241:AL242" si="677">J241-AK241</f>
        <v>0</v>
      </c>
      <c r="AM241" s="98">
        <f t="shared" ref="AM241:AM242" si="678">+AG241-F241</f>
        <v>0</v>
      </c>
      <c r="AN241" s="98">
        <f t="shared" ref="AN241:AN242" si="679">+AF241-J241</f>
        <v>0</v>
      </c>
      <c r="AO241" s="222">
        <f>GAAP!P241</f>
        <v>627907.39539551828</v>
      </c>
      <c r="AP241" s="129">
        <f t="shared" ref="AP241:AP242" si="680">AJ241-AO241</f>
        <v>96436.24460448185</v>
      </c>
    </row>
    <row r="242" spans="1:42" ht="13.5">
      <c r="A242" s="259">
        <v>55.123800000000003</v>
      </c>
      <c r="B242" s="57" t="s">
        <v>263</v>
      </c>
      <c r="C242" s="163">
        <v>34207.53</v>
      </c>
      <c r="D242" s="216">
        <f t="shared" si="662"/>
        <v>32500.859999999997</v>
      </c>
      <c r="E242" s="149">
        <v>1706.6700000000019</v>
      </c>
      <c r="F242" s="149">
        <v>32500.859999999997</v>
      </c>
      <c r="G242" s="217">
        <f t="shared" si="663"/>
        <v>1</v>
      </c>
      <c r="H242" s="149">
        <v>1706.6700000000019</v>
      </c>
      <c r="I242" s="214">
        <f t="shared" si="664"/>
        <v>34207.53</v>
      </c>
      <c r="J242" s="149">
        <v>34207.53</v>
      </c>
      <c r="K242" s="214">
        <f t="shared" si="665"/>
        <v>0</v>
      </c>
      <c r="L242" s="214">
        <f t="shared" si="666"/>
        <v>0</v>
      </c>
      <c r="M242" s="214">
        <f t="shared" si="667"/>
        <v>0</v>
      </c>
      <c r="N242" s="222">
        <v>26100.05</v>
      </c>
      <c r="O242" s="222">
        <v>34207.53</v>
      </c>
      <c r="P242" s="222">
        <v>8107.48</v>
      </c>
      <c r="Q242" s="214">
        <f t="shared" si="668"/>
        <v>6400.8099999999977</v>
      </c>
      <c r="R242" s="214">
        <f t="shared" si="669"/>
        <v>0</v>
      </c>
      <c r="S242" s="214">
        <f t="shared" si="670"/>
        <v>-6400.8099999999977</v>
      </c>
      <c r="T242" s="185" t="s">
        <v>237</v>
      </c>
      <c r="U242" s="185" t="s">
        <v>510</v>
      </c>
      <c r="V242" s="57" t="str">
        <f t="shared" ref="V242" si="681">IF(C242&lt;250000, "&lt; 250k",".")</f>
        <v>&lt; 250k</v>
      </c>
      <c r="W242" s="282">
        <v>8107.48</v>
      </c>
      <c r="Y242" s="311">
        <v>-5901.2599999999984</v>
      </c>
      <c r="Z242" s="192">
        <f t="shared" ref="Z242" si="682">S242-Y242</f>
        <v>-499.54999999999927</v>
      </c>
      <c r="AA242" t="str">
        <f t="shared" ref="AA242" si="683">IF(L242&lt;0,"CHECK","-")</f>
        <v>-</v>
      </c>
      <c r="AB242" t="str">
        <f t="shared" ref="AB242" si="684">IF(M242&lt;0,"CHECK","-")</f>
        <v>-</v>
      </c>
      <c r="AD242" s="34">
        <f>C242-GAAP!C247</f>
        <v>34207.53</v>
      </c>
      <c r="AF242" s="64">
        <f t="shared" si="671"/>
        <v>34207.53</v>
      </c>
      <c r="AG242" s="64">
        <f t="shared" si="672"/>
        <v>32500.859999999997</v>
      </c>
      <c r="AH242" s="64">
        <f t="shared" si="673"/>
        <v>1706.6700000000019</v>
      </c>
      <c r="AI242" s="217">
        <f t="shared" si="674"/>
        <v>1</v>
      </c>
      <c r="AJ242" s="98">
        <f t="shared" si="675"/>
        <v>1706.6700000000019</v>
      </c>
      <c r="AK242" s="98">
        <f t="shared" si="676"/>
        <v>34207.53</v>
      </c>
      <c r="AL242" s="98">
        <f t="shared" si="677"/>
        <v>0</v>
      </c>
      <c r="AM242" s="98">
        <f t="shared" si="678"/>
        <v>0</v>
      </c>
      <c r="AN242" s="98">
        <f t="shared" si="679"/>
        <v>0</v>
      </c>
      <c r="AO242" s="222">
        <f>GAAP!P244</f>
        <v>0</v>
      </c>
      <c r="AP242" s="129">
        <f t="shared" si="680"/>
        <v>1706.6700000000019</v>
      </c>
    </row>
    <row r="243" spans="1:42" ht="13.5">
      <c r="A243" s="259">
        <v>55.125</v>
      </c>
      <c r="B243" s="57" t="s">
        <v>485</v>
      </c>
      <c r="C243" s="163">
        <v>184557.17</v>
      </c>
      <c r="D243" s="216">
        <f t="shared" si="662"/>
        <v>48293.94</v>
      </c>
      <c r="E243" s="149">
        <v>136263.23000000001</v>
      </c>
      <c r="F243" s="149">
        <v>48293.94</v>
      </c>
      <c r="G243" s="217">
        <f t="shared" si="663"/>
        <v>1</v>
      </c>
      <c r="H243" s="149">
        <v>136263.23000000001</v>
      </c>
      <c r="I243" s="214">
        <f t="shared" si="664"/>
        <v>184557.17</v>
      </c>
      <c r="J243" s="149">
        <v>184557.17</v>
      </c>
      <c r="K243" s="214">
        <f t="shared" ref="K243:K246" si="685">J243-I243</f>
        <v>0</v>
      </c>
      <c r="L243" s="214">
        <f t="shared" ref="L243:L246" si="686">+D243-F243</f>
        <v>0</v>
      </c>
      <c r="M243" s="214">
        <f t="shared" ref="M243:M246" si="687">+C243-J243</f>
        <v>0</v>
      </c>
      <c r="N243" s="222">
        <v>46539.64</v>
      </c>
      <c r="O243" s="222">
        <v>184557.17</v>
      </c>
      <c r="P243" s="222">
        <v>101052.15979904546</v>
      </c>
      <c r="Q243" s="214">
        <f t="shared" ref="Q243:Q246" si="688">F243-N243</f>
        <v>1754.3000000000029</v>
      </c>
      <c r="R243" s="214">
        <f t="shared" ref="R243:R246" si="689">+J243-O243</f>
        <v>0</v>
      </c>
      <c r="S243" s="214">
        <f t="shared" ref="S243:S246" si="690">+H243-P243</f>
        <v>35211.070200954549</v>
      </c>
      <c r="T243" s="185" t="s">
        <v>278</v>
      </c>
      <c r="U243" s="185" t="s">
        <v>510</v>
      </c>
      <c r="V243" s="57" t="s">
        <v>544</v>
      </c>
      <c r="W243" s="282">
        <v>101052.15979904546</v>
      </c>
      <c r="Y243" s="311">
        <v>35211.070200954549</v>
      </c>
      <c r="Z243" s="192">
        <f t="shared" si="535"/>
        <v>0</v>
      </c>
      <c r="AA243" t="str">
        <f t="shared" si="536"/>
        <v>-</v>
      </c>
      <c r="AB243" t="str">
        <f t="shared" si="537"/>
        <v>-</v>
      </c>
      <c r="AD243" s="34">
        <v>0</v>
      </c>
      <c r="AF243" s="64">
        <f t="shared" ref="AF243:AF246" si="691">C243</f>
        <v>184557.17</v>
      </c>
      <c r="AG243" s="64">
        <f t="shared" ref="AG243:AG246" si="692">D243</f>
        <v>48293.94</v>
      </c>
      <c r="AH243" s="64">
        <f t="shared" ref="AH243:AH246" si="693">E243</f>
        <v>136263.23000000001</v>
      </c>
      <c r="AI243" s="217">
        <f t="shared" ref="AI243:AI246" si="694">IF(AG243&lt;&gt;0,+F243/AG243,0)</f>
        <v>1</v>
      </c>
      <c r="AJ243" s="98">
        <f t="shared" ref="AJ243:AJ246" si="695">IF(AH243&lt;=0,AH243,IF(AI243&lt;0.1,0,IF(AI243&lt;=1,AI243*AH243,AH243)))</f>
        <v>136263.23000000001</v>
      </c>
      <c r="AK243" s="98">
        <f t="shared" ref="AK243:AK246" si="696">+F243+AJ243</f>
        <v>184557.17</v>
      </c>
      <c r="AL243" s="98">
        <f t="shared" ref="AL243:AL246" si="697">J243-AK243</f>
        <v>0</v>
      </c>
      <c r="AM243" s="98">
        <f t="shared" ref="AM243:AM246" si="698">+AG243-F243</f>
        <v>0</v>
      </c>
      <c r="AN243" s="98">
        <f t="shared" ref="AN243:AN246" si="699">+AF243-J243</f>
        <v>0</v>
      </c>
      <c r="AO243" s="222">
        <f>GAAP!P243</f>
        <v>101052.15979904546</v>
      </c>
      <c r="AP243" s="129">
        <f t="shared" ref="AP243:AP246" si="700">AJ243-AO243</f>
        <v>35211.070200954549</v>
      </c>
    </row>
    <row r="244" spans="1:42" ht="13.5">
      <c r="A244" s="259">
        <v>55.125100000000003</v>
      </c>
      <c r="B244" s="57" t="s">
        <v>529</v>
      </c>
      <c r="C244" s="163">
        <v>322982.96000000002</v>
      </c>
      <c r="D244" s="216">
        <f t="shared" si="662"/>
        <v>284221.86</v>
      </c>
      <c r="E244" s="149">
        <v>38761.100000000035</v>
      </c>
      <c r="F244" s="149">
        <v>284221.86</v>
      </c>
      <c r="G244" s="217">
        <f t="shared" si="663"/>
        <v>1</v>
      </c>
      <c r="H244" s="149">
        <v>38761.100000000035</v>
      </c>
      <c r="I244" s="214">
        <f t="shared" si="664"/>
        <v>322982.96000000002</v>
      </c>
      <c r="J244" s="149">
        <v>322982.96000000002</v>
      </c>
      <c r="K244" s="214">
        <f t="shared" si="685"/>
        <v>0</v>
      </c>
      <c r="L244" s="214">
        <f t="shared" si="686"/>
        <v>0</v>
      </c>
      <c r="M244" s="214">
        <f t="shared" si="687"/>
        <v>0</v>
      </c>
      <c r="N244" s="222"/>
      <c r="O244" s="222"/>
      <c r="P244" s="222"/>
      <c r="Q244" s="214">
        <f t="shared" si="688"/>
        <v>284221.86</v>
      </c>
      <c r="R244" s="214">
        <f t="shared" si="689"/>
        <v>322982.96000000002</v>
      </c>
      <c r="S244" s="214">
        <f t="shared" si="690"/>
        <v>38761.100000000035</v>
      </c>
      <c r="T244" s="185" t="s">
        <v>510</v>
      </c>
      <c r="U244" s="185" t="s">
        <v>510</v>
      </c>
      <c r="V244" s="57" t="str">
        <f t="shared" ref="V244" si="701">IF(C244&lt;250000, "&lt; 250k",".")</f>
        <v>.</v>
      </c>
      <c r="Y244" s="311">
        <v>38761.1</v>
      </c>
      <c r="Z244" s="192">
        <f t="shared" ref="Z244:Z246" si="702">S244-Y244</f>
        <v>0</v>
      </c>
      <c r="AA244" t="str">
        <f t="shared" ref="AA244:AA246" si="703">IF(L244&lt;0,"CHECK","-")</f>
        <v>-</v>
      </c>
      <c r="AB244" t="str">
        <f t="shared" ref="AB244:AB246" si="704">IF(M244&lt;0,"CHECK","-")</f>
        <v>-</v>
      </c>
      <c r="AD244" s="34"/>
      <c r="AF244" s="64">
        <f t="shared" si="691"/>
        <v>322982.96000000002</v>
      </c>
      <c r="AG244" s="64">
        <f t="shared" si="692"/>
        <v>284221.86</v>
      </c>
      <c r="AH244" s="64">
        <f t="shared" si="693"/>
        <v>38761.100000000035</v>
      </c>
      <c r="AI244" s="217">
        <f t="shared" si="694"/>
        <v>1</v>
      </c>
      <c r="AJ244" s="98">
        <f t="shared" si="695"/>
        <v>38761.100000000035</v>
      </c>
      <c r="AK244" s="98">
        <f t="shared" si="696"/>
        <v>322982.96000000002</v>
      </c>
      <c r="AL244" s="98">
        <f t="shared" si="697"/>
        <v>0</v>
      </c>
      <c r="AM244" s="98">
        <f t="shared" si="698"/>
        <v>0</v>
      </c>
      <c r="AN244" s="98">
        <f t="shared" si="699"/>
        <v>0</v>
      </c>
      <c r="AO244" s="222">
        <f>GAAP!P248</f>
        <v>1217319.06871038</v>
      </c>
      <c r="AP244" s="129">
        <f t="shared" si="700"/>
        <v>-1178557.9687103799</v>
      </c>
    </row>
    <row r="245" spans="1:42" ht="13.5">
      <c r="A245" s="259">
        <v>55.1252</v>
      </c>
      <c r="B245" s="57" t="s">
        <v>530</v>
      </c>
      <c r="C245" s="163"/>
      <c r="D245" s="216">
        <f t="shared" si="662"/>
        <v>1958826.45</v>
      </c>
      <c r="E245" s="149">
        <v>-1958826.45</v>
      </c>
      <c r="F245" s="149">
        <v>1958826.45</v>
      </c>
      <c r="G245" s="217">
        <f t="shared" si="663"/>
        <v>1</v>
      </c>
      <c r="H245" s="149">
        <v>-1958826.45</v>
      </c>
      <c r="I245" s="214">
        <f t="shared" si="664"/>
        <v>0</v>
      </c>
      <c r="J245" s="149">
        <v>0</v>
      </c>
      <c r="K245" s="214">
        <f t="shared" si="685"/>
        <v>0</v>
      </c>
      <c r="L245" s="214">
        <f t="shared" si="686"/>
        <v>0</v>
      </c>
      <c r="M245" s="214">
        <f t="shared" si="687"/>
        <v>0</v>
      </c>
      <c r="N245" s="222"/>
      <c r="O245" s="222"/>
      <c r="P245" s="222"/>
      <c r="Q245" s="214">
        <f t="shared" si="688"/>
        <v>1958826.45</v>
      </c>
      <c r="R245" s="214">
        <f t="shared" si="689"/>
        <v>0</v>
      </c>
      <c r="S245" s="214">
        <f t="shared" si="690"/>
        <v>-1958826.45</v>
      </c>
      <c r="T245" s="185" t="s">
        <v>510</v>
      </c>
      <c r="U245" s="185" t="s">
        <v>510</v>
      </c>
      <c r="V245" s="57" t="s">
        <v>511</v>
      </c>
      <c r="Y245" s="311">
        <v>-1803846.56</v>
      </c>
      <c r="Z245" s="192">
        <f t="shared" si="702"/>
        <v>-154979.8899999999</v>
      </c>
      <c r="AA245" t="str">
        <f t="shared" si="703"/>
        <v>-</v>
      </c>
      <c r="AB245" t="str">
        <f t="shared" si="704"/>
        <v>-</v>
      </c>
      <c r="AD245" s="34"/>
      <c r="AF245" s="64">
        <f t="shared" si="691"/>
        <v>0</v>
      </c>
      <c r="AG245" s="64">
        <f t="shared" si="692"/>
        <v>1958826.45</v>
      </c>
      <c r="AH245" s="64">
        <f t="shared" si="693"/>
        <v>-1958826.45</v>
      </c>
      <c r="AI245" s="217">
        <f t="shared" si="694"/>
        <v>1</v>
      </c>
      <c r="AJ245" s="98">
        <f t="shared" si="695"/>
        <v>-1958826.45</v>
      </c>
      <c r="AK245" s="98">
        <f t="shared" si="696"/>
        <v>0</v>
      </c>
      <c r="AL245" s="98">
        <f t="shared" si="697"/>
        <v>0</v>
      </c>
      <c r="AM245" s="98">
        <f t="shared" si="698"/>
        <v>0</v>
      </c>
      <c r="AN245" s="98">
        <f t="shared" si="699"/>
        <v>0</v>
      </c>
      <c r="AO245" s="222" t="e">
        <f>GAAP!#REF!</f>
        <v>#REF!</v>
      </c>
      <c r="AP245" s="129" t="e">
        <f t="shared" si="700"/>
        <v>#REF!</v>
      </c>
    </row>
    <row r="246" spans="1:42" ht="13.5">
      <c r="A246" s="259">
        <v>55.125300000000003</v>
      </c>
      <c r="B246" s="57" t="s">
        <v>531</v>
      </c>
      <c r="C246" s="163"/>
      <c r="D246" s="216">
        <f t="shared" si="662"/>
        <v>475814.03</v>
      </c>
      <c r="E246" s="149">
        <v>-475814.03</v>
      </c>
      <c r="F246" s="149">
        <v>475814.03</v>
      </c>
      <c r="G246" s="217">
        <f t="shared" si="663"/>
        <v>1</v>
      </c>
      <c r="H246" s="149">
        <v>-475814.03</v>
      </c>
      <c r="I246" s="214">
        <f t="shared" si="664"/>
        <v>0</v>
      </c>
      <c r="J246" s="149">
        <v>0</v>
      </c>
      <c r="K246" s="214">
        <f t="shared" si="685"/>
        <v>0</v>
      </c>
      <c r="L246" s="214">
        <f t="shared" si="686"/>
        <v>0</v>
      </c>
      <c r="M246" s="214">
        <f t="shared" si="687"/>
        <v>0</v>
      </c>
      <c r="N246" s="222"/>
      <c r="O246" s="222"/>
      <c r="P246" s="222"/>
      <c r="Q246" s="214">
        <f t="shared" si="688"/>
        <v>475814.03</v>
      </c>
      <c r="R246" s="214">
        <f t="shared" si="689"/>
        <v>0</v>
      </c>
      <c r="S246" s="214">
        <f t="shared" si="690"/>
        <v>-475814.03</v>
      </c>
      <c r="T246" s="185" t="s">
        <v>510</v>
      </c>
      <c r="U246" s="185" t="s">
        <v>510</v>
      </c>
      <c r="V246" s="57" t="s">
        <v>511</v>
      </c>
      <c r="Y246" s="311">
        <v>-456056.35</v>
      </c>
      <c r="Z246" s="192">
        <f t="shared" si="702"/>
        <v>-19757.680000000051</v>
      </c>
      <c r="AA246" t="str">
        <f t="shared" si="703"/>
        <v>-</v>
      </c>
      <c r="AB246" t="str">
        <f t="shared" si="704"/>
        <v>-</v>
      </c>
      <c r="AD246" s="34"/>
      <c r="AF246" s="64">
        <f t="shared" si="691"/>
        <v>0</v>
      </c>
      <c r="AG246" s="64">
        <f t="shared" si="692"/>
        <v>475814.03</v>
      </c>
      <c r="AH246" s="64">
        <f t="shared" si="693"/>
        <v>-475814.03</v>
      </c>
      <c r="AI246" s="217">
        <f t="shared" si="694"/>
        <v>1</v>
      </c>
      <c r="AJ246" s="98">
        <f t="shared" si="695"/>
        <v>-475814.03</v>
      </c>
      <c r="AK246" s="98">
        <f t="shared" si="696"/>
        <v>0</v>
      </c>
      <c r="AL246" s="98">
        <f t="shared" si="697"/>
        <v>0</v>
      </c>
      <c r="AM246" s="98">
        <f t="shared" si="698"/>
        <v>0</v>
      </c>
      <c r="AN246" s="98">
        <f t="shared" si="699"/>
        <v>0</v>
      </c>
      <c r="AO246" s="222" t="e">
        <f>GAAP!#REF!</f>
        <v>#REF!</v>
      </c>
      <c r="AP246" s="129" t="e">
        <f t="shared" si="700"/>
        <v>#REF!</v>
      </c>
    </row>
    <row r="247" spans="1:42" ht="13.5" hidden="1">
      <c r="A247" s="259"/>
      <c r="B247" s="57"/>
      <c r="C247" s="163"/>
      <c r="D247" s="216"/>
      <c r="E247" s="149"/>
      <c r="F247" s="149"/>
      <c r="G247" s="217"/>
      <c r="H247" s="149"/>
      <c r="I247" s="214"/>
      <c r="J247" s="149"/>
      <c r="K247" s="214">
        <f t="shared" si="665"/>
        <v>0</v>
      </c>
      <c r="L247" s="214">
        <f t="shared" si="666"/>
        <v>0</v>
      </c>
      <c r="M247" s="214">
        <f t="shared" si="667"/>
        <v>0</v>
      </c>
      <c r="N247" s="222"/>
      <c r="O247" s="222"/>
      <c r="P247" s="220"/>
      <c r="Q247" s="214"/>
      <c r="R247" s="214"/>
      <c r="S247" s="214"/>
      <c r="T247" s="185"/>
      <c r="U247" s="273"/>
      <c r="V247" s="57"/>
      <c r="Z247" s="192">
        <f t="shared" si="535"/>
        <v>0</v>
      </c>
      <c r="AA247" t="str">
        <f t="shared" si="536"/>
        <v>-</v>
      </c>
      <c r="AB247" t="str">
        <f t="shared" si="537"/>
        <v>-</v>
      </c>
      <c r="AD247" s="34">
        <f>C247-GAAP!C247</f>
        <v>0</v>
      </c>
    </row>
    <row r="248" spans="1:42" s="82" customFormat="1" ht="13.5" customHeight="1">
      <c r="A248" s="176" t="s">
        <v>347</v>
      </c>
      <c r="B248" s="85"/>
      <c r="C248" s="177">
        <f>SUM(C240:C247)</f>
        <v>6861630.3499999996</v>
      </c>
      <c r="D248" s="177">
        <f t="shared" ref="D248:F248" si="705">SUM(D240:D247)</f>
        <v>7786658.8000000017</v>
      </c>
      <c r="E248" s="177">
        <f t="shared" si="705"/>
        <v>-925028.45</v>
      </c>
      <c r="F248" s="177">
        <f t="shared" si="705"/>
        <v>7786658.8000000017</v>
      </c>
      <c r="G248" s="177"/>
      <c r="H248" s="177">
        <f t="shared" ref="H248:R248" si="706">SUM(H240:H247)</f>
        <v>-925028.45</v>
      </c>
      <c r="I248" s="177">
        <f t="shared" si="706"/>
        <v>6861630.3499999996</v>
      </c>
      <c r="J248" s="177">
        <f t="shared" si="706"/>
        <v>6861630.3499999996</v>
      </c>
      <c r="K248" s="177">
        <f t="shared" si="706"/>
        <v>0</v>
      </c>
      <c r="L248" s="177">
        <f t="shared" si="706"/>
        <v>0</v>
      </c>
      <c r="M248" s="177">
        <f t="shared" si="706"/>
        <v>0</v>
      </c>
      <c r="N248" s="177">
        <f t="shared" si="706"/>
        <v>5043992.7399999993</v>
      </c>
      <c r="O248" s="177">
        <f t="shared" si="706"/>
        <v>6519982.3899999997</v>
      </c>
      <c r="P248" s="177">
        <f t="shared" si="706"/>
        <v>1217319.06871038</v>
      </c>
      <c r="Q248" s="177">
        <f t="shared" si="706"/>
        <v>2742666.0599999996</v>
      </c>
      <c r="R248" s="177">
        <f t="shared" si="706"/>
        <v>341647.96</v>
      </c>
      <c r="S248" s="177">
        <f>SUM(S240:S247)</f>
        <v>-2142347.51871038</v>
      </c>
      <c r="T248" s="199"/>
      <c r="U248" s="199"/>
      <c r="W248" s="288"/>
      <c r="X248" s="282"/>
      <c r="Y248" s="311">
        <v>292792.5112896199</v>
      </c>
      <c r="Z248" s="192">
        <f t="shared" si="535"/>
        <v>-2435140.0299999998</v>
      </c>
      <c r="AA248" t="str">
        <f t="shared" si="536"/>
        <v>-</v>
      </c>
      <c r="AB248" t="str">
        <f t="shared" si="537"/>
        <v>-</v>
      </c>
      <c r="AD248" s="34">
        <f>C248-GAAP!C248</f>
        <v>0</v>
      </c>
      <c r="AF248" s="177">
        <f>SUM(AF241:AF247)</f>
        <v>4587947.66</v>
      </c>
      <c r="AG248" s="177">
        <f t="shared" ref="AG248:AH248" si="707">SUM(AG241:AG247)</f>
        <v>6121513.5</v>
      </c>
      <c r="AH248" s="177">
        <f t="shared" si="707"/>
        <v>-1533565.8399999999</v>
      </c>
      <c r="AI248" s="177"/>
      <c r="AJ248" s="177">
        <f t="shared" ref="AJ248:AP248" si="708">SUM(AJ241:AJ247)</f>
        <v>-1533565.8399999999</v>
      </c>
      <c r="AK248" s="177">
        <f t="shared" si="708"/>
        <v>4587947.66</v>
      </c>
      <c r="AL248" s="177">
        <f t="shared" si="708"/>
        <v>0</v>
      </c>
      <c r="AM248" s="177">
        <f t="shared" si="708"/>
        <v>0</v>
      </c>
      <c r="AN248" s="177">
        <f t="shared" si="708"/>
        <v>0</v>
      </c>
      <c r="AO248" s="177" t="e">
        <f t="shared" si="708"/>
        <v>#REF!</v>
      </c>
      <c r="AP248" s="177" t="e">
        <f t="shared" si="708"/>
        <v>#REF!</v>
      </c>
    </row>
    <row r="249" spans="1:42" s="82" customFormat="1" ht="13.5" customHeight="1">
      <c r="A249" s="178" t="s">
        <v>348</v>
      </c>
      <c r="B249" s="87"/>
      <c r="C249" s="83">
        <f>C248+C237</f>
        <v>840551688.42999995</v>
      </c>
      <c r="D249" s="83">
        <f>D248+D237</f>
        <v>811069601.87999988</v>
      </c>
      <c r="E249" s="83">
        <f>E248+E237</f>
        <v>29482086.550000001</v>
      </c>
      <c r="F249" s="83">
        <f>F248+F237</f>
        <v>627981827.88999987</v>
      </c>
      <c r="G249" s="83"/>
      <c r="H249" s="83">
        <f t="shared" ref="H249:S249" si="709">H248+H237</f>
        <v>20333160.284620542</v>
      </c>
      <c r="I249" s="83">
        <f t="shared" si="709"/>
        <v>648314988.17462039</v>
      </c>
      <c r="J249" s="83">
        <f t="shared" si="709"/>
        <v>642384185.24000001</v>
      </c>
      <c r="K249" s="83">
        <f t="shared" si="709"/>
        <v>-5930802.9346205359</v>
      </c>
      <c r="L249" s="83">
        <f t="shared" si="709"/>
        <v>183087773.99000001</v>
      </c>
      <c r="M249" s="83">
        <f t="shared" si="709"/>
        <v>198167503.19</v>
      </c>
      <c r="N249" s="83">
        <f t="shared" si="709"/>
        <v>510552475.15999997</v>
      </c>
      <c r="O249" s="83">
        <f t="shared" si="709"/>
        <v>529524857.98999995</v>
      </c>
      <c r="P249" s="83">
        <f t="shared" si="709"/>
        <v>22899357.275444403</v>
      </c>
      <c r="Q249" s="83">
        <f t="shared" si="709"/>
        <v>117429352.73</v>
      </c>
      <c r="R249" s="83">
        <f t="shared" si="709"/>
        <v>112859327.25000001</v>
      </c>
      <c r="S249" s="83">
        <f t="shared" si="709"/>
        <v>-2566196.9908238538</v>
      </c>
      <c r="T249" s="199"/>
      <c r="U249" s="199"/>
      <c r="W249" s="288"/>
      <c r="X249" s="282"/>
      <c r="Y249" s="311">
        <v>-1270255.4963321676</v>
      </c>
      <c r="Z249" s="192">
        <f t="shared" si="535"/>
        <v>-1295941.4944916861</v>
      </c>
      <c r="AA249" t="str">
        <f t="shared" si="536"/>
        <v>-</v>
      </c>
      <c r="AB249" t="str">
        <f t="shared" si="537"/>
        <v>-</v>
      </c>
      <c r="AD249" s="34">
        <f>C249-GAAP!C249</f>
        <v>11669780.840000153</v>
      </c>
      <c r="AF249" s="83">
        <f>AF248+AF237</f>
        <v>833259121.03999984</v>
      </c>
      <c r="AG249" s="83">
        <f>AG248+AG237</f>
        <v>806125726.26999998</v>
      </c>
      <c r="AH249" s="83">
        <f>AH248+AH237</f>
        <v>27133394.769999992</v>
      </c>
      <c r="AI249" s="83"/>
      <c r="AJ249" s="83">
        <f t="shared" ref="AJ249:AP249" si="710">AJ248+AJ237</f>
        <v>19052854.177052315</v>
      </c>
      <c r="AK249" s="83">
        <f t="shared" si="710"/>
        <v>645103824.41705215</v>
      </c>
      <c r="AL249" s="83">
        <f t="shared" si="710"/>
        <v>-5253424.7570523163</v>
      </c>
      <c r="AM249" s="83">
        <f t="shared" si="710"/>
        <v>180074756.03</v>
      </c>
      <c r="AN249" s="83">
        <f t="shared" si="710"/>
        <v>193408721.38</v>
      </c>
      <c r="AO249" s="83" t="e">
        <f t="shared" si="710"/>
        <v>#REF!</v>
      </c>
      <c r="AP249" s="83" t="e">
        <f t="shared" si="710"/>
        <v>#REF!</v>
      </c>
    </row>
    <row r="250" spans="1:42" s="82" customFormat="1" ht="13.5" customHeight="1">
      <c r="A250" s="176"/>
      <c r="B250" s="85"/>
      <c r="C250" s="84"/>
      <c r="D250" s="84"/>
      <c r="E250" s="84"/>
      <c r="F250" s="84"/>
      <c r="G250" s="84"/>
      <c r="H250" s="84"/>
      <c r="I250" s="84"/>
      <c r="J250" s="84"/>
      <c r="K250" s="84"/>
      <c r="L250" s="84"/>
      <c r="M250" s="84"/>
      <c r="N250" s="84"/>
      <c r="O250" s="84"/>
      <c r="P250" s="84"/>
      <c r="Q250" s="84"/>
      <c r="R250" s="84"/>
      <c r="S250" s="84"/>
      <c r="T250" s="199"/>
      <c r="U250" s="199"/>
      <c r="W250" s="288"/>
      <c r="X250" s="282"/>
      <c r="Y250" s="311"/>
      <c r="Z250" s="192">
        <f t="shared" si="535"/>
        <v>0</v>
      </c>
      <c r="AA250" t="str">
        <f t="shared" si="536"/>
        <v>-</v>
      </c>
      <c r="AB250" t="str">
        <f t="shared" si="537"/>
        <v>-</v>
      </c>
      <c r="AD250" s="34">
        <f>C250-GAAP!C250</f>
        <v>0</v>
      </c>
    </row>
    <row r="251" spans="1:42" s="57" customFormat="1" ht="13.5" customHeight="1">
      <c r="A251" s="176" t="s">
        <v>380</v>
      </c>
      <c r="B251" s="82"/>
      <c r="C251" s="221"/>
      <c r="D251" s="63"/>
      <c r="E251" s="221"/>
      <c r="F251" s="221"/>
      <c r="G251" s="63"/>
      <c r="H251" s="168"/>
      <c r="I251" s="63"/>
      <c r="J251" s="221"/>
      <c r="K251" s="63"/>
      <c r="L251" s="63"/>
      <c r="M251" s="63"/>
      <c r="N251" s="221"/>
      <c r="O251" s="221"/>
      <c r="P251" s="221"/>
      <c r="Q251" s="63"/>
      <c r="R251" s="63"/>
      <c r="S251" s="214"/>
      <c r="T251" s="185"/>
      <c r="U251" s="185"/>
      <c r="W251" s="288"/>
      <c r="X251" s="289"/>
      <c r="Y251" s="311"/>
      <c r="Z251" s="192">
        <f t="shared" si="535"/>
        <v>0</v>
      </c>
      <c r="AA251" t="str">
        <f t="shared" si="536"/>
        <v>-</v>
      </c>
      <c r="AB251" t="str">
        <f t="shared" si="537"/>
        <v>-</v>
      </c>
      <c r="AD251" s="34">
        <f>C251-GAAP!C251</f>
        <v>0</v>
      </c>
    </row>
    <row r="252" spans="1:42" ht="13.5">
      <c r="A252" s="259">
        <v>57.000300000000003</v>
      </c>
      <c r="B252" s="57" t="s">
        <v>399</v>
      </c>
      <c r="C252" s="163">
        <v>38165419.5</v>
      </c>
      <c r="D252" s="216">
        <f>+C252-E252</f>
        <v>35758333.5</v>
      </c>
      <c r="E252" s="149">
        <v>2407086</v>
      </c>
      <c r="F252" s="149">
        <v>6316909.1299999999</v>
      </c>
      <c r="G252" s="217">
        <f>IF(D252&lt;&gt;0,+F252/D252,0)</f>
        <v>0.17665557960076636</v>
      </c>
      <c r="H252" s="149">
        <v>123922.17247889005</v>
      </c>
      <c r="I252" s="214">
        <f>+F252+H252</f>
        <v>6440831.3024788899</v>
      </c>
      <c r="J252" s="149">
        <v>6863233.25</v>
      </c>
      <c r="K252" s="214">
        <f>J252-I252</f>
        <v>422401.94752111007</v>
      </c>
      <c r="L252" s="214">
        <f>+D252-F252</f>
        <v>29441424.370000001</v>
      </c>
      <c r="M252" s="214">
        <f>+C252-J252</f>
        <v>31302186.25</v>
      </c>
      <c r="N252" s="222">
        <v>901841.91</v>
      </c>
      <c r="O252" s="222">
        <v>990201.09</v>
      </c>
      <c r="P252" s="222">
        <v>96385.411809887213</v>
      </c>
      <c r="Q252" s="214">
        <f>F252-N252</f>
        <v>5415067.2199999997</v>
      </c>
      <c r="R252" s="214">
        <f>+J252-O252</f>
        <v>5873032.1600000001</v>
      </c>
      <c r="S252" s="214">
        <f t="shared" ref="S252" si="711">+H252-P252</f>
        <v>27536.760669002833</v>
      </c>
      <c r="T252" s="185" t="s">
        <v>278</v>
      </c>
      <c r="U252" s="185"/>
      <c r="V252" s="57" t="str">
        <f t="shared" ref="V252:V253" si="712">IF(C252&lt;250000, "&lt; 250k",".")</f>
        <v>.</v>
      </c>
      <c r="W252" s="282">
        <v>96385.411809887213</v>
      </c>
      <c r="Y252" s="311">
        <v>-0.15424419980263337</v>
      </c>
      <c r="Z252" s="192">
        <f t="shared" si="535"/>
        <v>27536.914913202636</v>
      </c>
      <c r="AA252" t="str">
        <f t="shared" si="536"/>
        <v>-</v>
      </c>
      <c r="AB252" t="str">
        <f t="shared" si="537"/>
        <v>-</v>
      </c>
      <c r="AD252" s="34">
        <f>C252-GAAP!C252</f>
        <v>0</v>
      </c>
      <c r="AF252" s="64">
        <f t="shared" ref="AF252" si="713">C252</f>
        <v>38165419.5</v>
      </c>
      <c r="AG252" s="64">
        <f t="shared" ref="AG252" si="714">D252</f>
        <v>35758333.5</v>
      </c>
      <c r="AH252" s="64">
        <f t="shared" ref="AH252" si="715">E252</f>
        <v>2407086</v>
      </c>
      <c r="AI252" s="217">
        <f t="shared" ref="AI252" si="716">IF(AG252&lt;&gt;0,+F252/AG252,0)</f>
        <v>0.17665557960076636</v>
      </c>
      <c r="AJ252" s="98">
        <f t="shared" ref="AJ252" si="717">IF(AH252&lt;=0,AH252,IF(G252&lt;0.1,0,IF(G252&lt;=1,G252*AH252,AH252)))</f>
        <v>425225.17247889028</v>
      </c>
      <c r="AK252" s="98">
        <f t="shared" ref="AK252" si="718">+F252+AJ252</f>
        <v>6742134.3024788899</v>
      </c>
      <c r="AL252" s="98">
        <f t="shared" ref="AL252" si="719">J252-AK252</f>
        <v>121098.94752111007</v>
      </c>
      <c r="AM252" s="98">
        <f t="shared" ref="AM252" si="720">+AG252-F252</f>
        <v>29441424.370000001</v>
      </c>
      <c r="AN252" s="98">
        <f t="shared" ref="AN252" si="721">+AF252-J252</f>
        <v>31302186.25</v>
      </c>
      <c r="AO252" s="222">
        <f>GAAP!P252</f>
        <v>96385.411809887213</v>
      </c>
      <c r="AP252" s="129">
        <f t="shared" ref="AP252" si="722">AJ252-AO252</f>
        <v>328839.76066900307</v>
      </c>
    </row>
    <row r="253" spans="1:42" ht="13.5">
      <c r="A253" s="259">
        <v>57.000399999999999</v>
      </c>
      <c r="B253" s="57" t="s">
        <v>409</v>
      </c>
      <c r="C253" s="163">
        <v>40106224.630000003</v>
      </c>
      <c r="D253" s="216">
        <f t="shared" ref="D253:D255" si="723">+C253-E253</f>
        <v>37896367.630000003</v>
      </c>
      <c r="E253" s="149">
        <v>2209857</v>
      </c>
      <c r="F253" s="149">
        <v>750298.86</v>
      </c>
      <c r="G253" s="217">
        <f t="shared" ref="G253:G255" si="724">IF(D253&lt;&gt;0,+F253/D253,0)</f>
        <v>1.9798701219217615E-2</v>
      </c>
      <c r="H253" s="149">
        <v>0</v>
      </c>
      <c r="I253" s="214">
        <f t="shared" ref="I253:I255" si="725">+F253+H253</f>
        <v>750298.86</v>
      </c>
      <c r="J253" s="149">
        <v>900072.76</v>
      </c>
      <c r="K253" s="214">
        <f t="shared" ref="K253" si="726">J253-I253</f>
        <v>149773.90000000002</v>
      </c>
      <c r="L253" s="214">
        <f t="shared" ref="L253" si="727">+D253-F253</f>
        <v>37146068.770000003</v>
      </c>
      <c r="M253" s="214">
        <f t="shared" ref="M253" si="728">+C253-J253</f>
        <v>39206151.870000005</v>
      </c>
      <c r="N253" s="222">
        <v>686907.74</v>
      </c>
      <c r="O253" s="222">
        <v>900072.76</v>
      </c>
      <c r="P253" s="222">
        <v>0</v>
      </c>
      <c r="Q253" s="214">
        <f t="shared" ref="Q253" si="729">F253-N253</f>
        <v>63391.119999999995</v>
      </c>
      <c r="R253" s="214">
        <f t="shared" ref="R253" si="730">+J253-O253</f>
        <v>0</v>
      </c>
      <c r="S253" s="214">
        <f t="shared" ref="S253" si="731">+H253-P253</f>
        <v>0</v>
      </c>
      <c r="T253" s="185" t="s">
        <v>278</v>
      </c>
      <c r="U253" s="185"/>
      <c r="V253" s="57" t="str">
        <f t="shared" si="712"/>
        <v>.</v>
      </c>
      <c r="W253" s="282">
        <v>0</v>
      </c>
      <c r="Y253" s="311">
        <v>0</v>
      </c>
      <c r="Z253" s="192">
        <f t="shared" si="535"/>
        <v>0</v>
      </c>
      <c r="AA253" t="str">
        <f t="shared" si="536"/>
        <v>-</v>
      </c>
      <c r="AB253" t="str">
        <f t="shared" si="537"/>
        <v>-</v>
      </c>
      <c r="AD253" s="34">
        <f>C253-GAAP!C253</f>
        <v>0</v>
      </c>
      <c r="AF253" s="64">
        <f t="shared" ref="AF253" si="732">C253</f>
        <v>40106224.630000003</v>
      </c>
      <c r="AG253" s="64">
        <f t="shared" ref="AG253" si="733">D253</f>
        <v>37896367.630000003</v>
      </c>
      <c r="AH253" s="64">
        <f t="shared" ref="AH253" si="734">E253</f>
        <v>2209857</v>
      </c>
      <c r="AI253" s="217">
        <f t="shared" ref="AI253" si="735">IF(AG253&lt;&gt;0,+F253/AG253,0)</f>
        <v>1.9798701219217615E-2</v>
      </c>
      <c r="AJ253" s="98">
        <f t="shared" ref="AJ253" si="736">IF(AH253&lt;=0,AH253,IF(G253&lt;0.1,0,IF(G253&lt;=1,G253*AH253,AH253)))</f>
        <v>0</v>
      </c>
      <c r="AK253" s="98">
        <f t="shared" ref="AK253" si="737">+F253+AJ253</f>
        <v>750298.86</v>
      </c>
      <c r="AL253" s="98">
        <f t="shared" ref="AL253" si="738">J253-AK253</f>
        <v>149773.90000000002</v>
      </c>
      <c r="AM253" s="98">
        <f t="shared" ref="AM253" si="739">+AG253-F253</f>
        <v>37146068.770000003</v>
      </c>
      <c r="AN253" s="98">
        <f t="shared" ref="AN253" si="740">+AF253-J253</f>
        <v>39206151.870000005</v>
      </c>
      <c r="AO253" s="222">
        <f>GAAP!P253</f>
        <v>0</v>
      </c>
      <c r="AP253" s="129">
        <f t="shared" ref="AP253" si="741">AJ253-AO253</f>
        <v>0</v>
      </c>
    </row>
    <row r="254" spans="1:42" ht="13.5">
      <c r="A254" s="259">
        <v>57.000700000000002</v>
      </c>
      <c r="B254" s="57" t="s">
        <v>679</v>
      </c>
      <c r="C254" s="163">
        <v>162630</v>
      </c>
      <c r="D254" s="216">
        <f t="shared" si="723"/>
        <v>196248.4</v>
      </c>
      <c r="E254" s="149">
        <v>-33618.399999999994</v>
      </c>
      <c r="F254" s="149">
        <v>196248.4</v>
      </c>
      <c r="G254" s="217">
        <f>IF(D254&lt;&gt;0,+F254/D254,0)</f>
        <v>1</v>
      </c>
      <c r="H254" s="149">
        <v>-33618.399999999994</v>
      </c>
      <c r="I254" s="214">
        <f t="shared" si="725"/>
        <v>162630</v>
      </c>
      <c r="J254" s="149">
        <v>153858.35999999999</v>
      </c>
      <c r="K254" s="214">
        <f t="shared" ref="K254" si="742">J254-I254</f>
        <v>-8771.640000000014</v>
      </c>
      <c r="L254" s="214">
        <f>+D254-F254</f>
        <v>0</v>
      </c>
      <c r="M254" s="214">
        <f t="shared" ref="M254" si="743">+C254-J254</f>
        <v>8771.640000000014</v>
      </c>
      <c r="N254" s="222"/>
      <c r="O254" s="222"/>
      <c r="P254" s="222"/>
      <c r="Q254" s="214">
        <f t="shared" ref="Q254" si="744">F254-N254</f>
        <v>196248.4</v>
      </c>
      <c r="R254" s="214">
        <f t="shared" ref="R254" si="745">+J254-O254</f>
        <v>153858.35999999999</v>
      </c>
      <c r="S254" s="214">
        <f t="shared" ref="S254" si="746">+H254-P254</f>
        <v>-33618.399999999994</v>
      </c>
      <c r="T254" s="185" t="s">
        <v>510</v>
      </c>
      <c r="U254" s="185"/>
      <c r="V254" s="57" t="str">
        <f t="shared" ref="V254:V255" si="747">IF(C254&lt;250000, "&lt; 250k",".")</f>
        <v>&lt; 250k</v>
      </c>
      <c r="Y254" s="311">
        <v>-32235.100000000006</v>
      </c>
      <c r="Z254" s="192">
        <f t="shared" ref="Z254" si="748">S254-Y254</f>
        <v>-1383.2999999999884</v>
      </c>
      <c r="AA254" t="str">
        <f t="shared" ref="AA254" si="749">IF(L254&lt;0,"CHECK","-")</f>
        <v>-</v>
      </c>
      <c r="AB254" t="str">
        <f t="shared" ref="AB254" si="750">IF(M254&lt;0,"CHECK","-")</f>
        <v>-</v>
      </c>
      <c r="AD254" s="34"/>
      <c r="AF254" s="64"/>
      <c r="AG254" s="64"/>
      <c r="AH254" s="64"/>
      <c r="AI254" s="217"/>
      <c r="AJ254" s="98"/>
      <c r="AK254" s="98"/>
      <c r="AL254" s="98"/>
      <c r="AM254" s="98"/>
      <c r="AN254" s="98"/>
      <c r="AO254" s="222"/>
      <c r="AP254" s="129"/>
    </row>
    <row r="255" spans="1:42" ht="13.5">
      <c r="A255" s="259">
        <v>57.000799999999998</v>
      </c>
      <c r="B255" s="57" t="s">
        <v>698</v>
      </c>
      <c r="C255" s="163">
        <v>2876047</v>
      </c>
      <c r="D255" s="216">
        <f t="shared" si="723"/>
        <v>2743982</v>
      </c>
      <c r="E255" s="149">
        <v>132065</v>
      </c>
      <c r="F255" s="149">
        <v>262382.86</v>
      </c>
      <c r="G255" s="217">
        <f t="shared" si="724"/>
        <v>9.5621203054538986E-2</v>
      </c>
      <c r="H255" s="149">
        <v>0</v>
      </c>
      <c r="I255" s="214">
        <f t="shared" si="725"/>
        <v>262382.86</v>
      </c>
      <c r="J255" s="149">
        <v>266758</v>
      </c>
      <c r="K255" s="214">
        <f t="shared" ref="K255" si="751">J255-I255</f>
        <v>4375.140000000014</v>
      </c>
      <c r="L255" s="214">
        <f>+D255-F255</f>
        <v>2481599.14</v>
      </c>
      <c r="M255" s="214">
        <f t="shared" ref="M255" si="752">+C255-J255</f>
        <v>2609289</v>
      </c>
      <c r="N255" s="222"/>
      <c r="O255" s="222"/>
      <c r="P255" s="222"/>
      <c r="Q255" s="214">
        <f t="shared" ref="Q255" si="753">F255-N255</f>
        <v>262382.86</v>
      </c>
      <c r="R255" s="214">
        <f t="shared" ref="R255" si="754">+J255-O255</f>
        <v>266758</v>
      </c>
      <c r="S255" s="214">
        <f t="shared" ref="S255" si="755">+H255-P255</f>
        <v>0</v>
      </c>
      <c r="T255" s="185" t="s">
        <v>510</v>
      </c>
      <c r="U255" s="185"/>
      <c r="V255" s="57" t="str">
        <f t="shared" si="747"/>
        <v>.</v>
      </c>
      <c r="Y255" s="311">
        <v>0</v>
      </c>
      <c r="Z255" s="192">
        <f t="shared" ref="Z255" si="756">S255-Y255</f>
        <v>0</v>
      </c>
      <c r="AA255" t="str">
        <f t="shared" ref="AA255" si="757">IF(L255&lt;0,"CHECK","-")</f>
        <v>-</v>
      </c>
      <c r="AB255" t="str">
        <f t="shared" ref="AB255" si="758">IF(M255&lt;0,"CHECK","-")</f>
        <v>-</v>
      </c>
      <c r="AD255" s="34"/>
      <c r="AF255" s="64"/>
      <c r="AG255" s="64"/>
      <c r="AH255" s="64"/>
      <c r="AI255" s="217"/>
      <c r="AJ255" s="98"/>
      <c r="AK255" s="98"/>
      <c r="AL255" s="98"/>
      <c r="AM255" s="98"/>
      <c r="AN255" s="98"/>
      <c r="AO255" s="222"/>
      <c r="AP255" s="129"/>
    </row>
    <row r="256" spans="1:42" s="82" customFormat="1" ht="13.5" hidden="1" customHeight="1">
      <c r="A256" s="259"/>
      <c r="B256" s="57"/>
      <c r="C256" s="163"/>
      <c r="D256" s="216"/>
      <c r="E256" s="149"/>
      <c r="F256" s="149"/>
      <c r="G256" s="217"/>
      <c r="H256" s="149"/>
      <c r="I256" s="214"/>
      <c r="J256" s="149"/>
      <c r="K256" s="214"/>
      <c r="L256" s="214"/>
      <c r="M256" s="214"/>
      <c r="N256" s="222"/>
      <c r="O256" s="222"/>
      <c r="P256" s="220"/>
      <c r="Q256" s="214"/>
      <c r="R256" s="214"/>
      <c r="S256" s="214"/>
      <c r="T256" s="185"/>
      <c r="U256" s="185"/>
      <c r="V256" s="57"/>
      <c r="W256" s="282"/>
      <c r="X256" s="290"/>
      <c r="Y256" s="311"/>
      <c r="Z256" s="192">
        <f t="shared" si="535"/>
        <v>0</v>
      </c>
      <c r="AA256" t="str">
        <f t="shared" si="536"/>
        <v>-</v>
      </c>
      <c r="AB256" t="str">
        <f t="shared" si="537"/>
        <v>-</v>
      </c>
      <c r="AD256" s="34">
        <f>C256-GAAP!C256</f>
        <v>0</v>
      </c>
    </row>
    <row r="257" spans="1:42" s="85" customFormat="1" ht="13.5" customHeight="1">
      <c r="A257" s="176" t="s">
        <v>381</v>
      </c>
      <c r="C257" s="84">
        <f>SUM(C252:C256)</f>
        <v>81310321.129999995</v>
      </c>
      <c r="D257" s="84">
        <f>SUM(D252:D256)</f>
        <v>76594931.530000001</v>
      </c>
      <c r="E257" s="84">
        <f>SUM(E252:E256)</f>
        <v>4715389.5999999996</v>
      </c>
      <c r="F257" s="84">
        <f>SUM(F252:F256)</f>
        <v>7525839.2500000009</v>
      </c>
      <c r="G257" s="84"/>
      <c r="H257" s="84">
        <f t="shared" ref="H257:S257" si="759">SUM(H252:H256)</f>
        <v>90303.772478890052</v>
      </c>
      <c r="I257" s="84">
        <f t="shared" si="759"/>
        <v>7616143.0224788906</v>
      </c>
      <c r="J257" s="84">
        <f t="shared" si="759"/>
        <v>8183922.3700000001</v>
      </c>
      <c r="K257" s="84">
        <f t="shared" si="759"/>
        <v>567779.34752111009</v>
      </c>
      <c r="L257" s="84">
        <f t="shared" si="759"/>
        <v>69069092.280000001</v>
      </c>
      <c r="M257" s="84">
        <f t="shared" si="759"/>
        <v>73126398.760000005</v>
      </c>
      <c r="N257" s="84">
        <f t="shared" si="759"/>
        <v>1588749.65</v>
      </c>
      <c r="O257" s="84">
        <f t="shared" si="759"/>
        <v>1890273.85</v>
      </c>
      <c r="P257" s="84">
        <f t="shared" si="759"/>
        <v>96385.411809887213</v>
      </c>
      <c r="Q257" s="84">
        <f t="shared" si="759"/>
        <v>5937089.6000000006</v>
      </c>
      <c r="R257" s="84">
        <f t="shared" si="759"/>
        <v>6293648.5200000005</v>
      </c>
      <c r="S257" s="84">
        <f t="shared" si="759"/>
        <v>-6081.6393309971609</v>
      </c>
      <c r="T257" s="199"/>
      <c r="U257" s="199"/>
      <c r="V257" s="82"/>
      <c r="W257" s="288"/>
      <c r="X257" s="289"/>
      <c r="Y257" s="311">
        <v>-122610.23424419982</v>
      </c>
      <c r="Z257" s="192">
        <f t="shared" si="535"/>
        <v>116528.59491320266</v>
      </c>
      <c r="AA257" t="str">
        <f t="shared" si="536"/>
        <v>-</v>
      </c>
      <c r="AB257" t="str">
        <f t="shared" si="537"/>
        <v>-</v>
      </c>
      <c r="AD257" s="34">
        <f>C257-GAAP!C257</f>
        <v>-33618.40000000596</v>
      </c>
      <c r="AF257" s="177">
        <f>SUM(AF252:AF256)</f>
        <v>78271644.129999995</v>
      </c>
      <c r="AG257" s="177">
        <f>SUM(AG252:AG256)</f>
        <v>73654701.129999995</v>
      </c>
      <c r="AH257" s="177">
        <f>SUM(AH252:AH256)</f>
        <v>4616943</v>
      </c>
      <c r="AI257" s="177"/>
      <c r="AJ257" s="177">
        <f t="shared" ref="AJ257:AP257" si="760">SUM(AJ252:AJ256)</f>
        <v>425225.17247889028</v>
      </c>
      <c r="AK257" s="177">
        <f t="shared" si="760"/>
        <v>7492433.1624788903</v>
      </c>
      <c r="AL257" s="177">
        <f t="shared" si="760"/>
        <v>270872.84752111009</v>
      </c>
      <c r="AM257" s="177">
        <f t="shared" si="760"/>
        <v>66587493.140000001</v>
      </c>
      <c r="AN257" s="177">
        <f t="shared" si="760"/>
        <v>70508338.120000005</v>
      </c>
      <c r="AO257" s="177">
        <f t="shared" si="760"/>
        <v>96385.411809887213</v>
      </c>
      <c r="AP257" s="177">
        <f t="shared" si="760"/>
        <v>328839.76066900307</v>
      </c>
    </row>
    <row r="258" spans="1:42" s="85" customFormat="1" ht="13.5" customHeight="1">
      <c r="A258" s="176"/>
      <c r="C258" s="84"/>
      <c r="D258" s="84"/>
      <c r="E258" s="84"/>
      <c r="F258" s="84"/>
      <c r="G258" s="84"/>
      <c r="H258" s="84"/>
      <c r="I258" s="84"/>
      <c r="J258" s="84"/>
      <c r="K258" s="84"/>
      <c r="L258" s="84"/>
      <c r="M258" s="84"/>
      <c r="N258" s="84"/>
      <c r="O258" s="84"/>
      <c r="P258" s="84"/>
      <c r="Q258" s="84"/>
      <c r="R258" s="84"/>
      <c r="S258" s="84"/>
      <c r="T258" s="199"/>
      <c r="U258" s="199"/>
      <c r="V258" s="82"/>
      <c r="W258" s="288"/>
      <c r="X258" s="289"/>
      <c r="Y258" s="311"/>
      <c r="Z258" s="192">
        <f t="shared" si="535"/>
        <v>0</v>
      </c>
      <c r="AA258" t="str">
        <f t="shared" si="536"/>
        <v>-</v>
      </c>
      <c r="AB258" t="str">
        <f t="shared" si="537"/>
        <v>-</v>
      </c>
      <c r="AD258" s="34">
        <f>C258-GAAP!C258</f>
        <v>0</v>
      </c>
    </row>
    <row r="259" spans="1:42" s="85" customFormat="1" ht="13.5" customHeight="1">
      <c r="A259" s="176" t="s">
        <v>382</v>
      </c>
      <c r="C259" s="84"/>
      <c r="D259" s="84"/>
      <c r="E259" s="84"/>
      <c r="F259" s="84"/>
      <c r="G259" s="84"/>
      <c r="H259" s="84"/>
      <c r="I259" s="84"/>
      <c r="J259" s="84"/>
      <c r="K259" s="84"/>
      <c r="L259" s="84"/>
      <c r="M259" s="84"/>
      <c r="N259" s="84"/>
      <c r="O259" s="84"/>
      <c r="P259" s="84"/>
      <c r="Q259" s="84"/>
      <c r="R259" s="84"/>
      <c r="S259" s="84"/>
      <c r="T259" s="199"/>
      <c r="U259" s="199"/>
      <c r="V259" s="82"/>
      <c r="W259" s="288"/>
      <c r="X259" s="289"/>
      <c r="Y259" s="311"/>
      <c r="Z259" s="192">
        <f t="shared" si="535"/>
        <v>0</v>
      </c>
      <c r="AA259" t="str">
        <f t="shared" si="536"/>
        <v>-</v>
      </c>
      <c r="AB259" t="str">
        <f t="shared" si="537"/>
        <v>-</v>
      </c>
      <c r="AD259" s="34">
        <f>C259-GAAP!C259</f>
        <v>0</v>
      </c>
    </row>
    <row r="260" spans="1:42" ht="13.5">
      <c r="A260" s="259">
        <v>57.000500000000002</v>
      </c>
      <c r="B260" s="57" t="s">
        <v>532</v>
      </c>
      <c r="C260" s="163"/>
      <c r="D260" s="216">
        <f t="shared" ref="D260:D261" si="761">+C260-E260</f>
        <v>92874.26</v>
      </c>
      <c r="E260" s="149">
        <v>-92874.26</v>
      </c>
      <c r="F260" s="149">
        <v>92874.26</v>
      </c>
      <c r="G260" s="217">
        <f t="shared" ref="G260:G261" si="762">IF(D260&lt;&gt;0,+F260/D260,0)</f>
        <v>1</v>
      </c>
      <c r="H260" s="149">
        <v>-92874.26</v>
      </c>
      <c r="I260" s="214">
        <f t="shared" ref="I260:I261" si="763">+F260+H260</f>
        <v>0</v>
      </c>
      <c r="J260" s="149">
        <v>0</v>
      </c>
      <c r="K260" s="214">
        <f t="shared" ref="K260:K261" si="764">J260-I260</f>
        <v>0</v>
      </c>
      <c r="L260" s="214">
        <f t="shared" ref="L260:L261" si="765">+D260-F260</f>
        <v>0</v>
      </c>
      <c r="M260" s="214">
        <f t="shared" ref="M260:M261" si="766">+C260-J260</f>
        <v>0</v>
      </c>
      <c r="N260" s="222"/>
      <c r="O260" s="222"/>
      <c r="P260" s="222"/>
      <c r="Q260" s="214">
        <f t="shared" ref="Q260:Q261" si="767">F260-N260</f>
        <v>92874.26</v>
      </c>
      <c r="R260" s="214">
        <f t="shared" ref="R260:R261" si="768">+J260-O260</f>
        <v>0</v>
      </c>
      <c r="S260" s="214">
        <f t="shared" ref="S260:S261" si="769">+H260-P260</f>
        <v>-92874.26</v>
      </c>
      <c r="T260" s="185" t="s">
        <v>510</v>
      </c>
      <c r="U260" s="185" t="s">
        <v>510</v>
      </c>
      <c r="V260" s="57" t="s">
        <v>511</v>
      </c>
      <c r="Y260" s="311">
        <v>-79963.66</v>
      </c>
      <c r="Z260" s="192">
        <f t="shared" ref="Z260:Z261" si="770">S260-Y260</f>
        <v>-12910.599999999991</v>
      </c>
      <c r="AA260" t="str">
        <f t="shared" ref="AA260:AA261" si="771">IF(L260&lt;0,"CHECK","-")</f>
        <v>-</v>
      </c>
      <c r="AB260" t="str">
        <f t="shared" ref="AB260:AB261" si="772">IF(M260&lt;0,"CHECK","-")</f>
        <v>-</v>
      </c>
      <c r="AD260" s="34"/>
      <c r="AF260" s="64">
        <f t="shared" ref="AF260:AF261" si="773">C260</f>
        <v>0</v>
      </c>
      <c r="AG260" s="64">
        <f t="shared" ref="AG260:AG261" si="774">D260</f>
        <v>92874.26</v>
      </c>
      <c r="AH260" s="64">
        <f t="shared" ref="AH260:AH261" si="775">E260</f>
        <v>-92874.26</v>
      </c>
      <c r="AI260" s="217">
        <f t="shared" ref="AI260:AI261" si="776">IF(AG260&lt;&gt;0,+F260/AG260,0)</f>
        <v>1</v>
      </c>
      <c r="AJ260" s="98">
        <f t="shared" ref="AJ260:AJ261" si="777">IF(AH260&lt;=0,AH260,IF(G260&lt;0.1,0,IF(G260&lt;=1,G260*AH260,AH260)))</f>
        <v>-92874.26</v>
      </c>
      <c r="AK260" s="98">
        <f t="shared" ref="AK260:AK261" si="778">+F260+AJ260</f>
        <v>0</v>
      </c>
      <c r="AL260" s="98">
        <f t="shared" ref="AL260:AL261" si="779">J260-AK260</f>
        <v>0</v>
      </c>
      <c r="AM260" s="98">
        <f t="shared" ref="AM260:AM261" si="780">+AG260-F260</f>
        <v>0</v>
      </c>
      <c r="AN260" s="98">
        <f t="shared" ref="AN260:AN261" si="781">+AF260-J260</f>
        <v>0</v>
      </c>
      <c r="AO260" s="222">
        <f>GAAP!P262</f>
        <v>0</v>
      </c>
      <c r="AP260" s="129">
        <f t="shared" ref="AP260:AP261" si="782">AJ260-AO260</f>
        <v>-92874.26</v>
      </c>
    </row>
    <row r="261" spans="1:42" ht="13.5">
      <c r="A261" s="259">
        <v>57.000599999999999</v>
      </c>
      <c r="B261" s="57" t="s">
        <v>533</v>
      </c>
      <c r="C261" s="163"/>
      <c r="D261" s="216">
        <f t="shared" si="761"/>
        <v>13743.76</v>
      </c>
      <c r="E261" s="149">
        <v>-13743.76</v>
      </c>
      <c r="F261" s="149">
        <v>13743.76</v>
      </c>
      <c r="G261" s="217">
        <f t="shared" si="762"/>
        <v>1</v>
      </c>
      <c r="H261" s="149">
        <v>-13743.76</v>
      </c>
      <c r="I261" s="214">
        <f t="shared" si="763"/>
        <v>0</v>
      </c>
      <c r="J261" s="149">
        <v>0</v>
      </c>
      <c r="K261" s="214">
        <f t="shared" si="764"/>
        <v>0</v>
      </c>
      <c r="L261" s="214">
        <f t="shared" si="765"/>
        <v>0</v>
      </c>
      <c r="M261" s="214">
        <f t="shared" si="766"/>
        <v>0</v>
      </c>
      <c r="N261" s="222"/>
      <c r="O261" s="222"/>
      <c r="P261" s="222"/>
      <c r="Q261" s="214">
        <f t="shared" si="767"/>
        <v>13743.76</v>
      </c>
      <c r="R261" s="214">
        <f t="shared" si="768"/>
        <v>0</v>
      </c>
      <c r="S261" s="214">
        <f t="shared" si="769"/>
        <v>-13743.76</v>
      </c>
      <c r="T261" s="185" t="s">
        <v>510</v>
      </c>
      <c r="U261" s="185" t="s">
        <v>510</v>
      </c>
      <c r="V261" s="57" t="s">
        <v>511</v>
      </c>
      <c r="Y261" s="311">
        <v>-10411.32</v>
      </c>
      <c r="Z261" s="192">
        <f t="shared" si="770"/>
        <v>-3332.4400000000005</v>
      </c>
      <c r="AA261" t="str">
        <f t="shared" si="771"/>
        <v>-</v>
      </c>
      <c r="AB261" t="str">
        <f t="shared" si="772"/>
        <v>-</v>
      </c>
      <c r="AD261" s="34"/>
      <c r="AF261" s="64">
        <f t="shared" si="773"/>
        <v>0</v>
      </c>
      <c r="AG261" s="64">
        <f t="shared" si="774"/>
        <v>13743.76</v>
      </c>
      <c r="AH261" s="64">
        <f t="shared" si="775"/>
        <v>-13743.76</v>
      </c>
      <c r="AI261" s="217">
        <f t="shared" si="776"/>
        <v>1</v>
      </c>
      <c r="AJ261" s="98">
        <f t="shared" si="777"/>
        <v>-13743.76</v>
      </c>
      <c r="AK261" s="98">
        <f t="shared" si="778"/>
        <v>0</v>
      </c>
      <c r="AL261" s="98">
        <f t="shared" si="779"/>
        <v>0</v>
      </c>
      <c r="AM261" s="98">
        <f t="shared" si="780"/>
        <v>0</v>
      </c>
      <c r="AN261" s="98">
        <f t="shared" si="781"/>
        <v>0</v>
      </c>
      <c r="AO261" s="222">
        <f>GAAP!P263</f>
        <v>0</v>
      </c>
      <c r="AP261" s="129">
        <f t="shared" si="782"/>
        <v>-13743.76</v>
      </c>
    </row>
    <row r="262" spans="1:42" s="82" customFormat="1" ht="13.5" hidden="1" customHeight="1">
      <c r="A262" s="259"/>
      <c r="B262" s="57"/>
      <c r="C262" s="163"/>
      <c r="D262" s="216"/>
      <c r="E262" s="218"/>
      <c r="F262" s="149"/>
      <c r="G262" s="217"/>
      <c r="H262" s="224"/>
      <c r="I262" s="214"/>
      <c r="J262" s="149"/>
      <c r="K262" s="214"/>
      <c r="L262" s="214"/>
      <c r="M262" s="214"/>
      <c r="N262" s="222"/>
      <c r="O262" s="222"/>
      <c r="P262" s="220"/>
      <c r="Q262" s="214"/>
      <c r="R262" s="214"/>
      <c r="S262" s="214"/>
      <c r="T262" s="185"/>
      <c r="U262" s="185"/>
      <c r="V262" s="57"/>
      <c r="W262" s="282"/>
      <c r="X262" s="290"/>
      <c r="Y262" s="311"/>
      <c r="Z262" s="192">
        <f t="shared" si="535"/>
        <v>0</v>
      </c>
      <c r="AA262" t="str">
        <f t="shared" si="536"/>
        <v>-</v>
      </c>
      <c r="AB262" t="str">
        <f t="shared" si="537"/>
        <v>-</v>
      </c>
      <c r="AD262" s="34">
        <f>C262-GAAP!C262</f>
        <v>0</v>
      </c>
    </row>
    <row r="263" spans="1:42" s="82" customFormat="1" ht="13.5" customHeight="1">
      <c r="A263" s="356" t="s">
        <v>383</v>
      </c>
      <c r="B263" s="411"/>
      <c r="C263" s="357">
        <f>SUM(C260:C262)</f>
        <v>0</v>
      </c>
      <c r="D263" s="357">
        <f t="shared" ref="D263:F263" si="783">SUM(D260:D262)</f>
        <v>106618.01999999999</v>
      </c>
      <c r="E263" s="357">
        <f t="shared" si="783"/>
        <v>-106618.01999999999</v>
      </c>
      <c r="F263" s="357">
        <f t="shared" si="783"/>
        <v>106618.01999999999</v>
      </c>
      <c r="G263" s="357"/>
      <c r="H263" s="357">
        <f t="shared" ref="H263:S263" si="784">SUM(H260:H262)</f>
        <v>-106618.01999999999</v>
      </c>
      <c r="I263" s="357">
        <f t="shared" si="784"/>
        <v>0</v>
      </c>
      <c r="J263" s="357">
        <f t="shared" si="784"/>
        <v>0</v>
      </c>
      <c r="K263" s="357">
        <f t="shared" si="784"/>
        <v>0</v>
      </c>
      <c r="L263" s="357">
        <f t="shared" si="784"/>
        <v>0</v>
      </c>
      <c r="M263" s="357">
        <f t="shared" si="784"/>
        <v>0</v>
      </c>
      <c r="N263" s="357">
        <f t="shared" si="784"/>
        <v>0</v>
      </c>
      <c r="O263" s="357">
        <f t="shared" si="784"/>
        <v>0</v>
      </c>
      <c r="P263" s="357">
        <f t="shared" si="784"/>
        <v>0</v>
      </c>
      <c r="Q263" s="357">
        <f t="shared" si="784"/>
        <v>106618.01999999999</v>
      </c>
      <c r="R263" s="357">
        <f t="shared" si="784"/>
        <v>0</v>
      </c>
      <c r="S263" s="357">
        <f t="shared" si="784"/>
        <v>-106618.01999999999</v>
      </c>
      <c r="T263" s="185"/>
      <c r="U263" s="185"/>
      <c r="V263" s="57"/>
      <c r="W263" s="282"/>
      <c r="X263" s="290"/>
      <c r="Y263" s="311">
        <v>0</v>
      </c>
      <c r="Z263" s="192">
        <f t="shared" si="535"/>
        <v>-106618.01999999999</v>
      </c>
      <c r="AA263" t="str">
        <f t="shared" si="536"/>
        <v>-</v>
      </c>
      <c r="AB263" t="str">
        <f t="shared" si="537"/>
        <v>-</v>
      </c>
      <c r="AD263" s="34">
        <f>C263-GAAP!C263</f>
        <v>0</v>
      </c>
      <c r="AF263" s="357">
        <f>SUM(AF262:AF262)</f>
        <v>0</v>
      </c>
      <c r="AG263" s="357">
        <f>SUM(AG262:AG262)</f>
        <v>0</v>
      </c>
      <c r="AH263" s="357">
        <f>SUM(AH262:AH262)</f>
        <v>0</v>
      </c>
      <c r="AI263" s="357"/>
      <c r="AJ263" s="357">
        <f t="shared" ref="AJ263:AP263" si="785">SUM(AJ262:AJ262)</f>
        <v>0</v>
      </c>
      <c r="AK263" s="357">
        <f t="shared" si="785"/>
        <v>0</v>
      </c>
      <c r="AL263" s="357">
        <f t="shared" si="785"/>
        <v>0</v>
      </c>
      <c r="AM263" s="357">
        <f t="shared" si="785"/>
        <v>0</v>
      </c>
      <c r="AN263" s="357">
        <f t="shared" si="785"/>
        <v>0</v>
      </c>
      <c r="AO263" s="357">
        <f t="shared" si="785"/>
        <v>0</v>
      </c>
      <c r="AP263" s="357">
        <f t="shared" si="785"/>
        <v>0</v>
      </c>
    </row>
    <row r="264" spans="1:42" s="85" customFormat="1" ht="13.5" customHeight="1">
      <c r="A264" s="440" t="s">
        <v>384</v>
      </c>
      <c r="C264" s="84">
        <f>C257+C263</f>
        <v>81310321.129999995</v>
      </c>
      <c r="D264" s="84">
        <f>D257+D263</f>
        <v>76701549.549999997</v>
      </c>
      <c r="E264" s="84">
        <f>E257+E263</f>
        <v>4608771.58</v>
      </c>
      <c r="F264" s="84">
        <f>F257+F263</f>
        <v>7632457.2700000005</v>
      </c>
      <c r="G264" s="84"/>
      <c r="H264" s="84">
        <f t="shared" ref="H264:M264" si="786">H257+H263</f>
        <v>-16314.247521109937</v>
      </c>
      <c r="I264" s="84">
        <f t="shared" si="786"/>
        <v>7616143.0224788906</v>
      </c>
      <c r="J264" s="84">
        <f t="shared" si="786"/>
        <v>8183922.3700000001</v>
      </c>
      <c r="K264" s="84">
        <f t="shared" si="786"/>
        <v>567779.34752111009</v>
      </c>
      <c r="L264" s="84">
        <f t="shared" si="786"/>
        <v>69069092.280000001</v>
      </c>
      <c r="M264" s="84">
        <f t="shared" si="786"/>
        <v>73126398.760000005</v>
      </c>
      <c r="N264" s="84">
        <f>N257</f>
        <v>1588749.65</v>
      </c>
      <c r="O264" s="84">
        <f>O257</f>
        <v>1890273.85</v>
      </c>
      <c r="P264" s="84">
        <f>P257</f>
        <v>96385.411809887213</v>
      </c>
      <c r="Q264" s="84">
        <f>Q257+Q263</f>
        <v>6043707.6200000001</v>
      </c>
      <c r="R264" s="84">
        <f>R257+R263</f>
        <v>6293648.5200000005</v>
      </c>
      <c r="S264" s="84">
        <f>S257+S263</f>
        <v>-112699.65933099715</v>
      </c>
      <c r="T264" s="199"/>
      <c r="U264" s="199"/>
      <c r="V264" s="82"/>
      <c r="W264" s="288"/>
      <c r="X264" s="289"/>
      <c r="Y264" s="311">
        <v>-122610.23424419982</v>
      </c>
      <c r="Z264" s="192">
        <f t="shared" ref="Z264:Z309" si="787">S264-Y264</f>
        <v>9910.5749132026685</v>
      </c>
      <c r="AA264" t="str">
        <f t="shared" ref="AA264:AA309" si="788">IF(L264&lt;0,"CHECK","-")</f>
        <v>-</v>
      </c>
      <c r="AB264" t="str">
        <f t="shared" ref="AB264:AB309" si="789">IF(M264&lt;0,"CHECK","-")</f>
        <v>-</v>
      </c>
      <c r="AD264" s="34">
        <f>C264-GAAP!C264</f>
        <v>-33618.40000000596</v>
      </c>
      <c r="AF264" s="84">
        <f t="shared" ref="AF264:AP264" si="790">AF257+AF263</f>
        <v>78271644.129999995</v>
      </c>
      <c r="AG264" s="84">
        <f t="shared" si="790"/>
        <v>73654701.129999995</v>
      </c>
      <c r="AH264" s="84">
        <f t="shared" si="790"/>
        <v>4616943</v>
      </c>
      <c r="AI264" s="84">
        <f t="shared" si="790"/>
        <v>0</v>
      </c>
      <c r="AJ264" s="84">
        <f t="shared" si="790"/>
        <v>425225.17247889028</v>
      </c>
      <c r="AK264" s="84">
        <f t="shared" si="790"/>
        <v>7492433.1624788903</v>
      </c>
      <c r="AL264" s="84">
        <f t="shared" si="790"/>
        <v>270872.84752111009</v>
      </c>
      <c r="AM264" s="84">
        <f t="shared" si="790"/>
        <v>66587493.140000001</v>
      </c>
      <c r="AN264" s="84">
        <f t="shared" si="790"/>
        <v>70508338.120000005</v>
      </c>
      <c r="AO264" s="84">
        <f t="shared" si="790"/>
        <v>96385.411809887213</v>
      </c>
      <c r="AP264" s="84">
        <f t="shared" si="790"/>
        <v>328839.76066900307</v>
      </c>
    </row>
    <row r="265" spans="1:42" s="82" customFormat="1" ht="12.75" customHeight="1">
      <c r="A265" s="176"/>
      <c r="B265" s="85"/>
      <c r="C265" s="84"/>
      <c r="D265" s="84"/>
      <c r="E265" s="84"/>
      <c r="F265" s="84"/>
      <c r="G265" s="84"/>
      <c r="H265" s="84"/>
      <c r="I265" s="84"/>
      <c r="J265" s="84"/>
      <c r="K265" s="84"/>
      <c r="L265" s="84"/>
      <c r="M265" s="84"/>
      <c r="N265" s="84"/>
      <c r="O265" s="84"/>
      <c r="P265" s="84"/>
      <c r="Q265" s="84"/>
      <c r="R265" s="84"/>
      <c r="S265" s="84"/>
      <c r="T265" s="199"/>
      <c r="U265" s="199"/>
      <c r="W265" s="288"/>
      <c r="X265" s="282"/>
      <c r="Y265" s="311"/>
      <c r="Z265" s="192">
        <f t="shared" si="787"/>
        <v>0</v>
      </c>
      <c r="AA265" t="str">
        <f t="shared" si="788"/>
        <v>-</v>
      </c>
      <c r="AB265" t="str">
        <f t="shared" si="789"/>
        <v>-</v>
      </c>
      <c r="AD265" s="34">
        <f>C265-GAAP!C265</f>
        <v>0</v>
      </c>
    </row>
    <row r="266" spans="1:42" s="57" customFormat="1" ht="13.5" customHeight="1">
      <c r="A266" s="176" t="s">
        <v>385</v>
      </c>
      <c r="B266" s="82"/>
      <c r="C266" s="221"/>
      <c r="D266" s="63"/>
      <c r="E266" s="221"/>
      <c r="F266" s="221"/>
      <c r="G266" s="63"/>
      <c r="H266" s="168"/>
      <c r="I266" s="63"/>
      <c r="J266" s="221"/>
      <c r="K266" s="63"/>
      <c r="L266" s="63"/>
      <c r="M266" s="63"/>
      <c r="N266" s="221"/>
      <c r="O266" s="221"/>
      <c r="P266" s="221"/>
      <c r="Q266" s="63"/>
      <c r="R266" s="63"/>
      <c r="S266" s="214"/>
      <c r="T266" s="185"/>
      <c r="U266" s="185"/>
      <c r="W266" s="288"/>
      <c r="X266" s="289"/>
      <c r="Y266" s="311"/>
      <c r="Z266" s="192">
        <f t="shared" si="787"/>
        <v>0</v>
      </c>
      <c r="AA266" t="str">
        <f t="shared" si="788"/>
        <v>-</v>
      </c>
      <c r="AB266" t="str">
        <f t="shared" si="789"/>
        <v>-</v>
      </c>
      <c r="AD266" s="34">
        <f>C266-GAAP!C266</f>
        <v>0</v>
      </c>
    </row>
    <row r="267" spans="1:42" ht="13.5">
      <c r="A267" s="259">
        <v>58.000300000000003</v>
      </c>
      <c r="B267" s="57" t="s">
        <v>276</v>
      </c>
      <c r="C267" s="163">
        <v>22525189</v>
      </c>
      <c r="D267" s="216">
        <f>+C267-E267</f>
        <v>21217174</v>
      </c>
      <c r="E267" s="149">
        <v>1308015</v>
      </c>
      <c r="F267" s="149">
        <v>11034781.789999999</v>
      </c>
      <c r="G267" s="217">
        <f>IF(D267&lt;&gt;0,+F267/D267,0)</f>
        <v>0.52008725525840527</v>
      </c>
      <c r="H267" s="149">
        <v>680281.93118682294</v>
      </c>
      <c r="I267" s="214">
        <f>+F267+H267</f>
        <v>11715063.721186822</v>
      </c>
      <c r="J267" s="149">
        <v>11889201.76</v>
      </c>
      <c r="K267" s="214">
        <f>J267-I267</f>
        <v>174138.0388131775</v>
      </c>
      <c r="L267" s="214">
        <f>+D267-F267</f>
        <v>10182392.210000001</v>
      </c>
      <c r="M267" s="214">
        <f>+C267-J267</f>
        <v>10635987.24</v>
      </c>
      <c r="N267" s="222">
        <v>2381456.48</v>
      </c>
      <c r="O267" s="222">
        <v>2988736.9</v>
      </c>
      <c r="P267" s="222">
        <v>0</v>
      </c>
      <c r="Q267" s="214">
        <f>F267-N267</f>
        <v>8653325.3099999987</v>
      </c>
      <c r="R267" s="214">
        <f>+J267-O267</f>
        <v>8900464.8599999994</v>
      </c>
      <c r="S267" s="214">
        <f t="shared" ref="S267" si="791">+H267-P267</f>
        <v>680281.93118682294</v>
      </c>
      <c r="T267" s="185" t="s">
        <v>278</v>
      </c>
      <c r="U267" s="185"/>
      <c r="V267" s="57" t="str">
        <f t="shared" ref="V267" si="792">IF(C267&lt;250000, "&lt; 250k",".")</f>
        <v>.</v>
      </c>
      <c r="W267" s="282">
        <v>151508.81354182871</v>
      </c>
      <c r="Y267" s="311">
        <v>524404.33832477941</v>
      </c>
      <c r="Z267" s="192">
        <f t="shared" si="787"/>
        <v>155877.59286204353</v>
      </c>
      <c r="AA267" t="str">
        <f t="shared" si="788"/>
        <v>-</v>
      </c>
      <c r="AB267" t="str">
        <f t="shared" si="789"/>
        <v>-</v>
      </c>
      <c r="AD267" s="34">
        <f>C267-GAAP!C267</f>
        <v>0</v>
      </c>
      <c r="AF267" s="64">
        <f t="shared" ref="AF267" si="793">C267</f>
        <v>22525189</v>
      </c>
      <c r="AG267" s="64">
        <f t="shared" ref="AG267" si="794">D267</f>
        <v>21217174</v>
      </c>
      <c r="AH267" s="64">
        <f t="shared" ref="AH267" si="795">E267</f>
        <v>1308015</v>
      </c>
      <c r="AI267" s="217">
        <f t="shared" ref="AI267" si="796">IF(AG267&lt;&gt;0,+F267/AG267,0)</f>
        <v>0.52008725525840527</v>
      </c>
      <c r="AJ267" s="98">
        <f t="shared" ref="AJ267" si="797">IF(AH267&lt;=0,AH267,IF(G267&lt;0.1,0,IF(G267&lt;=1,G267*AH267,AH267)))</f>
        <v>680281.93118682294</v>
      </c>
      <c r="AK267" s="98">
        <f t="shared" ref="AK267" si="798">+F267+AJ267</f>
        <v>11715063.721186822</v>
      </c>
      <c r="AL267" s="98">
        <f t="shared" ref="AL267" si="799">J267-AK267</f>
        <v>174138.0388131775</v>
      </c>
      <c r="AM267" s="98">
        <f t="shared" ref="AM267" si="800">+AG267-F267</f>
        <v>10182392.210000001</v>
      </c>
      <c r="AN267" s="98">
        <f t="shared" ref="AN267" si="801">+AF267-J267</f>
        <v>10635987.24</v>
      </c>
      <c r="AO267" s="222">
        <f>GAAP!P267</f>
        <v>151508.81354182871</v>
      </c>
      <c r="AP267" s="129">
        <f t="shared" ref="AP267" si="802">AJ267-AO267</f>
        <v>528773.11764499429</v>
      </c>
    </row>
    <row r="268" spans="1:42" s="82" customFormat="1" ht="13.5" hidden="1" customHeight="1">
      <c r="A268" s="259"/>
      <c r="B268" s="57"/>
      <c r="C268" s="163"/>
      <c r="D268" s="216"/>
      <c r="E268" s="149"/>
      <c r="F268" s="149"/>
      <c r="G268" s="217"/>
      <c r="H268" s="149"/>
      <c r="I268" s="214"/>
      <c r="J268" s="149"/>
      <c r="K268" s="214"/>
      <c r="L268" s="214"/>
      <c r="M268" s="214"/>
      <c r="N268" s="222"/>
      <c r="O268" s="222"/>
      <c r="P268" s="220"/>
      <c r="Q268" s="214"/>
      <c r="R268" s="214"/>
      <c r="S268" s="214"/>
      <c r="T268" s="185"/>
      <c r="U268" s="185"/>
      <c r="V268" s="57"/>
      <c r="W268" s="282"/>
      <c r="X268" s="290"/>
      <c r="Y268" s="311"/>
      <c r="Z268" s="192">
        <f t="shared" si="787"/>
        <v>0</v>
      </c>
      <c r="AA268" t="str">
        <f t="shared" si="788"/>
        <v>-</v>
      </c>
      <c r="AB268" t="str">
        <f t="shared" si="789"/>
        <v>-</v>
      </c>
      <c r="AD268" s="34">
        <f>C268-GAAP!C268</f>
        <v>0</v>
      </c>
    </row>
    <row r="269" spans="1:42" s="85" customFormat="1" ht="13.5" customHeight="1">
      <c r="A269" s="176" t="s">
        <v>386</v>
      </c>
      <c r="C269" s="84">
        <f>SUM(C267:C268)</f>
        <v>22525189</v>
      </c>
      <c r="D269" s="84">
        <f>SUM(D267:D268)</f>
        <v>21217174</v>
      </c>
      <c r="E269" s="84">
        <f>SUM(E267:E268)</f>
        <v>1308015</v>
      </c>
      <c r="F269" s="84">
        <f>SUM(F267:F268)</f>
        <v>11034781.789999999</v>
      </c>
      <c r="G269" s="84"/>
      <c r="H269" s="84">
        <f t="shared" ref="H269:S269" si="803">SUM(H267:H268)</f>
        <v>680281.93118682294</v>
      </c>
      <c r="I269" s="84">
        <f t="shared" si="803"/>
        <v>11715063.721186822</v>
      </c>
      <c r="J269" s="84">
        <f t="shared" si="803"/>
        <v>11889201.76</v>
      </c>
      <c r="K269" s="84">
        <f t="shared" si="803"/>
        <v>174138.0388131775</v>
      </c>
      <c r="L269" s="84">
        <f t="shared" si="803"/>
        <v>10182392.210000001</v>
      </c>
      <c r="M269" s="84">
        <f t="shared" si="803"/>
        <v>10635987.24</v>
      </c>
      <c r="N269" s="84">
        <f t="shared" si="803"/>
        <v>2381456.48</v>
      </c>
      <c r="O269" s="84">
        <f t="shared" si="803"/>
        <v>2988736.9</v>
      </c>
      <c r="P269" s="84">
        <f t="shared" si="803"/>
        <v>0</v>
      </c>
      <c r="Q269" s="84">
        <f t="shared" si="803"/>
        <v>8653325.3099999987</v>
      </c>
      <c r="R269" s="84">
        <f t="shared" si="803"/>
        <v>8900464.8599999994</v>
      </c>
      <c r="S269" s="84">
        <f t="shared" si="803"/>
        <v>680281.93118682294</v>
      </c>
      <c r="T269" s="199"/>
      <c r="U269" s="199"/>
      <c r="V269" s="82"/>
      <c r="W269" s="288"/>
      <c r="X269" s="289"/>
      <c r="Y269" s="311">
        <v>307817.8883247794</v>
      </c>
      <c r="Z269" s="192">
        <f t="shared" si="787"/>
        <v>372464.04286204354</v>
      </c>
      <c r="AA269" t="str">
        <f t="shared" si="788"/>
        <v>-</v>
      </c>
      <c r="AB269" t="str">
        <f t="shared" si="789"/>
        <v>-</v>
      </c>
      <c r="AD269" s="34">
        <f>C269-GAAP!C269</f>
        <v>0</v>
      </c>
      <c r="AF269" s="84">
        <f>SUM(AF267:AF268)</f>
        <v>22525189</v>
      </c>
      <c r="AG269" s="84">
        <f>SUM(AG267:AG268)</f>
        <v>21217174</v>
      </c>
      <c r="AH269" s="84">
        <f>SUM(AH267:AH268)</f>
        <v>1308015</v>
      </c>
      <c r="AI269" s="84"/>
      <c r="AJ269" s="84">
        <f t="shared" ref="AJ269:AP269" si="804">SUM(AJ267:AJ268)</f>
        <v>680281.93118682294</v>
      </c>
      <c r="AK269" s="84">
        <f t="shared" si="804"/>
        <v>11715063.721186822</v>
      </c>
      <c r="AL269" s="84">
        <f t="shared" si="804"/>
        <v>174138.0388131775</v>
      </c>
      <c r="AM269" s="84">
        <f t="shared" si="804"/>
        <v>10182392.210000001</v>
      </c>
      <c r="AN269" s="84">
        <f t="shared" si="804"/>
        <v>10635987.24</v>
      </c>
      <c r="AO269" s="84">
        <f t="shared" si="804"/>
        <v>151508.81354182871</v>
      </c>
      <c r="AP269" s="84">
        <f t="shared" si="804"/>
        <v>528773.11764499429</v>
      </c>
    </row>
    <row r="270" spans="1:42" s="85" customFormat="1" ht="13.5" customHeight="1">
      <c r="A270" s="176"/>
      <c r="C270" s="84"/>
      <c r="D270" s="84"/>
      <c r="E270" s="84"/>
      <c r="F270" s="84"/>
      <c r="G270" s="84"/>
      <c r="H270" s="84"/>
      <c r="I270" s="84"/>
      <c r="J270" s="84"/>
      <c r="K270" s="84"/>
      <c r="L270" s="84"/>
      <c r="M270" s="84"/>
      <c r="N270" s="84"/>
      <c r="O270" s="84"/>
      <c r="P270" s="84"/>
      <c r="Q270" s="84"/>
      <c r="R270" s="84"/>
      <c r="S270" s="84"/>
      <c r="T270" s="199"/>
      <c r="U270" s="199"/>
      <c r="V270" s="82"/>
      <c r="W270" s="288"/>
      <c r="X270" s="289"/>
      <c r="Y270" s="311"/>
      <c r="Z270" s="192">
        <f t="shared" si="787"/>
        <v>0</v>
      </c>
      <c r="AA270" t="str">
        <f t="shared" si="788"/>
        <v>-</v>
      </c>
      <c r="AB270" t="str">
        <f t="shared" si="789"/>
        <v>-</v>
      </c>
      <c r="AD270" s="34">
        <f>C270-GAAP!C270</f>
        <v>0</v>
      </c>
    </row>
    <row r="271" spans="1:42" s="85" customFormat="1" ht="13.5" customHeight="1">
      <c r="A271" s="176" t="s">
        <v>387</v>
      </c>
      <c r="C271" s="84"/>
      <c r="D271" s="84"/>
      <c r="E271" s="84"/>
      <c r="F271" s="84"/>
      <c r="G271" s="84"/>
      <c r="H271" s="84"/>
      <c r="I271" s="84"/>
      <c r="J271" s="84"/>
      <c r="K271" s="84"/>
      <c r="L271" s="84"/>
      <c r="M271" s="84"/>
      <c r="N271" s="84"/>
      <c r="O271" s="84"/>
      <c r="P271" s="84"/>
      <c r="Q271" s="84"/>
      <c r="R271" s="84"/>
      <c r="S271" s="84"/>
      <c r="T271" s="199"/>
      <c r="U271" s="199"/>
      <c r="V271" s="82"/>
      <c r="W271" s="288"/>
      <c r="X271" s="289"/>
      <c r="Y271" s="311"/>
      <c r="Z271" s="192">
        <f t="shared" si="787"/>
        <v>0</v>
      </c>
      <c r="AA271" t="str">
        <f t="shared" si="788"/>
        <v>-</v>
      </c>
      <c r="AB271" t="str">
        <f t="shared" si="789"/>
        <v>-</v>
      </c>
      <c r="AD271" s="34">
        <f>C271-GAAP!C271</f>
        <v>0</v>
      </c>
    </row>
    <row r="272" spans="1:42" ht="13.5">
      <c r="A272" s="259">
        <v>58.000399999999999</v>
      </c>
      <c r="B272" s="57" t="s">
        <v>534</v>
      </c>
      <c r="C272" s="163"/>
      <c r="D272" s="216">
        <f t="shared" ref="D272:D273" si="805">+C272-E272</f>
        <v>147282.12</v>
      </c>
      <c r="E272" s="149">
        <v>-147282.12</v>
      </c>
      <c r="F272" s="149">
        <v>147282.12</v>
      </c>
      <c r="G272" s="217">
        <f t="shared" ref="G272:G273" si="806">IF(D272&lt;&gt;0,+F272/D272,0)</f>
        <v>1</v>
      </c>
      <c r="H272" s="149">
        <v>-147282.12</v>
      </c>
      <c r="I272" s="214">
        <f t="shared" ref="I272:I273" si="807">+F272+H272</f>
        <v>0</v>
      </c>
      <c r="J272" s="149">
        <v>0</v>
      </c>
      <c r="K272" s="214">
        <f t="shared" ref="K272:K273" si="808">J272-I272</f>
        <v>0</v>
      </c>
      <c r="L272" s="214">
        <f t="shared" ref="L272:L273" si="809">+D272-F272</f>
        <v>0</v>
      </c>
      <c r="M272" s="214">
        <f t="shared" ref="M272:M273" si="810">+C272-J272</f>
        <v>0</v>
      </c>
      <c r="N272" s="222"/>
      <c r="O272" s="222"/>
      <c r="P272" s="222"/>
      <c r="Q272" s="214">
        <f t="shared" ref="Q272:Q273" si="811">F272-N272</f>
        <v>147282.12</v>
      </c>
      <c r="R272" s="214">
        <f t="shared" ref="R272:R273" si="812">+J272-O272</f>
        <v>0</v>
      </c>
      <c r="S272" s="214">
        <f t="shared" ref="S272:S273" si="813">+H272-P272</f>
        <v>-147282.12</v>
      </c>
      <c r="T272" s="185" t="s">
        <v>510</v>
      </c>
      <c r="U272" s="185" t="s">
        <v>510</v>
      </c>
      <c r="V272" s="57" t="s">
        <v>511</v>
      </c>
      <c r="Y272" s="311">
        <v>-139299.01</v>
      </c>
      <c r="Z272" s="192">
        <f t="shared" ref="Z272:Z273" si="814">S272-Y272</f>
        <v>-7983.109999999986</v>
      </c>
      <c r="AA272" t="str">
        <f t="shared" ref="AA272:AA273" si="815">IF(L272&lt;0,"CHECK","-")</f>
        <v>-</v>
      </c>
      <c r="AB272" t="str">
        <f t="shared" ref="AB272:AB273" si="816">IF(M272&lt;0,"CHECK","-")</f>
        <v>-</v>
      </c>
      <c r="AD272" s="34"/>
      <c r="AF272" s="64">
        <f t="shared" ref="AF272:AF273" si="817">C272</f>
        <v>0</v>
      </c>
      <c r="AG272" s="64">
        <f t="shared" ref="AG272:AG273" si="818">D272</f>
        <v>147282.12</v>
      </c>
      <c r="AH272" s="64">
        <f t="shared" ref="AH272:AH273" si="819">E272</f>
        <v>-147282.12</v>
      </c>
      <c r="AI272" s="217">
        <f t="shared" ref="AI272:AI273" si="820">IF(AG272&lt;&gt;0,+F272/AG272,0)</f>
        <v>1</v>
      </c>
      <c r="AJ272" s="98">
        <f t="shared" ref="AJ272:AJ273" si="821">IF(AH272&lt;=0,AH272,IF(G272&lt;0.1,0,IF(G272&lt;=1,G272*AH272,AH272)))</f>
        <v>-147282.12</v>
      </c>
      <c r="AK272" s="98">
        <f t="shared" ref="AK272:AK273" si="822">+F272+AJ272</f>
        <v>0</v>
      </c>
      <c r="AL272" s="98">
        <f t="shared" ref="AL272:AL273" si="823">J272-AK272</f>
        <v>0</v>
      </c>
      <c r="AM272" s="98">
        <f t="shared" ref="AM272:AM273" si="824">+AG272-F272</f>
        <v>0</v>
      </c>
      <c r="AN272" s="98">
        <f t="shared" ref="AN272:AN273" si="825">+AF272-J272</f>
        <v>0</v>
      </c>
      <c r="AO272" s="222">
        <f>GAAP!P274</f>
        <v>0</v>
      </c>
      <c r="AP272" s="129">
        <f t="shared" ref="AP272:AP273" si="826">AJ272-AO272</f>
        <v>-147282.12</v>
      </c>
    </row>
    <row r="273" spans="1:42" ht="13.5">
      <c r="A273" s="259">
        <v>58.000500000000002</v>
      </c>
      <c r="B273" s="57" t="s">
        <v>535</v>
      </c>
      <c r="C273" s="163"/>
      <c r="D273" s="216">
        <f t="shared" si="805"/>
        <v>135037.09</v>
      </c>
      <c r="E273" s="149">
        <v>-135037.09</v>
      </c>
      <c r="F273" s="149">
        <v>135037.09</v>
      </c>
      <c r="G273" s="217">
        <f t="shared" si="806"/>
        <v>1</v>
      </c>
      <c r="H273" s="149">
        <v>-135037.09</v>
      </c>
      <c r="I273" s="214">
        <f t="shared" si="807"/>
        <v>0</v>
      </c>
      <c r="J273" s="149">
        <v>0</v>
      </c>
      <c r="K273" s="214">
        <f t="shared" si="808"/>
        <v>0</v>
      </c>
      <c r="L273" s="214">
        <f t="shared" si="809"/>
        <v>0</v>
      </c>
      <c r="M273" s="214">
        <f t="shared" si="810"/>
        <v>0</v>
      </c>
      <c r="N273" s="222"/>
      <c r="O273" s="222"/>
      <c r="P273" s="222"/>
      <c r="Q273" s="214">
        <f t="shared" si="811"/>
        <v>135037.09</v>
      </c>
      <c r="R273" s="214">
        <f t="shared" si="812"/>
        <v>0</v>
      </c>
      <c r="S273" s="214">
        <f t="shared" si="813"/>
        <v>-135037.09</v>
      </c>
      <c r="T273" s="185" t="s">
        <v>510</v>
      </c>
      <c r="U273" s="185" t="s">
        <v>510</v>
      </c>
      <c r="V273" s="57" t="s">
        <v>511</v>
      </c>
      <c r="Y273" s="311">
        <v>-77287.44</v>
      </c>
      <c r="Z273" s="192">
        <f t="shared" si="814"/>
        <v>-57749.649999999994</v>
      </c>
      <c r="AA273" t="str">
        <f t="shared" si="815"/>
        <v>-</v>
      </c>
      <c r="AB273" t="str">
        <f t="shared" si="816"/>
        <v>-</v>
      </c>
      <c r="AD273" s="34"/>
      <c r="AF273" s="64">
        <f t="shared" si="817"/>
        <v>0</v>
      </c>
      <c r="AG273" s="64">
        <f t="shared" si="818"/>
        <v>135037.09</v>
      </c>
      <c r="AH273" s="64">
        <f t="shared" si="819"/>
        <v>-135037.09</v>
      </c>
      <c r="AI273" s="217">
        <f t="shared" si="820"/>
        <v>1</v>
      </c>
      <c r="AJ273" s="98">
        <f t="shared" si="821"/>
        <v>-135037.09</v>
      </c>
      <c r="AK273" s="98">
        <f t="shared" si="822"/>
        <v>0</v>
      </c>
      <c r="AL273" s="98">
        <f t="shared" si="823"/>
        <v>0</v>
      </c>
      <c r="AM273" s="98">
        <f t="shared" si="824"/>
        <v>0</v>
      </c>
      <c r="AN273" s="98">
        <f t="shared" si="825"/>
        <v>0</v>
      </c>
      <c r="AO273" s="222">
        <f>GAAP!P275</f>
        <v>0</v>
      </c>
      <c r="AP273" s="129">
        <f t="shared" si="826"/>
        <v>-135037.09</v>
      </c>
    </row>
    <row r="274" spans="1:42" s="82" customFormat="1" ht="13.5" hidden="1" customHeight="1">
      <c r="A274" s="259"/>
      <c r="B274" s="57"/>
      <c r="C274" s="163"/>
      <c r="D274" s="216"/>
      <c r="E274" s="218"/>
      <c r="F274" s="149"/>
      <c r="G274" s="217"/>
      <c r="H274" s="224"/>
      <c r="I274" s="214"/>
      <c r="J274" s="149"/>
      <c r="K274" s="214"/>
      <c r="L274" s="214"/>
      <c r="M274" s="214"/>
      <c r="N274" s="222"/>
      <c r="O274" s="222"/>
      <c r="P274" s="220"/>
      <c r="Q274" s="214"/>
      <c r="R274" s="214"/>
      <c r="S274" s="214"/>
      <c r="T274" s="185"/>
      <c r="U274" s="185"/>
      <c r="V274" s="57"/>
      <c r="W274" s="282"/>
      <c r="X274" s="290"/>
      <c r="Y274" s="311"/>
      <c r="Z274" s="192">
        <f t="shared" si="787"/>
        <v>0</v>
      </c>
      <c r="AA274" t="str">
        <f t="shared" si="788"/>
        <v>-</v>
      </c>
      <c r="AB274" t="str">
        <f t="shared" si="789"/>
        <v>-</v>
      </c>
      <c r="AD274" s="34">
        <f>C274-GAAP!C274</f>
        <v>0</v>
      </c>
    </row>
    <row r="275" spans="1:42" s="82" customFormat="1" ht="13.5" customHeight="1">
      <c r="A275" s="356" t="s">
        <v>388</v>
      </c>
      <c r="B275" s="411"/>
      <c r="C275" s="357">
        <f>SUM(C272:C274)</f>
        <v>0</v>
      </c>
      <c r="D275" s="357">
        <f t="shared" ref="D275:F275" si="827">SUM(D272:D274)</f>
        <v>282319.20999999996</v>
      </c>
      <c r="E275" s="357">
        <f t="shared" si="827"/>
        <v>-282319.20999999996</v>
      </c>
      <c r="F275" s="357">
        <f t="shared" si="827"/>
        <v>282319.20999999996</v>
      </c>
      <c r="G275" s="357"/>
      <c r="H275" s="357">
        <f t="shared" ref="H275:S275" si="828">SUM(H272:H274)</f>
        <v>-282319.20999999996</v>
      </c>
      <c r="I275" s="357">
        <f t="shared" si="828"/>
        <v>0</v>
      </c>
      <c r="J275" s="357">
        <f t="shared" si="828"/>
        <v>0</v>
      </c>
      <c r="K275" s="357">
        <f t="shared" si="828"/>
        <v>0</v>
      </c>
      <c r="L275" s="357">
        <f t="shared" si="828"/>
        <v>0</v>
      </c>
      <c r="M275" s="357">
        <f t="shared" si="828"/>
        <v>0</v>
      </c>
      <c r="N275" s="357">
        <f t="shared" si="828"/>
        <v>0</v>
      </c>
      <c r="O275" s="357">
        <f t="shared" si="828"/>
        <v>0</v>
      </c>
      <c r="P275" s="357">
        <f t="shared" si="828"/>
        <v>0</v>
      </c>
      <c r="Q275" s="357">
        <f t="shared" si="828"/>
        <v>282319.20999999996</v>
      </c>
      <c r="R275" s="357">
        <f t="shared" si="828"/>
        <v>0</v>
      </c>
      <c r="S275" s="357">
        <f t="shared" si="828"/>
        <v>-282319.20999999996</v>
      </c>
      <c r="T275" s="185"/>
      <c r="U275" s="185"/>
      <c r="V275" s="57"/>
      <c r="W275" s="282"/>
      <c r="X275" s="290"/>
      <c r="Y275" s="311">
        <v>0</v>
      </c>
      <c r="Z275" s="192">
        <f t="shared" si="787"/>
        <v>-282319.20999999996</v>
      </c>
      <c r="AA275" t="str">
        <f t="shared" si="788"/>
        <v>-</v>
      </c>
      <c r="AB275" t="str">
        <f t="shared" si="789"/>
        <v>-</v>
      </c>
      <c r="AD275" s="34">
        <f>C275-GAAP!C275</f>
        <v>0</v>
      </c>
      <c r="AF275" s="357">
        <f>SUM(AF274:AF274)</f>
        <v>0</v>
      </c>
      <c r="AG275" s="357">
        <f>SUM(AG274:AG274)</f>
        <v>0</v>
      </c>
      <c r="AH275" s="357">
        <f>SUM(AH274:AH274)</f>
        <v>0</v>
      </c>
      <c r="AI275" s="357"/>
      <c r="AJ275" s="357">
        <f t="shared" ref="AJ275:AP275" si="829">SUM(AJ274:AJ274)</f>
        <v>0</v>
      </c>
      <c r="AK275" s="357">
        <f t="shared" si="829"/>
        <v>0</v>
      </c>
      <c r="AL275" s="357">
        <f t="shared" si="829"/>
        <v>0</v>
      </c>
      <c r="AM275" s="357">
        <f t="shared" si="829"/>
        <v>0</v>
      </c>
      <c r="AN275" s="357">
        <f t="shared" si="829"/>
        <v>0</v>
      </c>
      <c r="AO275" s="357">
        <f t="shared" si="829"/>
        <v>0</v>
      </c>
      <c r="AP275" s="357">
        <f t="shared" si="829"/>
        <v>0</v>
      </c>
    </row>
    <row r="276" spans="1:42" s="85" customFormat="1" ht="13.5" customHeight="1">
      <c r="A276" s="440" t="s">
        <v>389</v>
      </c>
      <c r="C276" s="84">
        <f>C269+C275</f>
        <v>22525189</v>
      </c>
      <c r="D276" s="84">
        <f>D269+D275</f>
        <v>21499493.210000001</v>
      </c>
      <c r="E276" s="84">
        <f>E269+E275</f>
        <v>1025695.79</v>
      </c>
      <c r="F276" s="84">
        <f>F269+F275</f>
        <v>11317101</v>
      </c>
      <c r="G276" s="84"/>
      <c r="H276" s="84">
        <f t="shared" ref="H276:M276" si="830">H269+H275</f>
        <v>397962.72118682298</v>
      </c>
      <c r="I276" s="84">
        <f t="shared" si="830"/>
        <v>11715063.721186822</v>
      </c>
      <c r="J276" s="84">
        <f t="shared" si="830"/>
        <v>11889201.76</v>
      </c>
      <c r="K276" s="84">
        <f t="shared" si="830"/>
        <v>174138.0388131775</v>
      </c>
      <c r="L276" s="84">
        <f t="shared" si="830"/>
        <v>10182392.210000001</v>
      </c>
      <c r="M276" s="84">
        <f t="shared" si="830"/>
        <v>10635987.24</v>
      </c>
      <c r="N276" s="84">
        <f>N269</f>
        <v>2381456.48</v>
      </c>
      <c r="O276" s="84">
        <f>O269</f>
        <v>2988736.9</v>
      </c>
      <c r="P276" s="84">
        <f>P269</f>
        <v>0</v>
      </c>
      <c r="Q276" s="84">
        <f>Q269+Q275</f>
        <v>8935644.5199999996</v>
      </c>
      <c r="R276" s="84">
        <f>R269+R275</f>
        <v>8900464.8599999994</v>
      </c>
      <c r="S276" s="84">
        <f>S269+S275</f>
        <v>397962.72118682298</v>
      </c>
      <c r="T276" s="199"/>
      <c r="U276" s="199"/>
      <c r="V276" s="82"/>
      <c r="W276" s="288"/>
      <c r="X276" s="289"/>
      <c r="Y276" s="311">
        <v>307817.8883247794</v>
      </c>
      <c r="Z276" s="192">
        <f t="shared" si="787"/>
        <v>90144.832862043579</v>
      </c>
      <c r="AA276" t="str">
        <f t="shared" si="788"/>
        <v>-</v>
      </c>
      <c r="AB276" t="str">
        <f t="shared" si="789"/>
        <v>-</v>
      </c>
      <c r="AD276" s="34">
        <f>C276-GAAP!C276</f>
        <v>0</v>
      </c>
      <c r="AF276" s="84">
        <f>AF269+AF275</f>
        <v>22525189</v>
      </c>
      <c r="AG276" s="84">
        <f>AG269+AG275</f>
        <v>21217174</v>
      </c>
      <c r="AH276" s="84">
        <f>AH269+AH275</f>
        <v>1308015</v>
      </c>
      <c r="AI276" s="84"/>
      <c r="AJ276" s="84">
        <f t="shared" ref="AJ276:AP276" si="831">AJ269+AJ275</f>
        <v>680281.93118682294</v>
      </c>
      <c r="AK276" s="84">
        <f t="shared" si="831"/>
        <v>11715063.721186822</v>
      </c>
      <c r="AL276" s="84">
        <f t="shared" si="831"/>
        <v>174138.0388131775</v>
      </c>
      <c r="AM276" s="84">
        <f t="shared" si="831"/>
        <v>10182392.210000001</v>
      </c>
      <c r="AN276" s="84">
        <f t="shared" si="831"/>
        <v>10635987.24</v>
      </c>
      <c r="AO276" s="84">
        <f t="shared" si="831"/>
        <v>151508.81354182871</v>
      </c>
      <c r="AP276" s="84">
        <f t="shared" si="831"/>
        <v>528773.11764499429</v>
      </c>
    </row>
    <row r="277" spans="1:42" s="82" customFormat="1" ht="13.5" customHeight="1">
      <c r="A277" s="176"/>
      <c r="B277" s="85"/>
      <c r="C277" s="84"/>
      <c r="D277" s="84"/>
      <c r="E277" s="84"/>
      <c r="F277" s="84"/>
      <c r="G277" s="84"/>
      <c r="H277" s="84"/>
      <c r="I277" s="84"/>
      <c r="J277" s="84"/>
      <c r="K277" s="84"/>
      <c r="L277" s="84"/>
      <c r="M277" s="84"/>
      <c r="N277" s="84"/>
      <c r="O277" s="84"/>
      <c r="P277" s="84"/>
      <c r="Q277" s="84"/>
      <c r="R277" s="84"/>
      <c r="S277" s="84"/>
      <c r="T277" s="199"/>
      <c r="U277" s="199"/>
      <c r="W277" s="288"/>
      <c r="X277" s="282"/>
      <c r="Y277" s="311"/>
      <c r="Z277" s="192">
        <f t="shared" si="787"/>
        <v>0</v>
      </c>
      <c r="AA277" t="str">
        <f t="shared" si="788"/>
        <v>-</v>
      </c>
      <c r="AB277" t="str">
        <f t="shared" si="789"/>
        <v>-</v>
      </c>
      <c r="AD277" s="34">
        <f>C277-GAAP!C281</f>
        <v>0</v>
      </c>
    </row>
    <row r="278" spans="1:42" s="57" customFormat="1" ht="13.5" customHeight="1">
      <c r="A278" s="176" t="s">
        <v>363</v>
      </c>
      <c r="B278" s="82"/>
      <c r="C278" s="438">
        <f>C237+C257+C269</f>
        <v>937525568.20999992</v>
      </c>
      <c r="D278" s="438">
        <f>D237+D257+D269</f>
        <v>901095048.6099999</v>
      </c>
      <c r="E278" s="438">
        <f>E237+E257+E269</f>
        <v>36430519.600000001</v>
      </c>
      <c r="F278" s="438">
        <f>F237+F257+F269</f>
        <v>638755790.12999988</v>
      </c>
      <c r="G278" s="438"/>
      <c r="H278" s="438">
        <f t="shared" ref="H278:S278" si="832">H237+H257+H269</f>
        <v>22028774.438286252</v>
      </c>
      <c r="I278" s="438">
        <f t="shared" si="832"/>
        <v>660784564.56828618</v>
      </c>
      <c r="J278" s="438">
        <f t="shared" si="832"/>
        <v>655595679.01999998</v>
      </c>
      <c r="K278" s="438">
        <f t="shared" si="832"/>
        <v>-5188885.548286248</v>
      </c>
      <c r="L278" s="438">
        <f t="shared" si="832"/>
        <v>262339258.48000002</v>
      </c>
      <c r="M278" s="438">
        <f t="shared" si="832"/>
        <v>281929889.19</v>
      </c>
      <c r="N278" s="438">
        <f t="shared" si="832"/>
        <v>509478688.54999995</v>
      </c>
      <c r="O278" s="438">
        <f t="shared" si="832"/>
        <v>527883886.34999996</v>
      </c>
      <c r="P278" s="438">
        <f t="shared" si="832"/>
        <v>21778423.618543912</v>
      </c>
      <c r="Q278" s="438">
        <f t="shared" si="832"/>
        <v>129277101.58</v>
      </c>
      <c r="R278" s="438">
        <f t="shared" si="832"/>
        <v>127711792.67000002</v>
      </c>
      <c r="S278" s="438">
        <f t="shared" si="832"/>
        <v>250350.81974235189</v>
      </c>
      <c r="T278" s="149"/>
      <c r="U278" s="185"/>
      <c r="W278" s="288"/>
      <c r="X278" s="289"/>
      <c r="Y278" s="311">
        <v>-1377840.353541208</v>
      </c>
      <c r="Z278" s="192">
        <f t="shared" si="787"/>
        <v>1628191.1732835597</v>
      </c>
      <c r="AA278" t="str">
        <f t="shared" si="788"/>
        <v>-</v>
      </c>
      <c r="AB278" t="str">
        <f t="shared" si="789"/>
        <v>-</v>
      </c>
      <c r="AD278" s="34" t="e">
        <f>C278-GAAP!#REF!</f>
        <v>#REF!</v>
      </c>
      <c r="AF278" s="438">
        <f>AF237+AF257+AF269</f>
        <v>929468006.50999987</v>
      </c>
      <c r="AG278" s="438">
        <f>AG237+AG257+AG269</f>
        <v>894876087.89999998</v>
      </c>
      <c r="AH278" s="438">
        <f>AH237+AH257+AH269</f>
        <v>34591918.609999992</v>
      </c>
      <c r="AI278" s="438"/>
      <c r="AJ278" s="438">
        <f t="shared" ref="AJ278:AP278" si="833">AJ237+AJ257+AJ269</f>
        <v>21691927.120718028</v>
      </c>
      <c r="AK278" s="438">
        <f t="shared" si="833"/>
        <v>659723373.64071798</v>
      </c>
      <c r="AL278" s="438">
        <f t="shared" si="833"/>
        <v>-4808413.8707180284</v>
      </c>
      <c r="AM278" s="438">
        <f t="shared" si="833"/>
        <v>256844641.38000003</v>
      </c>
      <c r="AN278" s="438">
        <f t="shared" si="833"/>
        <v>274553046.74000001</v>
      </c>
      <c r="AO278" s="438" t="e">
        <f t="shared" si="833"/>
        <v>#REF!</v>
      </c>
      <c r="AP278" s="438" t="e">
        <f t="shared" si="833"/>
        <v>#REF!</v>
      </c>
    </row>
    <row r="279" spans="1:42" s="57" customFormat="1" ht="13.5" customHeight="1">
      <c r="A279" s="176" t="s">
        <v>364</v>
      </c>
      <c r="B279" s="82"/>
      <c r="C279" s="438">
        <f>C248+C263+C275</f>
        <v>6861630.3499999996</v>
      </c>
      <c r="D279" s="438">
        <f>D248+D263+D275</f>
        <v>8175596.0300000012</v>
      </c>
      <c r="E279" s="438">
        <f>E248+E263+E275</f>
        <v>-1313965.68</v>
      </c>
      <c r="F279" s="438">
        <f>F248+F263+F275</f>
        <v>8175596.0300000012</v>
      </c>
      <c r="G279" s="438"/>
      <c r="H279" s="438">
        <f t="shared" ref="H279:S279" si="834">H248+H263+H275</f>
        <v>-1313965.68</v>
      </c>
      <c r="I279" s="438">
        <f t="shared" si="834"/>
        <v>6861630.3499999996</v>
      </c>
      <c r="J279" s="438">
        <f t="shared" si="834"/>
        <v>6861630.3499999996</v>
      </c>
      <c r="K279" s="438">
        <f t="shared" si="834"/>
        <v>0</v>
      </c>
      <c r="L279" s="438">
        <f t="shared" si="834"/>
        <v>0</v>
      </c>
      <c r="M279" s="438">
        <f t="shared" si="834"/>
        <v>0</v>
      </c>
      <c r="N279" s="438">
        <f t="shared" si="834"/>
        <v>5043992.7399999993</v>
      </c>
      <c r="O279" s="438">
        <f t="shared" si="834"/>
        <v>6519982.3899999997</v>
      </c>
      <c r="P279" s="438">
        <f t="shared" si="834"/>
        <v>1217319.06871038</v>
      </c>
      <c r="Q279" s="438">
        <f t="shared" si="834"/>
        <v>3131603.2899999996</v>
      </c>
      <c r="R279" s="438">
        <f t="shared" si="834"/>
        <v>341647.96</v>
      </c>
      <c r="S279" s="438">
        <f t="shared" si="834"/>
        <v>-2531284.7487103799</v>
      </c>
      <c r="T279" s="149"/>
      <c r="U279" s="185"/>
      <c r="W279" s="288"/>
      <c r="X279" s="289"/>
      <c r="Y279" s="311">
        <v>292792.5112896199</v>
      </c>
      <c r="Z279" s="192">
        <f t="shared" si="787"/>
        <v>-2824077.26</v>
      </c>
      <c r="AA279" t="str">
        <f t="shared" si="788"/>
        <v>-</v>
      </c>
      <c r="AB279" t="str">
        <f t="shared" si="789"/>
        <v>-</v>
      </c>
      <c r="AD279" s="34" t="e">
        <f>C279-GAAP!#REF!</f>
        <v>#REF!</v>
      </c>
      <c r="AF279" s="438">
        <f>AF248+AF263+AF275</f>
        <v>4587947.66</v>
      </c>
      <c r="AG279" s="438">
        <f>AG248+AG263+AG275</f>
        <v>6121513.5</v>
      </c>
      <c r="AH279" s="438">
        <f>AH248+AH263+AH275</f>
        <v>-1533565.8399999999</v>
      </c>
      <c r="AI279" s="438"/>
      <c r="AJ279" s="438">
        <f t="shared" ref="AJ279:AP279" si="835">AJ248+AJ263+AJ275</f>
        <v>-1533565.8399999999</v>
      </c>
      <c r="AK279" s="438">
        <f t="shared" si="835"/>
        <v>4587947.66</v>
      </c>
      <c r="AL279" s="438">
        <f t="shared" si="835"/>
        <v>0</v>
      </c>
      <c r="AM279" s="438">
        <f t="shared" si="835"/>
        <v>0</v>
      </c>
      <c r="AN279" s="438">
        <f t="shared" si="835"/>
        <v>0</v>
      </c>
      <c r="AO279" s="438" t="e">
        <f t="shared" si="835"/>
        <v>#REF!</v>
      </c>
      <c r="AP279" s="438" t="e">
        <f t="shared" si="835"/>
        <v>#REF!</v>
      </c>
    </row>
    <row r="280" spans="1:42" s="57" customFormat="1" ht="13.5" customHeight="1" thickBot="1">
      <c r="A280" s="436" t="s">
        <v>365</v>
      </c>
      <c r="B280" s="437"/>
      <c r="C280" s="439">
        <f>SUM(C278:C279)</f>
        <v>944387198.55999994</v>
      </c>
      <c r="D280" s="439">
        <f t="shared" ref="D280" si="836">SUM(D278:D279)</f>
        <v>909270644.63999987</v>
      </c>
      <c r="E280" s="439">
        <f t="shared" ref="E280" si="837">SUM(E278:E279)</f>
        <v>35116553.920000002</v>
      </c>
      <c r="F280" s="439">
        <f t="shared" ref="F280" si="838">SUM(F278:F279)</f>
        <v>646931386.15999985</v>
      </c>
      <c r="G280" s="439"/>
      <c r="H280" s="439">
        <f t="shared" ref="H280" si="839">SUM(H278:H279)</f>
        <v>20714808.758286253</v>
      </c>
      <c r="I280" s="439">
        <f t="shared" ref="I280" si="840">SUM(I278:I279)</f>
        <v>667646194.9182862</v>
      </c>
      <c r="J280" s="439">
        <f t="shared" ref="J280" si="841">SUM(J278:J279)</f>
        <v>662457309.37</v>
      </c>
      <c r="K280" s="439">
        <f t="shared" ref="K280" si="842">SUM(K278:K279)</f>
        <v>-5188885.548286248</v>
      </c>
      <c r="L280" s="439">
        <f t="shared" ref="L280" si="843">SUM(L278:L279)</f>
        <v>262339258.48000002</v>
      </c>
      <c r="M280" s="439">
        <f t="shared" ref="M280" si="844">SUM(M278:M279)</f>
        <v>281929889.19</v>
      </c>
      <c r="N280" s="439">
        <f>SUM(N278:N279)</f>
        <v>514522681.28999996</v>
      </c>
      <c r="O280" s="439">
        <f>SUM(O278:O279)</f>
        <v>534403868.73999995</v>
      </c>
      <c r="P280" s="439">
        <f t="shared" ref="P280" si="845">SUM(P278:P279)</f>
        <v>22995742.687254291</v>
      </c>
      <c r="Q280" s="439">
        <f t="shared" ref="Q280" si="846">SUM(Q278:Q279)</f>
        <v>132408704.87</v>
      </c>
      <c r="R280" s="439">
        <f t="shared" ref="R280" si="847">SUM(R278:R279)</f>
        <v>128053440.63000001</v>
      </c>
      <c r="S280" s="439">
        <f>SUM(S278:S279)</f>
        <v>-2280933.9289680282</v>
      </c>
      <c r="T280" s="149"/>
      <c r="U280" s="185"/>
      <c r="W280" s="288"/>
      <c r="X280" s="289"/>
      <c r="Y280" s="311">
        <v>-1085047.8422515881</v>
      </c>
      <c r="Z280" s="192">
        <f t="shared" si="787"/>
        <v>-1195886.08671644</v>
      </c>
      <c r="AA280" t="str">
        <f t="shared" si="788"/>
        <v>-</v>
      </c>
      <c r="AB280" t="str">
        <f t="shared" si="789"/>
        <v>-</v>
      </c>
      <c r="AD280" s="34" t="e">
        <f>C280-GAAP!#REF!</f>
        <v>#REF!</v>
      </c>
      <c r="AF280" s="439">
        <f>SUM(AF278:AF279)</f>
        <v>934055954.16999984</v>
      </c>
      <c r="AG280" s="439">
        <f t="shared" ref="AG280:AP280" si="848">SUM(AG278:AG279)</f>
        <v>900997601.39999998</v>
      </c>
      <c r="AH280" s="439">
        <f t="shared" si="848"/>
        <v>33058352.769999992</v>
      </c>
      <c r="AI280" s="439"/>
      <c r="AJ280" s="439">
        <f t="shared" si="848"/>
        <v>20158361.280718029</v>
      </c>
      <c r="AK280" s="439">
        <f t="shared" si="848"/>
        <v>664311321.30071795</v>
      </c>
      <c r="AL280" s="439">
        <f t="shared" si="848"/>
        <v>-4808413.8707180284</v>
      </c>
      <c r="AM280" s="439">
        <f t="shared" si="848"/>
        <v>256844641.38000003</v>
      </c>
      <c r="AN280" s="439">
        <f t="shared" si="848"/>
        <v>274553046.74000001</v>
      </c>
      <c r="AO280" s="439" t="e">
        <f t="shared" si="848"/>
        <v>#REF!</v>
      </c>
      <c r="AP280" s="439" t="e">
        <f t="shared" si="848"/>
        <v>#REF!</v>
      </c>
    </row>
    <row r="281" spans="1:42" s="57" customFormat="1" ht="13.5" customHeight="1" thickTop="1">
      <c r="A281" s="181"/>
      <c r="B281" s="82"/>
      <c r="C281" s="221"/>
      <c r="D281" s="221"/>
      <c r="E281" s="221"/>
      <c r="F281" s="221"/>
      <c r="G281" s="221"/>
      <c r="H281" s="221"/>
      <c r="I281" s="221"/>
      <c r="J281" s="221"/>
      <c r="K281" s="221"/>
      <c r="L281" s="221"/>
      <c r="M281" s="221"/>
      <c r="N281" s="221"/>
      <c r="O281" s="221"/>
      <c r="P281" s="221"/>
      <c r="Q281" s="221"/>
      <c r="R281" s="221"/>
      <c r="S281" s="221"/>
      <c r="T281" s="149"/>
      <c r="U281" s="185"/>
      <c r="W281" s="288"/>
      <c r="X281" s="289"/>
      <c r="Y281" s="311">
        <v>0</v>
      </c>
      <c r="Z281" s="192">
        <f t="shared" si="787"/>
        <v>0</v>
      </c>
      <c r="AA281" t="str">
        <f t="shared" si="788"/>
        <v>-</v>
      </c>
      <c r="AB281" t="str">
        <f t="shared" si="789"/>
        <v>-</v>
      </c>
      <c r="AD281" s="34" t="e">
        <f>C281-GAAP!#REF!</f>
        <v>#REF!</v>
      </c>
    </row>
    <row r="282" spans="1:42" s="57" customFormat="1" ht="13.5" customHeight="1">
      <c r="A282" s="176" t="s">
        <v>368</v>
      </c>
      <c r="B282" s="82"/>
      <c r="C282" s="221"/>
      <c r="D282" s="63"/>
      <c r="E282" s="221"/>
      <c r="F282" s="221"/>
      <c r="G282" s="63"/>
      <c r="H282" s="168"/>
      <c r="I282" s="63"/>
      <c r="J282" s="221"/>
      <c r="K282" s="63"/>
      <c r="L282" s="63"/>
      <c r="M282" s="63"/>
      <c r="N282" s="221"/>
      <c r="O282" s="221"/>
      <c r="P282" s="221"/>
      <c r="Q282" s="63"/>
      <c r="R282" s="63"/>
      <c r="S282" s="214"/>
      <c r="T282" s="185"/>
      <c r="U282" s="185"/>
      <c r="W282" s="288"/>
      <c r="X282" s="289"/>
      <c r="Y282" s="311">
        <v>0</v>
      </c>
      <c r="Z282" s="192">
        <f t="shared" si="787"/>
        <v>0</v>
      </c>
      <c r="AA282" t="str">
        <f t="shared" si="788"/>
        <v>-</v>
      </c>
      <c r="AB282" t="str">
        <f t="shared" si="789"/>
        <v>-</v>
      </c>
      <c r="AD282" s="34">
        <f>C282-GAAP!C282</f>
        <v>0</v>
      </c>
    </row>
    <row r="283" spans="1:42" ht="13.5">
      <c r="A283" s="259">
        <v>56.1004</v>
      </c>
      <c r="B283" s="57" t="s">
        <v>283</v>
      </c>
      <c r="C283" s="163">
        <v>373425</v>
      </c>
      <c r="D283" s="216">
        <f t="shared" ref="D283:D315" si="849">+C283-E283</f>
        <v>269840</v>
      </c>
      <c r="E283" s="149">
        <v>103585</v>
      </c>
      <c r="F283" s="149">
        <v>236373.73</v>
      </c>
      <c r="G283" s="217">
        <f t="shared" ref="G283:G315" si="850">IF(D283&lt;&gt;0,+F283/D283,0)</f>
        <v>0.87597735695226808</v>
      </c>
      <c r="H283" s="149">
        <v>90738.114519900686</v>
      </c>
      <c r="I283" s="214">
        <f t="shared" ref="I283:I315" si="851">+F283+H283</f>
        <v>327111.84451990068</v>
      </c>
      <c r="J283" s="149">
        <v>371550</v>
      </c>
      <c r="K283" s="214">
        <f t="shared" ref="K283:K311" si="852">J283-I283</f>
        <v>44438.155480099318</v>
      </c>
      <c r="L283" s="214">
        <f t="shared" ref="L283:L311" si="853">+D283-F283</f>
        <v>33466.26999999999</v>
      </c>
      <c r="M283" s="214">
        <f t="shared" ref="M283:M311" si="854">+C283-J283</f>
        <v>1875</v>
      </c>
      <c r="N283" s="222">
        <v>152881.54</v>
      </c>
      <c r="O283" s="222">
        <v>29675</v>
      </c>
      <c r="P283" s="222">
        <v>51359.962693894202</v>
      </c>
      <c r="Q283" s="214">
        <f t="shared" ref="Q283:Q311" si="855">F283-N283</f>
        <v>83492.19</v>
      </c>
      <c r="R283" s="214">
        <f t="shared" ref="R283:R311" si="856">+J283-O283</f>
        <v>341875</v>
      </c>
      <c r="S283" s="214">
        <f t="shared" ref="S283:S311" si="857">+H283-P283</f>
        <v>39378.151826006484</v>
      </c>
      <c r="T283" s="185" t="s">
        <v>278</v>
      </c>
      <c r="U283" s="185"/>
      <c r="V283" s="57" t="str">
        <f t="shared" ref="V283:V315" si="858">IF(C283&lt;250000, "&lt; 250k",".")</f>
        <v>.</v>
      </c>
      <c r="W283" s="282">
        <v>51359.962693894202</v>
      </c>
      <c r="Y283" s="311">
        <v>26327.18877639516</v>
      </c>
      <c r="Z283" s="192">
        <f t="shared" si="787"/>
        <v>13050.963049611324</v>
      </c>
      <c r="AA283" t="str">
        <f t="shared" si="788"/>
        <v>-</v>
      </c>
      <c r="AB283" t="str">
        <f t="shared" si="789"/>
        <v>-</v>
      </c>
      <c r="AC283" s="523"/>
      <c r="AD283" s="34">
        <f>C283-GAAP!C283</f>
        <v>0</v>
      </c>
      <c r="AF283" s="64">
        <f t="shared" ref="AF283:AF311" si="859">C283</f>
        <v>373425</v>
      </c>
      <c r="AG283" s="64">
        <f t="shared" ref="AG283:AG311" si="860">D283</f>
        <v>269840</v>
      </c>
      <c r="AH283" s="64">
        <f t="shared" ref="AH283:AH311" si="861">E283</f>
        <v>103585</v>
      </c>
      <c r="AI283" s="217">
        <f t="shared" ref="AI283:AI311" si="862">IF(AG283&lt;&gt;0,+F283/AG283,0)</f>
        <v>0.87597735695226808</v>
      </c>
      <c r="AJ283" s="98">
        <f t="shared" ref="AJ283:AJ311" si="863">IF(AH283&lt;=0,AH283,IF(G283&lt;0.1,0,IF(G283&lt;=1,G283*AH283,AH283)))</f>
        <v>90738.114519900686</v>
      </c>
      <c r="AK283" s="98">
        <f t="shared" ref="AK283:AK311" si="864">+F283+AJ283</f>
        <v>327111.84451990068</v>
      </c>
      <c r="AL283" s="98">
        <f t="shared" ref="AL283:AL311" si="865">J283-AK283</f>
        <v>44438.155480099318</v>
      </c>
      <c r="AM283" s="98">
        <f t="shared" ref="AM283:AM311" si="866">+AG283-F283</f>
        <v>33466.26999999999</v>
      </c>
      <c r="AN283" s="98">
        <f t="shared" ref="AN283:AN311" si="867">+AF283-J283</f>
        <v>1875</v>
      </c>
      <c r="AO283" s="222">
        <f>GAAP!P283</f>
        <v>51359.962693894202</v>
      </c>
      <c r="AP283" s="129">
        <f t="shared" ref="AP283:AP311" si="868">AJ283-AO283</f>
        <v>39378.151826006484</v>
      </c>
    </row>
    <row r="284" spans="1:42" ht="13.5">
      <c r="A284" s="259">
        <v>56.100499999999997</v>
      </c>
      <c r="B284" s="57" t="s">
        <v>284</v>
      </c>
      <c r="C284" s="163">
        <v>135000</v>
      </c>
      <c r="D284" s="216">
        <f t="shared" si="849"/>
        <v>68025</v>
      </c>
      <c r="E284" s="149">
        <v>66975</v>
      </c>
      <c r="F284" s="149">
        <v>51037.42</v>
      </c>
      <c r="G284" s="217">
        <f t="shared" si="850"/>
        <v>0.75027445791988234</v>
      </c>
      <c r="H284" s="149">
        <v>50249.63181918412</v>
      </c>
      <c r="I284" s="214">
        <f t="shared" si="851"/>
        <v>101287.05181918413</v>
      </c>
      <c r="J284" s="149">
        <v>135000</v>
      </c>
      <c r="K284" s="214">
        <f t="shared" si="852"/>
        <v>33712.948180815874</v>
      </c>
      <c r="L284" s="214">
        <f t="shared" si="853"/>
        <v>16987.580000000002</v>
      </c>
      <c r="M284" s="214">
        <f t="shared" si="854"/>
        <v>0</v>
      </c>
      <c r="N284" s="222">
        <v>15913.33</v>
      </c>
      <c r="O284" s="222">
        <v>0</v>
      </c>
      <c r="P284" s="222">
        <v>0</v>
      </c>
      <c r="Q284" s="214">
        <f t="shared" si="855"/>
        <v>35124.089999999997</v>
      </c>
      <c r="R284" s="214">
        <f t="shared" si="856"/>
        <v>135000</v>
      </c>
      <c r="S284" s="214">
        <f t="shared" si="857"/>
        <v>50249.63181918412</v>
      </c>
      <c r="T284" s="185" t="s">
        <v>278</v>
      </c>
      <c r="U284" s="185"/>
      <c r="V284" s="57" t="str">
        <f t="shared" si="858"/>
        <v>&lt; 250k</v>
      </c>
      <c r="W284" s="282">
        <v>14525.327230298393</v>
      </c>
      <c r="Y284" s="311">
        <v>50249.63181918412</v>
      </c>
      <c r="Z284" s="192">
        <f t="shared" si="787"/>
        <v>0</v>
      </c>
      <c r="AA284" t="str">
        <f t="shared" si="788"/>
        <v>-</v>
      </c>
      <c r="AB284" t="str">
        <f t="shared" si="789"/>
        <v>-</v>
      </c>
      <c r="AC284" s="523"/>
      <c r="AD284" s="34">
        <f>C284-GAAP!C284</f>
        <v>0</v>
      </c>
      <c r="AF284" s="64">
        <f t="shared" si="859"/>
        <v>135000</v>
      </c>
      <c r="AG284" s="64">
        <f t="shared" si="860"/>
        <v>68025</v>
      </c>
      <c r="AH284" s="64">
        <f t="shared" si="861"/>
        <v>66975</v>
      </c>
      <c r="AI284" s="217">
        <f t="shared" si="862"/>
        <v>0.75027445791988234</v>
      </c>
      <c r="AJ284" s="98">
        <f t="shared" si="863"/>
        <v>50249.63181918412</v>
      </c>
      <c r="AK284" s="98">
        <f t="shared" si="864"/>
        <v>101287.05181918413</v>
      </c>
      <c r="AL284" s="98">
        <f t="shared" si="865"/>
        <v>33712.948180815874</v>
      </c>
      <c r="AM284" s="98">
        <f t="shared" si="866"/>
        <v>16987.580000000002</v>
      </c>
      <c r="AN284" s="98">
        <f t="shared" si="867"/>
        <v>0</v>
      </c>
      <c r="AO284" s="222">
        <f>GAAP!P284</f>
        <v>14525.327230298393</v>
      </c>
      <c r="AP284" s="129">
        <f t="shared" si="868"/>
        <v>35724.30458888573</v>
      </c>
    </row>
    <row r="285" spans="1:42" ht="13.5">
      <c r="A285" s="259">
        <v>56.100999999999999</v>
      </c>
      <c r="B285" s="57" t="s">
        <v>536</v>
      </c>
      <c r="C285" s="163">
        <v>49250</v>
      </c>
      <c r="D285" s="216">
        <f t="shared" si="849"/>
        <v>36461.94</v>
      </c>
      <c r="E285" s="149">
        <v>12788.059999999998</v>
      </c>
      <c r="F285" s="149">
        <v>36461.94</v>
      </c>
      <c r="G285" s="217">
        <f t="shared" si="850"/>
        <v>1</v>
      </c>
      <c r="H285" s="149">
        <v>12788.059999999998</v>
      </c>
      <c r="I285" s="214">
        <f t="shared" si="851"/>
        <v>49250</v>
      </c>
      <c r="J285" s="149">
        <v>49250</v>
      </c>
      <c r="K285" s="214">
        <f t="shared" si="852"/>
        <v>0</v>
      </c>
      <c r="L285" s="214">
        <f t="shared" si="853"/>
        <v>0</v>
      </c>
      <c r="M285" s="214">
        <f t="shared" si="854"/>
        <v>0</v>
      </c>
      <c r="N285" s="222"/>
      <c r="O285" s="222"/>
      <c r="P285" s="222"/>
      <c r="Q285" s="214">
        <f t="shared" si="855"/>
        <v>36461.94</v>
      </c>
      <c r="R285" s="214">
        <f t="shared" si="856"/>
        <v>49250</v>
      </c>
      <c r="S285" s="214">
        <f t="shared" si="857"/>
        <v>12788.059999999998</v>
      </c>
      <c r="T285" s="185" t="s">
        <v>510</v>
      </c>
      <c r="U285" s="185"/>
      <c r="V285" s="57" t="str">
        <f t="shared" si="858"/>
        <v>&lt; 250k</v>
      </c>
      <c r="Y285" s="311">
        <v>13783.75</v>
      </c>
      <c r="Z285" s="192">
        <f t="shared" si="787"/>
        <v>-995.69000000000233</v>
      </c>
      <c r="AA285" t="str">
        <f t="shared" si="788"/>
        <v>-</v>
      </c>
      <c r="AB285" t="str">
        <f t="shared" si="789"/>
        <v>-</v>
      </c>
      <c r="AC285" s="523"/>
      <c r="AD285" s="34">
        <f>C285-GAAP!C287</f>
        <v>-53618</v>
      </c>
      <c r="AF285" s="64">
        <f t="shared" si="859"/>
        <v>49250</v>
      </c>
      <c r="AG285" s="64">
        <f t="shared" si="860"/>
        <v>36461.94</v>
      </c>
      <c r="AH285" s="64">
        <f t="shared" si="861"/>
        <v>12788.059999999998</v>
      </c>
      <c r="AI285" s="217">
        <f t="shared" si="862"/>
        <v>1</v>
      </c>
      <c r="AJ285" s="98">
        <f t="shared" si="863"/>
        <v>12788.059999999998</v>
      </c>
      <c r="AK285" s="98">
        <f t="shared" si="864"/>
        <v>49250</v>
      </c>
      <c r="AL285" s="98">
        <f t="shared" si="865"/>
        <v>0</v>
      </c>
      <c r="AM285" s="98">
        <f t="shared" si="866"/>
        <v>0</v>
      </c>
      <c r="AN285" s="98">
        <f t="shared" si="867"/>
        <v>0</v>
      </c>
      <c r="AO285" s="222">
        <f>GAAP!P286</f>
        <v>29395.330313379258</v>
      </c>
      <c r="AP285" s="129">
        <f t="shared" si="868"/>
        <v>-16607.27031337926</v>
      </c>
    </row>
    <row r="286" spans="1:42" ht="13.5">
      <c r="A286" s="259">
        <v>56.101500000000001</v>
      </c>
      <c r="B286" s="57" t="s">
        <v>287</v>
      </c>
      <c r="C286" s="163">
        <v>230000</v>
      </c>
      <c r="D286" s="216">
        <f t="shared" si="849"/>
        <v>203520</v>
      </c>
      <c r="E286" s="149">
        <v>26480</v>
      </c>
      <c r="F286" s="149">
        <v>142358.95000000001</v>
      </c>
      <c r="G286" s="217">
        <f t="shared" si="850"/>
        <v>0.69948383451257867</v>
      </c>
      <c r="H286" s="149">
        <v>18522.331937893083</v>
      </c>
      <c r="I286" s="214">
        <f t="shared" si="851"/>
        <v>160881.2819378931</v>
      </c>
      <c r="J286" s="149">
        <v>160000</v>
      </c>
      <c r="K286" s="214">
        <f t="shared" si="852"/>
        <v>-881.28193789310171</v>
      </c>
      <c r="L286" s="214">
        <f t="shared" si="853"/>
        <v>61161.049999999988</v>
      </c>
      <c r="M286" s="214">
        <f t="shared" si="854"/>
        <v>70000</v>
      </c>
      <c r="N286" s="222">
        <v>100113.78</v>
      </c>
      <c r="O286" s="222">
        <v>27000</v>
      </c>
      <c r="P286" s="222">
        <v>29395.330313379258</v>
      </c>
      <c r="Q286" s="214">
        <f t="shared" si="855"/>
        <v>42245.170000000013</v>
      </c>
      <c r="R286" s="214">
        <f t="shared" si="856"/>
        <v>133000</v>
      </c>
      <c r="S286" s="214">
        <f t="shared" si="857"/>
        <v>-10872.998375486175</v>
      </c>
      <c r="T286" s="185" t="s">
        <v>278</v>
      </c>
      <c r="U286" s="185"/>
      <c r="V286" s="57" t="str">
        <f t="shared" si="858"/>
        <v>&lt; 250k</v>
      </c>
      <c r="W286" s="282">
        <v>29395.330313379258</v>
      </c>
      <c r="Y286" s="311">
        <v>-10061.10101786306</v>
      </c>
      <c r="Z286" s="192">
        <f t="shared" si="787"/>
        <v>-811.89735762311466</v>
      </c>
      <c r="AA286" t="str">
        <f t="shared" si="788"/>
        <v>-</v>
      </c>
      <c r="AB286" t="str">
        <f t="shared" si="789"/>
        <v>-</v>
      </c>
      <c r="AC286" s="523"/>
      <c r="AD286" s="34">
        <f>C286-GAAP!C289</f>
        <v>145000</v>
      </c>
      <c r="AF286" s="64">
        <f t="shared" si="859"/>
        <v>230000</v>
      </c>
      <c r="AG286" s="64">
        <f t="shared" si="860"/>
        <v>203520</v>
      </c>
      <c r="AH286" s="64">
        <f t="shared" si="861"/>
        <v>26480</v>
      </c>
      <c r="AI286" s="217">
        <f t="shared" si="862"/>
        <v>0.69948383451257867</v>
      </c>
      <c r="AJ286" s="98">
        <f t="shared" si="863"/>
        <v>18522.331937893083</v>
      </c>
      <c r="AK286" s="98">
        <f t="shared" si="864"/>
        <v>160881.2819378931</v>
      </c>
      <c r="AL286" s="98">
        <f t="shared" si="865"/>
        <v>-881.28193789310171</v>
      </c>
      <c r="AM286" s="98">
        <f t="shared" si="866"/>
        <v>61161.049999999988</v>
      </c>
      <c r="AN286" s="98">
        <f t="shared" si="867"/>
        <v>70000</v>
      </c>
      <c r="AO286" s="222">
        <f>GAAP!P287</f>
        <v>19016.572776670284</v>
      </c>
      <c r="AP286" s="129">
        <f t="shared" si="868"/>
        <v>-494.24083877720113</v>
      </c>
    </row>
    <row r="287" spans="1:42" ht="13.5">
      <c r="A287" s="259">
        <v>56.101700000000001</v>
      </c>
      <c r="B287" s="57" t="s">
        <v>401</v>
      </c>
      <c r="C287" s="163">
        <v>102868</v>
      </c>
      <c r="D287" s="216">
        <f t="shared" si="849"/>
        <v>114895</v>
      </c>
      <c r="E287" s="149">
        <v>-12027</v>
      </c>
      <c r="F287" s="149">
        <v>95450.46</v>
      </c>
      <c r="G287" s="217">
        <f t="shared" si="850"/>
        <v>0.83076252230297232</v>
      </c>
      <c r="H287" s="149">
        <v>-12027</v>
      </c>
      <c r="I287" s="214">
        <f t="shared" si="851"/>
        <v>83423.460000000006</v>
      </c>
      <c r="J287" s="149">
        <v>99118</v>
      </c>
      <c r="K287" s="214">
        <f t="shared" si="852"/>
        <v>15694.539999999994</v>
      </c>
      <c r="L287" s="214">
        <f t="shared" si="853"/>
        <v>19444.539999999994</v>
      </c>
      <c r="M287" s="214">
        <f t="shared" si="854"/>
        <v>3750</v>
      </c>
      <c r="N287" s="222">
        <v>42712.89</v>
      </c>
      <c r="O287" s="222">
        <v>0</v>
      </c>
      <c r="P287" s="222">
        <v>19016.572776670284</v>
      </c>
      <c r="Q287" s="214">
        <f t="shared" si="855"/>
        <v>52737.570000000007</v>
      </c>
      <c r="R287" s="214">
        <f t="shared" si="856"/>
        <v>99118</v>
      </c>
      <c r="S287" s="214">
        <f t="shared" si="857"/>
        <v>-31043.572776670284</v>
      </c>
      <c r="T287" s="185" t="s">
        <v>278</v>
      </c>
      <c r="U287" s="185"/>
      <c r="V287" s="57" t="str">
        <f t="shared" si="858"/>
        <v>&lt; 250k</v>
      </c>
      <c r="W287" s="282">
        <v>19016.572776670284</v>
      </c>
      <c r="Y287" s="311">
        <v>-10075.058403922307</v>
      </c>
      <c r="Z287" s="192">
        <f t="shared" si="787"/>
        <v>-20968.514372747977</v>
      </c>
      <c r="AA287" t="str">
        <f t="shared" si="788"/>
        <v>-</v>
      </c>
      <c r="AB287" t="str">
        <f t="shared" si="789"/>
        <v>-</v>
      </c>
      <c r="AC287" s="523"/>
      <c r="AD287" s="34" t="e">
        <f>C287-GAAP!#REF!</f>
        <v>#REF!</v>
      </c>
      <c r="AF287" s="64">
        <f t="shared" si="859"/>
        <v>102868</v>
      </c>
      <c r="AG287" s="64">
        <f t="shared" si="860"/>
        <v>114895</v>
      </c>
      <c r="AH287" s="64">
        <f t="shared" si="861"/>
        <v>-12027</v>
      </c>
      <c r="AI287" s="217">
        <f t="shared" si="862"/>
        <v>0.83076252230297232</v>
      </c>
      <c r="AJ287" s="98">
        <f t="shared" si="863"/>
        <v>-12027</v>
      </c>
      <c r="AK287" s="98">
        <f t="shared" si="864"/>
        <v>83423.460000000006</v>
      </c>
      <c r="AL287" s="98">
        <f t="shared" si="865"/>
        <v>15694.539999999994</v>
      </c>
      <c r="AM287" s="98">
        <f t="shared" si="866"/>
        <v>19444.539999999994</v>
      </c>
      <c r="AN287" s="98">
        <f t="shared" si="867"/>
        <v>3750</v>
      </c>
      <c r="AO287" s="222">
        <f>GAAP!P289</f>
        <v>1044.5898173599978</v>
      </c>
      <c r="AP287" s="129">
        <f t="shared" si="868"/>
        <v>-13071.589817359998</v>
      </c>
    </row>
    <row r="288" spans="1:42" ht="13.5">
      <c r="A288" s="259">
        <v>56.101799999999997</v>
      </c>
      <c r="B288" s="57" t="s">
        <v>402</v>
      </c>
      <c r="C288" s="163">
        <v>153913</v>
      </c>
      <c r="D288" s="216">
        <f t="shared" si="849"/>
        <v>71045</v>
      </c>
      <c r="E288" s="149">
        <v>82868</v>
      </c>
      <c r="F288" s="149">
        <v>41991.15</v>
      </c>
      <c r="G288" s="217">
        <f t="shared" si="850"/>
        <v>0.59105003870786121</v>
      </c>
      <c r="H288" s="149">
        <v>48979.134607643042</v>
      </c>
      <c r="I288" s="214">
        <f t="shared" si="851"/>
        <v>90970.284607643043</v>
      </c>
      <c r="J288" s="149">
        <v>50000</v>
      </c>
      <c r="K288" s="214">
        <f t="shared" si="852"/>
        <v>-40970.284607643043</v>
      </c>
      <c r="L288" s="214">
        <f t="shared" si="853"/>
        <v>29053.85</v>
      </c>
      <c r="M288" s="214">
        <f t="shared" si="854"/>
        <v>103913</v>
      </c>
      <c r="N288" s="222">
        <v>18131.900000000001</v>
      </c>
      <c r="O288" s="222">
        <v>0</v>
      </c>
      <c r="P288" s="222">
        <v>31982.954561396826</v>
      </c>
      <c r="Q288" s="214">
        <f t="shared" si="855"/>
        <v>23859.25</v>
      </c>
      <c r="R288" s="214">
        <f t="shared" si="856"/>
        <v>50000</v>
      </c>
      <c r="S288" s="214">
        <f t="shared" si="857"/>
        <v>16996.180046246216</v>
      </c>
      <c r="T288" s="185" t="s">
        <v>278</v>
      </c>
      <c r="U288" s="185"/>
      <c r="V288" s="57" t="str">
        <f t="shared" si="858"/>
        <v>&lt; 250k</v>
      </c>
      <c r="W288" s="282">
        <v>31982.954561396826</v>
      </c>
      <c r="Y288" s="311">
        <v>22451.284060885078</v>
      </c>
      <c r="Z288" s="192">
        <f t="shared" si="787"/>
        <v>-5455.1040146388623</v>
      </c>
      <c r="AA288" t="str">
        <f t="shared" si="788"/>
        <v>-</v>
      </c>
      <c r="AB288" t="str">
        <f t="shared" si="789"/>
        <v>-</v>
      </c>
      <c r="AC288" s="523"/>
      <c r="AD288" s="34" t="e">
        <f>C288-GAAP!#REF!</f>
        <v>#REF!</v>
      </c>
      <c r="AF288" s="64">
        <f t="shared" si="859"/>
        <v>153913</v>
      </c>
      <c r="AG288" s="64">
        <f t="shared" si="860"/>
        <v>71045</v>
      </c>
      <c r="AH288" s="64">
        <f t="shared" si="861"/>
        <v>82868</v>
      </c>
      <c r="AI288" s="217">
        <f t="shared" si="862"/>
        <v>0.59105003870786121</v>
      </c>
      <c r="AJ288" s="98">
        <f t="shared" si="863"/>
        <v>48979.134607643042</v>
      </c>
      <c r="AK288" s="98">
        <f t="shared" si="864"/>
        <v>90970.284607643043</v>
      </c>
      <c r="AL288" s="98">
        <f t="shared" si="865"/>
        <v>-40970.284607643043</v>
      </c>
      <c r="AM288" s="98">
        <f t="shared" si="866"/>
        <v>29053.85</v>
      </c>
      <c r="AN288" s="98">
        <f t="shared" si="867"/>
        <v>103913</v>
      </c>
      <c r="AO288" s="222">
        <f>GAAP!P290</f>
        <v>17815.649271120768</v>
      </c>
      <c r="AP288" s="129">
        <f t="shared" si="868"/>
        <v>31163.485336522273</v>
      </c>
    </row>
    <row r="289" spans="1:42" ht="13.5">
      <c r="A289" s="259">
        <v>56.103200000000001</v>
      </c>
      <c r="B289" s="57" t="s">
        <v>410</v>
      </c>
      <c r="C289" s="163">
        <v>85000</v>
      </c>
      <c r="D289" s="216">
        <f t="shared" si="849"/>
        <v>82975</v>
      </c>
      <c r="E289" s="149">
        <v>2025</v>
      </c>
      <c r="F289" s="149">
        <v>35024.339999999997</v>
      </c>
      <c r="G289" s="217">
        <f t="shared" si="850"/>
        <v>0.42210714070503158</v>
      </c>
      <c r="H289" s="149">
        <v>854.76695992768896</v>
      </c>
      <c r="I289" s="214">
        <f t="shared" si="851"/>
        <v>35879.106959927689</v>
      </c>
      <c r="J289" s="149">
        <v>0</v>
      </c>
      <c r="K289" s="214">
        <f t="shared" si="852"/>
        <v>-35879.106959927689</v>
      </c>
      <c r="L289" s="214">
        <f t="shared" si="853"/>
        <v>47950.66</v>
      </c>
      <c r="M289" s="214">
        <f t="shared" si="854"/>
        <v>85000</v>
      </c>
      <c r="N289" s="222">
        <v>8938.56</v>
      </c>
      <c r="O289" s="222">
        <v>0</v>
      </c>
      <c r="P289" s="222">
        <v>0</v>
      </c>
      <c r="Q289" s="214">
        <f t="shared" si="855"/>
        <v>26085.78</v>
      </c>
      <c r="R289" s="214">
        <f t="shared" si="856"/>
        <v>0</v>
      </c>
      <c r="S289" s="214">
        <f t="shared" si="857"/>
        <v>854.76695992768896</v>
      </c>
      <c r="T289" s="185" t="s">
        <v>278</v>
      </c>
      <c r="U289" s="185"/>
      <c r="V289" s="57" t="str">
        <f t="shared" si="858"/>
        <v>&lt; 250k</v>
      </c>
      <c r="W289" s="282">
        <v>1044.5898173599978</v>
      </c>
      <c r="Y289" s="311">
        <v>1865.529093899368</v>
      </c>
      <c r="Z289" s="192">
        <f t="shared" si="787"/>
        <v>-1010.7621339716791</v>
      </c>
      <c r="AA289" t="str">
        <f t="shared" si="788"/>
        <v>-</v>
      </c>
      <c r="AB289" t="str">
        <f t="shared" si="789"/>
        <v>-</v>
      </c>
      <c r="AC289" s="523"/>
      <c r="AD289" s="34">
        <f>C289-GAAP!C294</f>
        <v>-192565</v>
      </c>
      <c r="AF289" s="64">
        <f t="shared" si="859"/>
        <v>85000</v>
      </c>
      <c r="AG289" s="64">
        <f t="shared" si="860"/>
        <v>82975</v>
      </c>
      <c r="AH289" s="64">
        <f t="shared" si="861"/>
        <v>2025</v>
      </c>
      <c r="AI289" s="217">
        <f t="shared" si="862"/>
        <v>0.42210714070503158</v>
      </c>
      <c r="AJ289" s="98">
        <f t="shared" si="863"/>
        <v>854.76695992768896</v>
      </c>
      <c r="AK289" s="98">
        <f t="shared" si="864"/>
        <v>35879.106959927689</v>
      </c>
      <c r="AL289" s="98">
        <f t="shared" si="865"/>
        <v>-35879.106959927689</v>
      </c>
      <c r="AM289" s="98">
        <f t="shared" si="866"/>
        <v>47950.66</v>
      </c>
      <c r="AN289" s="98">
        <f t="shared" si="867"/>
        <v>85000</v>
      </c>
      <c r="AO289" s="222">
        <f>GAAP!P293</f>
        <v>4521.8912544751283</v>
      </c>
      <c r="AP289" s="129">
        <f t="shared" si="868"/>
        <v>-3667.1242945474396</v>
      </c>
    </row>
    <row r="290" spans="1:42" ht="13.5">
      <c r="A290" s="259">
        <v>56.1036</v>
      </c>
      <c r="B290" s="57" t="s">
        <v>411</v>
      </c>
      <c r="C290" s="163">
        <v>276000</v>
      </c>
      <c r="D290" s="216">
        <f t="shared" si="849"/>
        <v>209024</v>
      </c>
      <c r="E290" s="149">
        <v>66976</v>
      </c>
      <c r="F290" s="149">
        <v>107051.95</v>
      </c>
      <c r="G290" s="217">
        <f t="shared" si="850"/>
        <v>0.51215147542865891</v>
      </c>
      <c r="H290" s="149">
        <v>34301.857218309859</v>
      </c>
      <c r="I290" s="214">
        <f t="shared" si="851"/>
        <v>141353.80721830984</v>
      </c>
      <c r="J290" s="149">
        <v>48000</v>
      </c>
      <c r="K290" s="214">
        <f t="shared" si="852"/>
        <v>-93353.807218309841</v>
      </c>
      <c r="L290" s="214">
        <f t="shared" si="853"/>
        <v>101972.05</v>
      </c>
      <c r="M290" s="214">
        <f t="shared" si="854"/>
        <v>228000</v>
      </c>
      <c r="N290" s="222">
        <v>52637.25</v>
      </c>
      <c r="O290" s="222">
        <v>0</v>
      </c>
      <c r="P290" s="222">
        <v>0</v>
      </c>
      <c r="Q290" s="214">
        <f t="shared" si="855"/>
        <v>54414.7</v>
      </c>
      <c r="R290" s="214">
        <f t="shared" si="856"/>
        <v>48000</v>
      </c>
      <c r="S290" s="214">
        <f t="shared" si="857"/>
        <v>34301.857218309859</v>
      </c>
      <c r="T290" s="185" t="s">
        <v>278</v>
      </c>
      <c r="U290" s="185"/>
      <c r="V290" s="57" t="str">
        <f t="shared" si="858"/>
        <v>.</v>
      </c>
      <c r="W290" s="282">
        <v>17815.649271120768</v>
      </c>
      <c r="Y290" s="311">
        <v>29663.316750091908</v>
      </c>
      <c r="Z290" s="192">
        <f t="shared" si="787"/>
        <v>4638.5404682179505</v>
      </c>
      <c r="AA290" t="str">
        <f t="shared" si="788"/>
        <v>-</v>
      </c>
      <c r="AB290" t="str">
        <f t="shared" si="789"/>
        <v>-</v>
      </c>
      <c r="AC290" s="523"/>
      <c r="AD290" s="34">
        <f>C290-GAAP!C295</f>
        <v>-60610</v>
      </c>
      <c r="AF290" s="64">
        <f t="shared" si="859"/>
        <v>276000</v>
      </c>
      <c r="AG290" s="64">
        <f t="shared" si="860"/>
        <v>209024</v>
      </c>
      <c r="AH290" s="64">
        <f t="shared" si="861"/>
        <v>66976</v>
      </c>
      <c r="AI290" s="217">
        <f t="shared" si="862"/>
        <v>0.51215147542865891</v>
      </c>
      <c r="AJ290" s="98">
        <f t="shared" si="863"/>
        <v>34301.857218309859</v>
      </c>
      <c r="AK290" s="98">
        <f t="shared" si="864"/>
        <v>141353.80721830984</v>
      </c>
      <c r="AL290" s="98">
        <f t="shared" si="865"/>
        <v>-93353.807218309841</v>
      </c>
      <c r="AM290" s="98">
        <f t="shared" si="866"/>
        <v>101972.05</v>
      </c>
      <c r="AN290" s="98">
        <f t="shared" si="867"/>
        <v>228000</v>
      </c>
      <c r="AO290" s="222">
        <f>GAAP!P294</f>
        <v>34822.218142304642</v>
      </c>
      <c r="AP290" s="129">
        <f t="shared" si="868"/>
        <v>-520.36092399478366</v>
      </c>
    </row>
    <row r="291" spans="1:42" ht="13.5">
      <c r="A291" s="259">
        <v>56.103700000000003</v>
      </c>
      <c r="B291" s="57" t="s">
        <v>433</v>
      </c>
      <c r="C291" s="163">
        <v>36491</v>
      </c>
      <c r="D291" s="216">
        <f t="shared" si="849"/>
        <v>21674.2</v>
      </c>
      <c r="E291" s="149">
        <v>14816.8</v>
      </c>
      <c r="F291" s="149">
        <v>21674.2</v>
      </c>
      <c r="G291" s="217">
        <f t="shared" si="850"/>
        <v>1</v>
      </c>
      <c r="H291" s="149">
        <v>14816.8</v>
      </c>
      <c r="I291" s="214">
        <f t="shared" si="851"/>
        <v>36491</v>
      </c>
      <c r="J291" s="149">
        <v>36491</v>
      </c>
      <c r="K291" s="214">
        <f t="shared" si="852"/>
        <v>0</v>
      </c>
      <c r="L291" s="214">
        <f t="shared" si="853"/>
        <v>0</v>
      </c>
      <c r="M291" s="214">
        <f t="shared" si="854"/>
        <v>0</v>
      </c>
      <c r="N291" s="222">
        <v>2024.38</v>
      </c>
      <c r="O291" s="222">
        <v>2362.5</v>
      </c>
      <c r="P291" s="222">
        <v>338.11999999999989</v>
      </c>
      <c r="Q291" s="214">
        <f t="shared" si="855"/>
        <v>19649.82</v>
      </c>
      <c r="R291" s="214">
        <f t="shared" si="856"/>
        <v>34128.5</v>
      </c>
      <c r="S291" s="214">
        <f t="shared" si="857"/>
        <v>14478.68</v>
      </c>
      <c r="T291" s="185" t="s">
        <v>278</v>
      </c>
      <c r="U291" s="185"/>
      <c r="V291" s="57" t="str">
        <f t="shared" si="858"/>
        <v>&lt; 250k</v>
      </c>
      <c r="W291" s="282">
        <v>338.11999999999989</v>
      </c>
      <c r="Y291" s="311">
        <v>7115.6835032442395</v>
      </c>
      <c r="Z291" s="192">
        <f t="shared" si="787"/>
        <v>7362.9964967557607</v>
      </c>
      <c r="AA291" t="str">
        <f t="shared" si="788"/>
        <v>-</v>
      </c>
      <c r="AB291" t="str">
        <f t="shared" si="789"/>
        <v>-</v>
      </c>
      <c r="AC291" s="523"/>
      <c r="AD291" s="34">
        <f>C291-GAAP!C296</f>
        <v>-40629</v>
      </c>
      <c r="AF291" s="64">
        <f t="shared" si="859"/>
        <v>36491</v>
      </c>
      <c r="AG291" s="64">
        <f t="shared" si="860"/>
        <v>21674.2</v>
      </c>
      <c r="AH291" s="64">
        <f t="shared" si="861"/>
        <v>14816.8</v>
      </c>
      <c r="AI291" s="217">
        <f t="shared" si="862"/>
        <v>1</v>
      </c>
      <c r="AJ291" s="98">
        <f t="shared" si="863"/>
        <v>14816.8</v>
      </c>
      <c r="AK291" s="98">
        <f t="shared" si="864"/>
        <v>36491</v>
      </c>
      <c r="AL291" s="98">
        <f t="shared" si="865"/>
        <v>0</v>
      </c>
      <c r="AM291" s="98">
        <f t="shared" si="866"/>
        <v>0</v>
      </c>
      <c r="AN291" s="98">
        <f t="shared" si="867"/>
        <v>0</v>
      </c>
      <c r="AO291" s="222">
        <f>GAAP!P295</f>
        <v>4449.6548011828163</v>
      </c>
      <c r="AP291" s="129">
        <f t="shared" si="868"/>
        <v>10367.145198817183</v>
      </c>
    </row>
    <row r="292" spans="1:42" ht="13.5">
      <c r="A292" s="259">
        <v>56.1038</v>
      </c>
      <c r="B292" s="57" t="s">
        <v>419</v>
      </c>
      <c r="C292" s="163">
        <v>95000</v>
      </c>
      <c r="D292" s="216">
        <f t="shared" si="849"/>
        <v>117376</v>
      </c>
      <c r="E292" s="149">
        <v>-22376</v>
      </c>
      <c r="F292" s="149">
        <v>100049.89</v>
      </c>
      <c r="G292" s="217">
        <f t="shared" si="850"/>
        <v>0.85238796687568152</v>
      </c>
      <c r="H292" s="149">
        <v>-22376</v>
      </c>
      <c r="I292" s="214">
        <f t="shared" si="851"/>
        <v>77673.89</v>
      </c>
      <c r="J292" s="149">
        <v>0</v>
      </c>
      <c r="K292" s="214">
        <f t="shared" si="852"/>
        <v>-77673.89</v>
      </c>
      <c r="L292" s="214">
        <f t="shared" si="853"/>
        <v>17326.11</v>
      </c>
      <c r="M292" s="214">
        <f t="shared" si="854"/>
        <v>95000</v>
      </c>
      <c r="N292" s="222">
        <v>54820.17</v>
      </c>
      <c r="O292" s="222">
        <v>0</v>
      </c>
      <c r="P292" s="222">
        <v>6303.4541681630926</v>
      </c>
      <c r="Q292" s="214">
        <f t="shared" si="855"/>
        <v>45229.72</v>
      </c>
      <c r="R292" s="214">
        <f t="shared" si="856"/>
        <v>0</v>
      </c>
      <c r="S292" s="214">
        <f t="shared" si="857"/>
        <v>-28679.454168163094</v>
      </c>
      <c r="T292" s="185" t="s">
        <v>278</v>
      </c>
      <c r="U292" s="185"/>
      <c r="V292" s="57" t="str">
        <f t="shared" si="858"/>
        <v>&lt; 250k</v>
      </c>
      <c r="W292" s="282">
        <v>6303.4541681630926</v>
      </c>
      <c r="Y292" s="311">
        <v>-26757.454168163094</v>
      </c>
      <c r="Z292" s="192">
        <f t="shared" si="787"/>
        <v>-1922</v>
      </c>
      <c r="AA292" t="str">
        <f t="shared" si="788"/>
        <v>-</v>
      </c>
      <c r="AB292" t="str">
        <f t="shared" si="789"/>
        <v>-</v>
      </c>
      <c r="AC292" s="523"/>
      <c r="AD292" s="34">
        <f>C292-GAAP!C297</f>
        <v>-2299758</v>
      </c>
      <c r="AF292" s="64">
        <f t="shared" si="859"/>
        <v>95000</v>
      </c>
      <c r="AG292" s="64">
        <f t="shared" si="860"/>
        <v>117376</v>
      </c>
      <c r="AH292" s="64">
        <f t="shared" si="861"/>
        <v>-22376</v>
      </c>
      <c r="AI292" s="217">
        <f t="shared" si="862"/>
        <v>0.85238796687568152</v>
      </c>
      <c r="AJ292" s="98">
        <f t="shared" si="863"/>
        <v>-22376</v>
      </c>
      <c r="AK292" s="98">
        <f t="shared" si="864"/>
        <v>77673.89</v>
      </c>
      <c r="AL292" s="98">
        <f t="shared" si="865"/>
        <v>-77673.89</v>
      </c>
      <c r="AM292" s="98">
        <f t="shared" si="866"/>
        <v>17326.11</v>
      </c>
      <c r="AN292" s="98">
        <f t="shared" si="867"/>
        <v>95000</v>
      </c>
      <c r="AO292" s="222">
        <f>GAAP!P296</f>
        <v>1603.6473077127516</v>
      </c>
      <c r="AP292" s="129">
        <f t="shared" si="868"/>
        <v>-23979.647307712752</v>
      </c>
    </row>
    <row r="293" spans="1:42" ht="13.5">
      <c r="A293" s="259">
        <v>56.103900000000003</v>
      </c>
      <c r="B293" s="57" t="s">
        <v>420</v>
      </c>
      <c r="C293" s="163">
        <v>375000</v>
      </c>
      <c r="D293" s="216">
        <f t="shared" si="849"/>
        <v>332284</v>
      </c>
      <c r="E293" s="149">
        <v>42716</v>
      </c>
      <c r="F293" s="149">
        <v>324049.23</v>
      </c>
      <c r="G293" s="217">
        <f t="shared" si="850"/>
        <v>0.9752176752416607</v>
      </c>
      <c r="H293" s="149">
        <v>41657.398215622779</v>
      </c>
      <c r="I293" s="214">
        <f t="shared" si="851"/>
        <v>365706.62821562274</v>
      </c>
      <c r="J293" s="149">
        <v>330000</v>
      </c>
      <c r="K293" s="214">
        <f t="shared" si="852"/>
        <v>-35706.628215622739</v>
      </c>
      <c r="L293" s="214">
        <f t="shared" si="853"/>
        <v>8234.7700000000186</v>
      </c>
      <c r="M293" s="214">
        <f t="shared" si="854"/>
        <v>45000</v>
      </c>
      <c r="N293" s="222">
        <v>44619.13</v>
      </c>
      <c r="O293" s="222">
        <v>0</v>
      </c>
      <c r="P293" s="222">
        <v>0</v>
      </c>
      <c r="Q293" s="214">
        <f t="shared" si="855"/>
        <v>279430.09999999998</v>
      </c>
      <c r="R293" s="214">
        <f t="shared" si="856"/>
        <v>330000</v>
      </c>
      <c r="S293" s="214">
        <f t="shared" si="857"/>
        <v>41657.398215622779</v>
      </c>
      <c r="T293" s="185" t="s">
        <v>278</v>
      </c>
      <c r="U293" s="185"/>
      <c r="V293" s="57" t="str">
        <f t="shared" si="858"/>
        <v>.</v>
      </c>
      <c r="W293" s="282">
        <v>4521.8912544751283</v>
      </c>
      <c r="Y293" s="311">
        <v>31507.63793595057</v>
      </c>
      <c r="Z293" s="192">
        <f t="shared" si="787"/>
        <v>10149.760279672209</v>
      </c>
      <c r="AA293" t="str">
        <f t="shared" si="788"/>
        <v>-</v>
      </c>
      <c r="AB293" t="str">
        <f t="shared" si="789"/>
        <v>-</v>
      </c>
      <c r="AC293" s="523"/>
      <c r="AD293" s="34">
        <f>C293-GAAP!C298</f>
        <v>175000</v>
      </c>
      <c r="AF293" s="64">
        <f t="shared" si="859"/>
        <v>375000</v>
      </c>
      <c r="AG293" s="64">
        <f t="shared" si="860"/>
        <v>332284</v>
      </c>
      <c r="AH293" s="64">
        <f t="shared" si="861"/>
        <v>42716</v>
      </c>
      <c r="AI293" s="217">
        <f t="shared" si="862"/>
        <v>0.9752176752416607</v>
      </c>
      <c r="AJ293" s="98">
        <f t="shared" si="863"/>
        <v>41657.398215622779</v>
      </c>
      <c r="AK293" s="98">
        <f t="shared" si="864"/>
        <v>365706.62821562274</v>
      </c>
      <c r="AL293" s="98">
        <f t="shared" si="865"/>
        <v>-35706.628215622739</v>
      </c>
      <c r="AM293" s="98">
        <f t="shared" si="866"/>
        <v>8234.7700000000186</v>
      </c>
      <c r="AN293" s="98">
        <f t="shared" si="867"/>
        <v>45000</v>
      </c>
      <c r="AO293" s="222">
        <f>GAAP!P297</f>
        <v>0</v>
      </c>
      <c r="AP293" s="129">
        <f t="shared" si="868"/>
        <v>41657.398215622779</v>
      </c>
    </row>
    <row r="294" spans="1:42" ht="13.5">
      <c r="A294" s="259">
        <v>56.104199999999999</v>
      </c>
      <c r="B294" s="57" t="s">
        <v>434</v>
      </c>
      <c r="C294" s="163">
        <v>277565</v>
      </c>
      <c r="D294" s="216">
        <f t="shared" si="849"/>
        <v>218288</v>
      </c>
      <c r="E294" s="149">
        <v>59277</v>
      </c>
      <c r="F294" s="149">
        <v>172683.27</v>
      </c>
      <c r="G294" s="217">
        <f t="shared" si="850"/>
        <v>0.79107999523565198</v>
      </c>
      <c r="H294" s="149">
        <v>46892.84887758374</v>
      </c>
      <c r="I294" s="214">
        <f t="shared" si="851"/>
        <v>219576.11887758374</v>
      </c>
      <c r="J294" s="149">
        <v>217715</v>
      </c>
      <c r="K294" s="214">
        <f t="shared" si="852"/>
        <v>-1861.1188775837363</v>
      </c>
      <c r="L294" s="214">
        <f t="shared" si="853"/>
        <v>45604.73000000001</v>
      </c>
      <c r="M294" s="214">
        <f t="shared" si="854"/>
        <v>59850</v>
      </c>
      <c r="N294" s="222">
        <v>88143.14</v>
      </c>
      <c r="O294" s="222">
        <v>105595</v>
      </c>
      <c r="P294" s="222">
        <v>34822.218142304642</v>
      </c>
      <c r="Q294" s="214">
        <f t="shared" si="855"/>
        <v>84540.12999999999</v>
      </c>
      <c r="R294" s="214">
        <f t="shared" si="856"/>
        <v>112120</v>
      </c>
      <c r="S294" s="214">
        <f t="shared" si="857"/>
        <v>12070.630735279097</v>
      </c>
      <c r="T294" s="185" t="s">
        <v>278</v>
      </c>
      <c r="U294" s="185"/>
      <c r="V294" s="57" t="str">
        <f t="shared" si="858"/>
        <v>.</v>
      </c>
      <c r="W294" s="282">
        <v>34822.218142304642</v>
      </c>
      <c r="Y294" s="311">
        <v>11841.080628814248</v>
      </c>
      <c r="Z294" s="192">
        <f t="shared" si="787"/>
        <v>229.5501064648488</v>
      </c>
      <c r="AA294" t="str">
        <f t="shared" si="788"/>
        <v>-</v>
      </c>
      <c r="AB294" t="str">
        <f t="shared" si="789"/>
        <v>-</v>
      </c>
      <c r="AC294" s="523"/>
      <c r="AD294" s="34">
        <f>C294-GAAP!C300</f>
        <v>-3514994</v>
      </c>
      <c r="AF294" s="64">
        <f t="shared" si="859"/>
        <v>277565</v>
      </c>
      <c r="AG294" s="64">
        <f t="shared" si="860"/>
        <v>218288</v>
      </c>
      <c r="AH294" s="64">
        <f t="shared" si="861"/>
        <v>59277</v>
      </c>
      <c r="AI294" s="217">
        <f t="shared" si="862"/>
        <v>0.79107999523565198</v>
      </c>
      <c r="AJ294" s="98">
        <f t="shared" si="863"/>
        <v>46892.84887758374</v>
      </c>
      <c r="AK294" s="98">
        <f t="shared" si="864"/>
        <v>219576.11887758374</v>
      </c>
      <c r="AL294" s="98">
        <f t="shared" si="865"/>
        <v>-1861.1188775837363</v>
      </c>
      <c r="AM294" s="98">
        <f t="shared" si="866"/>
        <v>45604.73000000001</v>
      </c>
      <c r="AN294" s="98">
        <f t="shared" si="867"/>
        <v>59850</v>
      </c>
      <c r="AO294" s="222">
        <f>GAAP!P299</f>
        <v>74409.070972223708</v>
      </c>
      <c r="AP294" s="129">
        <f t="shared" si="868"/>
        <v>-27516.222094639968</v>
      </c>
    </row>
    <row r="295" spans="1:42" ht="13.5">
      <c r="A295" s="259">
        <v>56.104300000000002</v>
      </c>
      <c r="B295" s="57" t="s">
        <v>435</v>
      </c>
      <c r="C295" s="163">
        <v>336610</v>
      </c>
      <c r="D295" s="216">
        <f t="shared" si="849"/>
        <v>311391</v>
      </c>
      <c r="E295" s="149">
        <v>25219</v>
      </c>
      <c r="F295" s="149">
        <v>214994.3</v>
      </c>
      <c r="G295" s="217">
        <f t="shared" si="850"/>
        <v>0.69043196495724024</v>
      </c>
      <c r="H295" s="149">
        <v>17412.003724256643</v>
      </c>
      <c r="I295" s="214">
        <f t="shared" si="851"/>
        <v>232406.30372425664</v>
      </c>
      <c r="J295" s="149">
        <v>0</v>
      </c>
      <c r="K295" s="214">
        <f t="shared" si="852"/>
        <v>-232406.30372425664</v>
      </c>
      <c r="L295" s="214">
        <f t="shared" si="853"/>
        <v>96396.700000000012</v>
      </c>
      <c r="M295" s="214">
        <f t="shared" si="854"/>
        <v>336610</v>
      </c>
      <c r="N295" s="222">
        <v>37458.879999999997</v>
      </c>
      <c r="O295" s="222">
        <v>0</v>
      </c>
      <c r="P295" s="222">
        <v>0</v>
      </c>
      <c r="Q295" s="214">
        <f t="shared" si="855"/>
        <v>177535.41999999998</v>
      </c>
      <c r="R295" s="214">
        <f t="shared" si="856"/>
        <v>0</v>
      </c>
      <c r="S295" s="214">
        <f t="shared" si="857"/>
        <v>17412.003724256643</v>
      </c>
      <c r="T295" s="185" t="s">
        <v>278</v>
      </c>
      <c r="U295" s="185"/>
      <c r="V295" s="57" t="str">
        <f t="shared" si="858"/>
        <v>.</v>
      </c>
      <c r="W295" s="282">
        <v>4449.6548011828163</v>
      </c>
      <c r="Y295" s="311">
        <v>8135.6389659351062</v>
      </c>
      <c r="Z295" s="192">
        <f t="shared" si="787"/>
        <v>9276.364758321537</v>
      </c>
      <c r="AA295" t="str">
        <f t="shared" si="788"/>
        <v>-</v>
      </c>
      <c r="AB295" t="str">
        <f t="shared" si="789"/>
        <v>-</v>
      </c>
      <c r="AC295" s="523"/>
      <c r="AD295" s="34">
        <f>C295-GAAP!C301</f>
        <v>215719</v>
      </c>
      <c r="AF295" s="64">
        <f t="shared" si="859"/>
        <v>336610</v>
      </c>
      <c r="AG295" s="64">
        <f t="shared" si="860"/>
        <v>311391</v>
      </c>
      <c r="AH295" s="64">
        <f t="shared" si="861"/>
        <v>25219</v>
      </c>
      <c r="AI295" s="217">
        <f t="shared" si="862"/>
        <v>0.69043196495724024</v>
      </c>
      <c r="AJ295" s="98">
        <f t="shared" si="863"/>
        <v>17412.003724256643</v>
      </c>
      <c r="AK295" s="98">
        <f t="shared" si="864"/>
        <v>232406.30372425664</v>
      </c>
      <c r="AL295" s="98">
        <f t="shared" si="865"/>
        <v>-232406.30372425664</v>
      </c>
      <c r="AM295" s="98">
        <f t="shared" si="866"/>
        <v>96396.700000000012</v>
      </c>
      <c r="AN295" s="98">
        <f t="shared" si="867"/>
        <v>336610</v>
      </c>
      <c r="AO295" s="222">
        <f>GAAP!P300</f>
        <v>0</v>
      </c>
      <c r="AP295" s="129">
        <f t="shared" si="868"/>
        <v>17412.003724256643</v>
      </c>
    </row>
    <row r="296" spans="1:42" ht="13.5">
      <c r="A296" s="259">
        <v>56.104599999999998</v>
      </c>
      <c r="B296" s="57" t="s">
        <v>436</v>
      </c>
      <c r="C296" s="163">
        <v>77120</v>
      </c>
      <c r="D296" s="216">
        <f t="shared" si="849"/>
        <v>79956</v>
      </c>
      <c r="E296" s="149">
        <v>-2836</v>
      </c>
      <c r="F296" s="149">
        <v>77765.8</v>
      </c>
      <c r="G296" s="217">
        <f t="shared" si="850"/>
        <v>0.97260743408874883</v>
      </c>
      <c r="H296" s="149">
        <v>-2836</v>
      </c>
      <c r="I296" s="214">
        <f t="shared" si="851"/>
        <v>74929.8</v>
      </c>
      <c r="J296" s="149">
        <v>75120</v>
      </c>
      <c r="K296" s="214">
        <f t="shared" si="852"/>
        <v>190.19999999999709</v>
      </c>
      <c r="L296" s="214">
        <f t="shared" si="853"/>
        <v>2190.1999999999971</v>
      </c>
      <c r="M296" s="214">
        <f t="shared" si="854"/>
        <v>2000</v>
      </c>
      <c r="N296" s="222">
        <v>9466.4</v>
      </c>
      <c r="O296" s="222">
        <v>0</v>
      </c>
      <c r="P296" s="222">
        <v>0</v>
      </c>
      <c r="Q296" s="214">
        <f t="shared" si="855"/>
        <v>68299.400000000009</v>
      </c>
      <c r="R296" s="214">
        <f t="shared" si="856"/>
        <v>75120</v>
      </c>
      <c r="S296" s="214">
        <f t="shared" si="857"/>
        <v>-2836</v>
      </c>
      <c r="T296" s="185" t="s">
        <v>278</v>
      </c>
      <c r="U296" s="185"/>
      <c r="V296" s="57" t="str">
        <f t="shared" si="858"/>
        <v>&lt; 250k</v>
      </c>
      <c r="W296" s="282">
        <v>1603.6473077127516</v>
      </c>
      <c r="Y296" s="311">
        <v>-2190</v>
      </c>
      <c r="Z296" s="192">
        <f t="shared" si="787"/>
        <v>-646</v>
      </c>
      <c r="AA296" t="str">
        <f t="shared" si="788"/>
        <v>-</v>
      </c>
      <c r="AB296" t="str">
        <f t="shared" si="789"/>
        <v>-</v>
      </c>
      <c r="AC296" s="523"/>
      <c r="AD296" s="34">
        <f>C296-GAAP!C302</f>
        <v>-322269</v>
      </c>
      <c r="AF296" s="64">
        <f t="shared" si="859"/>
        <v>77120</v>
      </c>
      <c r="AG296" s="64">
        <f t="shared" si="860"/>
        <v>79956</v>
      </c>
      <c r="AH296" s="64">
        <f t="shared" si="861"/>
        <v>-2836</v>
      </c>
      <c r="AI296" s="217">
        <f t="shared" si="862"/>
        <v>0.97260743408874883</v>
      </c>
      <c r="AJ296" s="98">
        <f t="shared" si="863"/>
        <v>-2836</v>
      </c>
      <c r="AK296" s="98">
        <f t="shared" si="864"/>
        <v>74929.8</v>
      </c>
      <c r="AL296" s="98">
        <f t="shared" si="865"/>
        <v>190.19999999999709</v>
      </c>
      <c r="AM296" s="98">
        <f t="shared" si="866"/>
        <v>2190.1999999999971</v>
      </c>
      <c r="AN296" s="98">
        <f t="shared" si="867"/>
        <v>2000</v>
      </c>
      <c r="AO296" s="222">
        <f>GAAP!P301</f>
        <v>2514.9895595313742</v>
      </c>
      <c r="AP296" s="129">
        <f t="shared" si="868"/>
        <v>-5350.9895595313737</v>
      </c>
    </row>
    <row r="297" spans="1:42" ht="13.5">
      <c r="A297" s="259">
        <v>56.104700000000001</v>
      </c>
      <c r="B297" s="57" t="s">
        <v>437</v>
      </c>
      <c r="C297" s="163">
        <v>2394758</v>
      </c>
      <c r="D297" s="216">
        <f t="shared" si="849"/>
        <v>2040555</v>
      </c>
      <c r="E297" s="149">
        <v>354203</v>
      </c>
      <c r="F297" s="149">
        <v>1602869.63</v>
      </c>
      <c r="G297" s="217">
        <f t="shared" si="850"/>
        <v>0.78550670283329771</v>
      </c>
      <c r="H297" s="149">
        <v>278228.83066366252</v>
      </c>
      <c r="I297" s="214">
        <f t="shared" si="851"/>
        <v>1881098.4606636623</v>
      </c>
      <c r="J297" s="149">
        <v>1905218.25</v>
      </c>
      <c r="K297" s="214">
        <f t="shared" si="852"/>
        <v>24119.789336337708</v>
      </c>
      <c r="L297" s="214">
        <f t="shared" si="853"/>
        <v>437685.37000000011</v>
      </c>
      <c r="M297" s="214">
        <f t="shared" si="854"/>
        <v>489539.75</v>
      </c>
      <c r="N297" s="222">
        <v>60536.160000000003</v>
      </c>
      <c r="O297" s="222">
        <v>0</v>
      </c>
      <c r="P297" s="222">
        <v>0</v>
      </c>
      <c r="Q297" s="214">
        <f t="shared" si="855"/>
        <v>1542333.47</v>
      </c>
      <c r="R297" s="214">
        <f t="shared" si="856"/>
        <v>1905218.25</v>
      </c>
      <c r="S297" s="214">
        <f t="shared" si="857"/>
        <v>278228.83066366252</v>
      </c>
      <c r="T297" s="185" t="s">
        <v>278</v>
      </c>
      <c r="U297" s="185"/>
      <c r="V297" s="57" t="str">
        <f t="shared" si="858"/>
        <v>.</v>
      </c>
      <c r="W297" s="282">
        <v>0</v>
      </c>
      <c r="Y297" s="311">
        <v>177980.76255170745</v>
      </c>
      <c r="Z297" s="192">
        <f t="shared" si="787"/>
        <v>100248.06811195507</v>
      </c>
      <c r="AA297" t="str">
        <f t="shared" si="788"/>
        <v>-</v>
      </c>
      <c r="AB297" t="str">
        <f t="shared" si="789"/>
        <v>-</v>
      </c>
      <c r="AC297" s="523"/>
      <c r="AD297" s="34">
        <f>C297-GAAP!C303</f>
        <v>1990095</v>
      </c>
      <c r="AF297" s="64">
        <f t="shared" si="859"/>
        <v>2394758</v>
      </c>
      <c r="AG297" s="64">
        <f t="shared" si="860"/>
        <v>2040555</v>
      </c>
      <c r="AH297" s="64">
        <f t="shared" si="861"/>
        <v>354203</v>
      </c>
      <c r="AI297" s="217">
        <f t="shared" si="862"/>
        <v>0.78550670283329771</v>
      </c>
      <c r="AJ297" s="98">
        <f t="shared" si="863"/>
        <v>278228.83066366252</v>
      </c>
      <c r="AK297" s="98">
        <f t="shared" si="864"/>
        <v>1881098.4606636623</v>
      </c>
      <c r="AL297" s="98">
        <f t="shared" si="865"/>
        <v>24119.789336337708</v>
      </c>
      <c r="AM297" s="98">
        <f t="shared" si="866"/>
        <v>437685.37000000011</v>
      </c>
      <c r="AN297" s="98">
        <f t="shared" si="867"/>
        <v>489539.75</v>
      </c>
      <c r="AO297" s="222">
        <f>GAAP!P302</f>
        <v>0</v>
      </c>
      <c r="AP297" s="129">
        <f t="shared" si="868"/>
        <v>278228.83066366252</v>
      </c>
    </row>
    <row r="298" spans="1:42" ht="13.5">
      <c r="A298" s="259">
        <v>56.104799999999997</v>
      </c>
      <c r="B298" s="57" t="s">
        <v>449</v>
      </c>
      <c r="C298" s="163">
        <v>200000</v>
      </c>
      <c r="D298" s="216">
        <f t="shared" si="849"/>
        <v>161119</v>
      </c>
      <c r="E298" s="149">
        <v>38881</v>
      </c>
      <c r="F298" s="149">
        <v>157916.15</v>
      </c>
      <c r="G298" s="217">
        <f t="shared" si="850"/>
        <v>0.98012121475431202</v>
      </c>
      <c r="H298" s="149">
        <v>38108.092950862403</v>
      </c>
      <c r="I298" s="214">
        <f t="shared" si="851"/>
        <v>196024.24295086239</v>
      </c>
      <c r="J298" s="149">
        <v>187500</v>
      </c>
      <c r="K298" s="214">
        <f t="shared" si="852"/>
        <v>-8524.24295086239</v>
      </c>
      <c r="L298" s="214">
        <f t="shared" si="853"/>
        <v>3202.8500000000058</v>
      </c>
      <c r="M298" s="214">
        <f t="shared" si="854"/>
        <v>12500</v>
      </c>
      <c r="N298" s="222">
        <v>20789.349999999999</v>
      </c>
      <c r="O298" s="222">
        <v>0</v>
      </c>
      <c r="P298" s="222">
        <v>0</v>
      </c>
      <c r="Q298" s="214">
        <f t="shared" si="855"/>
        <v>137126.79999999999</v>
      </c>
      <c r="R298" s="214">
        <f t="shared" si="856"/>
        <v>187500</v>
      </c>
      <c r="S298" s="214">
        <f t="shared" si="857"/>
        <v>38108.092950862403</v>
      </c>
      <c r="T298" s="185" t="s">
        <v>278</v>
      </c>
      <c r="U298" s="185"/>
      <c r="V298" s="57" t="str">
        <f t="shared" si="858"/>
        <v>&lt; 250k</v>
      </c>
      <c r="W298" s="282">
        <v>34643.742911328278</v>
      </c>
      <c r="Y298" s="311">
        <v>38765.129857890024</v>
      </c>
      <c r="Z298" s="192">
        <f t="shared" si="787"/>
        <v>-657.03690702762106</v>
      </c>
      <c r="AA298" t="str">
        <f t="shared" si="788"/>
        <v>-</v>
      </c>
      <c r="AB298" t="str">
        <f t="shared" si="789"/>
        <v>-</v>
      </c>
      <c r="AC298" s="523"/>
      <c r="AD298" s="34" t="e">
        <f>C298-GAAP!#REF!</f>
        <v>#REF!</v>
      </c>
      <c r="AF298" s="64">
        <f t="shared" si="859"/>
        <v>200000</v>
      </c>
      <c r="AG298" s="64">
        <f t="shared" si="860"/>
        <v>161119</v>
      </c>
      <c r="AH298" s="64">
        <f t="shared" si="861"/>
        <v>38881</v>
      </c>
      <c r="AI298" s="217">
        <f t="shared" si="862"/>
        <v>0.98012121475431202</v>
      </c>
      <c r="AJ298" s="98">
        <f t="shared" si="863"/>
        <v>38108.092950862403</v>
      </c>
      <c r="AK298" s="98">
        <f t="shared" si="864"/>
        <v>196024.24295086239</v>
      </c>
      <c r="AL298" s="98">
        <f t="shared" si="865"/>
        <v>-8524.24295086239</v>
      </c>
      <c r="AM298" s="98">
        <f t="shared" si="866"/>
        <v>3202.8500000000058</v>
      </c>
      <c r="AN298" s="98">
        <f t="shared" si="867"/>
        <v>12500</v>
      </c>
      <c r="AO298" s="222">
        <f>GAAP!P303</f>
        <v>10941.561946541931</v>
      </c>
      <c r="AP298" s="129">
        <f t="shared" si="868"/>
        <v>27166.531004320474</v>
      </c>
    </row>
    <row r="299" spans="1:42" ht="13.5">
      <c r="A299" s="259">
        <v>56.104900000000001</v>
      </c>
      <c r="B299" s="57" t="s">
        <v>438</v>
      </c>
      <c r="C299" s="163">
        <v>308725</v>
      </c>
      <c r="D299" s="216">
        <f t="shared" si="849"/>
        <v>248873</v>
      </c>
      <c r="E299" s="149">
        <v>59852</v>
      </c>
      <c r="F299" s="149">
        <v>214423.06</v>
      </c>
      <c r="G299" s="217">
        <f t="shared" si="850"/>
        <v>0.86157622562511804</v>
      </c>
      <c r="H299" s="149">
        <v>51567.060256114564</v>
      </c>
      <c r="I299" s="214">
        <f t="shared" si="851"/>
        <v>265990.12025611458</v>
      </c>
      <c r="J299" s="149">
        <v>291725</v>
      </c>
      <c r="K299" s="214">
        <f t="shared" si="852"/>
        <v>25734.879743885424</v>
      </c>
      <c r="L299" s="214">
        <f t="shared" si="853"/>
        <v>34449.94</v>
      </c>
      <c r="M299" s="214">
        <f t="shared" si="854"/>
        <v>17000</v>
      </c>
      <c r="N299" s="222">
        <v>127480.78</v>
      </c>
      <c r="O299" s="222">
        <v>137812.5</v>
      </c>
      <c r="P299" s="222">
        <v>74409.070972223708</v>
      </c>
      <c r="Q299" s="214">
        <f t="shared" si="855"/>
        <v>86942.28</v>
      </c>
      <c r="R299" s="214">
        <f t="shared" si="856"/>
        <v>153912.5</v>
      </c>
      <c r="S299" s="214">
        <f t="shared" si="857"/>
        <v>-22842.010716109144</v>
      </c>
      <c r="T299" s="185" t="s">
        <v>278</v>
      </c>
      <c r="U299" s="185"/>
      <c r="V299" s="57" t="str">
        <f t="shared" si="858"/>
        <v>.</v>
      </c>
      <c r="W299" s="282">
        <v>74409.070972223708</v>
      </c>
      <c r="Y299" s="311">
        <v>-28175.145891730703</v>
      </c>
      <c r="Z299" s="192">
        <f t="shared" si="787"/>
        <v>5333.135175621559</v>
      </c>
      <c r="AA299" t="str">
        <f t="shared" si="788"/>
        <v>-</v>
      </c>
      <c r="AB299" t="str">
        <f t="shared" si="789"/>
        <v>-</v>
      </c>
      <c r="AC299" s="523"/>
      <c r="AD299" s="34">
        <f>C299-GAAP!C304</f>
        <v>200725</v>
      </c>
      <c r="AF299" s="64">
        <f t="shared" si="859"/>
        <v>308725</v>
      </c>
      <c r="AG299" s="64">
        <f t="shared" si="860"/>
        <v>248873</v>
      </c>
      <c r="AH299" s="64">
        <f t="shared" si="861"/>
        <v>59852</v>
      </c>
      <c r="AI299" s="217">
        <f t="shared" si="862"/>
        <v>0.86157622562511804</v>
      </c>
      <c r="AJ299" s="98">
        <f t="shared" si="863"/>
        <v>51567.060256114564</v>
      </c>
      <c r="AK299" s="98">
        <f t="shared" si="864"/>
        <v>265990.12025611458</v>
      </c>
      <c r="AL299" s="98">
        <f t="shared" si="865"/>
        <v>25734.879743885424</v>
      </c>
      <c r="AM299" s="98">
        <f t="shared" si="866"/>
        <v>34449.94</v>
      </c>
      <c r="AN299" s="98">
        <f t="shared" si="867"/>
        <v>17000</v>
      </c>
      <c r="AO299" s="222" t="e">
        <f>GAAP!#REF!</f>
        <v>#REF!</v>
      </c>
      <c r="AP299" s="129" t="e">
        <f t="shared" si="868"/>
        <v>#REF!</v>
      </c>
    </row>
    <row r="300" spans="1:42" ht="13.5">
      <c r="A300" s="259">
        <v>56.104999999999997</v>
      </c>
      <c r="B300" s="57" t="s">
        <v>445</v>
      </c>
      <c r="C300" s="163">
        <v>3792559</v>
      </c>
      <c r="D300" s="216">
        <f t="shared" si="849"/>
        <v>3365567</v>
      </c>
      <c r="E300" s="149">
        <v>426992</v>
      </c>
      <c r="F300" s="149">
        <v>925847.53</v>
      </c>
      <c r="G300" s="217">
        <f t="shared" si="850"/>
        <v>0.27509407181613083</v>
      </c>
      <c r="H300" s="149">
        <v>117462.96791291333</v>
      </c>
      <c r="I300" s="214">
        <f t="shared" si="851"/>
        <v>1043310.4979129133</v>
      </c>
      <c r="J300" s="149">
        <v>675979.5</v>
      </c>
      <c r="K300" s="214">
        <f t="shared" si="852"/>
        <v>-367330.99791291333</v>
      </c>
      <c r="L300" s="214">
        <f t="shared" si="853"/>
        <v>2439719.4699999997</v>
      </c>
      <c r="M300" s="214">
        <f t="shared" si="854"/>
        <v>3116579.5</v>
      </c>
      <c r="N300" s="222">
        <v>54464.62</v>
      </c>
      <c r="O300" s="222">
        <v>0</v>
      </c>
      <c r="P300" s="222">
        <v>0</v>
      </c>
      <c r="Q300" s="214">
        <f t="shared" si="855"/>
        <v>871382.91</v>
      </c>
      <c r="R300" s="214">
        <f t="shared" si="856"/>
        <v>675979.5</v>
      </c>
      <c r="S300" s="214">
        <f t="shared" si="857"/>
        <v>117462.96791291333</v>
      </c>
      <c r="T300" s="185" t="s">
        <v>278</v>
      </c>
      <c r="U300" s="185"/>
      <c r="V300" s="57" t="str">
        <f t="shared" si="858"/>
        <v>.</v>
      </c>
      <c r="W300" s="282">
        <v>0</v>
      </c>
      <c r="Y300" s="311">
        <v>119001.66962453356</v>
      </c>
      <c r="Z300" s="192">
        <f t="shared" si="787"/>
        <v>-1538.7017116202333</v>
      </c>
      <c r="AA300" t="str">
        <f t="shared" si="788"/>
        <v>-</v>
      </c>
      <c r="AB300" t="str">
        <f t="shared" si="789"/>
        <v>-</v>
      </c>
      <c r="AC300" s="523"/>
      <c r="AD300" s="34">
        <f>C300-GAAP!C305</f>
        <v>3197559</v>
      </c>
      <c r="AF300" s="64">
        <f t="shared" si="859"/>
        <v>3792559</v>
      </c>
      <c r="AG300" s="64">
        <f t="shared" si="860"/>
        <v>3365567</v>
      </c>
      <c r="AH300" s="64">
        <f t="shared" si="861"/>
        <v>426992</v>
      </c>
      <c r="AI300" s="217">
        <f t="shared" si="862"/>
        <v>0.27509407181613083</v>
      </c>
      <c r="AJ300" s="98">
        <f t="shared" si="863"/>
        <v>117462.96791291333</v>
      </c>
      <c r="AK300" s="98">
        <f t="shared" si="864"/>
        <v>1043310.4979129133</v>
      </c>
      <c r="AL300" s="98">
        <f t="shared" si="865"/>
        <v>-367330.99791291333</v>
      </c>
      <c r="AM300" s="98">
        <f t="shared" si="866"/>
        <v>2439719.4699999997</v>
      </c>
      <c r="AN300" s="98">
        <f t="shared" si="867"/>
        <v>3116579.5</v>
      </c>
      <c r="AO300" s="222">
        <f>GAAP!P304</f>
        <v>2968.0708063102543</v>
      </c>
      <c r="AP300" s="129">
        <f t="shared" si="868"/>
        <v>114494.89710660308</v>
      </c>
    </row>
    <row r="301" spans="1:42" ht="13.5">
      <c r="A301" s="259">
        <v>56.105499999999999</v>
      </c>
      <c r="B301" s="57" t="s">
        <v>464</v>
      </c>
      <c r="C301" s="163">
        <v>120891</v>
      </c>
      <c r="D301" s="216">
        <f t="shared" si="849"/>
        <v>92848</v>
      </c>
      <c r="E301" s="149">
        <v>28043</v>
      </c>
      <c r="F301" s="149">
        <v>78736.44</v>
      </c>
      <c r="G301" s="217">
        <f t="shared" si="850"/>
        <v>0.84801438910908156</v>
      </c>
      <c r="H301" s="149">
        <v>23780.867513785975</v>
      </c>
      <c r="I301" s="214">
        <f t="shared" si="851"/>
        <v>102517.30751378599</v>
      </c>
      <c r="J301" s="149">
        <v>120891</v>
      </c>
      <c r="K301" s="214">
        <f t="shared" si="852"/>
        <v>18373.692486214015</v>
      </c>
      <c r="L301" s="214">
        <f t="shared" si="853"/>
        <v>14111.559999999998</v>
      </c>
      <c r="M301" s="214">
        <f t="shared" si="854"/>
        <v>0</v>
      </c>
      <c r="N301" s="222">
        <v>14271.01</v>
      </c>
      <c r="O301" s="222">
        <v>0</v>
      </c>
      <c r="P301" s="222">
        <v>0</v>
      </c>
      <c r="Q301" s="214">
        <f t="shared" si="855"/>
        <v>64465.43</v>
      </c>
      <c r="R301" s="214">
        <f t="shared" si="856"/>
        <v>120891</v>
      </c>
      <c r="S301" s="214">
        <f t="shared" si="857"/>
        <v>23780.867513785975</v>
      </c>
      <c r="T301" s="185" t="s">
        <v>278</v>
      </c>
      <c r="U301" s="185"/>
      <c r="V301" s="57" t="str">
        <f t="shared" si="858"/>
        <v>&lt; 250k</v>
      </c>
      <c r="W301" s="282">
        <v>2514.9895595313742</v>
      </c>
      <c r="Y301" s="311">
        <v>21426.962914542921</v>
      </c>
      <c r="Z301" s="192">
        <f t="shared" si="787"/>
        <v>2353.9045992430547</v>
      </c>
      <c r="AA301" t="str">
        <f t="shared" si="788"/>
        <v>-</v>
      </c>
      <c r="AB301" t="str">
        <f t="shared" si="789"/>
        <v>-</v>
      </c>
      <c r="AC301" s="523"/>
      <c r="AD301" s="34">
        <f>C301-GAAP!C309</f>
        <v>95534.75</v>
      </c>
      <c r="AF301" s="64">
        <f t="shared" si="859"/>
        <v>120891</v>
      </c>
      <c r="AG301" s="64">
        <f t="shared" si="860"/>
        <v>92848</v>
      </c>
      <c r="AH301" s="64">
        <f t="shared" si="861"/>
        <v>28043</v>
      </c>
      <c r="AI301" s="217">
        <f t="shared" si="862"/>
        <v>0.84801438910908156</v>
      </c>
      <c r="AJ301" s="98">
        <f t="shared" si="863"/>
        <v>23780.867513785975</v>
      </c>
      <c r="AK301" s="98">
        <f t="shared" si="864"/>
        <v>102517.30751378599</v>
      </c>
      <c r="AL301" s="98">
        <f t="shared" si="865"/>
        <v>18373.692486214015</v>
      </c>
      <c r="AM301" s="98">
        <f t="shared" si="866"/>
        <v>14111.559999999998</v>
      </c>
      <c r="AN301" s="98">
        <f t="shared" si="867"/>
        <v>0</v>
      </c>
      <c r="AO301" s="222">
        <f>GAAP!P308</f>
        <v>0</v>
      </c>
      <c r="AP301" s="129">
        <f t="shared" si="868"/>
        <v>23780.867513785975</v>
      </c>
    </row>
    <row r="302" spans="1:42" ht="13.5">
      <c r="A302" s="259">
        <v>56.105899999999998</v>
      </c>
      <c r="B302" s="57" t="s">
        <v>466</v>
      </c>
      <c r="C302" s="163">
        <v>399389</v>
      </c>
      <c r="D302" s="216">
        <f t="shared" si="849"/>
        <v>329206</v>
      </c>
      <c r="E302" s="149">
        <v>70183</v>
      </c>
      <c r="F302" s="149">
        <v>235841.92000000001</v>
      </c>
      <c r="G302" s="217">
        <f t="shared" si="850"/>
        <v>0.71639617746942652</v>
      </c>
      <c r="H302" s="149">
        <v>50278.832923336762</v>
      </c>
      <c r="I302" s="214">
        <f t="shared" si="851"/>
        <v>286120.75292333675</v>
      </c>
      <c r="J302" s="149">
        <v>0</v>
      </c>
      <c r="K302" s="214">
        <f t="shared" si="852"/>
        <v>-286120.75292333675</v>
      </c>
      <c r="L302" s="214">
        <f t="shared" si="853"/>
        <v>93364.079999999987</v>
      </c>
      <c r="M302" s="214">
        <f t="shared" si="854"/>
        <v>399389</v>
      </c>
      <c r="N302" s="222">
        <v>26703.38</v>
      </c>
      <c r="O302" s="222">
        <v>0</v>
      </c>
      <c r="P302" s="222">
        <v>0</v>
      </c>
      <c r="Q302" s="214">
        <f t="shared" si="855"/>
        <v>209138.54</v>
      </c>
      <c r="R302" s="214">
        <f t="shared" si="856"/>
        <v>0</v>
      </c>
      <c r="S302" s="214">
        <f t="shared" si="857"/>
        <v>50278.832923336762</v>
      </c>
      <c r="T302" s="185" t="s">
        <v>278</v>
      </c>
      <c r="U302" s="185"/>
      <c r="V302" s="57" t="str">
        <f t="shared" si="858"/>
        <v>.</v>
      </c>
      <c r="W302" s="282">
        <v>0</v>
      </c>
      <c r="Y302" s="311">
        <v>48483.900339491702</v>
      </c>
      <c r="Z302" s="192">
        <f t="shared" si="787"/>
        <v>1794.9325838450604</v>
      </c>
      <c r="AA302" t="str">
        <f t="shared" si="788"/>
        <v>-</v>
      </c>
      <c r="AB302" t="str">
        <f t="shared" si="789"/>
        <v>-</v>
      </c>
      <c r="AC302" s="523"/>
      <c r="AD302" s="34">
        <f>C302-GAAP!C312</f>
        <v>319389</v>
      </c>
      <c r="AF302" s="64">
        <f t="shared" si="859"/>
        <v>399389</v>
      </c>
      <c r="AG302" s="64">
        <f t="shared" si="860"/>
        <v>329206</v>
      </c>
      <c r="AH302" s="64">
        <f t="shared" si="861"/>
        <v>70183</v>
      </c>
      <c r="AI302" s="217">
        <f t="shared" si="862"/>
        <v>0.71639617746942652</v>
      </c>
      <c r="AJ302" s="98">
        <f t="shared" si="863"/>
        <v>50278.832923336762</v>
      </c>
      <c r="AK302" s="98">
        <f t="shared" si="864"/>
        <v>286120.75292333675</v>
      </c>
      <c r="AL302" s="98">
        <f t="shared" si="865"/>
        <v>-286120.75292333675</v>
      </c>
      <c r="AM302" s="98">
        <f t="shared" si="866"/>
        <v>93364.079999999987</v>
      </c>
      <c r="AN302" s="98">
        <f t="shared" si="867"/>
        <v>399389</v>
      </c>
      <c r="AO302" s="222">
        <f>GAAP!P310</f>
        <v>0</v>
      </c>
      <c r="AP302" s="129">
        <f t="shared" si="868"/>
        <v>50278.832923336762</v>
      </c>
    </row>
    <row r="303" spans="1:42" ht="13.5">
      <c r="A303" s="259">
        <v>56.106000000000002</v>
      </c>
      <c r="B303" s="57" t="s">
        <v>467</v>
      </c>
      <c r="C303" s="163">
        <v>404663</v>
      </c>
      <c r="D303" s="216">
        <f t="shared" si="849"/>
        <v>322491</v>
      </c>
      <c r="E303" s="149">
        <v>82172</v>
      </c>
      <c r="F303" s="149">
        <v>145563.35999999999</v>
      </c>
      <c r="G303" s="217">
        <f t="shared" si="850"/>
        <v>0.45137185223773685</v>
      </c>
      <c r="H303" s="149">
        <v>37090.12784207931</v>
      </c>
      <c r="I303" s="214">
        <f t="shared" si="851"/>
        <v>182653.48784207931</v>
      </c>
      <c r="J303" s="149">
        <v>0</v>
      </c>
      <c r="K303" s="214">
        <f t="shared" si="852"/>
        <v>-182653.48784207931</v>
      </c>
      <c r="L303" s="214">
        <f t="shared" si="853"/>
        <v>176927.64</v>
      </c>
      <c r="M303" s="214">
        <f t="shared" si="854"/>
        <v>404663</v>
      </c>
      <c r="N303" s="222">
        <v>36446.559999999998</v>
      </c>
      <c r="O303" s="222">
        <v>0</v>
      </c>
      <c r="P303" s="222">
        <v>0</v>
      </c>
      <c r="Q303" s="214">
        <f t="shared" si="855"/>
        <v>109116.79999999999</v>
      </c>
      <c r="R303" s="214">
        <f t="shared" si="856"/>
        <v>0</v>
      </c>
      <c r="S303" s="214">
        <f t="shared" si="857"/>
        <v>37090.12784207931</v>
      </c>
      <c r="T303" s="185" t="s">
        <v>278</v>
      </c>
      <c r="U303" s="185"/>
      <c r="V303" s="57" t="str">
        <f t="shared" si="858"/>
        <v>.</v>
      </c>
      <c r="W303" s="282">
        <v>10941.561946541931</v>
      </c>
      <c r="Y303" s="311">
        <v>29822.434751678971</v>
      </c>
      <c r="Z303" s="192">
        <f t="shared" si="787"/>
        <v>7267.6930904003384</v>
      </c>
      <c r="AA303" t="str">
        <f t="shared" si="788"/>
        <v>-</v>
      </c>
      <c r="AB303" t="str">
        <f t="shared" si="789"/>
        <v>-</v>
      </c>
      <c r="AC303" s="523"/>
      <c r="AD303" s="34">
        <f>C303-GAAP!C313</f>
        <v>28663</v>
      </c>
      <c r="AF303" s="64">
        <f t="shared" si="859"/>
        <v>404663</v>
      </c>
      <c r="AG303" s="64">
        <f t="shared" si="860"/>
        <v>322491</v>
      </c>
      <c r="AH303" s="64">
        <f t="shared" si="861"/>
        <v>82172</v>
      </c>
      <c r="AI303" s="217">
        <f t="shared" si="862"/>
        <v>0.45137185223773685</v>
      </c>
      <c r="AJ303" s="98">
        <f t="shared" si="863"/>
        <v>37090.12784207931</v>
      </c>
      <c r="AK303" s="98">
        <f t="shared" si="864"/>
        <v>182653.48784207931</v>
      </c>
      <c r="AL303" s="98">
        <f t="shared" si="865"/>
        <v>-182653.48784207931</v>
      </c>
      <c r="AM303" s="98">
        <f t="shared" si="866"/>
        <v>176927.64</v>
      </c>
      <c r="AN303" s="98">
        <f t="shared" si="867"/>
        <v>404663</v>
      </c>
      <c r="AO303" s="222">
        <f>GAAP!P311</f>
        <v>0</v>
      </c>
      <c r="AP303" s="129">
        <f t="shared" si="868"/>
        <v>37090.12784207931</v>
      </c>
    </row>
    <row r="304" spans="1:42" ht="13.5">
      <c r="A304" s="259">
        <v>56.106299999999997</v>
      </c>
      <c r="B304" s="57" t="s">
        <v>469</v>
      </c>
      <c r="C304" s="163">
        <v>108000</v>
      </c>
      <c r="D304" s="216">
        <f t="shared" si="849"/>
        <v>97921</v>
      </c>
      <c r="E304" s="149">
        <v>10079</v>
      </c>
      <c r="F304" s="149">
        <v>74040.41</v>
      </c>
      <c r="G304" s="217">
        <f t="shared" si="850"/>
        <v>0.75612391621817587</v>
      </c>
      <c r="H304" s="149">
        <v>7620.9729515629942</v>
      </c>
      <c r="I304" s="214">
        <f t="shared" si="851"/>
        <v>81661.382951562991</v>
      </c>
      <c r="J304" s="149">
        <v>10000</v>
      </c>
      <c r="K304" s="214">
        <f t="shared" si="852"/>
        <v>-71661.382951562991</v>
      </c>
      <c r="L304" s="214">
        <f t="shared" si="853"/>
        <v>23880.589999999997</v>
      </c>
      <c r="M304" s="214">
        <f t="shared" si="854"/>
        <v>98000</v>
      </c>
      <c r="N304" s="222">
        <v>17607.810000000001</v>
      </c>
      <c r="O304" s="222">
        <v>0</v>
      </c>
      <c r="P304" s="222">
        <v>0</v>
      </c>
      <c r="Q304" s="214">
        <f t="shared" si="855"/>
        <v>56432.600000000006</v>
      </c>
      <c r="R304" s="214">
        <f t="shared" si="856"/>
        <v>10000</v>
      </c>
      <c r="S304" s="214">
        <f t="shared" si="857"/>
        <v>7620.9729515629942</v>
      </c>
      <c r="T304" s="185" t="s">
        <v>278</v>
      </c>
      <c r="U304" s="185"/>
      <c r="V304" s="57" t="str">
        <f t="shared" si="858"/>
        <v>&lt; 250k</v>
      </c>
      <c r="W304" s="282">
        <v>2968.0708063102543</v>
      </c>
      <c r="Y304" s="311">
        <v>10183.703191599241</v>
      </c>
      <c r="Z304" s="192">
        <f t="shared" si="787"/>
        <v>-2562.7302400362469</v>
      </c>
      <c r="AA304" t="str">
        <f t="shared" si="788"/>
        <v>-</v>
      </c>
      <c r="AB304" t="str">
        <f t="shared" si="789"/>
        <v>-</v>
      </c>
      <c r="AC304" s="523"/>
      <c r="AD304" s="34" t="e">
        <f>C304-GAAP!#REF!</f>
        <v>#REF!</v>
      </c>
      <c r="AF304" s="64">
        <f t="shared" si="859"/>
        <v>108000</v>
      </c>
      <c r="AG304" s="64">
        <f t="shared" si="860"/>
        <v>97921</v>
      </c>
      <c r="AH304" s="64">
        <f t="shared" si="861"/>
        <v>10079</v>
      </c>
      <c r="AI304" s="217">
        <f t="shared" si="862"/>
        <v>0.75612391621817587</v>
      </c>
      <c r="AJ304" s="98">
        <f t="shared" si="863"/>
        <v>7620.9729515629942</v>
      </c>
      <c r="AK304" s="98">
        <f t="shared" si="864"/>
        <v>81661.382951562991</v>
      </c>
      <c r="AL304" s="98">
        <f t="shared" si="865"/>
        <v>-71661.382951562991</v>
      </c>
      <c r="AM304" s="98">
        <f t="shared" si="866"/>
        <v>23880.589999999997</v>
      </c>
      <c r="AN304" s="98">
        <f t="shared" si="867"/>
        <v>98000</v>
      </c>
      <c r="AO304" s="222">
        <f>GAAP!P313</f>
        <v>0</v>
      </c>
      <c r="AP304" s="129">
        <f t="shared" si="868"/>
        <v>7620.9729515629942</v>
      </c>
    </row>
    <row r="305" spans="1:42" ht="13.5">
      <c r="A305" s="259">
        <v>56.1066</v>
      </c>
      <c r="B305" s="57" t="s">
        <v>474</v>
      </c>
      <c r="C305" s="163">
        <v>595000</v>
      </c>
      <c r="D305" s="216">
        <f t="shared" si="849"/>
        <v>531490</v>
      </c>
      <c r="E305" s="149">
        <v>63510</v>
      </c>
      <c r="F305" s="149">
        <v>476030.06</v>
      </c>
      <c r="G305" s="217">
        <f t="shared" si="850"/>
        <v>0.89565195958531674</v>
      </c>
      <c r="H305" s="149">
        <v>56882.855953263468</v>
      </c>
      <c r="I305" s="214">
        <f t="shared" si="851"/>
        <v>532912.91595326341</v>
      </c>
      <c r="J305" s="149">
        <v>570000</v>
      </c>
      <c r="K305" s="214">
        <f t="shared" si="852"/>
        <v>37087.084046736592</v>
      </c>
      <c r="L305" s="214">
        <f t="shared" si="853"/>
        <v>55459.94</v>
      </c>
      <c r="M305" s="214">
        <f t="shared" si="854"/>
        <v>25000</v>
      </c>
      <c r="N305" s="222">
        <v>12471.13</v>
      </c>
      <c r="O305" s="222">
        <v>0</v>
      </c>
      <c r="P305" s="222">
        <v>0</v>
      </c>
      <c r="Q305" s="214">
        <f t="shared" si="855"/>
        <v>463558.93</v>
      </c>
      <c r="R305" s="214">
        <f t="shared" si="856"/>
        <v>570000</v>
      </c>
      <c r="S305" s="214">
        <f t="shared" si="857"/>
        <v>56882.855953263468</v>
      </c>
      <c r="T305" s="185" t="s">
        <v>278</v>
      </c>
      <c r="U305" s="185"/>
      <c r="V305" s="57" t="str">
        <f t="shared" si="858"/>
        <v>.</v>
      </c>
      <c r="W305" s="282">
        <v>0</v>
      </c>
      <c r="Y305" s="311">
        <v>118603.06511170628</v>
      </c>
      <c r="Z305" s="192">
        <f t="shared" si="787"/>
        <v>-61720.209158442813</v>
      </c>
      <c r="AA305" t="str">
        <f t="shared" si="788"/>
        <v>-</v>
      </c>
      <c r="AB305" t="str">
        <f t="shared" si="789"/>
        <v>-</v>
      </c>
      <c r="AC305" s="523"/>
      <c r="AD305" s="34" t="e">
        <f>C305-GAAP!#REF!</f>
        <v>#REF!</v>
      </c>
      <c r="AF305" s="64">
        <f t="shared" si="859"/>
        <v>595000</v>
      </c>
      <c r="AG305" s="64">
        <f t="shared" si="860"/>
        <v>531490</v>
      </c>
      <c r="AH305" s="64">
        <f t="shared" si="861"/>
        <v>63510</v>
      </c>
      <c r="AI305" s="217">
        <f t="shared" si="862"/>
        <v>0.89565195958531674</v>
      </c>
      <c r="AJ305" s="98">
        <f t="shared" si="863"/>
        <v>56882.855953263468</v>
      </c>
      <c r="AK305" s="98">
        <f t="shared" si="864"/>
        <v>532912.91595326341</v>
      </c>
      <c r="AL305" s="98">
        <f t="shared" si="865"/>
        <v>37087.084046736592</v>
      </c>
      <c r="AM305" s="98">
        <f t="shared" si="866"/>
        <v>55459.94</v>
      </c>
      <c r="AN305" s="98">
        <f t="shared" si="867"/>
        <v>25000</v>
      </c>
      <c r="AO305" s="222" t="e">
        <f>GAAP!#REF!</f>
        <v>#REF!</v>
      </c>
      <c r="AP305" s="129" t="e">
        <f t="shared" si="868"/>
        <v>#REF!</v>
      </c>
    </row>
    <row r="306" spans="1:42" ht="13.5">
      <c r="A306" s="259">
        <v>56.106699999999996</v>
      </c>
      <c r="B306" s="57" t="s">
        <v>475</v>
      </c>
      <c r="C306" s="163">
        <v>478000</v>
      </c>
      <c r="D306" s="216">
        <f t="shared" si="849"/>
        <v>415878</v>
      </c>
      <c r="E306" s="149">
        <v>62122</v>
      </c>
      <c r="F306" s="149">
        <v>104751.99</v>
      </c>
      <c r="G306" s="217">
        <f t="shared" si="850"/>
        <v>0.25188153737394142</v>
      </c>
      <c r="H306" s="149">
        <v>15647.384864743988</v>
      </c>
      <c r="I306" s="214">
        <f t="shared" si="851"/>
        <v>120399.37486474399</v>
      </c>
      <c r="J306" s="149">
        <v>217000</v>
      </c>
      <c r="K306" s="214">
        <f t="shared" si="852"/>
        <v>96600.625135256007</v>
      </c>
      <c r="L306" s="214">
        <f t="shared" si="853"/>
        <v>311126.01</v>
      </c>
      <c r="M306" s="214">
        <f t="shared" si="854"/>
        <v>261000</v>
      </c>
      <c r="N306" s="222">
        <v>4066.38</v>
      </c>
      <c r="O306" s="222">
        <v>0</v>
      </c>
      <c r="P306" s="222">
        <v>0</v>
      </c>
      <c r="Q306" s="214">
        <f t="shared" si="855"/>
        <v>100685.61</v>
      </c>
      <c r="R306" s="214">
        <f t="shared" si="856"/>
        <v>217000</v>
      </c>
      <c r="S306" s="214">
        <f t="shared" si="857"/>
        <v>15647.384864743988</v>
      </c>
      <c r="T306" s="185" t="s">
        <v>278</v>
      </c>
      <c r="U306" s="185"/>
      <c r="V306" s="57" t="str">
        <f t="shared" si="858"/>
        <v>.</v>
      </c>
      <c r="W306" s="282">
        <v>0</v>
      </c>
      <c r="Y306" s="311">
        <v>15509.579716482693</v>
      </c>
      <c r="Z306" s="192">
        <f t="shared" si="787"/>
        <v>137.80514826129547</v>
      </c>
      <c r="AA306" t="str">
        <f t="shared" si="788"/>
        <v>-</v>
      </c>
      <c r="AB306" t="str">
        <f t="shared" si="789"/>
        <v>-</v>
      </c>
      <c r="AC306" s="523"/>
      <c r="AD306" s="34" t="e">
        <f>C306-GAAP!#REF!</f>
        <v>#REF!</v>
      </c>
      <c r="AF306" s="64">
        <f t="shared" si="859"/>
        <v>478000</v>
      </c>
      <c r="AG306" s="64">
        <f t="shared" si="860"/>
        <v>415878</v>
      </c>
      <c r="AH306" s="64">
        <f t="shared" si="861"/>
        <v>62122</v>
      </c>
      <c r="AI306" s="217">
        <f t="shared" si="862"/>
        <v>0.25188153737394142</v>
      </c>
      <c r="AJ306" s="98">
        <f t="shared" si="863"/>
        <v>15647.384864743988</v>
      </c>
      <c r="AK306" s="98">
        <f t="shared" si="864"/>
        <v>120399.37486474399</v>
      </c>
      <c r="AL306" s="98">
        <f t="shared" si="865"/>
        <v>96600.625135256007</v>
      </c>
      <c r="AM306" s="98">
        <f t="shared" si="866"/>
        <v>311126.01</v>
      </c>
      <c r="AN306" s="98">
        <f t="shared" si="867"/>
        <v>261000</v>
      </c>
      <c r="AO306" s="222" t="e">
        <f>GAAP!#REF!</f>
        <v>#REF!</v>
      </c>
      <c r="AP306" s="129" t="e">
        <f t="shared" si="868"/>
        <v>#REF!</v>
      </c>
    </row>
    <row r="307" spans="1:42" ht="13.5">
      <c r="A307" s="259">
        <v>56.107300000000002</v>
      </c>
      <c r="B307" s="57" t="s">
        <v>537</v>
      </c>
      <c r="C307" s="163">
        <v>122210</v>
      </c>
      <c r="D307" s="216">
        <f t="shared" si="849"/>
        <v>114047</v>
      </c>
      <c r="E307" s="149">
        <v>8163</v>
      </c>
      <c r="F307" s="149">
        <v>108855.81</v>
      </c>
      <c r="G307" s="217">
        <f t="shared" si="850"/>
        <v>0.95448201180215175</v>
      </c>
      <c r="H307" s="149">
        <v>7791.4366623409651</v>
      </c>
      <c r="I307" s="214">
        <f t="shared" si="851"/>
        <v>116647.24666234096</v>
      </c>
      <c r="J307" s="149">
        <v>0</v>
      </c>
      <c r="K307" s="214">
        <f t="shared" si="852"/>
        <v>-116647.24666234096</v>
      </c>
      <c r="L307" s="214">
        <f t="shared" si="853"/>
        <v>5191.1900000000023</v>
      </c>
      <c r="M307" s="214">
        <f t="shared" si="854"/>
        <v>122210</v>
      </c>
      <c r="N307" s="222"/>
      <c r="O307" s="222"/>
      <c r="P307" s="222"/>
      <c r="Q307" s="214">
        <f t="shared" si="855"/>
        <v>108855.81</v>
      </c>
      <c r="R307" s="214">
        <f t="shared" si="856"/>
        <v>0</v>
      </c>
      <c r="S307" s="214">
        <f t="shared" si="857"/>
        <v>7791.4366623409651</v>
      </c>
      <c r="T307" s="185" t="s">
        <v>510</v>
      </c>
      <c r="U307" s="185"/>
      <c r="V307" s="57" t="str">
        <f t="shared" si="858"/>
        <v>&lt; 250k</v>
      </c>
      <c r="Y307" s="311">
        <v>7757.8969559032712</v>
      </c>
      <c r="Z307" s="192">
        <f t="shared" si="787"/>
        <v>33.539706437693894</v>
      </c>
      <c r="AA307" t="str">
        <f t="shared" si="788"/>
        <v>-</v>
      </c>
      <c r="AB307" t="str">
        <f t="shared" si="789"/>
        <v>-</v>
      </c>
      <c r="AC307" s="523"/>
      <c r="AD307" s="34" t="e">
        <f>C307-GAAP!#REF!</f>
        <v>#REF!</v>
      </c>
      <c r="AF307" s="64">
        <f t="shared" si="859"/>
        <v>122210</v>
      </c>
      <c r="AG307" s="64">
        <f t="shared" si="860"/>
        <v>114047</v>
      </c>
      <c r="AH307" s="64">
        <f t="shared" si="861"/>
        <v>8163</v>
      </c>
      <c r="AI307" s="217">
        <f t="shared" si="862"/>
        <v>0.95448201180215175</v>
      </c>
      <c r="AJ307" s="98">
        <f t="shared" si="863"/>
        <v>7791.4366623409651</v>
      </c>
      <c r="AK307" s="98">
        <f t="shared" si="864"/>
        <v>116647.24666234096</v>
      </c>
      <c r="AL307" s="98">
        <f t="shared" si="865"/>
        <v>-116647.24666234096</v>
      </c>
      <c r="AM307" s="98">
        <f t="shared" si="866"/>
        <v>5191.1900000000023</v>
      </c>
      <c r="AN307" s="98">
        <f t="shared" si="867"/>
        <v>122210</v>
      </c>
      <c r="AO307" s="222" t="e">
        <f>GAAP!#REF!</f>
        <v>#REF!</v>
      </c>
      <c r="AP307" s="129" t="e">
        <f t="shared" si="868"/>
        <v>#REF!</v>
      </c>
    </row>
    <row r="308" spans="1:42" ht="13.5">
      <c r="A308" s="259">
        <v>56.107500000000002</v>
      </c>
      <c r="B308" s="57" t="s">
        <v>538</v>
      </c>
      <c r="C308" s="163">
        <v>950000</v>
      </c>
      <c r="D308" s="216">
        <f t="shared" si="849"/>
        <v>779048</v>
      </c>
      <c r="E308" s="149">
        <v>170952</v>
      </c>
      <c r="F308" s="149">
        <v>27665.919999999998</v>
      </c>
      <c r="G308" s="217">
        <f t="shared" si="850"/>
        <v>3.5512471632043206E-2</v>
      </c>
      <c r="H308" s="149">
        <v>0</v>
      </c>
      <c r="I308" s="214">
        <f t="shared" si="851"/>
        <v>27665.919999999998</v>
      </c>
      <c r="J308" s="149">
        <v>0</v>
      </c>
      <c r="K308" s="214">
        <f t="shared" si="852"/>
        <v>-27665.919999999998</v>
      </c>
      <c r="L308" s="214">
        <f t="shared" si="853"/>
        <v>751382.08</v>
      </c>
      <c r="M308" s="214">
        <f t="shared" si="854"/>
        <v>950000</v>
      </c>
      <c r="N308" s="222"/>
      <c r="O308" s="222"/>
      <c r="P308" s="222"/>
      <c r="Q308" s="214">
        <f t="shared" si="855"/>
        <v>27665.919999999998</v>
      </c>
      <c r="R308" s="214">
        <f t="shared" si="856"/>
        <v>0</v>
      </c>
      <c r="S308" s="214">
        <f t="shared" si="857"/>
        <v>0</v>
      </c>
      <c r="T308" s="185" t="s">
        <v>510</v>
      </c>
      <c r="U308" s="185"/>
      <c r="V308" s="57" t="str">
        <f t="shared" si="858"/>
        <v>.</v>
      </c>
      <c r="Y308" s="311">
        <v>0</v>
      </c>
      <c r="Z308" s="192">
        <f t="shared" si="787"/>
        <v>0</v>
      </c>
      <c r="AA308" t="str">
        <f t="shared" si="788"/>
        <v>-</v>
      </c>
      <c r="AB308" t="str">
        <f t="shared" si="789"/>
        <v>-</v>
      </c>
      <c r="AC308" s="523"/>
      <c r="AD308" s="34">
        <f>C308-GAAP!C317</f>
        <v>-12080513.17</v>
      </c>
      <c r="AF308" s="64">
        <f t="shared" si="859"/>
        <v>950000</v>
      </c>
      <c r="AG308" s="64">
        <f t="shared" si="860"/>
        <v>779048</v>
      </c>
      <c r="AH308" s="64">
        <f t="shared" si="861"/>
        <v>170952</v>
      </c>
      <c r="AI308" s="217">
        <f t="shared" si="862"/>
        <v>3.5512471632043206E-2</v>
      </c>
      <c r="AJ308" s="98">
        <f t="shared" si="863"/>
        <v>0</v>
      </c>
      <c r="AK308" s="98">
        <f t="shared" si="864"/>
        <v>27665.919999999998</v>
      </c>
      <c r="AL308" s="98">
        <f t="shared" si="865"/>
        <v>-27665.919999999998</v>
      </c>
      <c r="AM308" s="98">
        <f t="shared" si="866"/>
        <v>751382.08</v>
      </c>
      <c r="AN308" s="98">
        <f t="shared" si="867"/>
        <v>950000</v>
      </c>
      <c r="AO308" s="222" t="e">
        <f>GAAP!#REF!</f>
        <v>#REF!</v>
      </c>
      <c r="AP308" s="129" t="e">
        <f t="shared" si="868"/>
        <v>#REF!</v>
      </c>
    </row>
    <row r="309" spans="1:42" ht="13.5">
      <c r="A309" s="259">
        <v>56.107799999999997</v>
      </c>
      <c r="B309" s="57" t="s">
        <v>539</v>
      </c>
      <c r="C309" s="163">
        <v>25356.25</v>
      </c>
      <c r="D309" s="216">
        <f t="shared" si="849"/>
        <v>25356.25</v>
      </c>
      <c r="E309" s="149">
        <v>0</v>
      </c>
      <c r="F309" s="149">
        <v>25356.25</v>
      </c>
      <c r="G309" s="217">
        <f t="shared" si="850"/>
        <v>1</v>
      </c>
      <c r="H309" s="149">
        <v>0</v>
      </c>
      <c r="I309" s="214">
        <f t="shared" si="851"/>
        <v>25356.25</v>
      </c>
      <c r="J309" s="149">
        <v>17050.240000000002</v>
      </c>
      <c r="K309" s="214">
        <f t="shared" si="852"/>
        <v>-8306.0099999999984</v>
      </c>
      <c r="L309" s="214">
        <f t="shared" si="853"/>
        <v>0</v>
      </c>
      <c r="M309" s="214">
        <f t="shared" si="854"/>
        <v>8306.0099999999984</v>
      </c>
      <c r="N309" s="222"/>
      <c r="O309" s="222"/>
      <c r="P309" s="222"/>
      <c r="Q309" s="214">
        <f t="shared" si="855"/>
        <v>25356.25</v>
      </c>
      <c r="R309" s="214">
        <f t="shared" si="856"/>
        <v>17050.240000000002</v>
      </c>
      <c r="S309" s="214">
        <f t="shared" si="857"/>
        <v>0</v>
      </c>
      <c r="T309" s="185" t="s">
        <v>510</v>
      </c>
      <c r="U309" s="185"/>
      <c r="V309" s="57" t="str">
        <f t="shared" si="858"/>
        <v>&lt; 250k</v>
      </c>
      <c r="Y309" s="311">
        <v>0</v>
      </c>
      <c r="Z309" s="192">
        <f t="shared" si="787"/>
        <v>0</v>
      </c>
      <c r="AA309" t="str">
        <f t="shared" si="788"/>
        <v>-</v>
      </c>
      <c r="AB309" t="str">
        <f t="shared" si="789"/>
        <v>-</v>
      </c>
      <c r="AC309" s="523"/>
      <c r="AD309" s="34">
        <f>C309-GAAP!C383</f>
        <v>25356.25</v>
      </c>
      <c r="AF309" s="64">
        <f t="shared" si="859"/>
        <v>25356.25</v>
      </c>
      <c r="AG309" s="64">
        <f t="shared" si="860"/>
        <v>25356.25</v>
      </c>
      <c r="AH309" s="64">
        <f t="shared" si="861"/>
        <v>0</v>
      </c>
      <c r="AI309" s="217">
        <f t="shared" si="862"/>
        <v>1</v>
      </c>
      <c r="AJ309" s="98">
        <f t="shared" si="863"/>
        <v>0</v>
      </c>
      <c r="AK309" s="98">
        <f t="shared" si="864"/>
        <v>25356.25</v>
      </c>
      <c r="AL309" s="98">
        <f t="shared" si="865"/>
        <v>-8306.0099999999984</v>
      </c>
      <c r="AM309" s="98">
        <f t="shared" si="866"/>
        <v>0</v>
      </c>
      <c r="AN309" s="98">
        <f t="shared" si="867"/>
        <v>8306.0099999999984</v>
      </c>
      <c r="AO309" s="222" t="e">
        <f>GAAP!#REF!</f>
        <v>#REF!</v>
      </c>
      <c r="AP309" s="129" t="e">
        <f t="shared" si="868"/>
        <v>#REF!</v>
      </c>
    </row>
    <row r="310" spans="1:42" ht="13.5">
      <c r="A310" s="259">
        <v>56.1081</v>
      </c>
      <c r="B310" s="57" t="s">
        <v>540</v>
      </c>
      <c r="C310" s="163">
        <v>179690</v>
      </c>
      <c r="D310" s="216">
        <f t="shared" si="849"/>
        <v>159785</v>
      </c>
      <c r="E310" s="149">
        <v>19905</v>
      </c>
      <c r="F310" s="149">
        <v>156744.37</v>
      </c>
      <c r="G310" s="217">
        <f t="shared" si="850"/>
        <v>0.98097049159808491</v>
      </c>
      <c r="H310" s="149">
        <v>19526.21763525988</v>
      </c>
      <c r="I310" s="214">
        <f t="shared" si="851"/>
        <v>176270.58763525987</v>
      </c>
      <c r="J310" s="149">
        <v>164416.35</v>
      </c>
      <c r="K310" s="214">
        <f t="shared" si="852"/>
        <v>-11854.237635259866</v>
      </c>
      <c r="L310" s="214">
        <f t="shared" si="853"/>
        <v>3040.6300000000047</v>
      </c>
      <c r="M310" s="214">
        <f t="shared" si="854"/>
        <v>15273.649999999994</v>
      </c>
      <c r="N310" s="222"/>
      <c r="O310" s="222"/>
      <c r="P310" s="222"/>
      <c r="Q310" s="214">
        <f t="shared" si="855"/>
        <v>156744.37</v>
      </c>
      <c r="R310" s="214">
        <f t="shared" si="856"/>
        <v>164416.35</v>
      </c>
      <c r="S310" s="214">
        <f t="shared" si="857"/>
        <v>19526.21763525988</v>
      </c>
      <c r="T310" s="185" t="s">
        <v>510</v>
      </c>
      <c r="U310" s="185"/>
      <c r="V310" s="57" t="str">
        <f t="shared" si="858"/>
        <v>&lt; 250k</v>
      </c>
      <c r="Y310" s="311">
        <v>11244.776383888886</v>
      </c>
      <c r="Z310" s="192">
        <f t="shared" ref="Z310:Z400" si="869">S310-Y310</f>
        <v>8281.441251370994</v>
      </c>
      <c r="AA310" t="str">
        <f t="shared" ref="AA310:AA400" si="870">IF(L310&lt;0,"CHECK","-")</f>
        <v>-</v>
      </c>
      <c r="AB310" t="str">
        <f t="shared" ref="AB310:AB400" si="871">IF(M310&lt;0,"CHECK","-")</f>
        <v>-</v>
      </c>
      <c r="AC310" s="523"/>
      <c r="AD310" s="34">
        <f>C310-GAAP!C386</f>
        <v>179690</v>
      </c>
      <c r="AF310" s="64">
        <f t="shared" si="859"/>
        <v>179690</v>
      </c>
      <c r="AG310" s="64">
        <f t="shared" si="860"/>
        <v>159785</v>
      </c>
      <c r="AH310" s="64">
        <f t="shared" si="861"/>
        <v>19905</v>
      </c>
      <c r="AI310" s="217">
        <f t="shared" si="862"/>
        <v>0.98097049159808491</v>
      </c>
      <c r="AJ310" s="98">
        <f t="shared" si="863"/>
        <v>19526.21763525988</v>
      </c>
      <c r="AK310" s="98">
        <f t="shared" si="864"/>
        <v>176270.58763525987</v>
      </c>
      <c r="AL310" s="98">
        <f t="shared" si="865"/>
        <v>-11854.237635259866</v>
      </c>
      <c r="AM310" s="98">
        <f t="shared" si="866"/>
        <v>3040.6300000000047</v>
      </c>
      <c r="AN310" s="98">
        <f t="shared" si="867"/>
        <v>15273.649999999994</v>
      </c>
      <c r="AO310" s="222" t="e">
        <f>GAAP!#REF!</f>
        <v>#REF!</v>
      </c>
      <c r="AP310" s="129" t="e">
        <f t="shared" si="868"/>
        <v>#REF!</v>
      </c>
    </row>
    <row r="311" spans="1:42" ht="13.5">
      <c r="A311" s="259">
        <v>56.1083</v>
      </c>
      <c r="B311" s="57" t="s">
        <v>542</v>
      </c>
      <c r="C311" s="163">
        <v>717010</v>
      </c>
      <c r="D311" s="216">
        <f t="shared" si="849"/>
        <v>656363</v>
      </c>
      <c r="E311" s="149">
        <v>60647</v>
      </c>
      <c r="F311" s="149">
        <v>347967.35</v>
      </c>
      <c r="G311" s="217">
        <f t="shared" si="850"/>
        <v>0.5301446760405446</v>
      </c>
      <c r="H311" s="149">
        <v>32151.68416783091</v>
      </c>
      <c r="I311" s="214">
        <f t="shared" si="851"/>
        <v>380119.03416783089</v>
      </c>
      <c r="J311" s="149">
        <v>153616.75</v>
      </c>
      <c r="K311" s="214">
        <f t="shared" si="852"/>
        <v>-226502.28416783089</v>
      </c>
      <c r="L311" s="214">
        <f t="shared" si="853"/>
        <v>308395.65000000002</v>
      </c>
      <c r="M311" s="214">
        <f t="shared" si="854"/>
        <v>563393.25</v>
      </c>
      <c r="N311" s="222"/>
      <c r="O311" s="222"/>
      <c r="P311" s="222"/>
      <c r="Q311" s="214">
        <f t="shared" si="855"/>
        <v>347967.35</v>
      </c>
      <c r="R311" s="214">
        <f t="shared" si="856"/>
        <v>153616.75</v>
      </c>
      <c r="S311" s="214">
        <f t="shared" si="857"/>
        <v>32151.68416783091</v>
      </c>
      <c r="T311" s="185" t="s">
        <v>510</v>
      </c>
      <c r="U311" s="185"/>
      <c r="V311" s="57" t="str">
        <f t="shared" si="858"/>
        <v>.</v>
      </c>
      <c r="Y311" s="311">
        <v>20529.978819503562</v>
      </c>
      <c r="Z311" s="192">
        <f t="shared" si="869"/>
        <v>11621.705348327348</v>
      </c>
      <c r="AA311" t="str">
        <f t="shared" si="870"/>
        <v>-</v>
      </c>
      <c r="AB311" t="str">
        <f t="shared" si="871"/>
        <v>-</v>
      </c>
      <c r="AC311" s="523"/>
      <c r="AD311" s="34">
        <f>C311-GAAP!C388</f>
        <v>717010</v>
      </c>
      <c r="AF311" s="64">
        <f t="shared" si="859"/>
        <v>717010</v>
      </c>
      <c r="AG311" s="64">
        <f t="shared" si="860"/>
        <v>656363</v>
      </c>
      <c r="AH311" s="64">
        <f t="shared" si="861"/>
        <v>60647</v>
      </c>
      <c r="AI311" s="217">
        <f t="shared" si="862"/>
        <v>0.5301446760405446</v>
      </c>
      <c r="AJ311" s="98">
        <f t="shared" si="863"/>
        <v>32151.68416783091</v>
      </c>
      <c r="AK311" s="98">
        <f t="shared" si="864"/>
        <v>380119.03416783089</v>
      </c>
      <c r="AL311" s="98">
        <f t="shared" si="865"/>
        <v>-226502.28416783089</v>
      </c>
      <c r="AM311" s="98">
        <f t="shared" si="866"/>
        <v>308395.65000000002</v>
      </c>
      <c r="AN311" s="98">
        <f t="shared" si="867"/>
        <v>563393.25</v>
      </c>
      <c r="AO311" s="222" t="e">
        <f>GAAP!#REF!</f>
        <v>#REF!</v>
      </c>
      <c r="AP311" s="129" t="e">
        <f t="shared" si="868"/>
        <v>#REF!</v>
      </c>
    </row>
    <row r="312" spans="1:42" ht="13.5">
      <c r="A312" s="259">
        <v>56.108499999999999</v>
      </c>
      <c r="B312" s="57" t="s">
        <v>586</v>
      </c>
      <c r="C312" s="163">
        <v>80000</v>
      </c>
      <c r="D312" s="216">
        <f t="shared" si="849"/>
        <v>66955</v>
      </c>
      <c r="E312" s="149">
        <v>13045</v>
      </c>
      <c r="F312" s="149">
        <v>1090.31</v>
      </c>
      <c r="G312" s="217">
        <f t="shared" si="850"/>
        <v>1.6284220745276679E-2</v>
      </c>
      <c r="H312" s="149">
        <v>0</v>
      </c>
      <c r="I312" s="214">
        <f t="shared" si="851"/>
        <v>1090.31</v>
      </c>
      <c r="J312" s="149">
        <v>0</v>
      </c>
      <c r="K312" s="214">
        <f t="shared" ref="K312:K315" si="872">J312-I312</f>
        <v>-1090.31</v>
      </c>
      <c r="L312" s="214">
        <f t="shared" ref="L312:L315" si="873">+D312-F312</f>
        <v>65864.69</v>
      </c>
      <c r="M312" s="214">
        <f t="shared" ref="M312:M315" si="874">+C312-J312</f>
        <v>80000</v>
      </c>
      <c r="N312" s="222"/>
      <c r="O312" s="222"/>
      <c r="P312" s="222"/>
      <c r="Q312" s="214">
        <f t="shared" ref="Q312:Q315" si="875">F312-N312</f>
        <v>1090.31</v>
      </c>
      <c r="R312" s="214">
        <f t="shared" ref="R312:R315" si="876">+J312-O312</f>
        <v>0</v>
      </c>
      <c r="S312" s="214">
        <f t="shared" ref="S312:S315" si="877">+H312-P312</f>
        <v>0</v>
      </c>
      <c r="T312" s="185" t="s">
        <v>510</v>
      </c>
      <c r="U312" s="185"/>
      <c r="V312" s="57" t="str">
        <f t="shared" si="858"/>
        <v>&lt; 250k</v>
      </c>
      <c r="Y312" s="311">
        <v>0</v>
      </c>
      <c r="Z312" s="192">
        <f t="shared" ref="Z312:Z316" si="878">S312-Y312</f>
        <v>0</v>
      </c>
      <c r="AA312" t="str">
        <f t="shared" ref="AA312:AA316" si="879">IF(L312&lt;0,"CHECK","-")</f>
        <v>-</v>
      </c>
      <c r="AB312" t="str">
        <f t="shared" ref="AB312:AB316" si="880">IF(M312&lt;0,"CHECK","-")</f>
        <v>-</v>
      </c>
      <c r="AC312" s="523"/>
      <c r="AD312" s="34"/>
      <c r="AF312" s="64"/>
      <c r="AG312" s="64"/>
      <c r="AH312" s="64"/>
      <c r="AI312" s="217"/>
      <c r="AJ312" s="98"/>
      <c r="AK312" s="98"/>
      <c r="AL312" s="98"/>
      <c r="AM312" s="98"/>
      <c r="AN312" s="98"/>
      <c r="AO312" s="222"/>
      <c r="AP312" s="129"/>
    </row>
    <row r="313" spans="1:42" ht="13.5">
      <c r="A313" s="259">
        <v>56.108600000000003</v>
      </c>
      <c r="B313" s="57" t="s">
        <v>587</v>
      </c>
      <c r="C313" s="163">
        <v>376000</v>
      </c>
      <c r="D313" s="216">
        <f t="shared" si="849"/>
        <v>295102</v>
      </c>
      <c r="E313" s="149">
        <v>80898</v>
      </c>
      <c r="F313" s="149">
        <v>12732.69</v>
      </c>
      <c r="G313" s="217">
        <f t="shared" si="850"/>
        <v>4.3146742482260372E-2</v>
      </c>
      <c r="H313" s="149">
        <v>0</v>
      </c>
      <c r="I313" s="214">
        <f t="shared" si="851"/>
        <v>12732.69</v>
      </c>
      <c r="J313" s="149">
        <v>0</v>
      </c>
      <c r="K313" s="214">
        <f t="shared" si="872"/>
        <v>-12732.69</v>
      </c>
      <c r="L313" s="214">
        <f t="shared" si="873"/>
        <v>282369.31</v>
      </c>
      <c r="M313" s="214">
        <f t="shared" si="874"/>
        <v>376000</v>
      </c>
      <c r="N313" s="222"/>
      <c r="O313" s="222"/>
      <c r="P313" s="222"/>
      <c r="Q313" s="214">
        <f t="shared" si="875"/>
        <v>12732.69</v>
      </c>
      <c r="R313" s="214">
        <f t="shared" si="876"/>
        <v>0</v>
      </c>
      <c r="S313" s="214">
        <f t="shared" si="877"/>
        <v>0</v>
      </c>
      <c r="T313" s="185" t="s">
        <v>510</v>
      </c>
      <c r="U313" s="185"/>
      <c r="V313" s="57" t="str">
        <f t="shared" si="858"/>
        <v>.</v>
      </c>
      <c r="Y313" s="311">
        <v>0</v>
      </c>
      <c r="Z313" s="192">
        <f t="shared" si="878"/>
        <v>0</v>
      </c>
      <c r="AA313" t="str">
        <f t="shared" si="879"/>
        <v>-</v>
      </c>
      <c r="AB313" t="str">
        <f t="shared" si="880"/>
        <v>-</v>
      </c>
      <c r="AC313" s="523"/>
      <c r="AD313" s="34"/>
      <c r="AF313" s="64"/>
      <c r="AG313" s="64"/>
      <c r="AH313" s="64"/>
      <c r="AI313" s="217"/>
      <c r="AJ313" s="98"/>
      <c r="AK313" s="98"/>
      <c r="AL313" s="98"/>
      <c r="AM313" s="98"/>
      <c r="AN313" s="98"/>
      <c r="AO313" s="222"/>
      <c r="AP313" s="129"/>
    </row>
    <row r="314" spans="1:42" ht="13.5">
      <c r="A314" s="259">
        <v>56.108699999999999</v>
      </c>
      <c r="B314" s="57" t="s">
        <v>577</v>
      </c>
      <c r="C314" s="163">
        <v>49369</v>
      </c>
      <c r="D314" s="216">
        <f t="shared" si="849"/>
        <v>43026</v>
      </c>
      <c r="E314" s="149">
        <v>6343</v>
      </c>
      <c r="F314" s="149">
        <v>39121.54</v>
      </c>
      <c r="G314" s="217">
        <f t="shared" si="850"/>
        <v>0.90925347464323902</v>
      </c>
      <c r="H314" s="149">
        <v>5767.3947896620648</v>
      </c>
      <c r="I314" s="214">
        <f t="shared" si="851"/>
        <v>44888.934789662067</v>
      </c>
      <c r="J314" s="149">
        <v>37977</v>
      </c>
      <c r="K314" s="214">
        <f t="shared" si="872"/>
        <v>-6911.9347896620675</v>
      </c>
      <c r="L314" s="214">
        <f t="shared" si="873"/>
        <v>3904.4599999999991</v>
      </c>
      <c r="M314" s="214">
        <f t="shared" si="874"/>
        <v>11392</v>
      </c>
      <c r="N314" s="222"/>
      <c r="O314" s="222"/>
      <c r="P314" s="222"/>
      <c r="Q314" s="214">
        <f t="shared" si="875"/>
        <v>39121.54</v>
      </c>
      <c r="R314" s="214">
        <f t="shared" si="876"/>
        <v>37977</v>
      </c>
      <c r="S314" s="214">
        <f t="shared" si="877"/>
        <v>5767.3947896620648</v>
      </c>
      <c r="T314" s="185" t="s">
        <v>510</v>
      </c>
      <c r="U314" s="185"/>
      <c r="V314" s="57" t="str">
        <f t="shared" si="858"/>
        <v>&lt; 250k</v>
      </c>
      <c r="Y314" s="311">
        <v>5767.3947896620648</v>
      </c>
      <c r="Z314" s="192">
        <f t="shared" si="878"/>
        <v>0</v>
      </c>
      <c r="AA314" t="str">
        <f t="shared" si="879"/>
        <v>-</v>
      </c>
      <c r="AB314" t="str">
        <f t="shared" si="880"/>
        <v>-</v>
      </c>
      <c r="AC314" s="523"/>
      <c r="AD314" s="34"/>
      <c r="AF314" s="64"/>
      <c r="AG314" s="64"/>
      <c r="AH314" s="64"/>
      <c r="AI314" s="217"/>
      <c r="AJ314" s="98"/>
      <c r="AK314" s="98"/>
      <c r="AL314" s="98"/>
      <c r="AM314" s="98"/>
      <c r="AN314" s="98"/>
      <c r="AO314" s="222"/>
      <c r="AP314" s="129"/>
    </row>
    <row r="315" spans="1:42" ht="13.5">
      <c r="A315" s="259">
        <v>56.108800000000002</v>
      </c>
      <c r="B315" s="57" t="s">
        <v>588</v>
      </c>
      <c r="C315" s="163">
        <v>117985</v>
      </c>
      <c r="D315" s="216">
        <f t="shared" si="849"/>
        <v>85405</v>
      </c>
      <c r="E315" s="149">
        <v>32580</v>
      </c>
      <c r="F315" s="149">
        <v>66827.490000000005</v>
      </c>
      <c r="G315" s="217">
        <f t="shared" si="850"/>
        <v>0.78247748960833685</v>
      </c>
      <c r="H315" s="149">
        <v>25493.116611439615</v>
      </c>
      <c r="I315" s="214">
        <f t="shared" si="851"/>
        <v>92320.606611439624</v>
      </c>
      <c r="J315" s="149">
        <v>0</v>
      </c>
      <c r="K315" s="214">
        <f t="shared" si="872"/>
        <v>-92320.606611439624</v>
      </c>
      <c r="L315" s="214">
        <f t="shared" si="873"/>
        <v>18577.509999999995</v>
      </c>
      <c r="M315" s="214">
        <f t="shared" si="874"/>
        <v>117985</v>
      </c>
      <c r="N315" s="222"/>
      <c r="O315" s="222"/>
      <c r="P315" s="222"/>
      <c r="Q315" s="214">
        <f t="shared" si="875"/>
        <v>66827.490000000005</v>
      </c>
      <c r="R315" s="214">
        <f t="shared" si="876"/>
        <v>0</v>
      </c>
      <c r="S315" s="214">
        <f t="shared" si="877"/>
        <v>25493.116611439615</v>
      </c>
      <c r="T315" s="185" t="s">
        <v>510</v>
      </c>
      <c r="U315" s="185"/>
      <c r="V315" s="57" t="str">
        <f t="shared" si="858"/>
        <v>&lt; 250k</v>
      </c>
      <c r="Y315" s="311">
        <v>11576.92187323307</v>
      </c>
      <c r="Z315" s="192">
        <f t="shared" si="878"/>
        <v>13916.194738206545</v>
      </c>
      <c r="AA315" t="str">
        <f t="shared" si="879"/>
        <v>-</v>
      </c>
      <c r="AB315" t="str">
        <f t="shared" si="880"/>
        <v>-</v>
      </c>
      <c r="AC315" s="523"/>
      <c r="AD315" s="34"/>
      <c r="AF315" s="64"/>
      <c r="AG315" s="64"/>
      <c r="AH315" s="64"/>
      <c r="AI315" s="217"/>
      <c r="AJ315" s="98"/>
      <c r="AK315" s="98"/>
      <c r="AL315" s="98"/>
      <c r="AM315" s="98"/>
      <c r="AN315" s="98"/>
      <c r="AO315" s="222"/>
      <c r="AP315" s="129"/>
    </row>
    <row r="316" spans="1:42" ht="13.5" hidden="1">
      <c r="A316" s="259"/>
      <c r="B316" s="57"/>
      <c r="C316" s="163"/>
      <c r="D316" s="216"/>
      <c r="E316" s="149"/>
      <c r="F316" s="149"/>
      <c r="G316" s="217"/>
      <c r="H316" s="149"/>
      <c r="I316" s="214"/>
      <c r="J316" s="149"/>
      <c r="K316" s="214"/>
      <c r="L316" s="214"/>
      <c r="M316" s="214"/>
      <c r="N316" s="222"/>
      <c r="O316" s="222"/>
      <c r="P316" s="222"/>
      <c r="Q316" s="214"/>
      <c r="R316" s="214"/>
      <c r="S316" s="214"/>
      <c r="T316" s="185"/>
      <c r="U316" s="185"/>
      <c r="V316" s="57"/>
      <c r="Z316" s="192">
        <f t="shared" si="878"/>
        <v>0</v>
      </c>
      <c r="AA316" t="str">
        <f t="shared" si="879"/>
        <v>-</v>
      </c>
      <c r="AB316" t="str">
        <f t="shared" si="880"/>
        <v>-</v>
      </c>
      <c r="AD316" s="34">
        <f>C316-GAAP!C405</f>
        <v>0</v>
      </c>
      <c r="AF316" s="64"/>
      <c r="AG316" s="64"/>
      <c r="AH316" s="64"/>
      <c r="AI316" s="217"/>
      <c r="AJ316" s="98"/>
      <c r="AK316" s="98"/>
      <c r="AL316" s="98"/>
      <c r="AM316" s="98"/>
      <c r="AN316" s="98"/>
      <c r="AO316" s="222"/>
      <c r="AP316" s="129"/>
    </row>
    <row r="317" spans="1:42" s="85" customFormat="1" ht="13.5" customHeight="1">
      <c r="A317" s="176" t="s">
        <v>369</v>
      </c>
      <c r="C317" s="84">
        <f>SUM(C$283:C$316)</f>
        <v>14022847.25</v>
      </c>
      <c r="D317" s="84">
        <f>SUM(D$283:D$316)</f>
        <v>11967790.390000001</v>
      </c>
      <c r="E317" s="84">
        <f>SUM(E$283:E$316)</f>
        <v>2055056.8599999999</v>
      </c>
      <c r="F317" s="84">
        <f>SUM(F$283:F$316)</f>
        <v>6459348.9100000001</v>
      </c>
      <c r="G317" s="84"/>
      <c r="H317" s="84">
        <f t="shared" ref="H317:S317" si="881">SUM(H$283:H$316)</f>
        <v>1107371.7915791802</v>
      </c>
      <c r="I317" s="84">
        <f t="shared" si="881"/>
        <v>7566720.7015791805</v>
      </c>
      <c r="J317" s="84">
        <f t="shared" si="881"/>
        <v>5923618.0899999999</v>
      </c>
      <c r="K317" s="84">
        <f t="shared" si="881"/>
        <v>-1643102.6115791802</v>
      </c>
      <c r="L317" s="84">
        <f t="shared" si="881"/>
        <v>5508441.4799999995</v>
      </c>
      <c r="M317" s="84">
        <f t="shared" si="881"/>
        <v>8099229.1600000001</v>
      </c>
      <c r="N317" s="84">
        <f t="shared" si="881"/>
        <v>1002698.5300000003</v>
      </c>
      <c r="O317" s="84">
        <f t="shared" si="881"/>
        <v>302445</v>
      </c>
      <c r="P317" s="84">
        <f t="shared" si="881"/>
        <v>247627.68362803198</v>
      </c>
      <c r="Q317" s="84">
        <f t="shared" si="881"/>
        <v>5456650.3799999999</v>
      </c>
      <c r="R317" s="84">
        <f t="shared" si="881"/>
        <v>5621173.0899999999</v>
      </c>
      <c r="S317" s="84">
        <f t="shared" si="881"/>
        <v>859744.1079511483</v>
      </c>
      <c r="T317" s="199"/>
      <c r="U317" s="199"/>
      <c r="V317" s="82"/>
      <c r="W317" s="288"/>
      <c r="X317" s="289"/>
      <c r="Y317" s="311">
        <v>-3534977.4059099229</v>
      </c>
      <c r="Z317" s="192">
        <f t="shared" si="869"/>
        <v>4394721.5138610713</v>
      </c>
      <c r="AA317" t="str">
        <f t="shared" si="870"/>
        <v>-</v>
      </c>
      <c r="AB317" t="str">
        <f t="shared" si="871"/>
        <v>-</v>
      </c>
      <c r="AD317" s="34">
        <f>C317-GAAP!C406</f>
        <v>14022847.25</v>
      </c>
      <c r="AF317" s="177">
        <f>SUM(AF283:AF316)</f>
        <v>13399493.25</v>
      </c>
      <c r="AG317" s="177">
        <f>SUM(AG283:AG316)</f>
        <v>11477302.390000001</v>
      </c>
      <c r="AH317" s="177">
        <f>SUM(AH283:AH316)</f>
        <v>1922190.8599999999</v>
      </c>
      <c r="AI317" s="177"/>
      <c r="AJ317" s="177">
        <f t="shared" ref="AJ317:AP317" si="882">SUM(AJ283:AJ316)</f>
        <v>1076111.2801780787</v>
      </c>
      <c r="AK317" s="177">
        <f t="shared" si="882"/>
        <v>7415688.1601780783</v>
      </c>
      <c r="AL317" s="177">
        <f t="shared" si="882"/>
        <v>-1530047.0701780785</v>
      </c>
      <c r="AM317" s="177">
        <f t="shared" si="882"/>
        <v>5137725.51</v>
      </c>
      <c r="AN317" s="177">
        <f t="shared" si="882"/>
        <v>7513852.1600000001</v>
      </c>
      <c r="AO317" s="177" t="e">
        <f t="shared" si="882"/>
        <v>#REF!</v>
      </c>
      <c r="AP317" s="177" t="e">
        <f t="shared" si="882"/>
        <v>#REF!</v>
      </c>
    </row>
    <row r="318" spans="1:42" s="85" customFormat="1" ht="12" customHeight="1">
      <c r="A318" s="176"/>
      <c r="C318" s="84"/>
      <c r="D318" s="84"/>
      <c r="E318" s="84"/>
      <c r="F318" s="84"/>
      <c r="G318" s="84"/>
      <c r="H318" s="84"/>
      <c r="I318" s="84"/>
      <c r="J318" s="84"/>
      <c r="K318" s="84"/>
      <c r="L318" s="84"/>
      <c r="M318" s="84"/>
      <c r="N318" s="84"/>
      <c r="O318" s="84"/>
      <c r="P318" s="84"/>
      <c r="Q318" s="84"/>
      <c r="R318" s="84"/>
      <c r="S318" s="84"/>
      <c r="T318" s="199"/>
      <c r="U318" s="199"/>
      <c r="V318" s="82"/>
      <c r="W318" s="288"/>
      <c r="X318" s="289"/>
      <c r="Y318" s="311">
        <v>0</v>
      </c>
      <c r="Z318" s="192">
        <f t="shared" si="869"/>
        <v>0</v>
      </c>
      <c r="AA318" t="str">
        <f t="shared" si="870"/>
        <v>-</v>
      </c>
      <c r="AB318" t="str">
        <f t="shared" si="871"/>
        <v>-</v>
      </c>
      <c r="AD318" s="34">
        <f>C318-GAAP!C407</f>
        <v>0</v>
      </c>
    </row>
    <row r="319" spans="1:42" s="85" customFormat="1" ht="13.5" customHeight="1">
      <c r="A319" s="176" t="s">
        <v>370</v>
      </c>
      <c r="C319" s="84"/>
      <c r="D319" s="84"/>
      <c r="E319" s="84"/>
      <c r="F319" s="84"/>
      <c r="G319" s="84"/>
      <c r="H319" s="84"/>
      <c r="I319" s="84"/>
      <c r="J319" s="84"/>
      <c r="K319" s="84"/>
      <c r="L319" s="84"/>
      <c r="M319" s="84"/>
      <c r="N319" s="84"/>
      <c r="O319" s="84"/>
      <c r="P319" s="84"/>
      <c r="Q319" s="84"/>
      <c r="R319" s="84"/>
      <c r="S319" s="84"/>
      <c r="T319" s="199"/>
      <c r="U319" s="199"/>
      <c r="V319" s="82"/>
      <c r="W319" s="288"/>
      <c r="X319" s="289"/>
      <c r="Y319" s="311">
        <v>0</v>
      </c>
      <c r="Z319" s="192">
        <f t="shared" si="869"/>
        <v>0</v>
      </c>
      <c r="AA319" t="str">
        <f t="shared" si="870"/>
        <v>-</v>
      </c>
      <c r="AB319" t="str">
        <f t="shared" si="871"/>
        <v>-</v>
      </c>
      <c r="AD319" s="34">
        <f>C319-GAAP!C408</f>
        <v>0</v>
      </c>
    </row>
    <row r="320" spans="1:42" ht="13.5">
      <c r="A320" s="259">
        <v>56.100200000000001</v>
      </c>
      <c r="B320" s="57" t="s">
        <v>282</v>
      </c>
      <c r="C320" s="163">
        <v>185000</v>
      </c>
      <c r="D320" s="216">
        <f t="shared" ref="D320:D382" si="883">+C320-E320</f>
        <v>114485.82</v>
      </c>
      <c r="E320" s="149">
        <v>70514.179999999993</v>
      </c>
      <c r="F320" s="149">
        <v>114485.82</v>
      </c>
      <c r="G320" s="217">
        <f t="shared" ref="G320:G382" si="884">IF(D320&lt;&gt;0,+F320/D320,0)</f>
        <v>1</v>
      </c>
      <c r="H320" s="149">
        <v>70514.179999999993</v>
      </c>
      <c r="I320" s="214">
        <f t="shared" ref="I320:I382" si="885">+F320+H320</f>
        <v>185000</v>
      </c>
      <c r="J320" s="149">
        <v>185000</v>
      </c>
      <c r="K320" s="214">
        <f t="shared" ref="K320:K322" si="886">J320-I320</f>
        <v>0</v>
      </c>
      <c r="L320" s="214">
        <f t="shared" ref="L320:L322" si="887">+D320-F320</f>
        <v>0</v>
      </c>
      <c r="M320" s="214">
        <f t="shared" ref="M320:M322" si="888">+C320-J320</f>
        <v>0</v>
      </c>
      <c r="N320" s="222">
        <v>113841.61</v>
      </c>
      <c r="O320" s="222">
        <v>170000</v>
      </c>
      <c r="P320" s="222">
        <v>50745.239508834726</v>
      </c>
      <c r="Q320" s="214">
        <f t="shared" ref="Q320:Q322" si="889">F320-N320</f>
        <v>644.2100000000064</v>
      </c>
      <c r="R320" s="214">
        <f t="shared" ref="R320:R322" si="890">+J320-O320</f>
        <v>15000</v>
      </c>
      <c r="S320" s="214">
        <f t="shared" ref="S320:S322" si="891">+H320-P320</f>
        <v>19768.940491165267</v>
      </c>
      <c r="T320" s="185" t="s">
        <v>278</v>
      </c>
      <c r="U320" s="185" t="s">
        <v>510</v>
      </c>
      <c r="V320" s="57" t="str">
        <f t="shared" ref="V320:V322" si="892">IF(C320&lt;250000, "&lt; 250k",".")</f>
        <v>&lt; 250k</v>
      </c>
      <c r="W320" s="282">
        <v>50745.239508834726</v>
      </c>
      <c r="Y320" s="311">
        <v>19768.940491165267</v>
      </c>
      <c r="Z320" s="192">
        <f t="shared" si="869"/>
        <v>0</v>
      </c>
      <c r="AA320" t="str">
        <f t="shared" si="870"/>
        <v>-</v>
      </c>
      <c r="AB320" t="str">
        <f t="shared" si="871"/>
        <v>-</v>
      </c>
      <c r="AC320" s="524"/>
      <c r="AD320" s="34">
        <f>C320-GAAP!C321</f>
        <v>-147901</v>
      </c>
      <c r="AF320" s="64">
        <f t="shared" ref="AF320:AF322" si="893">C320</f>
        <v>185000</v>
      </c>
      <c r="AG320" s="64">
        <f t="shared" ref="AG320:AG322" si="894">D320</f>
        <v>114485.82</v>
      </c>
      <c r="AH320" s="64">
        <f t="shared" ref="AH320:AH322" si="895">E320</f>
        <v>70514.179999999993</v>
      </c>
      <c r="AI320" s="217">
        <f t="shared" ref="AI320:AI322" si="896">IF(AG320&lt;&gt;0,+F320/AG320,0)</f>
        <v>1</v>
      </c>
      <c r="AJ320" s="98">
        <f t="shared" ref="AJ320:AJ322" si="897">IF(AH320&lt;=0,AH320,IF(G320&lt;0.1,0,IF(G320&lt;=1,G320*AH320,AH320)))</f>
        <v>70514.179999999993</v>
      </c>
      <c r="AK320" s="98">
        <f t="shared" ref="AK320:AK322" si="898">+F320+AJ320</f>
        <v>185000</v>
      </c>
      <c r="AL320" s="98">
        <f t="shared" ref="AL320:AL322" si="899">J320-AK320</f>
        <v>0</v>
      </c>
      <c r="AM320" s="98">
        <f t="shared" ref="AM320:AM322" si="900">+AG320-F320</f>
        <v>0</v>
      </c>
      <c r="AN320" s="98">
        <f t="shared" ref="AN320:AN322" si="901">+AF320-J320</f>
        <v>0</v>
      </c>
      <c r="AO320" s="222">
        <f>GAAP!P321</f>
        <v>64460.986325599602</v>
      </c>
      <c r="AP320" s="129">
        <f t="shared" ref="AP320:AP322" si="902">AJ320-AO320</f>
        <v>6053.1936744003906</v>
      </c>
    </row>
    <row r="321" spans="1:42" ht="13.5">
      <c r="A321" s="259">
        <v>56.100299999999997</v>
      </c>
      <c r="B321" s="57" t="s">
        <v>264</v>
      </c>
      <c r="C321" s="163">
        <v>332901</v>
      </c>
      <c r="D321" s="216">
        <f t="shared" si="883"/>
        <v>223395.74</v>
      </c>
      <c r="E321" s="149">
        <v>109505.26000000001</v>
      </c>
      <c r="F321" s="149">
        <v>223395.74</v>
      </c>
      <c r="G321" s="217">
        <f t="shared" si="884"/>
        <v>1</v>
      </c>
      <c r="H321" s="149">
        <v>109505.26000000001</v>
      </c>
      <c r="I321" s="214">
        <f t="shared" si="885"/>
        <v>332901</v>
      </c>
      <c r="J321" s="149">
        <v>332901</v>
      </c>
      <c r="K321" s="214">
        <f t="shared" si="886"/>
        <v>0</v>
      </c>
      <c r="L321" s="214">
        <f t="shared" si="887"/>
        <v>0</v>
      </c>
      <c r="M321" s="214">
        <f t="shared" si="888"/>
        <v>0</v>
      </c>
      <c r="N321" s="222">
        <v>155093.29</v>
      </c>
      <c r="O321" s="222">
        <v>175000</v>
      </c>
      <c r="P321" s="222">
        <v>64460.986325599602</v>
      </c>
      <c r="Q321" s="214">
        <f t="shared" si="889"/>
        <v>68302.449999999983</v>
      </c>
      <c r="R321" s="214">
        <f t="shared" si="890"/>
        <v>157901</v>
      </c>
      <c r="S321" s="214">
        <f t="shared" si="891"/>
        <v>45044.273674400407</v>
      </c>
      <c r="T321" s="185" t="s">
        <v>237</v>
      </c>
      <c r="U321" s="185" t="s">
        <v>510</v>
      </c>
      <c r="V321" s="57" t="str">
        <f t="shared" si="892"/>
        <v>.</v>
      </c>
      <c r="W321" s="282">
        <v>64460.986325599602</v>
      </c>
      <c r="Y321" s="311">
        <v>13375.305968968139</v>
      </c>
      <c r="Z321" s="192">
        <f t="shared" si="869"/>
        <v>31668.967705432267</v>
      </c>
      <c r="AA321" t="str">
        <f t="shared" si="870"/>
        <v>-</v>
      </c>
      <c r="AB321" t="str">
        <f t="shared" si="871"/>
        <v>-</v>
      </c>
      <c r="AC321" s="523"/>
      <c r="AD321" s="34">
        <f>C321-GAAP!C321</f>
        <v>0</v>
      </c>
      <c r="AF321" s="64">
        <f t="shared" si="893"/>
        <v>332901</v>
      </c>
      <c r="AG321" s="64">
        <f t="shared" si="894"/>
        <v>223395.74</v>
      </c>
      <c r="AH321" s="64">
        <f t="shared" si="895"/>
        <v>109505.26000000001</v>
      </c>
      <c r="AI321" s="217">
        <f t="shared" si="896"/>
        <v>1</v>
      </c>
      <c r="AJ321" s="98">
        <f t="shared" si="897"/>
        <v>109505.26000000001</v>
      </c>
      <c r="AK321" s="98">
        <f t="shared" si="898"/>
        <v>332901</v>
      </c>
      <c r="AL321" s="98">
        <f t="shared" si="899"/>
        <v>0</v>
      </c>
      <c r="AM321" s="98">
        <f t="shared" si="900"/>
        <v>0</v>
      </c>
      <c r="AN321" s="98">
        <f t="shared" si="901"/>
        <v>0</v>
      </c>
      <c r="AO321" s="222">
        <f>GAAP!P321</f>
        <v>64460.986325599602</v>
      </c>
      <c r="AP321" s="129">
        <f t="shared" si="902"/>
        <v>45044.273674400407</v>
      </c>
    </row>
    <row r="322" spans="1:42" ht="13.5">
      <c r="A322" s="259">
        <v>56.100700000000003</v>
      </c>
      <c r="B322" s="57" t="s">
        <v>285</v>
      </c>
      <c r="C322" s="163">
        <v>16814</v>
      </c>
      <c r="D322" s="216">
        <f t="shared" si="883"/>
        <v>19362.98</v>
      </c>
      <c r="E322" s="149">
        <v>-2548.9799999999996</v>
      </c>
      <c r="F322" s="149">
        <v>19362.98</v>
      </c>
      <c r="G322" s="217">
        <f t="shared" si="884"/>
        <v>1</v>
      </c>
      <c r="H322" s="149">
        <v>-2548.9799999999996</v>
      </c>
      <c r="I322" s="214">
        <f t="shared" si="885"/>
        <v>16814</v>
      </c>
      <c r="J322" s="149">
        <v>16814</v>
      </c>
      <c r="K322" s="214">
        <f t="shared" si="886"/>
        <v>0</v>
      </c>
      <c r="L322" s="214">
        <f t="shared" si="887"/>
        <v>0</v>
      </c>
      <c r="M322" s="214">
        <f t="shared" si="888"/>
        <v>0</v>
      </c>
      <c r="N322" s="222">
        <v>14316.6</v>
      </c>
      <c r="O322" s="222">
        <v>13319</v>
      </c>
      <c r="P322" s="222">
        <v>3177.4410223965583</v>
      </c>
      <c r="Q322" s="214">
        <f t="shared" si="889"/>
        <v>5046.3799999999992</v>
      </c>
      <c r="R322" s="214">
        <f t="shared" si="890"/>
        <v>3495</v>
      </c>
      <c r="S322" s="214">
        <f t="shared" si="891"/>
        <v>-5726.4210223965583</v>
      </c>
      <c r="T322" s="185" t="s">
        <v>278</v>
      </c>
      <c r="U322" s="185" t="s">
        <v>510</v>
      </c>
      <c r="V322" s="57" t="str">
        <f t="shared" si="892"/>
        <v>&lt; 250k</v>
      </c>
      <c r="W322" s="282">
        <v>3177.4410223965583</v>
      </c>
      <c r="Y322" s="311">
        <v>-3177.4410223965583</v>
      </c>
      <c r="Z322" s="192">
        <f t="shared" si="869"/>
        <v>-2548.98</v>
      </c>
      <c r="AA322" t="str">
        <f t="shared" si="870"/>
        <v>-</v>
      </c>
      <c r="AB322" t="str">
        <f t="shared" si="871"/>
        <v>-</v>
      </c>
      <c r="AC322" s="523"/>
      <c r="AD322" s="34">
        <f>C322-GAAP!C322</f>
        <v>0</v>
      </c>
      <c r="AF322" s="64">
        <f t="shared" si="893"/>
        <v>16814</v>
      </c>
      <c r="AG322" s="64">
        <f t="shared" si="894"/>
        <v>19362.98</v>
      </c>
      <c r="AH322" s="64">
        <f t="shared" si="895"/>
        <v>-2548.9799999999996</v>
      </c>
      <c r="AI322" s="217">
        <f t="shared" si="896"/>
        <v>1</v>
      </c>
      <c r="AJ322" s="98">
        <f t="shared" si="897"/>
        <v>-2548.9799999999996</v>
      </c>
      <c r="AK322" s="98">
        <f t="shared" si="898"/>
        <v>16814</v>
      </c>
      <c r="AL322" s="98">
        <f t="shared" si="899"/>
        <v>0</v>
      </c>
      <c r="AM322" s="98">
        <f t="shared" si="900"/>
        <v>0</v>
      </c>
      <c r="AN322" s="98">
        <f t="shared" si="901"/>
        <v>0</v>
      </c>
      <c r="AO322" s="222">
        <f>GAAP!P322</f>
        <v>3177.4410223965583</v>
      </c>
      <c r="AP322" s="129">
        <f t="shared" si="902"/>
        <v>-5726.4210223965583</v>
      </c>
    </row>
    <row r="323" spans="1:42" ht="13.5">
      <c r="A323" s="259">
        <v>56.1008</v>
      </c>
      <c r="B323" s="57" t="s">
        <v>286</v>
      </c>
      <c r="C323" s="163">
        <v>55000</v>
      </c>
      <c r="D323" s="216">
        <f t="shared" si="883"/>
        <v>30551.919999999998</v>
      </c>
      <c r="E323" s="149">
        <v>24448.080000000002</v>
      </c>
      <c r="F323" s="149">
        <v>30551.919999999998</v>
      </c>
      <c r="G323" s="217">
        <f t="shared" si="884"/>
        <v>1</v>
      </c>
      <c r="H323" s="149">
        <v>24448.080000000002</v>
      </c>
      <c r="I323" s="214">
        <f t="shared" si="885"/>
        <v>55000</v>
      </c>
      <c r="J323" s="149">
        <v>55000</v>
      </c>
      <c r="K323" s="214">
        <f t="shared" ref="K323:K382" si="903">J323-I323</f>
        <v>0</v>
      </c>
      <c r="L323" s="214">
        <f t="shared" ref="L323:L382" si="904">+D323-F323</f>
        <v>0</v>
      </c>
      <c r="M323" s="214">
        <f t="shared" ref="M323:M382" si="905">+C323-J323</f>
        <v>0</v>
      </c>
      <c r="N323" s="222">
        <v>30425.18</v>
      </c>
      <c r="O323" s="222">
        <v>55000</v>
      </c>
      <c r="P323" s="222">
        <v>23094.02235391947</v>
      </c>
      <c r="Q323" s="214">
        <f t="shared" ref="Q323:Q382" si="906">F323-N323</f>
        <v>126.73999999999796</v>
      </c>
      <c r="R323" s="214">
        <f t="shared" ref="R323:R382" si="907">+J323-O323</f>
        <v>0</v>
      </c>
      <c r="S323" s="214">
        <f t="shared" ref="S323:S382" si="908">+H323-P323</f>
        <v>1354.0576460805314</v>
      </c>
      <c r="T323" s="185" t="s">
        <v>278</v>
      </c>
      <c r="U323" s="185" t="s">
        <v>510</v>
      </c>
      <c r="V323" s="57" t="str">
        <f t="shared" ref="V323" si="909">IF(C323&lt;250000, "&lt; 250k",".")</f>
        <v>&lt; 250k</v>
      </c>
      <c r="W323" s="282">
        <v>23094.02235391947</v>
      </c>
      <c r="Y323" s="311">
        <v>1354.0576460805314</v>
      </c>
      <c r="Z323" s="192">
        <f t="shared" si="869"/>
        <v>0</v>
      </c>
      <c r="AA323" t="str">
        <f t="shared" si="870"/>
        <v>-</v>
      </c>
      <c r="AB323" t="str">
        <f t="shared" si="871"/>
        <v>-</v>
      </c>
      <c r="AD323" s="34">
        <f>C323-GAAP!C383</f>
        <v>55000</v>
      </c>
      <c r="AF323" s="64">
        <f t="shared" ref="AF323" si="910">C323</f>
        <v>55000</v>
      </c>
      <c r="AG323" s="64">
        <f t="shared" ref="AG323" si="911">D323</f>
        <v>30551.919999999998</v>
      </c>
      <c r="AH323" s="64">
        <f t="shared" ref="AH323" si="912">E323</f>
        <v>24448.080000000002</v>
      </c>
      <c r="AI323" s="217">
        <f t="shared" ref="AI323" si="913">IF(AG323&lt;&gt;0,+F323/AG323,0)</f>
        <v>1</v>
      </c>
      <c r="AJ323" s="98">
        <f t="shared" ref="AJ323" si="914">IF(AH323&lt;=0,AH323,IF(G323&lt;0.1,0,IF(G323&lt;=1,G323*AH323,AH323)))</f>
        <v>24448.080000000002</v>
      </c>
      <c r="AK323" s="98">
        <f t="shared" ref="AK323" si="915">+F323+AJ323</f>
        <v>55000</v>
      </c>
      <c r="AL323" s="98">
        <f t="shared" ref="AL323" si="916">J323-AK323</f>
        <v>0</v>
      </c>
      <c r="AM323" s="98">
        <f t="shared" ref="AM323" si="917">+AG323-F323</f>
        <v>0</v>
      </c>
      <c r="AN323" s="98">
        <f t="shared" ref="AN323" si="918">+AF323-J323</f>
        <v>0</v>
      </c>
      <c r="AO323" s="222">
        <f>GAAP!P321</f>
        <v>64460.986325599602</v>
      </c>
      <c r="AP323" s="129">
        <f t="shared" ref="AP323" si="919">AJ323-AO323</f>
        <v>-40012.906325599601</v>
      </c>
    </row>
    <row r="324" spans="1:42" ht="13.5">
      <c r="A324" s="259" t="s">
        <v>431</v>
      </c>
      <c r="B324" s="57" t="s">
        <v>432</v>
      </c>
      <c r="C324" s="163">
        <v>9569</v>
      </c>
      <c r="D324" s="216">
        <f t="shared" si="883"/>
        <v>7097.1</v>
      </c>
      <c r="E324" s="149">
        <v>2471.8999999999996</v>
      </c>
      <c r="F324" s="149">
        <v>7097.1</v>
      </c>
      <c r="G324" s="217">
        <f t="shared" si="884"/>
        <v>1</v>
      </c>
      <c r="H324" s="149">
        <v>2471.8999999999996</v>
      </c>
      <c r="I324" s="214">
        <f t="shared" si="885"/>
        <v>9569</v>
      </c>
      <c r="J324" s="149">
        <v>9569</v>
      </c>
      <c r="K324" s="214">
        <f t="shared" si="903"/>
        <v>0</v>
      </c>
      <c r="L324" s="214">
        <f t="shared" si="904"/>
        <v>0</v>
      </c>
      <c r="M324" s="214">
        <f t="shared" si="905"/>
        <v>0</v>
      </c>
      <c r="N324" s="222">
        <v>2465.37</v>
      </c>
      <c r="O324" s="222">
        <v>0</v>
      </c>
      <c r="P324" s="222">
        <v>619.64706943899569</v>
      </c>
      <c r="Q324" s="214">
        <f t="shared" si="906"/>
        <v>4631.7300000000005</v>
      </c>
      <c r="R324" s="214">
        <f t="shared" si="907"/>
        <v>9569</v>
      </c>
      <c r="S324" s="214">
        <f t="shared" si="908"/>
        <v>1852.252930561004</v>
      </c>
      <c r="T324" s="185" t="s">
        <v>278</v>
      </c>
      <c r="U324" s="185" t="s">
        <v>510</v>
      </c>
      <c r="V324" s="57" t="s">
        <v>544</v>
      </c>
      <c r="W324" s="282">
        <v>619.64706943899569</v>
      </c>
      <c r="Y324" s="311">
        <v>1852.252930561004</v>
      </c>
      <c r="Z324" s="192">
        <f t="shared" si="869"/>
        <v>0</v>
      </c>
      <c r="AA324" t="str">
        <f t="shared" si="870"/>
        <v>-</v>
      </c>
      <c r="AB324" t="str">
        <f t="shared" si="871"/>
        <v>-</v>
      </c>
      <c r="AD324" s="34">
        <v>0</v>
      </c>
      <c r="AF324" s="64">
        <f t="shared" ref="AF324:AF327" si="920">C324</f>
        <v>9569</v>
      </c>
      <c r="AG324" s="64">
        <f t="shared" ref="AG324:AG327" si="921">D324</f>
        <v>7097.1</v>
      </c>
      <c r="AH324" s="64">
        <f t="shared" ref="AH324:AH327" si="922">E324</f>
        <v>2471.8999999999996</v>
      </c>
      <c r="AI324" s="217">
        <f t="shared" ref="AI324:AI327" si="923">IF(AG324&lt;&gt;0,+F324/AG324,0)</f>
        <v>1</v>
      </c>
      <c r="AJ324" s="98">
        <f t="shared" ref="AJ324:AJ327" si="924">IF(AH324&lt;=0,AH324,IF(G324&lt;0.1,0,IF(G324&lt;=1,G324*AH324,AH324)))</f>
        <v>2471.8999999999996</v>
      </c>
      <c r="AK324" s="98">
        <f t="shared" ref="AK324:AK327" si="925">+F324+AJ324</f>
        <v>9569</v>
      </c>
      <c r="AL324" s="98">
        <f t="shared" ref="AL324:AL327" si="926">J324-AK324</f>
        <v>0</v>
      </c>
      <c r="AM324" s="98">
        <f t="shared" ref="AM324:AM327" si="927">+AG324-F324</f>
        <v>0</v>
      </c>
      <c r="AN324" s="98">
        <f t="shared" ref="AN324:AN327" si="928">+AF324-J324</f>
        <v>0</v>
      </c>
      <c r="AO324" s="222">
        <f>GAAP!P322</f>
        <v>3177.4410223965583</v>
      </c>
      <c r="AP324" s="129">
        <f t="shared" ref="AP324:AP327" si="929">AJ324-AO324</f>
        <v>-705.54102239655867</v>
      </c>
    </row>
    <row r="325" spans="1:42" ht="13.5">
      <c r="A325" s="259">
        <v>56.101599999999998</v>
      </c>
      <c r="B325" s="57" t="s">
        <v>400</v>
      </c>
      <c r="C325" s="163">
        <v>150064.25</v>
      </c>
      <c r="D325" s="216">
        <f t="shared" si="883"/>
        <v>110083.62000000001</v>
      </c>
      <c r="E325" s="149">
        <v>39980.62999999999</v>
      </c>
      <c r="F325" s="149">
        <v>110083.62000000001</v>
      </c>
      <c r="G325" s="217">
        <f t="shared" si="884"/>
        <v>1</v>
      </c>
      <c r="H325" s="149">
        <v>39980.62999999999</v>
      </c>
      <c r="I325" s="214">
        <f t="shared" si="885"/>
        <v>150064.25</v>
      </c>
      <c r="J325" s="149">
        <v>150064.25</v>
      </c>
      <c r="K325" s="214">
        <f t="shared" si="903"/>
        <v>0</v>
      </c>
      <c r="L325" s="214">
        <f t="shared" si="904"/>
        <v>0</v>
      </c>
      <c r="M325" s="214">
        <f t="shared" si="905"/>
        <v>0</v>
      </c>
      <c r="N325" s="222">
        <v>57071.14</v>
      </c>
      <c r="O325" s="222">
        <v>71814.5</v>
      </c>
      <c r="P325" s="222">
        <v>14743.36</v>
      </c>
      <c r="Q325" s="214">
        <f t="shared" si="906"/>
        <v>53012.48000000001</v>
      </c>
      <c r="R325" s="214">
        <f t="shared" si="907"/>
        <v>78249.75</v>
      </c>
      <c r="S325" s="214">
        <f t="shared" si="908"/>
        <v>25237.26999999999</v>
      </c>
      <c r="T325" s="185" t="s">
        <v>278</v>
      </c>
      <c r="U325" s="185" t="s">
        <v>510</v>
      </c>
      <c r="V325" s="57" t="str">
        <f t="shared" ref="V325:V326" si="930">IF(C325&lt;250000, "&lt; 250k",".")</f>
        <v>&lt; 250k</v>
      </c>
      <c r="W325" s="282">
        <v>14743.36</v>
      </c>
      <c r="Y325" s="311">
        <v>25237.26999999999</v>
      </c>
      <c r="Z325" s="192">
        <f t="shared" si="869"/>
        <v>0</v>
      </c>
      <c r="AA325" t="str">
        <f t="shared" si="870"/>
        <v>-</v>
      </c>
      <c r="AB325" t="str">
        <f t="shared" si="871"/>
        <v>-</v>
      </c>
      <c r="AC325" s="523"/>
      <c r="AD325" s="34" t="e">
        <f>C325-GAAP!#REF!</f>
        <v>#REF!</v>
      </c>
      <c r="AF325" s="64">
        <f t="shared" si="920"/>
        <v>150064.25</v>
      </c>
      <c r="AG325" s="64">
        <f t="shared" si="921"/>
        <v>110083.62000000001</v>
      </c>
      <c r="AH325" s="64">
        <f t="shared" si="922"/>
        <v>39980.62999999999</v>
      </c>
      <c r="AI325" s="217">
        <f t="shared" si="923"/>
        <v>1</v>
      </c>
      <c r="AJ325" s="98">
        <f t="shared" si="924"/>
        <v>39980.62999999999</v>
      </c>
      <c r="AK325" s="98">
        <f t="shared" si="925"/>
        <v>150064.25</v>
      </c>
      <c r="AL325" s="98">
        <f t="shared" si="926"/>
        <v>0</v>
      </c>
      <c r="AM325" s="98">
        <f t="shared" si="927"/>
        <v>0</v>
      </c>
      <c r="AN325" s="98">
        <f t="shared" si="928"/>
        <v>0</v>
      </c>
      <c r="AO325" s="222" t="e">
        <f>GAAP!#REF!</f>
        <v>#REF!</v>
      </c>
      <c r="AP325" s="129" t="e">
        <f t="shared" si="929"/>
        <v>#REF!</v>
      </c>
    </row>
    <row r="326" spans="1:42" ht="13.5">
      <c r="A326" s="259">
        <v>56.101900000000001</v>
      </c>
      <c r="B326" s="57" t="s">
        <v>403</v>
      </c>
      <c r="C326" s="163">
        <v>193845</v>
      </c>
      <c r="D326" s="216">
        <f t="shared" si="883"/>
        <v>143764.57999999999</v>
      </c>
      <c r="E326" s="149">
        <v>50080.420000000013</v>
      </c>
      <c r="F326" s="149">
        <v>143764.57999999999</v>
      </c>
      <c r="G326" s="217">
        <f t="shared" si="884"/>
        <v>1</v>
      </c>
      <c r="H326" s="149">
        <v>50080.420000000013</v>
      </c>
      <c r="I326" s="214">
        <f t="shared" si="885"/>
        <v>193845</v>
      </c>
      <c r="J326" s="149">
        <v>193845</v>
      </c>
      <c r="K326" s="214">
        <f t="shared" si="903"/>
        <v>0</v>
      </c>
      <c r="L326" s="214">
        <f t="shared" si="904"/>
        <v>0</v>
      </c>
      <c r="M326" s="214">
        <f t="shared" si="905"/>
        <v>0</v>
      </c>
      <c r="N326" s="222">
        <v>20442.52</v>
      </c>
      <c r="O326" s="222">
        <v>0</v>
      </c>
      <c r="P326" s="222">
        <v>0</v>
      </c>
      <c r="Q326" s="214">
        <f t="shared" si="906"/>
        <v>123322.05999999998</v>
      </c>
      <c r="R326" s="214">
        <f t="shared" si="907"/>
        <v>193845</v>
      </c>
      <c r="S326" s="214">
        <f t="shared" si="908"/>
        <v>50080.420000000013</v>
      </c>
      <c r="T326" s="185" t="s">
        <v>278</v>
      </c>
      <c r="U326" s="185" t="s">
        <v>510</v>
      </c>
      <c r="V326" s="57" t="str">
        <f t="shared" si="930"/>
        <v>&lt; 250k</v>
      </c>
      <c r="W326" s="282">
        <v>4594.7942619688129</v>
      </c>
      <c r="Y326" s="311">
        <v>36717.203673616612</v>
      </c>
      <c r="Z326" s="192">
        <f t="shared" si="869"/>
        <v>13363.216326383401</v>
      </c>
      <c r="AA326" t="str">
        <f t="shared" si="870"/>
        <v>-</v>
      </c>
      <c r="AB326" t="str">
        <f t="shared" si="871"/>
        <v>-</v>
      </c>
      <c r="AC326" s="523"/>
      <c r="AD326" s="34">
        <f>C326-GAAP!C327</f>
        <v>-50915</v>
      </c>
      <c r="AF326" s="64">
        <f t="shared" si="920"/>
        <v>193845</v>
      </c>
      <c r="AG326" s="64">
        <f t="shared" si="921"/>
        <v>143764.57999999999</v>
      </c>
      <c r="AH326" s="64">
        <f t="shared" si="922"/>
        <v>50080.420000000013</v>
      </c>
      <c r="AI326" s="217">
        <f t="shared" si="923"/>
        <v>1</v>
      </c>
      <c r="AJ326" s="98">
        <f t="shared" si="924"/>
        <v>50080.420000000013</v>
      </c>
      <c r="AK326" s="98">
        <f t="shared" si="925"/>
        <v>193845</v>
      </c>
      <c r="AL326" s="98">
        <f t="shared" si="926"/>
        <v>0</v>
      </c>
      <c r="AM326" s="98">
        <f t="shared" si="927"/>
        <v>0</v>
      </c>
      <c r="AN326" s="98">
        <f t="shared" si="928"/>
        <v>0</v>
      </c>
      <c r="AO326" s="222" t="e">
        <f>GAAP!#REF!</f>
        <v>#REF!</v>
      </c>
      <c r="AP326" s="129" t="e">
        <f t="shared" si="929"/>
        <v>#REF!</v>
      </c>
    </row>
    <row r="327" spans="1:42" ht="13.5">
      <c r="A327" s="259">
        <v>56.1021</v>
      </c>
      <c r="B327" s="57" t="s">
        <v>405</v>
      </c>
      <c r="C327" s="163">
        <v>244760</v>
      </c>
      <c r="D327" s="216">
        <f t="shared" si="883"/>
        <v>116752.52</v>
      </c>
      <c r="E327" s="149">
        <v>128007.48</v>
      </c>
      <c r="F327" s="149">
        <v>116752.52</v>
      </c>
      <c r="G327" s="217">
        <f t="shared" si="884"/>
        <v>1</v>
      </c>
      <c r="H327" s="149">
        <v>128007.48</v>
      </c>
      <c r="I327" s="214">
        <f t="shared" si="885"/>
        <v>244760</v>
      </c>
      <c r="J327" s="149">
        <v>244760</v>
      </c>
      <c r="K327" s="214">
        <f t="shared" si="903"/>
        <v>0</v>
      </c>
      <c r="L327" s="214">
        <f t="shared" si="904"/>
        <v>0</v>
      </c>
      <c r="M327" s="214">
        <f t="shared" si="905"/>
        <v>0</v>
      </c>
      <c r="N327" s="222">
        <v>113715.41</v>
      </c>
      <c r="O327" s="222">
        <v>0</v>
      </c>
      <c r="P327" s="222">
        <v>38878.539262879734</v>
      </c>
      <c r="Q327" s="214">
        <f t="shared" si="906"/>
        <v>3037.1100000000006</v>
      </c>
      <c r="R327" s="214">
        <f t="shared" si="907"/>
        <v>244760</v>
      </c>
      <c r="S327" s="214">
        <f t="shared" si="908"/>
        <v>89128.940737120254</v>
      </c>
      <c r="T327" s="185" t="s">
        <v>278</v>
      </c>
      <c r="U327" s="185" t="s">
        <v>510</v>
      </c>
      <c r="V327" s="57" t="str">
        <f t="shared" ref="V327" si="931">IF(C327&lt;250000, "&lt; 250k",".")</f>
        <v>&lt; 250k</v>
      </c>
      <c r="W327" s="282">
        <v>38878.539262879734</v>
      </c>
      <c r="Y327" s="311">
        <v>89128.940737120254</v>
      </c>
      <c r="Z327" s="192">
        <f t="shared" si="869"/>
        <v>0</v>
      </c>
      <c r="AA327" t="str">
        <f t="shared" si="870"/>
        <v>-</v>
      </c>
      <c r="AB327" t="str">
        <f t="shared" si="871"/>
        <v>-</v>
      </c>
      <c r="AC327" s="523"/>
      <c r="AD327" s="34">
        <f>C327-GAAP!C325</f>
        <v>94695.75</v>
      </c>
      <c r="AF327" s="64">
        <f t="shared" si="920"/>
        <v>244760</v>
      </c>
      <c r="AG327" s="64">
        <f t="shared" si="921"/>
        <v>116752.52</v>
      </c>
      <c r="AH327" s="64">
        <f t="shared" si="922"/>
        <v>128007.48</v>
      </c>
      <c r="AI327" s="217">
        <f t="shared" si="923"/>
        <v>1</v>
      </c>
      <c r="AJ327" s="98">
        <f t="shared" si="924"/>
        <v>128007.48</v>
      </c>
      <c r="AK327" s="98">
        <f t="shared" si="925"/>
        <v>244760</v>
      </c>
      <c r="AL327" s="98">
        <f t="shared" si="926"/>
        <v>0</v>
      </c>
      <c r="AM327" s="98">
        <f t="shared" si="927"/>
        <v>0</v>
      </c>
      <c r="AN327" s="98">
        <f t="shared" si="928"/>
        <v>0</v>
      </c>
      <c r="AO327" s="222">
        <f>GAAP!P323</f>
        <v>23094.02235391947</v>
      </c>
      <c r="AP327" s="129">
        <f t="shared" si="929"/>
        <v>104913.45764608053</v>
      </c>
    </row>
    <row r="328" spans="1:42" ht="13.5">
      <c r="A328" s="259">
        <v>56.102200000000003</v>
      </c>
      <c r="B328" s="57" t="s">
        <v>546</v>
      </c>
      <c r="C328" s="483">
        <v>0</v>
      </c>
      <c r="D328" s="216">
        <f t="shared" si="883"/>
        <v>0</v>
      </c>
      <c r="E328" s="149">
        <v>0</v>
      </c>
      <c r="F328" s="149"/>
      <c r="G328" s="217">
        <f t="shared" si="884"/>
        <v>0</v>
      </c>
      <c r="H328" s="149"/>
      <c r="I328" s="214">
        <f t="shared" si="885"/>
        <v>0</v>
      </c>
      <c r="J328" s="149">
        <v>0</v>
      </c>
      <c r="K328" s="214">
        <f t="shared" si="903"/>
        <v>0</v>
      </c>
      <c r="L328" s="214">
        <f t="shared" si="904"/>
        <v>0</v>
      </c>
      <c r="M328" s="214">
        <f t="shared" si="905"/>
        <v>0</v>
      </c>
      <c r="N328" s="222">
        <v>88093.56</v>
      </c>
      <c r="O328" s="222">
        <v>0</v>
      </c>
      <c r="P328" s="222">
        <v>0</v>
      </c>
      <c r="Q328" s="214">
        <f t="shared" si="906"/>
        <v>-88093.56</v>
      </c>
      <c r="R328" s="214">
        <f t="shared" si="907"/>
        <v>0</v>
      </c>
      <c r="S328" s="214">
        <f t="shared" si="908"/>
        <v>0</v>
      </c>
      <c r="T328" s="185" t="s">
        <v>278</v>
      </c>
      <c r="U328" s="185" t="s">
        <v>510</v>
      </c>
      <c r="V328" s="57" t="s">
        <v>544</v>
      </c>
      <c r="W328" s="282">
        <v>0</v>
      </c>
      <c r="Y328" s="311">
        <v>0</v>
      </c>
      <c r="Z328" s="192">
        <f t="shared" si="869"/>
        <v>0</v>
      </c>
      <c r="AA328" t="str">
        <f t="shared" si="870"/>
        <v>-</v>
      </c>
      <c r="AB328" t="str">
        <f t="shared" si="871"/>
        <v>-</v>
      </c>
      <c r="AD328" s="34">
        <v>0</v>
      </c>
      <c r="AF328" s="64">
        <f t="shared" ref="AF328:AF365" si="932">C328</f>
        <v>0</v>
      </c>
      <c r="AG328" s="64">
        <f t="shared" ref="AG328:AG365" si="933">D328</f>
        <v>0</v>
      </c>
      <c r="AH328" s="64">
        <f t="shared" ref="AH328:AH365" si="934">E328</f>
        <v>0</v>
      </c>
      <c r="AI328" s="217">
        <f t="shared" ref="AI328:AI365" si="935">IF(AG328&lt;&gt;0,+F328/AG328,0)</f>
        <v>0</v>
      </c>
      <c r="AJ328" s="98">
        <f t="shared" ref="AJ328:AJ365" si="936">IF(AH328&lt;=0,AH328,IF(G328&lt;0.1,0,IF(G328&lt;=1,G328*AH328,AH328)))</f>
        <v>0</v>
      </c>
      <c r="AK328" s="98">
        <f t="shared" ref="AK328:AK365" si="937">+F328+AJ328</f>
        <v>0</v>
      </c>
      <c r="AL328" s="98">
        <f t="shared" ref="AL328:AL365" si="938">J328-AK328</f>
        <v>0</v>
      </c>
      <c r="AM328" s="98">
        <f t="shared" ref="AM328:AM365" si="939">+AG328-F328</f>
        <v>0</v>
      </c>
      <c r="AN328" s="98">
        <f t="shared" ref="AN328:AN365" si="940">+AF328-J328</f>
        <v>0</v>
      </c>
      <c r="AO328" s="222">
        <f>GAAP!P324</f>
        <v>619.64706943899569</v>
      </c>
      <c r="AP328" s="129">
        <f t="shared" ref="AP328:AP365" si="941">AJ328-AO328</f>
        <v>-619.64706943899569</v>
      </c>
    </row>
    <row r="329" spans="1:42" ht="13.5">
      <c r="A329" s="259">
        <v>56.1023</v>
      </c>
      <c r="B329" s="57" t="s">
        <v>406</v>
      </c>
      <c r="C329" s="163">
        <v>220390</v>
      </c>
      <c r="D329" s="216">
        <f t="shared" si="883"/>
        <v>150504.73000000001</v>
      </c>
      <c r="E329" s="149">
        <v>69885.26999999999</v>
      </c>
      <c r="F329" s="149">
        <v>150504.73000000001</v>
      </c>
      <c r="G329" s="217">
        <f t="shared" si="884"/>
        <v>1</v>
      </c>
      <c r="H329" s="149">
        <v>69885.26999999999</v>
      </c>
      <c r="I329" s="214">
        <f t="shared" si="885"/>
        <v>220390</v>
      </c>
      <c r="J329" s="149">
        <v>220390</v>
      </c>
      <c r="K329" s="214">
        <f t="shared" si="903"/>
        <v>0</v>
      </c>
      <c r="L329" s="214">
        <f t="shared" si="904"/>
        <v>0</v>
      </c>
      <c r="M329" s="214">
        <f t="shared" si="905"/>
        <v>0</v>
      </c>
      <c r="N329" s="222">
        <v>112097.3</v>
      </c>
      <c r="O329" s="222">
        <v>172000</v>
      </c>
      <c r="P329" s="222">
        <v>40095.312541281011</v>
      </c>
      <c r="Q329" s="214">
        <f t="shared" si="906"/>
        <v>38407.430000000008</v>
      </c>
      <c r="R329" s="214">
        <f t="shared" si="907"/>
        <v>48390</v>
      </c>
      <c r="S329" s="214">
        <f t="shared" si="908"/>
        <v>29789.957458718978</v>
      </c>
      <c r="T329" s="185" t="s">
        <v>278</v>
      </c>
      <c r="U329" s="185" t="s">
        <v>510</v>
      </c>
      <c r="V329" s="57" t="str">
        <f t="shared" ref="V329:V330" si="942">IF(C329&lt;250000, "&lt; 250k",".")</f>
        <v>&lt; 250k</v>
      </c>
      <c r="W329" s="282">
        <v>40095.312541281011</v>
      </c>
      <c r="Y329" s="311">
        <v>29789.957458718978</v>
      </c>
      <c r="Z329" s="192">
        <f t="shared" si="869"/>
        <v>0</v>
      </c>
      <c r="AA329" t="str">
        <f t="shared" si="870"/>
        <v>-</v>
      </c>
      <c r="AB329" t="str">
        <f t="shared" si="871"/>
        <v>-</v>
      </c>
      <c r="AC329" s="523"/>
      <c r="AD329" s="34">
        <f>C329-GAAP!C333</f>
        <v>211503</v>
      </c>
      <c r="AF329" s="64">
        <f t="shared" si="932"/>
        <v>220390</v>
      </c>
      <c r="AG329" s="64">
        <f t="shared" si="933"/>
        <v>150504.73000000001</v>
      </c>
      <c r="AH329" s="64">
        <f t="shared" si="934"/>
        <v>69885.26999999999</v>
      </c>
      <c r="AI329" s="217">
        <f t="shared" si="935"/>
        <v>1</v>
      </c>
      <c r="AJ329" s="98">
        <f t="shared" si="936"/>
        <v>69885.26999999999</v>
      </c>
      <c r="AK329" s="98">
        <f t="shared" si="937"/>
        <v>220390</v>
      </c>
      <c r="AL329" s="98">
        <f t="shared" si="938"/>
        <v>0</v>
      </c>
      <c r="AM329" s="98">
        <f t="shared" si="939"/>
        <v>0</v>
      </c>
      <c r="AN329" s="98">
        <f t="shared" si="940"/>
        <v>0</v>
      </c>
      <c r="AO329" s="222">
        <f>GAAP!P331</f>
        <v>7002.2380436271851</v>
      </c>
      <c r="AP329" s="129">
        <f t="shared" si="941"/>
        <v>62883.031956372804</v>
      </c>
    </row>
    <row r="330" spans="1:42" ht="13.5">
      <c r="A330" s="259">
        <v>56.103000000000002</v>
      </c>
      <c r="B330" s="57" t="s">
        <v>626</v>
      </c>
      <c r="C330" s="163">
        <v>689578.64</v>
      </c>
      <c r="D330" s="216">
        <f t="shared" si="883"/>
        <v>689578.64</v>
      </c>
      <c r="E330" s="149">
        <v>0</v>
      </c>
      <c r="F330" s="149">
        <v>689578.64</v>
      </c>
      <c r="G330" s="217">
        <f t="shared" si="884"/>
        <v>1</v>
      </c>
      <c r="H330" s="149">
        <v>0</v>
      </c>
      <c r="I330" s="214">
        <f t="shared" si="885"/>
        <v>689578.64</v>
      </c>
      <c r="J330" s="149">
        <v>689578.64</v>
      </c>
      <c r="K330" s="214">
        <f t="shared" si="903"/>
        <v>0</v>
      </c>
      <c r="L330" s="214">
        <f t="shared" si="904"/>
        <v>0</v>
      </c>
      <c r="M330" s="214">
        <f t="shared" si="905"/>
        <v>0</v>
      </c>
      <c r="N330" s="222">
        <v>122107.57</v>
      </c>
      <c r="O330" s="222">
        <v>77500</v>
      </c>
      <c r="P330" s="222">
        <v>0</v>
      </c>
      <c r="Q330" s="214">
        <f t="shared" si="906"/>
        <v>567471.07000000007</v>
      </c>
      <c r="R330" s="214">
        <f t="shared" si="907"/>
        <v>612078.64</v>
      </c>
      <c r="S330" s="214">
        <f t="shared" si="908"/>
        <v>0</v>
      </c>
      <c r="T330" s="185" t="s">
        <v>278</v>
      </c>
      <c r="U330" s="185" t="s">
        <v>510</v>
      </c>
      <c r="V330" s="57" t="str">
        <f t="shared" si="942"/>
        <v>.</v>
      </c>
      <c r="W330" s="282">
        <v>18034.019023179</v>
      </c>
      <c r="Y330" s="311">
        <v>0</v>
      </c>
      <c r="Z330" s="192">
        <f t="shared" si="869"/>
        <v>0</v>
      </c>
      <c r="AA330" t="str">
        <f t="shared" si="870"/>
        <v>-</v>
      </c>
      <c r="AB330" t="str">
        <f t="shared" si="871"/>
        <v>-</v>
      </c>
      <c r="AC330" s="523"/>
      <c r="AD330" s="34">
        <f>C330-GAAP!C330</f>
        <v>0</v>
      </c>
      <c r="AF330" s="64">
        <f t="shared" si="932"/>
        <v>689578.64</v>
      </c>
      <c r="AG330" s="64">
        <f t="shared" si="933"/>
        <v>689578.64</v>
      </c>
      <c r="AH330" s="64">
        <f t="shared" si="934"/>
        <v>0</v>
      </c>
      <c r="AI330" s="217">
        <f t="shared" si="935"/>
        <v>1</v>
      </c>
      <c r="AJ330" s="98">
        <f t="shared" si="936"/>
        <v>0</v>
      </c>
      <c r="AK330" s="98">
        <f t="shared" si="937"/>
        <v>689578.64</v>
      </c>
      <c r="AL330" s="98">
        <f t="shared" si="938"/>
        <v>0</v>
      </c>
      <c r="AM330" s="98">
        <f t="shared" si="939"/>
        <v>0</v>
      </c>
      <c r="AN330" s="98">
        <f t="shared" si="940"/>
        <v>0</v>
      </c>
      <c r="AO330" s="222">
        <f>GAAP!P329</f>
        <v>40095.312541281011</v>
      </c>
      <c r="AP330" s="129">
        <f t="shared" si="941"/>
        <v>-40095.312541281011</v>
      </c>
    </row>
    <row r="331" spans="1:42" ht="13.5">
      <c r="A331" s="259">
        <v>56.104100000000003</v>
      </c>
      <c r="B331" s="57" t="s">
        <v>627</v>
      </c>
      <c r="C331" s="163">
        <v>20016.78</v>
      </c>
      <c r="D331" s="216">
        <f t="shared" si="883"/>
        <v>20016.78</v>
      </c>
      <c r="E331" s="149">
        <v>0</v>
      </c>
      <c r="F331" s="149">
        <v>20016.78</v>
      </c>
      <c r="G331" s="217">
        <f t="shared" si="884"/>
        <v>1</v>
      </c>
      <c r="H331" s="149">
        <v>0</v>
      </c>
      <c r="I331" s="214">
        <f t="shared" si="885"/>
        <v>20016.78</v>
      </c>
      <c r="J331" s="149">
        <v>20016.78</v>
      </c>
      <c r="K331" s="214">
        <f t="shared" si="903"/>
        <v>0</v>
      </c>
      <c r="L331" s="214">
        <f t="shared" si="904"/>
        <v>0</v>
      </c>
      <c r="M331" s="214">
        <f t="shared" si="905"/>
        <v>0</v>
      </c>
      <c r="N331" s="222">
        <v>9127.1299999999992</v>
      </c>
      <c r="O331" s="222">
        <v>0</v>
      </c>
      <c r="P331" s="222">
        <v>7002.2380436271851</v>
      </c>
      <c r="Q331" s="214">
        <f t="shared" si="906"/>
        <v>10889.65</v>
      </c>
      <c r="R331" s="214">
        <f t="shared" si="907"/>
        <v>20016.78</v>
      </c>
      <c r="S331" s="214">
        <f t="shared" si="908"/>
        <v>-7002.2380436271851</v>
      </c>
      <c r="T331" s="185" t="s">
        <v>278</v>
      </c>
      <c r="U331" s="185" t="s">
        <v>510</v>
      </c>
      <c r="V331" s="57" t="str">
        <f t="shared" ref="V331:V332" si="943">IF(C331&lt;250000, "&lt; 250k",".")</f>
        <v>&lt; 250k</v>
      </c>
      <c r="W331" s="282">
        <v>7002.2380436271851</v>
      </c>
      <c r="Y331" s="311">
        <v>-7002.2380436271851</v>
      </c>
      <c r="Z331" s="192">
        <f t="shared" si="869"/>
        <v>0</v>
      </c>
      <c r="AA331" t="str">
        <f t="shared" si="870"/>
        <v>-</v>
      </c>
      <c r="AB331" t="str">
        <f t="shared" si="871"/>
        <v>-</v>
      </c>
      <c r="AC331" s="523"/>
      <c r="AD331" s="34">
        <f>C331-GAAP!C327</f>
        <v>-224743.22</v>
      </c>
      <c r="AF331" s="64">
        <f t="shared" si="932"/>
        <v>20016.78</v>
      </c>
      <c r="AG331" s="64">
        <f t="shared" si="933"/>
        <v>20016.78</v>
      </c>
      <c r="AH331" s="64">
        <f t="shared" si="934"/>
        <v>0</v>
      </c>
      <c r="AI331" s="217">
        <f t="shared" si="935"/>
        <v>1</v>
      </c>
      <c r="AJ331" s="98">
        <f t="shared" si="936"/>
        <v>0</v>
      </c>
      <c r="AK331" s="98">
        <f t="shared" si="937"/>
        <v>20016.78</v>
      </c>
      <c r="AL331" s="98">
        <f t="shared" si="938"/>
        <v>0</v>
      </c>
      <c r="AM331" s="98">
        <f t="shared" si="939"/>
        <v>0</v>
      </c>
      <c r="AN331" s="98">
        <f t="shared" si="940"/>
        <v>0</v>
      </c>
      <c r="AO331" s="222">
        <f>GAAP!P326</f>
        <v>4594.7942619688129</v>
      </c>
      <c r="AP331" s="129">
        <f t="shared" si="941"/>
        <v>-4594.7942619688129</v>
      </c>
    </row>
    <row r="332" spans="1:42" ht="13.5">
      <c r="A332" s="259">
        <v>56.1051</v>
      </c>
      <c r="B332" s="57" t="s">
        <v>446</v>
      </c>
      <c r="C332" s="163">
        <v>136875</v>
      </c>
      <c r="D332" s="216">
        <f t="shared" si="883"/>
        <v>98718.18</v>
      </c>
      <c r="E332" s="149">
        <v>38156.820000000007</v>
      </c>
      <c r="F332" s="149">
        <v>98718.18</v>
      </c>
      <c r="G332" s="217">
        <f t="shared" si="884"/>
        <v>1</v>
      </c>
      <c r="H332" s="149">
        <v>38156.820000000007</v>
      </c>
      <c r="I332" s="214">
        <f t="shared" si="885"/>
        <v>136875</v>
      </c>
      <c r="J332" s="149">
        <v>136875</v>
      </c>
      <c r="K332" s="214">
        <f t="shared" si="903"/>
        <v>0</v>
      </c>
      <c r="L332" s="214">
        <f t="shared" si="904"/>
        <v>0</v>
      </c>
      <c r="M332" s="214">
        <f t="shared" si="905"/>
        <v>0</v>
      </c>
      <c r="N332" s="222">
        <v>39254.31</v>
      </c>
      <c r="O332" s="222">
        <v>0</v>
      </c>
      <c r="P332" s="222">
        <v>16220.539798717673</v>
      </c>
      <c r="Q332" s="214">
        <f t="shared" si="906"/>
        <v>59463.869999999995</v>
      </c>
      <c r="R332" s="214">
        <f t="shared" si="907"/>
        <v>136875</v>
      </c>
      <c r="S332" s="214">
        <f t="shared" si="908"/>
        <v>21936.280201282334</v>
      </c>
      <c r="T332" s="185" t="s">
        <v>278</v>
      </c>
      <c r="U332" s="185" t="s">
        <v>510</v>
      </c>
      <c r="V332" s="57" t="str">
        <f t="shared" si="943"/>
        <v>&lt; 250k</v>
      </c>
      <c r="W332" s="282">
        <v>16220.539798717673</v>
      </c>
      <c r="Y332" s="311">
        <v>3102.6570740901552</v>
      </c>
      <c r="Z332" s="192">
        <f t="shared" si="869"/>
        <v>18833.623127192179</v>
      </c>
      <c r="AA332" t="str">
        <f t="shared" si="870"/>
        <v>-</v>
      </c>
      <c r="AB332" t="str">
        <f t="shared" si="871"/>
        <v>-</v>
      </c>
      <c r="AC332" s="523"/>
      <c r="AD332" s="34">
        <f>C332-GAAP!C335</f>
        <v>99226.97</v>
      </c>
      <c r="AF332" s="64">
        <f t="shared" si="932"/>
        <v>136875</v>
      </c>
      <c r="AG332" s="64">
        <f t="shared" si="933"/>
        <v>98718.18</v>
      </c>
      <c r="AH332" s="64">
        <f t="shared" si="934"/>
        <v>38156.820000000007</v>
      </c>
      <c r="AI332" s="217">
        <f t="shared" si="935"/>
        <v>1</v>
      </c>
      <c r="AJ332" s="98">
        <f t="shared" si="936"/>
        <v>38156.820000000007</v>
      </c>
      <c r="AK332" s="98">
        <f t="shared" si="937"/>
        <v>136875</v>
      </c>
      <c r="AL332" s="98">
        <f t="shared" si="938"/>
        <v>0</v>
      </c>
      <c r="AM332" s="98">
        <f t="shared" si="939"/>
        <v>0</v>
      </c>
      <c r="AN332" s="98">
        <f t="shared" si="940"/>
        <v>0</v>
      </c>
      <c r="AO332" s="222">
        <f>GAAP!P334</f>
        <v>4187.360644777893</v>
      </c>
      <c r="AP332" s="129">
        <f t="shared" si="941"/>
        <v>33969.459355222112</v>
      </c>
    </row>
    <row r="333" spans="1:42" ht="13.5">
      <c r="A333" s="259">
        <v>56.105200000000004</v>
      </c>
      <c r="B333" s="57" t="s">
        <v>447</v>
      </c>
      <c r="C333" s="163">
        <v>8887</v>
      </c>
      <c r="D333" s="216">
        <f t="shared" si="883"/>
        <v>6400.94</v>
      </c>
      <c r="E333" s="149">
        <v>2486.0600000000004</v>
      </c>
      <c r="F333" s="149">
        <v>6400.94</v>
      </c>
      <c r="G333" s="217">
        <f t="shared" si="884"/>
        <v>1</v>
      </c>
      <c r="H333" s="149">
        <v>2486.0600000000004</v>
      </c>
      <c r="I333" s="214">
        <f t="shared" si="885"/>
        <v>8887</v>
      </c>
      <c r="J333" s="149">
        <v>8887</v>
      </c>
      <c r="K333" s="214">
        <f t="shared" si="903"/>
        <v>0</v>
      </c>
      <c r="L333" s="214">
        <f t="shared" si="904"/>
        <v>0</v>
      </c>
      <c r="M333" s="214">
        <f t="shared" si="905"/>
        <v>0</v>
      </c>
      <c r="N333" s="222">
        <v>5914.69</v>
      </c>
      <c r="O333" s="222">
        <v>0</v>
      </c>
      <c r="P333" s="222">
        <v>369.09362582187686</v>
      </c>
      <c r="Q333" s="214">
        <f t="shared" si="906"/>
        <v>486.25</v>
      </c>
      <c r="R333" s="214">
        <f t="shared" si="907"/>
        <v>8887</v>
      </c>
      <c r="S333" s="214">
        <f t="shared" si="908"/>
        <v>2116.9663741781237</v>
      </c>
      <c r="T333" s="185" t="s">
        <v>278</v>
      </c>
      <c r="U333" s="185" t="s">
        <v>510</v>
      </c>
      <c r="V333" s="57" t="str">
        <f t="shared" ref="V333" si="944">IF(C333&lt;250000, "&lt; 250k",".")</f>
        <v>&lt; 250k</v>
      </c>
      <c r="W333" s="282">
        <v>369.09362582187686</v>
      </c>
      <c r="Y333" s="311">
        <v>2116.9663741781237</v>
      </c>
      <c r="Z333" s="192">
        <f t="shared" si="869"/>
        <v>0</v>
      </c>
      <c r="AA333" t="str">
        <f t="shared" si="870"/>
        <v>-</v>
      </c>
      <c r="AB333" t="str">
        <f t="shared" si="871"/>
        <v>-</v>
      </c>
      <c r="AC333" s="523"/>
      <c r="AD333" s="34">
        <f>C333-GAAP!C326</f>
        <v>-184958</v>
      </c>
      <c r="AF333" s="64">
        <f t="shared" si="932"/>
        <v>8887</v>
      </c>
      <c r="AG333" s="64">
        <f t="shared" si="933"/>
        <v>6400.94</v>
      </c>
      <c r="AH333" s="64">
        <f t="shared" si="934"/>
        <v>2486.0600000000004</v>
      </c>
      <c r="AI333" s="217">
        <f t="shared" si="935"/>
        <v>1</v>
      </c>
      <c r="AJ333" s="98">
        <f t="shared" si="936"/>
        <v>2486.0600000000004</v>
      </c>
      <c r="AK333" s="98">
        <f t="shared" si="937"/>
        <v>8887</v>
      </c>
      <c r="AL333" s="98">
        <f t="shared" si="938"/>
        <v>0</v>
      </c>
      <c r="AM333" s="98">
        <f t="shared" si="939"/>
        <v>0</v>
      </c>
      <c r="AN333" s="98">
        <f t="shared" si="940"/>
        <v>0</v>
      </c>
      <c r="AO333" s="222">
        <f>GAAP!P325</f>
        <v>14743.36</v>
      </c>
      <c r="AP333" s="129">
        <f t="shared" si="941"/>
        <v>-12257.3</v>
      </c>
    </row>
    <row r="334" spans="1:42" ht="13.5">
      <c r="A334" s="259">
        <v>56.1053</v>
      </c>
      <c r="B334" s="57" t="s">
        <v>448</v>
      </c>
      <c r="C334" s="163">
        <v>35000</v>
      </c>
      <c r="D334" s="216">
        <f t="shared" si="883"/>
        <v>19964.78</v>
      </c>
      <c r="E334" s="149">
        <v>15035.220000000001</v>
      </c>
      <c r="F334" s="149">
        <v>19964.78</v>
      </c>
      <c r="G334" s="217">
        <f t="shared" si="884"/>
        <v>1</v>
      </c>
      <c r="H334" s="149">
        <v>15035.220000000001</v>
      </c>
      <c r="I334" s="214">
        <f t="shared" si="885"/>
        <v>35000</v>
      </c>
      <c r="J334" s="149">
        <v>35000</v>
      </c>
      <c r="K334" s="214">
        <f t="shared" si="903"/>
        <v>0</v>
      </c>
      <c r="L334" s="214">
        <f t="shared" si="904"/>
        <v>0</v>
      </c>
      <c r="M334" s="214">
        <f t="shared" si="905"/>
        <v>0</v>
      </c>
      <c r="N334" s="222">
        <v>5710.5</v>
      </c>
      <c r="O334" s="222">
        <v>0</v>
      </c>
      <c r="P334" s="222">
        <v>0</v>
      </c>
      <c r="Q334" s="214">
        <f t="shared" si="906"/>
        <v>14254.279999999999</v>
      </c>
      <c r="R334" s="214">
        <f t="shared" si="907"/>
        <v>35000</v>
      </c>
      <c r="S334" s="214">
        <f t="shared" si="908"/>
        <v>15035.220000000001</v>
      </c>
      <c r="T334" s="185" t="s">
        <v>278</v>
      </c>
      <c r="U334" s="185" t="s">
        <v>510</v>
      </c>
      <c r="V334" s="57" t="s">
        <v>544</v>
      </c>
      <c r="W334" s="282">
        <v>4187.360644777893</v>
      </c>
      <c r="Y334" s="311">
        <v>15035.220000000001</v>
      </c>
      <c r="Z334" s="192">
        <f t="shared" si="869"/>
        <v>0</v>
      </c>
      <c r="AA334" t="str">
        <f t="shared" si="870"/>
        <v>-</v>
      </c>
      <c r="AB334" t="str">
        <f t="shared" si="871"/>
        <v>-</v>
      </c>
      <c r="AD334" s="34">
        <v>26113</v>
      </c>
      <c r="AF334" s="64">
        <f t="shared" si="932"/>
        <v>35000</v>
      </c>
      <c r="AG334" s="64">
        <f t="shared" si="933"/>
        <v>19964.78</v>
      </c>
      <c r="AH334" s="64">
        <f t="shared" si="934"/>
        <v>15035.220000000001</v>
      </c>
      <c r="AI334" s="217">
        <f t="shared" si="935"/>
        <v>1</v>
      </c>
      <c r="AJ334" s="98">
        <f t="shared" si="936"/>
        <v>15035.220000000001</v>
      </c>
      <c r="AK334" s="98">
        <f t="shared" si="937"/>
        <v>35000</v>
      </c>
      <c r="AL334" s="98">
        <f t="shared" si="938"/>
        <v>0</v>
      </c>
      <c r="AM334" s="98">
        <f t="shared" si="939"/>
        <v>0</v>
      </c>
      <c r="AN334" s="98">
        <f t="shared" si="940"/>
        <v>0</v>
      </c>
      <c r="AO334" s="222">
        <f>GAAP!P325</f>
        <v>14743.36</v>
      </c>
      <c r="AP334" s="129">
        <f t="shared" si="941"/>
        <v>291.86000000000058</v>
      </c>
    </row>
    <row r="335" spans="1:42" ht="13.5">
      <c r="A335" s="259">
        <v>56.105400000000003</v>
      </c>
      <c r="B335" s="57" t="s">
        <v>687</v>
      </c>
      <c r="C335" s="163">
        <v>37648.03</v>
      </c>
      <c r="D335" s="216">
        <f t="shared" si="883"/>
        <v>37648.03</v>
      </c>
      <c r="E335" s="149">
        <v>0</v>
      </c>
      <c r="F335" s="149">
        <v>37648.03</v>
      </c>
      <c r="G335" s="217">
        <f t="shared" si="884"/>
        <v>1</v>
      </c>
      <c r="H335" s="149">
        <v>0</v>
      </c>
      <c r="I335" s="214">
        <f t="shared" si="885"/>
        <v>37648.03</v>
      </c>
      <c r="J335" s="149">
        <v>37648.03</v>
      </c>
      <c r="K335" s="214">
        <f t="shared" si="903"/>
        <v>0</v>
      </c>
      <c r="L335" s="214">
        <f t="shared" si="904"/>
        <v>0</v>
      </c>
      <c r="M335" s="214">
        <f t="shared" si="905"/>
        <v>0</v>
      </c>
      <c r="N335" s="222">
        <v>10750.06</v>
      </c>
      <c r="O335" s="222">
        <v>0</v>
      </c>
      <c r="P335" s="222">
        <v>0</v>
      </c>
      <c r="Q335" s="214">
        <f t="shared" si="906"/>
        <v>26897.97</v>
      </c>
      <c r="R335" s="214">
        <f t="shared" si="907"/>
        <v>37648.03</v>
      </c>
      <c r="S335" s="214">
        <f t="shared" si="908"/>
        <v>0</v>
      </c>
      <c r="T335" s="185" t="s">
        <v>278</v>
      </c>
      <c r="U335" s="185" t="s">
        <v>510</v>
      </c>
      <c r="V335" s="57" t="str">
        <f t="shared" ref="V335" si="945">IF(C335&lt;250000, "&lt; 250k",".")</f>
        <v>&lt; 250k</v>
      </c>
      <c r="W335" s="282">
        <v>0</v>
      </c>
      <c r="Y335" s="311">
        <v>0</v>
      </c>
      <c r="Z335" s="192">
        <f t="shared" si="869"/>
        <v>0</v>
      </c>
      <c r="AA335" t="str">
        <f t="shared" si="870"/>
        <v>-</v>
      </c>
      <c r="AB335" t="str">
        <f t="shared" si="871"/>
        <v>-</v>
      </c>
      <c r="AC335" s="523"/>
      <c r="AD335" s="34">
        <f>C335-GAAP!C337</f>
        <v>37648.03</v>
      </c>
      <c r="AF335" s="64">
        <f t="shared" si="932"/>
        <v>37648.03</v>
      </c>
      <c r="AG335" s="64">
        <f t="shared" si="933"/>
        <v>37648.03</v>
      </c>
      <c r="AH335" s="64">
        <f t="shared" si="934"/>
        <v>0</v>
      </c>
      <c r="AI335" s="217">
        <f t="shared" si="935"/>
        <v>1</v>
      </c>
      <c r="AJ335" s="98">
        <f t="shared" si="936"/>
        <v>0</v>
      </c>
      <c r="AK335" s="98">
        <f t="shared" si="937"/>
        <v>37648.03</v>
      </c>
      <c r="AL335" s="98">
        <f t="shared" si="938"/>
        <v>0</v>
      </c>
      <c r="AM335" s="98">
        <f t="shared" si="939"/>
        <v>0</v>
      </c>
      <c r="AN335" s="98">
        <f t="shared" si="940"/>
        <v>0</v>
      </c>
      <c r="AO335" s="222">
        <f>GAAP!P335</f>
        <v>0</v>
      </c>
      <c r="AP335" s="129">
        <f t="shared" si="941"/>
        <v>0</v>
      </c>
    </row>
    <row r="336" spans="1:42" ht="13.5">
      <c r="A336" s="259">
        <v>56.105600000000003</v>
      </c>
      <c r="B336" s="57" t="s">
        <v>628</v>
      </c>
      <c r="C336" s="163">
        <v>98280.63</v>
      </c>
      <c r="D336" s="216">
        <f t="shared" si="883"/>
        <v>98280.63</v>
      </c>
      <c r="E336" s="149">
        <v>0</v>
      </c>
      <c r="F336" s="149">
        <v>98280.63</v>
      </c>
      <c r="G336" s="217">
        <f t="shared" si="884"/>
        <v>1</v>
      </c>
      <c r="H336" s="149">
        <v>0</v>
      </c>
      <c r="I336" s="214">
        <f t="shared" si="885"/>
        <v>98280.63</v>
      </c>
      <c r="J336" s="149">
        <v>98280.63</v>
      </c>
      <c r="K336" s="214">
        <f t="shared" si="903"/>
        <v>0</v>
      </c>
      <c r="L336" s="214">
        <f t="shared" si="904"/>
        <v>0</v>
      </c>
      <c r="M336" s="214">
        <f t="shared" si="905"/>
        <v>0</v>
      </c>
      <c r="N336" s="222">
        <v>31429.81</v>
      </c>
      <c r="O336" s="222">
        <v>0</v>
      </c>
      <c r="P336" s="222">
        <v>0</v>
      </c>
      <c r="Q336" s="214">
        <f t="shared" si="906"/>
        <v>66850.820000000007</v>
      </c>
      <c r="R336" s="214">
        <f t="shared" si="907"/>
        <v>98280.63</v>
      </c>
      <c r="S336" s="214">
        <f t="shared" si="908"/>
        <v>0</v>
      </c>
      <c r="T336" s="185" t="s">
        <v>278</v>
      </c>
      <c r="U336" s="185" t="s">
        <v>510</v>
      </c>
      <c r="V336" s="57" t="str">
        <f t="shared" ref="V336" si="946">IF(C336&lt;250000, "&lt; 250k",".")</f>
        <v>&lt; 250k</v>
      </c>
      <c r="W336" s="282">
        <v>20551.575703079532</v>
      </c>
      <c r="Y336" s="311">
        <v>0</v>
      </c>
      <c r="Z336" s="192">
        <f t="shared" si="869"/>
        <v>0</v>
      </c>
      <c r="AA336" t="str">
        <f t="shared" si="870"/>
        <v>-</v>
      </c>
      <c r="AB336" t="str">
        <f t="shared" si="871"/>
        <v>-</v>
      </c>
      <c r="AC336" s="523"/>
      <c r="AD336" s="34">
        <f>C336-GAAP!C332</f>
        <v>-38594.369999999995</v>
      </c>
      <c r="AF336" s="64">
        <f t="shared" si="932"/>
        <v>98280.63</v>
      </c>
      <c r="AG336" s="64">
        <f t="shared" si="933"/>
        <v>98280.63</v>
      </c>
      <c r="AH336" s="64">
        <f t="shared" si="934"/>
        <v>0</v>
      </c>
      <c r="AI336" s="217">
        <f t="shared" si="935"/>
        <v>1</v>
      </c>
      <c r="AJ336" s="98">
        <f t="shared" si="936"/>
        <v>0</v>
      </c>
      <c r="AK336" s="98">
        <f t="shared" si="937"/>
        <v>98280.63</v>
      </c>
      <c r="AL336" s="98">
        <f t="shared" si="938"/>
        <v>0</v>
      </c>
      <c r="AM336" s="98">
        <f t="shared" si="939"/>
        <v>0</v>
      </c>
      <c r="AN336" s="98">
        <f t="shared" si="940"/>
        <v>0</v>
      </c>
      <c r="AO336" s="222">
        <f>GAAP!P330</f>
        <v>18034.019023179</v>
      </c>
      <c r="AP336" s="129">
        <f t="shared" si="941"/>
        <v>-18034.019023179</v>
      </c>
    </row>
    <row r="337" spans="1:42" ht="13.5">
      <c r="A337" s="259">
        <v>56.105699999999999</v>
      </c>
      <c r="B337" s="57" t="s">
        <v>465</v>
      </c>
      <c r="C337" s="483">
        <v>0</v>
      </c>
      <c r="D337" s="216">
        <f t="shared" si="883"/>
        <v>0</v>
      </c>
      <c r="E337" s="149">
        <v>0</v>
      </c>
      <c r="F337" s="149"/>
      <c r="G337" s="217">
        <f t="shared" si="884"/>
        <v>0</v>
      </c>
      <c r="H337" s="149"/>
      <c r="I337" s="214">
        <f t="shared" si="885"/>
        <v>0</v>
      </c>
      <c r="J337" s="149">
        <v>0</v>
      </c>
      <c r="K337" s="214">
        <f t="shared" si="903"/>
        <v>0</v>
      </c>
      <c r="L337" s="214">
        <f t="shared" si="904"/>
        <v>0</v>
      </c>
      <c r="M337" s="214">
        <f t="shared" si="905"/>
        <v>0</v>
      </c>
      <c r="N337" s="222">
        <v>16238.75</v>
      </c>
      <c r="O337" s="222">
        <v>0</v>
      </c>
      <c r="P337" s="222">
        <v>0</v>
      </c>
      <c r="Q337" s="214">
        <f t="shared" si="906"/>
        <v>-16238.75</v>
      </c>
      <c r="R337" s="214">
        <f t="shared" si="907"/>
        <v>0</v>
      </c>
      <c r="S337" s="214">
        <f t="shared" si="908"/>
        <v>0</v>
      </c>
      <c r="T337" s="185" t="s">
        <v>278</v>
      </c>
      <c r="U337" s="185" t="s">
        <v>510</v>
      </c>
      <c r="V337" s="57" t="str">
        <f t="shared" ref="V337" si="947">IF(C337&lt;250000, "&lt; 250k",".")</f>
        <v>&lt; 250k</v>
      </c>
      <c r="W337" s="282">
        <v>0</v>
      </c>
      <c r="Y337" s="311">
        <v>0</v>
      </c>
      <c r="Z337" s="192">
        <f t="shared" si="869"/>
        <v>0</v>
      </c>
      <c r="AA337" t="str">
        <f t="shared" si="870"/>
        <v>-</v>
      </c>
      <c r="AB337" t="str">
        <f t="shared" si="871"/>
        <v>-</v>
      </c>
      <c r="AC337" s="523"/>
      <c r="AD337" s="34">
        <f>C337-GAAP!C384</f>
        <v>-4511779.6499999976</v>
      </c>
      <c r="AF337" s="64">
        <f t="shared" si="932"/>
        <v>0</v>
      </c>
      <c r="AG337" s="64">
        <f t="shared" si="933"/>
        <v>0</v>
      </c>
      <c r="AH337" s="64">
        <f t="shared" si="934"/>
        <v>0</v>
      </c>
      <c r="AI337" s="217">
        <f t="shared" si="935"/>
        <v>0</v>
      </c>
      <c r="AJ337" s="98">
        <f t="shared" si="936"/>
        <v>0</v>
      </c>
      <c r="AK337" s="98">
        <f t="shared" si="937"/>
        <v>0</v>
      </c>
      <c r="AL337" s="98">
        <f t="shared" si="938"/>
        <v>0</v>
      </c>
      <c r="AM337" s="98">
        <f t="shared" si="939"/>
        <v>0</v>
      </c>
      <c r="AN337" s="98">
        <f t="shared" si="940"/>
        <v>0</v>
      </c>
      <c r="AO337" s="222">
        <f>GAAP!P327</f>
        <v>38878.539262879734</v>
      </c>
      <c r="AP337" s="129">
        <f t="shared" si="941"/>
        <v>-38878.539262879734</v>
      </c>
    </row>
    <row r="338" spans="1:42" s="82" customFormat="1" ht="13.5" customHeight="1">
      <c r="A338" s="259">
        <v>56.106099999999998</v>
      </c>
      <c r="B338" s="57" t="s">
        <v>468</v>
      </c>
      <c r="C338" s="163">
        <v>11269</v>
      </c>
      <c r="D338" s="216">
        <f t="shared" si="883"/>
        <v>5582.66</v>
      </c>
      <c r="E338" s="149">
        <v>5686.34</v>
      </c>
      <c r="F338" s="149">
        <v>5582.66</v>
      </c>
      <c r="G338" s="217">
        <f t="shared" si="884"/>
        <v>1</v>
      </c>
      <c r="H338" s="149">
        <v>5686.34</v>
      </c>
      <c r="I338" s="214">
        <f t="shared" si="885"/>
        <v>11269</v>
      </c>
      <c r="J338" s="149">
        <v>11269</v>
      </c>
      <c r="K338" s="214">
        <f t="shared" si="903"/>
        <v>0</v>
      </c>
      <c r="L338" s="214">
        <f t="shared" si="904"/>
        <v>0</v>
      </c>
      <c r="M338" s="214">
        <f t="shared" si="905"/>
        <v>0</v>
      </c>
      <c r="N338" s="222">
        <v>5081.1000000000004</v>
      </c>
      <c r="O338" s="222">
        <v>0</v>
      </c>
      <c r="P338" s="222">
        <v>5163.830381105744</v>
      </c>
      <c r="Q338" s="214">
        <f t="shared" si="906"/>
        <v>501.55999999999949</v>
      </c>
      <c r="R338" s="214">
        <f t="shared" si="907"/>
        <v>11269</v>
      </c>
      <c r="S338" s="214">
        <f t="shared" si="908"/>
        <v>522.50961889425616</v>
      </c>
      <c r="T338" s="185" t="s">
        <v>278</v>
      </c>
      <c r="U338" s="185" t="s">
        <v>510</v>
      </c>
      <c r="V338" s="57" t="s">
        <v>544</v>
      </c>
      <c r="W338" s="282">
        <v>5163.830381105744</v>
      </c>
      <c r="X338" s="290"/>
      <c r="Y338" s="311">
        <v>522.50961889425616</v>
      </c>
      <c r="Z338" s="192">
        <f t="shared" si="869"/>
        <v>0</v>
      </c>
      <c r="AA338" t="str">
        <f t="shared" si="870"/>
        <v>-</v>
      </c>
      <c r="AB338" t="str">
        <f t="shared" si="871"/>
        <v>-</v>
      </c>
      <c r="AC338"/>
      <c r="AD338" s="34">
        <v>-388731</v>
      </c>
      <c r="AE338"/>
      <c r="AF338" s="64">
        <f t="shared" si="932"/>
        <v>11269</v>
      </c>
      <c r="AG338" s="64">
        <f t="shared" si="933"/>
        <v>5582.66</v>
      </c>
      <c r="AH338" s="64">
        <f t="shared" si="934"/>
        <v>5686.34</v>
      </c>
      <c r="AI338" s="217">
        <f t="shared" si="935"/>
        <v>1</v>
      </c>
      <c r="AJ338" s="98">
        <f t="shared" si="936"/>
        <v>5686.34</v>
      </c>
      <c r="AK338" s="98">
        <f t="shared" si="937"/>
        <v>11269</v>
      </c>
      <c r="AL338" s="98">
        <f t="shared" si="938"/>
        <v>0</v>
      </c>
      <c r="AM338" s="98">
        <f t="shared" si="939"/>
        <v>0</v>
      </c>
      <c r="AN338" s="98">
        <f t="shared" si="940"/>
        <v>0</v>
      </c>
      <c r="AO338" s="222">
        <f>GAAP!P326</f>
        <v>4594.7942619688129</v>
      </c>
      <c r="AP338" s="129">
        <f t="shared" si="941"/>
        <v>1091.5457380311873</v>
      </c>
    </row>
    <row r="339" spans="1:42" ht="13.5">
      <c r="A339" s="259">
        <v>56.106200000000001</v>
      </c>
      <c r="B339" s="57" t="s">
        <v>629</v>
      </c>
      <c r="C339" s="163">
        <v>409988.07</v>
      </c>
      <c r="D339" s="216">
        <f t="shared" si="883"/>
        <v>409988.07</v>
      </c>
      <c r="E339" s="149">
        <v>0</v>
      </c>
      <c r="F339" s="149">
        <v>409988.07</v>
      </c>
      <c r="G339" s="217">
        <f t="shared" si="884"/>
        <v>1</v>
      </c>
      <c r="H339" s="149">
        <v>0</v>
      </c>
      <c r="I339" s="214">
        <f t="shared" si="885"/>
        <v>409988.07</v>
      </c>
      <c r="J339" s="149">
        <v>409988.07</v>
      </c>
      <c r="K339" s="214">
        <f t="shared" si="903"/>
        <v>0</v>
      </c>
      <c r="L339" s="214">
        <f t="shared" si="904"/>
        <v>0</v>
      </c>
      <c r="M339" s="214">
        <f t="shared" si="905"/>
        <v>0</v>
      </c>
      <c r="N339" s="222">
        <v>26225.9</v>
      </c>
      <c r="O339" s="222">
        <v>0</v>
      </c>
      <c r="P339" s="222">
        <v>0</v>
      </c>
      <c r="Q339" s="214">
        <f t="shared" si="906"/>
        <v>383762.17</v>
      </c>
      <c r="R339" s="214">
        <f t="shared" si="907"/>
        <v>409988.07</v>
      </c>
      <c r="S339" s="214">
        <f t="shared" si="908"/>
        <v>0</v>
      </c>
      <c r="T339" s="185" t="s">
        <v>278</v>
      </c>
      <c r="U339" s="185" t="s">
        <v>510</v>
      </c>
      <c r="V339" s="57" t="str">
        <f t="shared" ref="V339" si="948">IF(C339&lt;250000, "&lt; 250k",".")</f>
        <v>.</v>
      </c>
      <c r="W339" s="282">
        <v>0</v>
      </c>
      <c r="Y339" s="311">
        <v>0</v>
      </c>
      <c r="Z339" s="192">
        <f t="shared" si="869"/>
        <v>0</v>
      </c>
      <c r="AA339" t="str">
        <f t="shared" si="870"/>
        <v>-</v>
      </c>
      <c r="AB339" t="str">
        <f t="shared" si="871"/>
        <v>-</v>
      </c>
      <c r="AC339" s="523"/>
      <c r="AD339" s="34">
        <f>C339-GAAP!C386</f>
        <v>409988.07</v>
      </c>
      <c r="AF339" s="64">
        <f t="shared" si="932"/>
        <v>409988.07</v>
      </c>
      <c r="AG339" s="64">
        <f t="shared" si="933"/>
        <v>409988.07</v>
      </c>
      <c r="AH339" s="64">
        <f t="shared" si="934"/>
        <v>0</v>
      </c>
      <c r="AI339" s="217">
        <f t="shared" si="935"/>
        <v>1</v>
      </c>
      <c r="AJ339" s="98">
        <f t="shared" si="936"/>
        <v>0</v>
      </c>
      <c r="AK339" s="98">
        <f t="shared" si="937"/>
        <v>409988.07</v>
      </c>
      <c r="AL339" s="98">
        <f t="shared" si="938"/>
        <v>0</v>
      </c>
      <c r="AM339" s="98">
        <f t="shared" si="939"/>
        <v>0</v>
      </c>
      <c r="AN339" s="98">
        <f t="shared" si="940"/>
        <v>0</v>
      </c>
      <c r="AO339" s="222">
        <f>GAAP!P383</f>
        <v>0</v>
      </c>
      <c r="AP339" s="129">
        <f t="shared" si="941"/>
        <v>0</v>
      </c>
    </row>
    <row r="340" spans="1:42" ht="13.5">
      <c r="A340" s="259">
        <v>56.106400000000001</v>
      </c>
      <c r="B340" s="57" t="s">
        <v>470</v>
      </c>
      <c r="C340" s="163">
        <v>435153</v>
      </c>
      <c r="D340" s="216">
        <f t="shared" si="883"/>
        <v>202266.4</v>
      </c>
      <c r="E340" s="149">
        <v>232886.6</v>
      </c>
      <c r="F340" s="149">
        <v>202266.4</v>
      </c>
      <c r="G340" s="217">
        <f t="shared" si="884"/>
        <v>1</v>
      </c>
      <c r="H340" s="149">
        <v>232886.6</v>
      </c>
      <c r="I340" s="214">
        <f t="shared" si="885"/>
        <v>435153</v>
      </c>
      <c r="J340" s="149">
        <v>435153</v>
      </c>
      <c r="K340" s="214">
        <f t="shared" si="903"/>
        <v>0</v>
      </c>
      <c r="L340" s="214">
        <f t="shared" si="904"/>
        <v>0</v>
      </c>
      <c r="M340" s="214">
        <f t="shared" si="905"/>
        <v>0</v>
      </c>
      <c r="N340" s="222">
        <v>124401.21</v>
      </c>
      <c r="O340" s="222">
        <v>0</v>
      </c>
      <c r="P340" s="222">
        <v>69496.489617537954</v>
      </c>
      <c r="Q340" s="214">
        <f t="shared" si="906"/>
        <v>77865.189999999988</v>
      </c>
      <c r="R340" s="214">
        <f t="shared" si="907"/>
        <v>435153</v>
      </c>
      <c r="S340" s="214">
        <f t="shared" si="908"/>
        <v>163390.11038246204</v>
      </c>
      <c r="T340" s="185" t="s">
        <v>278</v>
      </c>
      <c r="U340" s="185" t="s">
        <v>510</v>
      </c>
      <c r="V340" s="57" t="str">
        <f t="shared" ref="V340:V344" si="949">IF(C340&lt;250000, "&lt; 250k",".")</f>
        <v>.</v>
      </c>
      <c r="W340" s="282">
        <v>69496.489617537954</v>
      </c>
      <c r="Y340" s="311">
        <v>163390.11038246204</v>
      </c>
      <c r="Z340" s="192">
        <f t="shared" si="869"/>
        <v>0</v>
      </c>
      <c r="AA340" t="str">
        <f t="shared" si="870"/>
        <v>-</v>
      </c>
      <c r="AB340" t="str">
        <f t="shared" si="871"/>
        <v>-</v>
      </c>
      <c r="AC340" s="523"/>
      <c r="AD340" s="34">
        <f>C340-GAAP!C409</f>
        <v>435153</v>
      </c>
      <c r="AF340" s="64">
        <f t="shared" si="932"/>
        <v>435153</v>
      </c>
      <c r="AG340" s="64">
        <f t="shared" si="933"/>
        <v>202266.4</v>
      </c>
      <c r="AH340" s="64">
        <f t="shared" si="934"/>
        <v>232886.6</v>
      </c>
      <c r="AI340" s="217">
        <f t="shared" si="935"/>
        <v>1</v>
      </c>
      <c r="AJ340" s="98">
        <f t="shared" si="936"/>
        <v>232886.6</v>
      </c>
      <c r="AK340" s="98">
        <f t="shared" si="937"/>
        <v>435153</v>
      </c>
      <c r="AL340" s="98">
        <f t="shared" si="938"/>
        <v>0</v>
      </c>
      <c r="AM340" s="98">
        <f t="shared" si="939"/>
        <v>0</v>
      </c>
      <c r="AN340" s="98">
        <f t="shared" si="940"/>
        <v>0</v>
      </c>
      <c r="AO340" s="222">
        <f>GAAP!P406</f>
        <v>0</v>
      </c>
      <c r="AP340" s="129">
        <f t="shared" si="941"/>
        <v>232886.6</v>
      </c>
    </row>
    <row r="341" spans="1:42" ht="13.5">
      <c r="A341" s="259">
        <v>56.106499999999997</v>
      </c>
      <c r="B341" s="57" t="s">
        <v>473</v>
      </c>
      <c r="C341" s="163">
        <v>226400.8</v>
      </c>
      <c r="D341" s="216">
        <f t="shared" si="883"/>
        <v>192023.81</v>
      </c>
      <c r="E341" s="149">
        <v>34376.989999999991</v>
      </c>
      <c r="F341" s="149">
        <v>192023.81</v>
      </c>
      <c r="G341" s="217">
        <f t="shared" si="884"/>
        <v>1</v>
      </c>
      <c r="H341" s="149">
        <v>34376.989999999991</v>
      </c>
      <c r="I341" s="214">
        <f t="shared" si="885"/>
        <v>226400.8</v>
      </c>
      <c r="J341" s="149">
        <v>226400.8</v>
      </c>
      <c r="K341" s="214">
        <f t="shared" si="903"/>
        <v>0</v>
      </c>
      <c r="L341" s="214">
        <f t="shared" si="904"/>
        <v>0</v>
      </c>
      <c r="M341" s="214">
        <f t="shared" si="905"/>
        <v>0</v>
      </c>
      <c r="N341" s="222">
        <v>15862.63</v>
      </c>
      <c r="O341" s="222">
        <v>0</v>
      </c>
      <c r="P341" s="222">
        <v>0</v>
      </c>
      <c r="Q341" s="214">
        <f t="shared" si="906"/>
        <v>176161.18</v>
      </c>
      <c r="R341" s="214">
        <f t="shared" si="907"/>
        <v>226400.8</v>
      </c>
      <c r="S341" s="214">
        <f t="shared" si="908"/>
        <v>34376.989999999991</v>
      </c>
      <c r="T341" s="185" t="s">
        <v>278</v>
      </c>
      <c r="U341" s="185" t="s">
        <v>510</v>
      </c>
      <c r="V341" s="57" t="str">
        <f t="shared" si="949"/>
        <v>&lt; 250k</v>
      </c>
      <c r="W341" s="282">
        <v>0</v>
      </c>
      <c r="Y341" s="311">
        <v>16147.573231505472</v>
      </c>
      <c r="Z341" s="192">
        <f t="shared" si="869"/>
        <v>18229.416768494521</v>
      </c>
      <c r="AA341" t="str">
        <f t="shared" si="870"/>
        <v>-</v>
      </c>
      <c r="AB341" t="str">
        <f t="shared" si="871"/>
        <v>-</v>
      </c>
      <c r="AC341" s="523"/>
      <c r="AD341" s="34">
        <f>C341-GAAP!C353</f>
        <v>170545.56</v>
      </c>
      <c r="AF341" s="64">
        <f t="shared" si="932"/>
        <v>226400.8</v>
      </c>
      <c r="AG341" s="64">
        <f t="shared" si="933"/>
        <v>192023.81</v>
      </c>
      <c r="AH341" s="64">
        <f t="shared" si="934"/>
        <v>34376.989999999991</v>
      </c>
      <c r="AI341" s="217">
        <f t="shared" si="935"/>
        <v>1</v>
      </c>
      <c r="AJ341" s="98">
        <f t="shared" si="936"/>
        <v>34376.989999999991</v>
      </c>
      <c r="AK341" s="98">
        <f t="shared" si="937"/>
        <v>226400.8</v>
      </c>
      <c r="AL341" s="98">
        <f t="shared" si="938"/>
        <v>0</v>
      </c>
      <c r="AM341" s="98">
        <f t="shared" si="939"/>
        <v>0</v>
      </c>
      <c r="AN341" s="98">
        <f t="shared" si="940"/>
        <v>0</v>
      </c>
      <c r="AO341" s="222">
        <f>GAAP!P350</f>
        <v>0</v>
      </c>
      <c r="AP341" s="129">
        <f t="shared" si="941"/>
        <v>34376.989999999991</v>
      </c>
    </row>
    <row r="342" spans="1:42" ht="13.5">
      <c r="A342" s="259">
        <v>56.106900000000003</v>
      </c>
      <c r="B342" s="57" t="s">
        <v>699</v>
      </c>
      <c r="C342" s="163">
        <v>2525</v>
      </c>
      <c r="D342" s="216">
        <f t="shared" si="883"/>
        <v>3821.46</v>
      </c>
      <c r="E342" s="149">
        <v>-1296.46</v>
      </c>
      <c r="F342" s="149">
        <v>3821.46</v>
      </c>
      <c r="G342" s="217">
        <f t="shared" si="884"/>
        <v>1</v>
      </c>
      <c r="H342" s="149">
        <v>-1296.46</v>
      </c>
      <c r="I342" s="214">
        <f t="shared" si="885"/>
        <v>2525</v>
      </c>
      <c r="J342" s="149">
        <v>2525</v>
      </c>
      <c r="K342" s="214">
        <f t="shared" si="903"/>
        <v>0</v>
      </c>
      <c r="L342" s="214">
        <f t="shared" si="904"/>
        <v>0</v>
      </c>
      <c r="M342" s="214">
        <f t="shared" si="905"/>
        <v>0</v>
      </c>
      <c r="N342" s="222"/>
      <c r="O342" s="222"/>
      <c r="P342" s="222"/>
      <c r="Q342" s="214">
        <f t="shared" si="906"/>
        <v>3821.46</v>
      </c>
      <c r="R342" s="214">
        <f t="shared" si="907"/>
        <v>2525</v>
      </c>
      <c r="S342" s="214">
        <f t="shared" si="908"/>
        <v>-1296.46</v>
      </c>
      <c r="T342" s="185" t="s">
        <v>510</v>
      </c>
      <c r="U342" s="185" t="s">
        <v>510</v>
      </c>
      <c r="V342" s="57" t="str">
        <f t="shared" si="949"/>
        <v>&lt; 250k</v>
      </c>
      <c r="Y342" s="311">
        <v>-1296.46</v>
      </c>
      <c r="Z342" s="192">
        <f t="shared" si="869"/>
        <v>0</v>
      </c>
      <c r="AA342" t="str">
        <f t="shared" si="870"/>
        <v>-</v>
      </c>
      <c r="AB342" t="str">
        <f t="shared" si="871"/>
        <v>-</v>
      </c>
      <c r="AC342" s="523"/>
      <c r="AD342" s="34">
        <f>C342-GAAP!C388</f>
        <v>2525</v>
      </c>
      <c r="AF342" s="64">
        <f t="shared" si="932"/>
        <v>2525</v>
      </c>
      <c r="AG342" s="64">
        <f t="shared" si="933"/>
        <v>3821.46</v>
      </c>
      <c r="AH342" s="64">
        <f t="shared" si="934"/>
        <v>-1296.46</v>
      </c>
      <c r="AI342" s="217">
        <f t="shared" si="935"/>
        <v>1</v>
      </c>
      <c r="AJ342" s="98">
        <f t="shared" si="936"/>
        <v>-1296.46</v>
      </c>
      <c r="AK342" s="98">
        <f t="shared" si="937"/>
        <v>2525</v>
      </c>
      <c r="AL342" s="98">
        <f t="shared" si="938"/>
        <v>0</v>
      </c>
      <c r="AM342" s="98">
        <f t="shared" si="939"/>
        <v>0</v>
      </c>
      <c r="AN342" s="98">
        <f t="shared" si="940"/>
        <v>0</v>
      </c>
      <c r="AO342" s="222">
        <f>GAAP!P385</f>
        <v>725330.98581610422</v>
      </c>
      <c r="AP342" s="129">
        <f t="shared" si="941"/>
        <v>-726627.44581610418</v>
      </c>
    </row>
    <row r="343" spans="1:42" ht="13.5">
      <c r="A343" s="259">
        <v>56.107100000000003</v>
      </c>
      <c r="B343" s="57" t="s">
        <v>486</v>
      </c>
      <c r="C343" s="163">
        <v>34000</v>
      </c>
      <c r="D343" s="216">
        <f t="shared" si="883"/>
        <v>3596.5600000000013</v>
      </c>
      <c r="E343" s="149">
        <v>30403.439999999999</v>
      </c>
      <c r="F343" s="149">
        <v>3596.56</v>
      </c>
      <c r="G343" s="217">
        <f t="shared" si="884"/>
        <v>0.99999999999999967</v>
      </c>
      <c r="H343" s="149">
        <v>30403.439999999988</v>
      </c>
      <c r="I343" s="214">
        <f t="shared" si="885"/>
        <v>33999.999999999985</v>
      </c>
      <c r="J343" s="149">
        <v>34000</v>
      </c>
      <c r="K343" s="214">
        <f t="shared" si="903"/>
        <v>0</v>
      </c>
      <c r="L343" s="214">
        <f t="shared" si="904"/>
        <v>0</v>
      </c>
      <c r="M343" s="214">
        <f t="shared" si="905"/>
        <v>0</v>
      </c>
      <c r="N343" s="222">
        <v>316.5</v>
      </c>
      <c r="O343" s="222">
        <v>0</v>
      </c>
      <c r="P343" s="222">
        <v>0</v>
      </c>
      <c r="Q343" s="214">
        <f t="shared" si="906"/>
        <v>3280.06</v>
      </c>
      <c r="R343" s="214">
        <f t="shared" si="907"/>
        <v>34000</v>
      </c>
      <c r="S343" s="214">
        <f t="shared" si="908"/>
        <v>30403.439999999988</v>
      </c>
      <c r="T343" s="185" t="s">
        <v>278</v>
      </c>
      <c r="U343" s="185" t="s">
        <v>510</v>
      </c>
      <c r="V343" s="57" t="str">
        <f t="shared" si="949"/>
        <v>&lt; 250k</v>
      </c>
      <c r="W343" s="282">
        <v>0</v>
      </c>
      <c r="Y343" s="311">
        <v>30403.439999999988</v>
      </c>
      <c r="Z343" s="192">
        <f t="shared" si="869"/>
        <v>0</v>
      </c>
      <c r="AA343" t="str">
        <f t="shared" si="870"/>
        <v>-</v>
      </c>
      <c r="AB343" t="str">
        <f t="shared" si="871"/>
        <v>-</v>
      </c>
      <c r="AC343" s="523"/>
      <c r="AD343" s="34">
        <f>C343-GAAP!C389</f>
        <v>34000</v>
      </c>
      <c r="AF343" s="64">
        <f t="shared" si="932"/>
        <v>34000</v>
      </c>
      <c r="AG343" s="64">
        <f t="shared" si="933"/>
        <v>3596.5600000000013</v>
      </c>
      <c r="AH343" s="64">
        <f t="shared" si="934"/>
        <v>30403.439999999999</v>
      </c>
      <c r="AI343" s="217">
        <f t="shared" si="935"/>
        <v>0.99999999999999967</v>
      </c>
      <c r="AJ343" s="98">
        <f t="shared" si="936"/>
        <v>30403.439999999988</v>
      </c>
      <c r="AK343" s="98">
        <f t="shared" si="937"/>
        <v>33999.999999999985</v>
      </c>
      <c r="AL343" s="98">
        <f t="shared" si="938"/>
        <v>0</v>
      </c>
      <c r="AM343" s="98">
        <f t="shared" si="939"/>
        <v>0</v>
      </c>
      <c r="AN343" s="98">
        <f t="shared" si="940"/>
        <v>0</v>
      </c>
      <c r="AO343" s="222">
        <f>GAAP!P386</f>
        <v>0</v>
      </c>
      <c r="AP343" s="129">
        <f t="shared" si="941"/>
        <v>30403.439999999988</v>
      </c>
    </row>
    <row r="344" spans="1:42" ht="13.5">
      <c r="A344" s="259">
        <v>56.107199999999999</v>
      </c>
      <c r="B344" s="57" t="s">
        <v>487</v>
      </c>
      <c r="C344" s="163">
        <v>65960</v>
      </c>
      <c r="D344" s="216">
        <f t="shared" si="883"/>
        <v>41538.839999999997</v>
      </c>
      <c r="E344" s="149">
        <v>24421.160000000003</v>
      </c>
      <c r="F344" s="149">
        <v>41538.839999999997</v>
      </c>
      <c r="G344" s="217">
        <f t="shared" si="884"/>
        <v>1</v>
      </c>
      <c r="H344" s="149">
        <v>24421.160000000003</v>
      </c>
      <c r="I344" s="214">
        <f t="shared" si="885"/>
        <v>65960</v>
      </c>
      <c r="J344" s="149">
        <v>65960</v>
      </c>
      <c r="K344" s="214">
        <f t="shared" si="903"/>
        <v>0</v>
      </c>
      <c r="L344" s="214">
        <f t="shared" si="904"/>
        <v>0</v>
      </c>
      <c r="M344" s="214">
        <f t="shared" si="905"/>
        <v>0</v>
      </c>
      <c r="N344" s="222">
        <v>1242.0999999999999</v>
      </c>
      <c r="O344" s="222">
        <v>0</v>
      </c>
      <c r="P344" s="222">
        <v>0</v>
      </c>
      <c r="Q344" s="214">
        <f t="shared" si="906"/>
        <v>40296.74</v>
      </c>
      <c r="R344" s="214">
        <f t="shared" si="907"/>
        <v>65960</v>
      </c>
      <c r="S344" s="214">
        <f t="shared" si="908"/>
        <v>24421.160000000003</v>
      </c>
      <c r="T344" s="185" t="s">
        <v>278</v>
      </c>
      <c r="U344" s="185" t="s">
        <v>510</v>
      </c>
      <c r="V344" s="57" t="str">
        <f t="shared" si="949"/>
        <v>&lt; 250k</v>
      </c>
      <c r="W344" s="282">
        <v>0</v>
      </c>
      <c r="Y344" s="311">
        <v>7362.5362297493675</v>
      </c>
      <c r="Z344" s="192">
        <f t="shared" si="869"/>
        <v>17058.623770250637</v>
      </c>
      <c r="AA344" t="str">
        <f t="shared" si="870"/>
        <v>-</v>
      </c>
      <c r="AB344" t="str">
        <f t="shared" si="871"/>
        <v>-</v>
      </c>
      <c r="AC344" s="523"/>
      <c r="AD344" s="34" t="e">
        <f>C344-GAAP!#REF!</f>
        <v>#REF!</v>
      </c>
      <c r="AF344" s="64">
        <f t="shared" si="932"/>
        <v>65960</v>
      </c>
      <c r="AG344" s="64">
        <f t="shared" si="933"/>
        <v>41538.839999999997</v>
      </c>
      <c r="AH344" s="64">
        <f t="shared" si="934"/>
        <v>24421.160000000003</v>
      </c>
      <c r="AI344" s="217">
        <f t="shared" si="935"/>
        <v>1</v>
      </c>
      <c r="AJ344" s="98">
        <f t="shared" si="936"/>
        <v>24421.160000000003</v>
      </c>
      <c r="AK344" s="98">
        <f t="shared" si="937"/>
        <v>65960</v>
      </c>
      <c r="AL344" s="98">
        <f t="shared" si="938"/>
        <v>0</v>
      </c>
      <c r="AM344" s="98">
        <f t="shared" si="939"/>
        <v>0</v>
      </c>
      <c r="AN344" s="98">
        <f t="shared" si="940"/>
        <v>0</v>
      </c>
      <c r="AO344" s="222">
        <f>GAAP!P355</f>
        <v>0</v>
      </c>
      <c r="AP344" s="129">
        <f t="shared" si="941"/>
        <v>24421.160000000003</v>
      </c>
    </row>
    <row r="345" spans="1:42" s="82" customFormat="1" ht="13.5" customHeight="1">
      <c r="A345" s="259">
        <v>56.107399999999998</v>
      </c>
      <c r="B345" s="57" t="s">
        <v>476</v>
      </c>
      <c r="C345" s="163">
        <v>12650</v>
      </c>
      <c r="D345" s="216">
        <f t="shared" si="883"/>
        <v>10641.86</v>
      </c>
      <c r="E345" s="149">
        <v>2008.1399999999994</v>
      </c>
      <c r="F345" s="149">
        <v>10641.86</v>
      </c>
      <c r="G345" s="217">
        <f t="shared" si="884"/>
        <v>1</v>
      </c>
      <c r="H345" s="149">
        <v>2008.1399999999994</v>
      </c>
      <c r="I345" s="214">
        <f t="shared" si="885"/>
        <v>12650</v>
      </c>
      <c r="J345" s="149">
        <v>12650</v>
      </c>
      <c r="K345" s="214">
        <f t="shared" si="903"/>
        <v>0</v>
      </c>
      <c r="L345" s="214">
        <f t="shared" si="904"/>
        <v>0</v>
      </c>
      <c r="M345" s="214">
        <f t="shared" si="905"/>
        <v>0</v>
      </c>
      <c r="N345" s="222">
        <v>6757.28</v>
      </c>
      <c r="O345" s="222">
        <v>0</v>
      </c>
      <c r="P345" s="222">
        <v>1239.6880980447188</v>
      </c>
      <c r="Q345" s="214">
        <f t="shared" si="906"/>
        <v>3884.5800000000008</v>
      </c>
      <c r="R345" s="214">
        <f t="shared" si="907"/>
        <v>12650</v>
      </c>
      <c r="S345" s="214">
        <f t="shared" si="908"/>
        <v>768.45190195528062</v>
      </c>
      <c r="T345" s="185" t="s">
        <v>278</v>
      </c>
      <c r="U345" s="185" t="s">
        <v>510</v>
      </c>
      <c r="V345" s="57" t="s">
        <v>544</v>
      </c>
      <c r="W345" s="282">
        <v>1239.6880980447188</v>
      </c>
      <c r="X345" s="290"/>
      <c r="Y345" s="311">
        <v>768.45190195528062</v>
      </c>
      <c r="Z345" s="192">
        <f t="shared" si="869"/>
        <v>0</v>
      </c>
      <c r="AA345" t="str">
        <f t="shared" si="870"/>
        <v>-</v>
      </c>
      <c r="AB345" t="str">
        <f t="shared" si="871"/>
        <v>-</v>
      </c>
      <c r="AC345"/>
      <c r="AD345" s="34">
        <v>12650</v>
      </c>
      <c r="AE345"/>
      <c r="AF345" s="64">
        <f t="shared" si="932"/>
        <v>12650</v>
      </c>
      <c r="AG345" s="64">
        <f t="shared" si="933"/>
        <v>10641.86</v>
      </c>
      <c r="AH345" s="64">
        <f t="shared" si="934"/>
        <v>2008.1399999999994</v>
      </c>
      <c r="AI345" s="217">
        <f t="shared" si="935"/>
        <v>1</v>
      </c>
      <c r="AJ345" s="98">
        <f t="shared" si="936"/>
        <v>2008.1399999999994</v>
      </c>
      <c r="AK345" s="98">
        <f t="shared" si="937"/>
        <v>12650</v>
      </c>
      <c r="AL345" s="98">
        <f t="shared" si="938"/>
        <v>0</v>
      </c>
      <c r="AM345" s="98">
        <f t="shared" si="939"/>
        <v>0</v>
      </c>
      <c r="AN345" s="98">
        <f t="shared" si="940"/>
        <v>0</v>
      </c>
      <c r="AO345" s="222">
        <f>GAAP!P327</f>
        <v>38878.539262879734</v>
      </c>
      <c r="AP345" s="129">
        <f t="shared" si="941"/>
        <v>-36870.399262879735</v>
      </c>
    </row>
    <row r="346" spans="1:42" s="85" customFormat="1" ht="13.5" customHeight="1">
      <c r="A346" s="259">
        <v>56.107599999999998</v>
      </c>
      <c r="B346" s="57" t="s">
        <v>488</v>
      </c>
      <c r="C346" s="163">
        <v>19200</v>
      </c>
      <c r="D346" s="216">
        <f t="shared" si="883"/>
        <v>11577.77</v>
      </c>
      <c r="E346" s="149">
        <v>7622.23</v>
      </c>
      <c r="F346" s="149">
        <v>11577.77</v>
      </c>
      <c r="G346" s="217">
        <f t="shared" si="884"/>
        <v>1</v>
      </c>
      <c r="H346" s="149">
        <v>7622.23</v>
      </c>
      <c r="I346" s="214">
        <f t="shared" si="885"/>
        <v>19200</v>
      </c>
      <c r="J346" s="149">
        <v>19200</v>
      </c>
      <c r="K346" s="214">
        <f t="shared" si="903"/>
        <v>0</v>
      </c>
      <c r="L346" s="214">
        <f t="shared" si="904"/>
        <v>0</v>
      </c>
      <c r="M346" s="214">
        <f t="shared" si="905"/>
        <v>0</v>
      </c>
      <c r="N346" s="222">
        <v>604.80999999999995</v>
      </c>
      <c r="O346" s="222">
        <v>0</v>
      </c>
      <c r="P346" s="222">
        <v>0</v>
      </c>
      <c r="Q346" s="214">
        <f t="shared" si="906"/>
        <v>10972.960000000001</v>
      </c>
      <c r="R346" s="214">
        <f t="shared" si="907"/>
        <v>19200</v>
      </c>
      <c r="S346" s="214">
        <f t="shared" si="908"/>
        <v>7622.23</v>
      </c>
      <c r="T346" s="185" t="s">
        <v>278</v>
      </c>
      <c r="U346" s="185" t="s">
        <v>510</v>
      </c>
      <c r="V346" s="57" t="s">
        <v>544</v>
      </c>
      <c r="W346" s="282">
        <v>0</v>
      </c>
      <c r="X346" s="290"/>
      <c r="Y346" s="311">
        <v>7622.23</v>
      </c>
      <c r="Z346" s="192">
        <f t="shared" si="869"/>
        <v>0</v>
      </c>
      <c r="AA346" t="str">
        <f t="shared" si="870"/>
        <v>-</v>
      </c>
      <c r="AB346" t="str">
        <f t="shared" si="871"/>
        <v>-</v>
      </c>
      <c r="AC346"/>
      <c r="AD346" s="34">
        <v>19200</v>
      </c>
      <c r="AE346"/>
      <c r="AF346" s="64">
        <f t="shared" si="932"/>
        <v>19200</v>
      </c>
      <c r="AG346" s="64">
        <f t="shared" si="933"/>
        <v>11577.77</v>
      </c>
      <c r="AH346" s="64">
        <f t="shared" si="934"/>
        <v>7622.23</v>
      </c>
      <c r="AI346" s="217">
        <f t="shared" si="935"/>
        <v>1</v>
      </c>
      <c r="AJ346" s="98">
        <f t="shared" si="936"/>
        <v>7622.23</v>
      </c>
      <c r="AK346" s="98">
        <f t="shared" si="937"/>
        <v>19200</v>
      </c>
      <c r="AL346" s="98">
        <f t="shared" si="938"/>
        <v>0</v>
      </c>
      <c r="AM346" s="98">
        <f t="shared" si="939"/>
        <v>0</v>
      </c>
      <c r="AN346" s="98">
        <f t="shared" si="940"/>
        <v>0</v>
      </c>
      <c r="AO346" s="222">
        <f>GAAP!P383</f>
        <v>0</v>
      </c>
      <c r="AP346" s="129">
        <f t="shared" si="941"/>
        <v>7622.23</v>
      </c>
    </row>
    <row r="347" spans="1:42" ht="13.5">
      <c r="A347" s="259">
        <v>56.107700000000001</v>
      </c>
      <c r="B347" s="57" t="s">
        <v>543</v>
      </c>
      <c r="C347" s="163"/>
      <c r="D347" s="216">
        <f t="shared" si="883"/>
        <v>4370841.4000000004</v>
      </c>
      <c r="E347" s="149">
        <v>-4370841.4000000004</v>
      </c>
      <c r="F347" s="149">
        <v>4370841.4000000004</v>
      </c>
      <c r="G347" s="217">
        <f t="shared" si="884"/>
        <v>1</v>
      </c>
      <c r="H347" s="149">
        <v>-4370841.4000000004</v>
      </c>
      <c r="I347" s="214">
        <f t="shared" si="885"/>
        <v>0</v>
      </c>
      <c r="J347" s="149">
        <v>0</v>
      </c>
      <c r="K347" s="214">
        <f t="shared" si="903"/>
        <v>0</v>
      </c>
      <c r="L347" s="214">
        <f t="shared" si="904"/>
        <v>0</v>
      </c>
      <c r="M347" s="214">
        <f t="shared" si="905"/>
        <v>0</v>
      </c>
      <c r="N347" s="222"/>
      <c r="O347" s="222"/>
      <c r="P347" s="222"/>
      <c r="Q347" s="214">
        <f t="shared" si="906"/>
        <v>4370841.4000000004</v>
      </c>
      <c r="R347" s="214">
        <f t="shared" si="907"/>
        <v>0</v>
      </c>
      <c r="S347" s="214">
        <f t="shared" si="908"/>
        <v>-4370841.4000000004</v>
      </c>
      <c r="T347" s="185" t="s">
        <v>510</v>
      </c>
      <c r="U347" s="185" t="s">
        <v>510</v>
      </c>
      <c r="V347" s="57" t="s">
        <v>511</v>
      </c>
      <c r="Y347" s="311">
        <v>-4370841.4000000004</v>
      </c>
      <c r="Z347" s="192">
        <f t="shared" si="869"/>
        <v>0</v>
      </c>
      <c r="AA347" t="str">
        <f t="shared" si="870"/>
        <v>-</v>
      </c>
      <c r="AB347" t="str">
        <f t="shared" si="871"/>
        <v>-</v>
      </c>
      <c r="AC347" s="523"/>
      <c r="AD347" s="34">
        <f>C347-GAAP!C359</f>
        <v>-14772.26</v>
      </c>
      <c r="AF347" s="64">
        <f t="shared" si="932"/>
        <v>0</v>
      </c>
      <c r="AG347" s="64">
        <f t="shared" si="933"/>
        <v>4370841.4000000004</v>
      </c>
      <c r="AH347" s="64">
        <f t="shared" si="934"/>
        <v>-4370841.4000000004</v>
      </c>
      <c r="AI347" s="217">
        <f t="shared" si="935"/>
        <v>1</v>
      </c>
      <c r="AJ347" s="98">
        <f t="shared" si="936"/>
        <v>-4370841.4000000004</v>
      </c>
      <c r="AK347" s="98">
        <f t="shared" si="937"/>
        <v>0</v>
      </c>
      <c r="AL347" s="98">
        <f t="shared" si="938"/>
        <v>0</v>
      </c>
      <c r="AM347" s="98">
        <f t="shared" si="939"/>
        <v>0</v>
      </c>
      <c r="AN347" s="98">
        <f t="shared" si="940"/>
        <v>0</v>
      </c>
      <c r="AO347" s="222" t="e">
        <f>GAAP!#REF!</f>
        <v>#REF!</v>
      </c>
      <c r="AP347" s="129" t="e">
        <f t="shared" si="941"/>
        <v>#REF!</v>
      </c>
    </row>
    <row r="348" spans="1:42" ht="13.5">
      <c r="A348" s="259">
        <v>56.107900000000001</v>
      </c>
      <c r="B348" s="57" t="s">
        <v>669</v>
      </c>
      <c r="C348" s="163">
        <v>29235.63</v>
      </c>
      <c r="D348" s="216">
        <f t="shared" si="883"/>
        <v>29235.63</v>
      </c>
      <c r="E348" s="149">
        <v>0</v>
      </c>
      <c r="F348" s="149">
        <v>29235.63</v>
      </c>
      <c r="G348" s="217">
        <f t="shared" si="884"/>
        <v>1</v>
      </c>
      <c r="H348" s="149">
        <v>0</v>
      </c>
      <c r="I348" s="214">
        <f t="shared" si="885"/>
        <v>29235.63</v>
      </c>
      <c r="J348" s="149">
        <v>29235.63</v>
      </c>
      <c r="K348" s="214">
        <f t="shared" si="903"/>
        <v>0</v>
      </c>
      <c r="L348" s="214">
        <f t="shared" si="904"/>
        <v>0</v>
      </c>
      <c r="M348" s="214">
        <f t="shared" si="905"/>
        <v>0</v>
      </c>
      <c r="N348" s="222"/>
      <c r="O348" s="222"/>
      <c r="P348" s="222"/>
      <c r="Q348" s="214">
        <f t="shared" si="906"/>
        <v>29235.63</v>
      </c>
      <c r="R348" s="214">
        <f t="shared" si="907"/>
        <v>29235.63</v>
      </c>
      <c r="S348" s="214">
        <f t="shared" si="908"/>
        <v>0</v>
      </c>
      <c r="T348" s="185" t="s">
        <v>510</v>
      </c>
      <c r="U348" s="185" t="s">
        <v>510</v>
      </c>
      <c r="V348" s="57" t="str">
        <f t="shared" ref="V348:V382" si="950">IF(C348&lt;250000, "&lt; 250k",".")</f>
        <v>&lt; 250k</v>
      </c>
      <c r="Y348" s="311">
        <v>0</v>
      </c>
      <c r="Z348" s="192">
        <f t="shared" ref="Z348:Z382" si="951">S348-Y348</f>
        <v>0</v>
      </c>
      <c r="AA348" t="str">
        <f t="shared" ref="AA348:AA382" si="952">IF(L348&lt;0,"CHECK","-")</f>
        <v>-</v>
      </c>
      <c r="AB348" t="str">
        <f t="shared" ref="AB348:AB382" si="953">IF(M348&lt;0,"CHECK","-")</f>
        <v>-</v>
      </c>
      <c r="AC348" s="523"/>
      <c r="AD348" s="34">
        <f>C348-GAAP!C446</f>
        <v>29235.63</v>
      </c>
      <c r="AF348" s="64">
        <f t="shared" si="932"/>
        <v>29235.63</v>
      </c>
      <c r="AG348" s="64">
        <f t="shared" si="933"/>
        <v>29235.63</v>
      </c>
      <c r="AH348" s="64">
        <f t="shared" si="934"/>
        <v>0</v>
      </c>
      <c r="AI348" s="217">
        <f t="shared" si="935"/>
        <v>1</v>
      </c>
      <c r="AJ348" s="98">
        <f t="shared" si="936"/>
        <v>0</v>
      </c>
      <c r="AK348" s="98">
        <f t="shared" si="937"/>
        <v>29235.63</v>
      </c>
      <c r="AL348" s="98">
        <f t="shared" si="938"/>
        <v>0</v>
      </c>
      <c r="AM348" s="98">
        <f t="shared" si="939"/>
        <v>0</v>
      </c>
      <c r="AN348" s="98">
        <f t="shared" si="940"/>
        <v>0</v>
      </c>
      <c r="AO348" s="222">
        <f>GAAP!P392</f>
        <v>0</v>
      </c>
      <c r="AP348" s="129">
        <f t="shared" si="941"/>
        <v>0</v>
      </c>
    </row>
    <row r="349" spans="1:42" ht="13.5">
      <c r="A349" s="259">
        <v>56.107999999999997</v>
      </c>
      <c r="B349" s="57" t="s">
        <v>670</v>
      </c>
      <c r="C349" s="163">
        <v>359469</v>
      </c>
      <c r="D349" s="216">
        <f t="shared" si="883"/>
        <v>359469</v>
      </c>
      <c r="E349" s="149">
        <v>0</v>
      </c>
      <c r="F349" s="149">
        <v>359469</v>
      </c>
      <c r="G349" s="217">
        <f t="shared" si="884"/>
        <v>1</v>
      </c>
      <c r="H349" s="149">
        <v>0</v>
      </c>
      <c r="I349" s="214">
        <f t="shared" si="885"/>
        <v>359469</v>
      </c>
      <c r="J349" s="149">
        <v>359469</v>
      </c>
      <c r="K349" s="214">
        <f t="shared" si="903"/>
        <v>0</v>
      </c>
      <c r="L349" s="214">
        <f t="shared" si="904"/>
        <v>0</v>
      </c>
      <c r="M349" s="214">
        <f t="shared" si="905"/>
        <v>0</v>
      </c>
      <c r="N349" s="222"/>
      <c r="O349" s="222"/>
      <c r="P349" s="222"/>
      <c r="Q349" s="214">
        <f t="shared" si="906"/>
        <v>359469</v>
      </c>
      <c r="R349" s="214">
        <f t="shared" si="907"/>
        <v>359469</v>
      </c>
      <c r="S349" s="214">
        <f t="shared" si="908"/>
        <v>0</v>
      </c>
      <c r="T349" s="185" t="s">
        <v>510</v>
      </c>
      <c r="U349" s="185" t="s">
        <v>510</v>
      </c>
      <c r="V349" s="57" t="str">
        <f t="shared" si="950"/>
        <v>.</v>
      </c>
      <c r="Y349" s="311">
        <v>0</v>
      </c>
      <c r="Z349" s="192">
        <f t="shared" si="951"/>
        <v>0</v>
      </c>
      <c r="AA349" t="str">
        <f t="shared" si="952"/>
        <v>-</v>
      </c>
      <c r="AB349" t="str">
        <f t="shared" si="953"/>
        <v>-</v>
      </c>
      <c r="AC349" s="523"/>
      <c r="AD349" s="34">
        <f>C349-GAAP!C447</f>
        <v>359469</v>
      </c>
      <c r="AF349" s="64">
        <f t="shared" si="932"/>
        <v>359469</v>
      </c>
      <c r="AG349" s="64">
        <f t="shared" si="933"/>
        <v>359469</v>
      </c>
      <c r="AH349" s="64">
        <f t="shared" si="934"/>
        <v>0</v>
      </c>
      <c r="AI349" s="217">
        <f t="shared" si="935"/>
        <v>1</v>
      </c>
      <c r="AJ349" s="98">
        <f t="shared" si="936"/>
        <v>0</v>
      </c>
      <c r="AK349" s="98">
        <f t="shared" si="937"/>
        <v>359469</v>
      </c>
      <c r="AL349" s="98">
        <f t="shared" si="938"/>
        <v>0</v>
      </c>
      <c r="AM349" s="98">
        <f t="shared" si="939"/>
        <v>0</v>
      </c>
      <c r="AN349" s="98">
        <f t="shared" si="940"/>
        <v>0</v>
      </c>
      <c r="AO349" s="222">
        <f>GAAP!P393</f>
        <v>0</v>
      </c>
      <c r="AP349" s="129">
        <f t="shared" si="941"/>
        <v>0</v>
      </c>
    </row>
    <row r="350" spans="1:42" ht="13.5">
      <c r="A350" s="259">
        <v>56.108199999999997</v>
      </c>
      <c r="B350" s="57" t="s">
        <v>541</v>
      </c>
      <c r="C350" s="163">
        <v>19800</v>
      </c>
      <c r="D350" s="216">
        <f t="shared" si="883"/>
        <v>20583.039999999997</v>
      </c>
      <c r="E350" s="149">
        <v>-783.03999999999724</v>
      </c>
      <c r="F350" s="149">
        <v>20583.039999999997</v>
      </c>
      <c r="G350" s="217">
        <f t="shared" si="884"/>
        <v>1</v>
      </c>
      <c r="H350" s="149">
        <v>-783.03999999999724</v>
      </c>
      <c r="I350" s="214">
        <f t="shared" si="885"/>
        <v>19800</v>
      </c>
      <c r="J350" s="149">
        <v>19800</v>
      </c>
      <c r="K350" s="214">
        <f t="shared" si="903"/>
        <v>0</v>
      </c>
      <c r="L350" s="214">
        <f t="shared" si="904"/>
        <v>0</v>
      </c>
      <c r="M350" s="214">
        <f t="shared" si="905"/>
        <v>0</v>
      </c>
      <c r="N350" s="222"/>
      <c r="O350" s="222"/>
      <c r="P350" s="222"/>
      <c r="Q350" s="214">
        <f t="shared" si="906"/>
        <v>20583.039999999997</v>
      </c>
      <c r="R350" s="214">
        <f t="shared" si="907"/>
        <v>19800</v>
      </c>
      <c r="S350" s="214">
        <f t="shared" si="908"/>
        <v>-783.03999999999724</v>
      </c>
      <c r="T350" s="185" t="s">
        <v>510</v>
      </c>
      <c r="U350" s="185" t="s">
        <v>510</v>
      </c>
      <c r="V350" s="57" t="str">
        <f t="shared" si="950"/>
        <v>&lt; 250k</v>
      </c>
      <c r="Y350" s="311">
        <v>-783.03999999999724</v>
      </c>
      <c r="Z350" s="192">
        <f t="shared" si="951"/>
        <v>0</v>
      </c>
      <c r="AA350" t="str">
        <f t="shared" si="952"/>
        <v>-</v>
      </c>
      <c r="AB350" t="str">
        <f t="shared" si="953"/>
        <v>-</v>
      </c>
      <c r="AC350" s="523"/>
      <c r="AD350" s="34" t="e">
        <f>C350-GAAP!C420</f>
        <v>#VALUE!</v>
      </c>
      <c r="AF350" s="64">
        <f t="shared" si="932"/>
        <v>19800</v>
      </c>
      <c r="AG350" s="64">
        <f t="shared" si="933"/>
        <v>20583.039999999997</v>
      </c>
      <c r="AH350" s="64">
        <f t="shared" si="934"/>
        <v>-783.03999999999724</v>
      </c>
      <c r="AI350" s="217">
        <f t="shared" si="935"/>
        <v>1</v>
      </c>
      <c r="AJ350" s="98">
        <f t="shared" si="936"/>
        <v>-783.03999999999724</v>
      </c>
      <c r="AK350" s="98">
        <f t="shared" si="937"/>
        <v>19800</v>
      </c>
      <c r="AL350" s="98">
        <f t="shared" si="938"/>
        <v>0</v>
      </c>
      <c r="AM350" s="98">
        <f t="shared" si="939"/>
        <v>0</v>
      </c>
      <c r="AN350" s="98">
        <f t="shared" si="940"/>
        <v>0</v>
      </c>
      <c r="AO350" s="222">
        <f>GAAP!P317</f>
        <v>342656.80853389378</v>
      </c>
      <c r="AP350" s="129">
        <f t="shared" si="941"/>
        <v>-343439.84853389376</v>
      </c>
    </row>
    <row r="351" spans="1:42" ht="13.5">
      <c r="A351" s="259">
        <v>56.108400000000003</v>
      </c>
      <c r="B351" s="57" t="s">
        <v>576</v>
      </c>
      <c r="C351" s="163">
        <v>8000</v>
      </c>
      <c r="D351" s="216">
        <f t="shared" si="883"/>
        <v>4228.13</v>
      </c>
      <c r="E351" s="149">
        <v>3771.87</v>
      </c>
      <c r="F351" s="149">
        <v>4228.13</v>
      </c>
      <c r="G351" s="217">
        <f t="shared" si="884"/>
        <v>1</v>
      </c>
      <c r="H351" s="149">
        <v>3771.87</v>
      </c>
      <c r="I351" s="214">
        <f t="shared" si="885"/>
        <v>8000</v>
      </c>
      <c r="J351" s="149">
        <v>8000</v>
      </c>
      <c r="K351" s="214">
        <f t="shared" si="903"/>
        <v>0</v>
      </c>
      <c r="L351" s="214">
        <f t="shared" si="904"/>
        <v>0</v>
      </c>
      <c r="M351" s="214">
        <f t="shared" si="905"/>
        <v>0</v>
      </c>
      <c r="N351" s="222"/>
      <c r="O351" s="222"/>
      <c r="P351" s="222"/>
      <c r="Q351" s="214">
        <f t="shared" si="906"/>
        <v>4228.13</v>
      </c>
      <c r="R351" s="214">
        <f t="shared" si="907"/>
        <v>8000</v>
      </c>
      <c r="S351" s="214">
        <f t="shared" si="908"/>
        <v>3771.87</v>
      </c>
      <c r="T351" s="185" t="s">
        <v>510</v>
      </c>
      <c r="U351" s="185" t="s">
        <v>510</v>
      </c>
      <c r="V351" s="57" t="str">
        <f t="shared" si="950"/>
        <v>&lt; 250k</v>
      </c>
      <c r="Y351" s="311">
        <v>3771.87</v>
      </c>
      <c r="Z351" s="192">
        <f t="shared" si="951"/>
        <v>0</v>
      </c>
      <c r="AA351" t="str">
        <f t="shared" si="952"/>
        <v>-</v>
      </c>
      <c r="AB351" t="str">
        <f t="shared" si="953"/>
        <v>-</v>
      </c>
      <c r="AC351" s="523"/>
      <c r="AD351" s="34"/>
      <c r="AF351" s="64"/>
      <c r="AG351" s="64"/>
      <c r="AH351" s="64"/>
      <c r="AI351" s="217"/>
      <c r="AJ351" s="98"/>
      <c r="AK351" s="98"/>
      <c r="AL351" s="98"/>
      <c r="AM351" s="98"/>
      <c r="AN351" s="98"/>
      <c r="AO351" s="222"/>
      <c r="AP351" s="129"/>
    </row>
    <row r="352" spans="1:42" ht="13.5">
      <c r="A352" s="259">
        <v>56.110199999999999</v>
      </c>
      <c r="B352" s="57" t="s">
        <v>630</v>
      </c>
      <c r="C352" s="163">
        <v>19815.939999999999</v>
      </c>
      <c r="D352" s="216">
        <f t="shared" si="883"/>
        <v>19815.939999999999</v>
      </c>
      <c r="E352" s="149">
        <v>0</v>
      </c>
      <c r="F352" s="149">
        <v>19815.939999999999</v>
      </c>
      <c r="G352" s="217">
        <f t="shared" si="884"/>
        <v>1</v>
      </c>
      <c r="H352" s="149">
        <v>0</v>
      </c>
      <c r="I352" s="214">
        <f t="shared" si="885"/>
        <v>19815.939999999999</v>
      </c>
      <c r="J352" s="149">
        <v>19815.939999999999</v>
      </c>
      <c r="K352" s="214">
        <f t="shared" si="903"/>
        <v>0</v>
      </c>
      <c r="L352" s="214">
        <f t="shared" si="904"/>
        <v>0</v>
      </c>
      <c r="M352" s="214">
        <f t="shared" si="905"/>
        <v>0</v>
      </c>
      <c r="N352" s="222"/>
      <c r="O352" s="222"/>
      <c r="P352" s="222"/>
      <c r="Q352" s="214">
        <f t="shared" si="906"/>
        <v>19815.939999999999</v>
      </c>
      <c r="R352" s="214">
        <f t="shared" si="907"/>
        <v>19815.939999999999</v>
      </c>
      <c r="S352" s="214">
        <f t="shared" si="908"/>
        <v>0</v>
      </c>
      <c r="T352" s="185" t="s">
        <v>510</v>
      </c>
      <c r="U352" s="185" t="s">
        <v>510</v>
      </c>
      <c r="V352" s="57" t="str">
        <f t="shared" si="950"/>
        <v>&lt; 250k</v>
      </c>
      <c r="Y352" s="311">
        <v>0</v>
      </c>
      <c r="Z352" s="192">
        <f t="shared" si="951"/>
        <v>0</v>
      </c>
      <c r="AA352" t="str">
        <f t="shared" si="952"/>
        <v>-</v>
      </c>
      <c r="AB352" t="str">
        <f t="shared" si="953"/>
        <v>-</v>
      </c>
      <c r="AC352" s="523"/>
      <c r="AD352" s="34">
        <f>C352-GAAP!C443</f>
        <v>19815.939999999999</v>
      </c>
      <c r="AF352" s="64">
        <f t="shared" si="932"/>
        <v>19815.939999999999</v>
      </c>
      <c r="AG352" s="64">
        <f t="shared" si="933"/>
        <v>19815.939999999999</v>
      </c>
      <c r="AH352" s="64">
        <f t="shared" si="934"/>
        <v>0</v>
      </c>
      <c r="AI352" s="217">
        <f t="shared" si="935"/>
        <v>1</v>
      </c>
      <c r="AJ352" s="98">
        <f t="shared" si="936"/>
        <v>0</v>
      </c>
      <c r="AK352" s="98">
        <f t="shared" si="937"/>
        <v>19815.939999999999</v>
      </c>
      <c r="AL352" s="98">
        <f t="shared" si="938"/>
        <v>0</v>
      </c>
      <c r="AM352" s="98">
        <f t="shared" si="939"/>
        <v>0</v>
      </c>
      <c r="AN352" s="98">
        <f t="shared" si="940"/>
        <v>0</v>
      </c>
      <c r="AO352" s="222">
        <f>GAAP!P389</f>
        <v>0</v>
      </c>
      <c r="AP352" s="129">
        <f t="shared" si="941"/>
        <v>0</v>
      </c>
    </row>
    <row r="353" spans="1:42" ht="13.5">
      <c r="A353" s="259">
        <v>56.110300000000002</v>
      </c>
      <c r="B353" s="57" t="s">
        <v>631</v>
      </c>
      <c r="C353" s="163">
        <v>55855.24</v>
      </c>
      <c r="D353" s="216">
        <f t="shared" si="883"/>
        <v>55855.24</v>
      </c>
      <c r="E353" s="149">
        <v>0</v>
      </c>
      <c r="F353" s="149">
        <v>55855.24</v>
      </c>
      <c r="G353" s="217">
        <f t="shared" si="884"/>
        <v>1</v>
      </c>
      <c r="H353" s="149">
        <v>0</v>
      </c>
      <c r="I353" s="214">
        <f t="shared" si="885"/>
        <v>55855.24</v>
      </c>
      <c r="J353" s="149">
        <v>55855.24</v>
      </c>
      <c r="K353" s="214">
        <f t="shared" si="903"/>
        <v>0</v>
      </c>
      <c r="L353" s="214">
        <f t="shared" si="904"/>
        <v>0</v>
      </c>
      <c r="M353" s="214">
        <f t="shared" si="905"/>
        <v>0</v>
      </c>
      <c r="N353" s="222"/>
      <c r="O353" s="222"/>
      <c r="P353" s="222"/>
      <c r="Q353" s="214">
        <f t="shared" si="906"/>
        <v>55855.24</v>
      </c>
      <c r="R353" s="214">
        <f t="shared" si="907"/>
        <v>55855.24</v>
      </c>
      <c r="S353" s="214">
        <f t="shared" si="908"/>
        <v>0</v>
      </c>
      <c r="T353" s="185" t="s">
        <v>510</v>
      </c>
      <c r="U353" s="185" t="s">
        <v>510</v>
      </c>
      <c r="V353" s="57" t="str">
        <f t="shared" si="950"/>
        <v>&lt; 250k</v>
      </c>
      <c r="Y353" s="311">
        <v>0</v>
      </c>
      <c r="Z353" s="192">
        <f t="shared" si="951"/>
        <v>0</v>
      </c>
      <c r="AA353" t="str">
        <f t="shared" si="952"/>
        <v>-</v>
      </c>
      <c r="AB353" t="str">
        <f t="shared" si="953"/>
        <v>-</v>
      </c>
      <c r="AC353" s="523"/>
      <c r="AD353" s="34">
        <f>C353-GAAP!C444</f>
        <v>55855.24</v>
      </c>
      <c r="AF353" s="64">
        <f t="shared" si="932"/>
        <v>55855.24</v>
      </c>
      <c r="AG353" s="64">
        <f t="shared" si="933"/>
        <v>55855.24</v>
      </c>
      <c r="AH353" s="64">
        <f t="shared" si="934"/>
        <v>0</v>
      </c>
      <c r="AI353" s="217">
        <f t="shared" si="935"/>
        <v>1</v>
      </c>
      <c r="AJ353" s="98">
        <f t="shared" si="936"/>
        <v>0</v>
      </c>
      <c r="AK353" s="98">
        <f t="shared" si="937"/>
        <v>55855.24</v>
      </c>
      <c r="AL353" s="98">
        <f t="shared" si="938"/>
        <v>0</v>
      </c>
      <c r="AM353" s="98">
        <f t="shared" si="939"/>
        <v>0</v>
      </c>
      <c r="AN353" s="98">
        <f t="shared" si="940"/>
        <v>0</v>
      </c>
      <c r="AO353" s="222">
        <f>GAAP!P390</f>
        <v>0</v>
      </c>
      <c r="AP353" s="129">
        <f t="shared" si="941"/>
        <v>0</v>
      </c>
    </row>
    <row r="354" spans="1:42" ht="13.5">
      <c r="A354" s="259">
        <v>56.110399999999998</v>
      </c>
      <c r="B354" s="57" t="s">
        <v>632</v>
      </c>
      <c r="C354" s="163">
        <v>9500.31</v>
      </c>
      <c r="D354" s="216">
        <f t="shared" si="883"/>
        <v>9500.31</v>
      </c>
      <c r="E354" s="149">
        <v>0</v>
      </c>
      <c r="F354" s="149">
        <v>9500.31</v>
      </c>
      <c r="G354" s="217">
        <f t="shared" si="884"/>
        <v>1</v>
      </c>
      <c r="H354" s="149">
        <v>0</v>
      </c>
      <c r="I354" s="214">
        <f t="shared" si="885"/>
        <v>9500.31</v>
      </c>
      <c r="J354" s="149">
        <v>9500.31</v>
      </c>
      <c r="K354" s="214">
        <f t="shared" si="903"/>
        <v>0</v>
      </c>
      <c r="L354" s="214">
        <f t="shared" si="904"/>
        <v>0</v>
      </c>
      <c r="M354" s="214">
        <f t="shared" si="905"/>
        <v>0</v>
      </c>
      <c r="N354" s="222"/>
      <c r="O354" s="222"/>
      <c r="P354" s="222"/>
      <c r="Q354" s="214">
        <f t="shared" si="906"/>
        <v>9500.31</v>
      </c>
      <c r="R354" s="214">
        <f t="shared" si="907"/>
        <v>9500.31</v>
      </c>
      <c r="S354" s="214">
        <f t="shared" si="908"/>
        <v>0</v>
      </c>
      <c r="T354" s="185" t="s">
        <v>510</v>
      </c>
      <c r="U354" s="185" t="s">
        <v>510</v>
      </c>
      <c r="V354" s="57" t="str">
        <f t="shared" si="950"/>
        <v>&lt; 250k</v>
      </c>
      <c r="Y354" s="311">
        <v>0</v>
      </c>
      <c r="Z354" s="192">
        <f t="shared" si="951"/>
        <v>0</v>
      </c>
      <c r="AA354" t="str">
        <f t="shared" si="952"/>
        <v>-</v>
      </c>
      <c r="AB354" t="str">
        <f t="shared" si="953"/>
        <v>-</v>
      </c>
      <c r="AC354" s="523"/>
      <c r="AD354" s="34">
        <f>C354-GAAP!C445</f>
        <v>9500.31</v>
      </c>
      <c r="AF354" s="64">
        <f t="shared" si="932"/>
        <v>9500.31</v>
      </c>
      <c r="AG354" s="64">
        <f t="shared" si="933"/>
        <v>9500.31</v>
      </c>
      <c r="AH354" s="64">
        <f t="shared" si="934"/>
        <v>0</v>
      </c>
      <c r="AI354" s="217">
        <f t="shared" si="935"/>
        <v>1</v>
      </c>
      <c r="AJ354" s="98">
        <f t="shared" si="936"/>
        <v>0</v>
      </c>
      <c r="AK354" s="98">
        <f t="shared" si="937"/>
        <v>9500.31</v>
      </c>
      <c r="AL354" s="98">
        <f t="shared" si="938"/>
        <v>0</v>
      </c>
      <c r="AM354" s="98">
        <f t="shared" si="939"/>
        <v>0</v>
      </c>
      <c r="AN354" s="98">
        <f t="shared" si="940"/>
        <v>0</v>
      </c>
      <c r="AO354" s="222">
        <f>GAAP!P391</f>
        <v>0</v>
      </c>
      <c r="AP354" s="129">
        <f t="shared" si="941"/>
        <v>0</v>
      </c>
    </row>
    <row r="355" spans="1:42" ht="13.5">
      <c r="A355" s="259">
        <v>56.110500000000002</v>
      </c>
      <c r="B355" s="57" t="s">
        <v>633</v>
      </c>
      <c r="C355" s="163">
        <v>30502.53</v>
      </c>
      <c r="D355" s="216">
        <f t="shared" si="883"/>
        <v>30502.53</v>
      </c>
      <c r="E355" s="149">
        <v>0</v>
      </c>
      <c r="F355" s="149">
        <v>30502.53</v>
      </c>
      <c r="G355" s="217">
        <f t="shared" si="884"/>
        <v>1</v>
      </c>
      <c r="H355" s="149">
        <v>0</v>
      </c>
      <c r="I355" s="214">
        <f t="shared" si="885"/>
        <v>30502.53</v>
      </c>
      <c r="J355" s="149">
        <v>30502.53</v>
      </c>
      <c r="K355" s="214">
        <f t="shared" si="903"/>
        <v>0</v>
      </c>
      <c r="L355" s="214">
        <f t="shared" si="904"/>
        <v>0</v>
      </c>
      <c r="M355" s="214">
        <f t="shared" si="905"/>
        <v>0</v>
      </c>
      <c r="N355" s="222"/>
      <c r="O355" s="222"/>
      <c r="P355" s="222"/>
      <c r="Q355" s="214">
        <f t="shared" si="906"/>
        <v>30502.53</v>
      </c>
      <c r="R355" s="214">
        <f t="shared" si="907"/>
        <v>30502.53</v>
      </c>
      <c r="S355" s="214">
        <f t="shared" si="908"/>
        <v>0</v>
      </c>
      <c r="T355" s="185" t="s">
        <v>510</v>
      </c>
      <c r="U355" s="185" t="s">
        <v>510</v>
      </c>
      <c r="V355" s="57" t="str">
        <f t="shared" si="950"/>
        <v>&lt; 250k</v>
      </c>
      <c r="Y355" s="311">
        <v>0</v>
      </c>
      <c r="Z355" s="192">
        <f t="shared" si="951"/>
        <v>0</v>
      </c>
      <c r="AA355" t="str">
        <f t="shared" si="952"/>
        <v>-</v>
      </c>
      <c r="AB355" t="str">
        <f t="shared" si="953"/>
        <v>-</v>
      </c>
      <c r="AC355" s="523"/>
      <c r="AD355" s="34">
        <f>C355-GAAP!C446</f>
        <v>30502.53</v>
      </c>
      <c r="AF355" s="64">
        <f t="shared" si="932"/>
        <v>30502.53</v>
      </c>
      <c r="AG355" s="64">
        <f t="shared" si="933"/>
        <v>30502.53</v>
      </c>
      <c r="AH355" s="64">
        <f t="shared" si="934"/>
        <v>0</v>
      </c>
      <c r="AI355" s="217">
        <f t="shared" si="935"/>
        <v>1</v>
      </c>
      <c r="AJ355" s="98">
        <f t="shared" si="936"/>
        <v>0</v>
      </c>
      <c r="AK355" s="98">
        <f t="shared" si="937"/>
        <v>30502.53</v>
      </c>
      <c r="AL355" s="98">
        <f t="shared" si="938"/>
        <v>0</v>
      </c>
      <c r="AM355" s="98">
        <f t="shared" si="939"/>
        <v>0</v>
      </c>
      <c r="AN355" s="98">
        <f t="shared" si="940"/>
        <v>0</v>
      </c>
      <c r="AO355" s="222">
        <f>GAAP!P392</f>
        <v>0</v>
      </c>
      <c r="AP355" s="129">
        <f t="shared" si="941"/>
        <v>0</v>
      </c>
    </row>
    <row r="356" spans="1:42" ht="13.5">
      <c r="A356" s="259">
        <v>56.110599999999998</v>
      </c>
      <c r="B356" s="57" t="s">
        <v>634</v>
      </c>
      <c r="C356" s="163">
        <v>54742.18</v>
      </c>
      <c r="D356" s="216">
        <f t="shared" si="883"/>
        <v>54742.18</v>
      </c>
      <c r="E356" s="149">
        <v>0</v>
      </c>
      <c r="F356" s="149">
        <v>54742.18</v>
      </c>
      <c r="G356" s="217">
        <f t="shared" si="884"/>
        <v>1</v>
      </c>
      <c r="H356" s="149">
        <v>0</v>
      </c>
      <c r="I356" s="214">
        <f t="shared" si="885"/>
        <v>54742.18</v>
      </c>
      <c r="J356" s="149">
        <v>54742.18</v>
      </c>
      <c r="K356" s="214">
        <f t="shared" si="903"/>
        <v>0</v>
      </c>
      <c r="L356" s="214">
        <f t="shared" si="904"/>
        <v>0</v>
      </c>
      <c r="M356" s="214">
        <f t="shared" si="905"/>
        <v>0</v>
      </c>
      <c r="N356" s="222"/>
      <c r="O356" s="222"/>
      <c r="P356" s="222"/>
      <c r="Q356" s="214">
        <f t="shared" si="906"/>
        <v>54742.18</v>
      </c>
      <c r="R356" s="214">
        <f t="shared" si="907"/>
        <v>54742.18</v>
      </c>
      <c r="S356" s="214">
        <f t="shared" si="908"/>
        <v>0</v>
      </c>
      <c r="T356" s="185" t="s">
        <v>510</v>
      </c>
      <c r="U356" s="185" t="s">
        <v>510</v>
      </c>
      <c r="V356" s="57" t="str">
        <f t="shared" si="950"/>
        <v>&lt; 250k</v>
      </c>
      <c r="Y356" s="311">
        <v>0</v>
      </c>
      <c r="Z356" s="192">
        <f t="shared" si="951"/>
        <v>0</v>
      </c>
      <c r="AA356" t="str">
        <f t="shared" si="952"/>
        <v>-</v>
      </c>
      <c r="AB356" t="str">
        <f t="shared" si="953"/>
        <v>-</v>
      </c>
      <c r="AC356" s="523"/>
      <c r="AD356" s="34">
        <f>C356-GAAP!C447</f>
        <v>54742.18</v>
      </c>
      <c r="AF356" s="64">
        <f t="shared" si="932"/>
        <v>54742.18</v>
      </c>
      <c r="AG356" s="64">
        <f t="shared" si="933"/>
        <v>54742.18</v>
      </c>
      <c r="AH356" s="64">
        <f t="shared" si="934"/>
        <v>0</v>
      </c>
      <c r="AI356" s="217">
        <f t="shared" si="935"/>
        <v>1</v>
      </c>
      <c r="AJ356" s="98">
        <f t="shared" si="936"/>
        <v>0</v>
      </c>
      <c r="AK356" s="98">
        <f t="shared" si="937"/>
        <v>54742.18</v>
      </c>
      <c r="AL356" s="98">
        <f t="shared" si="938"/>
        <v>0</v>
      </c>
      <c r="AM356" s="98">
        <f t="shared" si="939"/>
        <v>0</v>
      </c>
      <c r="AN356" s="98">
        <f t="shared" si="940"/>
        <v>0</v>
      </c>
      <c r="AO356" s="222">
        <f>GAAP!P393</f>
        <v>0</v>
      </c>
      <c r="AP356" s="129">
        <f t="shared" si="941"/>
        <v>0</v>
      </c>
    </row>
    <row r="357" spans="1:42" ht="13.5">
      <c r="A357" s="259">
        <v>56.110700000000001</v>
      </c>
      <c r="B357" s="57" t="s">
        <v>635</v>
      </c>
      <c r="C357" s="163">
        <v>3429.06</v>
      </c>
      <c r="D357" s="216">
        <f t="shared" si="883"/>
        <v>3429.06</v>
      </c>
      <c r="E357" s="149">
        <v>0</v>
      </c>
      <c r="F357" s="149">
        <v>3429.06</v>
      </c>
      <c r="G357" s="217">
        <f t="shared" si="884"/>
        <v>1</v>
      </c>
      <c r="H357" s="149">
        <v>0</v>
      </c>
      <c r="I357" s="214">
        <f t="shared" si="885"/>
        <v>3429.06</v>
      </c>
      <c r="J357" s="149">
        <v>3429.06</v>
      </c>
      <c r="K357" s="214">
        <f t="shared" si="903"/>
        <v>0</v>
      </c>
      <c r="L357" s="214">
        <f t="shared" si="904"/>
        <v>0</v>
      </c>
      <c r="M357" s="214">
        <f t="shared" si="905"/>
        <v>0</v>
      </c>
      <c r="N357" s="222"/>
      <c r="O357" s="222"/>
      <c r="P357" s="222"/>
      <c r="Q357" s="214">
        <f t="shared" si="906"/>
        <v>3429.06</v>
      </c>
      <c r="R357" s="214">
        <f t="shared" si="907"/>
        <v>3429.06</v>
      </c>
      <c r="S357" s="214">
        <f t="shared" si="908"/>
        <v>0</v>
      </c>
      <c r="T357" s="185" t="s">
        <v>510</v>
      </c>
      <c r="U357" s="185" t="s">
        <v>510</v>
      </c>
      <c r="V357" s="57" t="str">
        <f t="shared" si="950"/>
        <v>&lt; 250k</v>
      </c>
      <c r="Y357" s="311">
        <v>0</v>
      </c>
      <c r="Z357" s="192">
        <f t="shared" si="951"/>
        <v>0</v>
      </c>
      <c r="AA357" t="str">
        <f t="shared" si="952"/>
        <v>-</v>
      </c>
      <c r="AB357" t="str">
        <f t="shared" si="953"/>
        <v>-</v>
      </c>
      <c r="AC357" s="523"/>
      <c r="AD357" s="34">
        <f>C357-GAAP!C449</f>
        <v>3429.06</v>
      </c>
      <c r="AF357" s="64">
        <f t="shared" si="932"/>
        <v>3429.06</v>
      </c>
      <c r="AG357" s="64">
        <f t="shared" si="933"/>
        <v>3429.06</v>
      </c>
      <c r="AH357" s="64">
        <f t="shared" si="934"/>
        <v>0</v>
      </c>
      <c r="AI357" s="217">
        <f t="shared" si="935"/>
        <v>1</v>
      </c>
      <c r="AJ357" s="98">
        <f t="shared" si="936"/>
        <v>0</v>
      </c>
      <c r="AK357" s="98">
        <f t="shared" si="937"/>
        <v>3429.06</v>
      </c>
      <c r="AL357" s="98">
        <f t="shared" si="938"/>
        <v>0</v>
      </c>
      <c r="AM357" s="98">
        <f t="shared" si="939"/>
        <v>0</v>
      </c>
      <c r="AN357" s="98">
        <f t="shared" si="940"/>
        <v>0</v>
      </c>
      <c r="AO357" s="222">
        <f>GAAP!P394</f>
        <v>0</v>
      </c>
      <c r="AP357" s="129">
        <f t="shared" si="941"/>
        <v>0</v>
      </c>
    </row>
    <row r="358" spans="1:42" ht="13.5">
      <c r="A358" s="259">
        <v>56.110799999999998</v>
      </c>
      <c r="B358" s="57" t="s">
        <v>636</v>
      </c>
      <c r="C358" s="163">
        <v>20729.84</v>
      </c>
      <c r="D358" s="216">
        <f t="shared" si="883"/>
        <v>20729.84</v>
      </c>
      <c r="E358" s="149">
        <v>0</v>
      </c>
      <c r="F358" s="149">
        <v>20729.84</v>
      </c>
      <c r="G358" s="217">
        <f t="shared" si="884"/>
        <v>1</v>
      </c>
      <c r="H358" s="149">
        <v>0</v>
      </c>
      <c r="I358" s="214">
        <f t="shared" si="885"/>
        <v>20729.84</v>
      </c>
      <c r="J358" s="149">
        <v>20729.84</v>
      </c>
      <c r="K358" s="214">
        <f t="shared" si="903"/>
        <v>0</v>
      </c>
      <c r="L358" s="214">
        <f t="shared" si="904"/>
        <v>0</v>
      </c>
      <c r="M358" s="214">
        <f t="shared" si="905"/>
        <v>0</v>
      </c>
      <c r="N358" s="222"/>
      <c r="O358" s="222"/>
      <c r="P358" s="222"/>
      <c r="Q358" s="214">
        <f t="shared" si="906"/>
        <v>20729.84</v>
      </c>
      <c r="R358" s="214">
        <f t="shared" si="907"/>
        <v>20729.84</v>
      </c>
      <c r="S358" s="214">
        <f t="shared" si="908"/>
        <v>0</v>
      </c>
      <c r="T358" s="185" t="s">
        <v>510</v>
      </c>
      <c r="U358" s="185" t="s">
        <v>510</v>
      </c>
      <c r="V358" s="57" t="str">
        <f t="shared" si="950"/>
        <v>&lt; 250k</v>
      </c>
      <c r="Y358" s="311">
        <v>0</v>
      </c>
      <c r="Z358" s="192">
        <f t="shared" si="951"/>
        <v>0</v>
      </c>
      <c r="AA358" t="str">
        <f t="shared" si="952"/>
        <v>-</v>
      </c>
      <c r="AB358" t="str">
        <f t="shared" si="953"/>
        <v>-</v>
      </c>
      <c r="AC358" s="523"/>
      <c r="AD358" s="34">
        <f>C358-GAAP!C450</f>
        <v>20729.84</v>
      </c>
      <c r="AF358" s="64">
        <f t="shared" si="932"/>
        <v>20729.84</v>
      </c>
      <c r="AG358" s="64">
        <f t="shared" si="933"/>
        <v>20729.84</v>
      </c>
      <c r="AH358" s="64">
        <f t="shared" si="934"/>
        <v>0</v>
      </c>
      <c r="AI358" s="217">
        <f t="shared" si="935"/>
        <v>1</v>
      </c>
      <c r="AJ358" s="98">
        <f t="shared" si="936"/>
        <v>0</v>
      </c>
      <c r="AK358" s="98">
        <f t="shared" si="937"/>
        <v>20729.84</v>
      </c>
      <c r="AL358" s="98">
        <f t="shared" si="938"/>
        <v>0</v>
      </c>
      <c r="AM358" s="98">
        <f t="shared" si="939"/>
        <v>0</v>
      </c>
      <c r="AN358" s="98">
        <f t="shared" si="940"/>
        <v>0</v>
      </c>
      <c r="AO358" s="222">
        <f>GAAP!P395</f>
        <v>0</v>
      </c>
      <c r="AP358" s="129">
        <f t="shared" si="941"/>
        <v>0</v>
      </c>
    </row>
    <row r="359" spans="1:42" ht="13.5">
      <c r="A359" s="259">
        <v>56.110900000000001</v>
      </c>
      <c r="B359" s="57" t="s">
        <v>637</v>
      </c>
      <c r="C359" s="163">
        <v>14772.26</v>
      </c>
      <c r="D359" s="216">
        <f t="shared" si="883"/>
        <v>14772.26</v>
      </c>
      <c r="E359" s="149">
        <v>0</v>
      </c>
      <c r="F359" s="149">
        <v>14772.26</v>
      </c>
      <c r="G359" s="217">
        <f t="shared" si="884"/>
        <v>1</v>
      </c>
      <c r="H359" s="149">
        <v>0</v>
      </c>
      <c r="I359" s="214">
        <f t="shared" si="885"/>
        <v>14772.26</v>
      </c>
      <c r="J359" s="149">
        <v>14772.26</v>
      </c>
      <c r="K359" s="214">
        <f t="shared" si="903"/>
        <v>0</v>
      </c>
      <c r="L359" s="214">
        <f t="shared" si="904"/>
        <v>0</v>
      </c>
      <c r="M359" s="214">
        <f t="shared" si="905"/>
        <v>0</v>
      </c>
      <c r="N359" s="222"/>
      <c r="O359" s="222"/>
      <c r="P359" s="222"/>
      <c r="Q359" s="214">
        <f t="shared" si="906"/>
        <v>14772.26</v>
      </c>
      <c r="R359" s="214">
        <f t="shared" si="907"/>
        <v>14772.26</v>
      </c>
      <c r="S359" s="214">
        <f t="shared" si="908"/>
        <v>0</v>
      </c>
      <c r="T359" s="185" t="s">
        <v>510</v>
      </c>
      <c r="U359" s="185" t="s">
        <v>510</v>
      </c>
      <c r="V359" s="57" t="str">
        <f t="shared" si="950"/>
        <v>&lt; 250k</v>
      </c>
      <c r="Y359" s="311">
        <v>0</v>
      </c>
      <c r="Z359" s="192">
        <f t="shared" si="951"/>
        <v>0</v>
      </c>
      <c r="AA359" t="str">
        <f t="shared" si="952"/>
        <v>-</v>
      </c>
      <c r="AB359" t="str">
        <f t="shared" si="953"/>
        <v>-</v>
      </c>
      <c r="AC359" s="523"/>
      <c r="AD359" s="34">
        <f>C359-GAAP!C451</f>
        <v>14772.26</v>
      </c>
      <c r="AF359" s="64">
        <f t="shared" si="932"/>
        <v>14772.26</v>
      </c>
      <c r="AG359" s="64">
        <f t="shared" si="933"/>
        <v>14772.26</v>
      </c>
      <c r="AH359" s="64">
        <f t="shared" si="934"/>
        <v>0</v>
      </c>
      <c r="AI359" s="217">
        <f t="shared" si="935"/>
        <v>1</v>
      </c>
      <c r="AJ359" s="98">
        <f t="shared" si="936"/>
        <v>0</v>
      </c>
      <c r="AK359" s="98">
        <f t="shared" si="937"/>
        <v>14772.26</v>
      </c>
      <c r="AL359" s="98">
        <f t="shared" si="938"/>
        <v>0</v>
      </c>
      <c r="AM359" s="98">
        <f t="shared" si="939"/>
        <v>0</v>
      </c>
      <c r="AN359" s="98">
        <f t="shared" si="940"/>
        <v>0</v>
      </c>
      <c r="AO359" s="222">
        <f>GAAP!P396</f>
        <v>0</v>
      </c>
      <c r="AP359" s="129">
        <f t="shared" si="941"/>
        <v>0</v>
      </c>
    </row>
    <row r="360" spans="1:42" ht="13.5">
      <c r="A360" s="259">
        <v>56.110999999999997</v>
      </c>
      <c r="B360" s="57" t="s">
        <v>638</v>
      </c>
      <c r="C360" s="163">
        <v>4596.42</v>
      </c>
      <c r="D360" s="216">
        <f t="shared" si="883"/>
        <v>4596.42</v>
      </c>
      <c r="E360" s="149">
        <v>0</v>
      </c>
      <c r="F360" s="149">
        <v>4596.42</v>
      </c>
      <c r="G360" s="217">
        <f t="shared" si="884"/>
        <v>1</v>
      </c>
      <c r="H360" s="149">
        <v>0</v>
      </c>
      <c r="I360" s="214">
        <f t="shared" si="885"/>
        <v>4596.42</v>
      </c>
      <c r="J360" s="149">
        <v>4596.42</v>
      </c>
      <c r="K360" s="214">
        <f t="shared" si="903"/>
        <v>0</v>
      </c>
      <c r="L360" s="214">
        <f t="shared" si="904"/>
        <v>0</v>
      </c>
      <c r="M360" s="214">
        <f t="shared" si="905"/>
        <v>0</v>
      </c>
      <c r="N360" s="222"/>
      <c r="O360" s="222"/>
      <c r="P360" s="222"/>
      <c r="Q360" s="214">
        <f t="shared" si="906"/>
        <v>4596.42</v>
      </c>
      <c r="R360" s="214">
        <f t="shared" si="907"/>
        <v>4596.42</v>
      </c>
      <c r="S360" s="214">
        <f t="shared" si="908"/>
        <v>0</v>
      </c>
      <c r="T360" s="185" t="s">
        <v>510</v>
      </c>
      <c r="U360" s="185" t="s">
        <v>510</v>
      </c>
      <c r="V360" s="57" t="str">
        <f t="shared" si="950"/>
        <v>&lt; 250k</v>
      </c>
      <c r="Y360" s="311">
        <v>0</v>
      </c>
      <c r="Z360" s="192">
        <f t="shared" si="951"/>
        <v>0</v>
      </c>
      <c r="AA360" t="str">
        <f t="shared" si="952"/>
        <v>-</v>
      </c>
      <c r="AB360" t="str">
        <f t="shared" si="953"/>
        <v>-</v>
      </c>
      <c r="AC360" s="523"/>
      <c r="AD360" s="34">
        <f>C360-GAAP!C452</f>
        <v>4596.42</v>
      </c>
      <c r="AF360" s="64">
        <f t="shared" si="932"/>
        <v>4596.42</v>
      </c>
      <c r="AG360" s="64">
        <f t="shared" si="933"/>
        <v>4596.42</v>
      </c>
      <c r="AH360" s="64">
        <f t="shared" si="934"/>
        <v>0</v>
      </c>
      <c r="AI360" s="217">
        <f t="shared" si="935"/>
        <v>1</v>
      </c>
      <c r="AJ360" s="98">
        <f t="shared" si="936"/>
        <v>0</v>
      </c>
      <c r="AK360" s="98">
        <f t="shared" si="937"/>
        <v>4596.42</v>
      </c>
      <c r="AL360" s="98">
        <f t="shared" si="938"/>
        <v>0</v>
      </c>
      <c r="AM360" s="98">
        <f t="shared" si="939"/>
        <v>0</v>
      </c>
      <c r="AN360" s="98">
        <f t="shared" si="940"/>
        <v>0</v>
      </c>
      <c r="AO360" s="222">
        <f>GAAP!P397</f>
        <v>0</v>
      </c>
      <c r="AP360" s="129">
        <f t="shared" si="941"/>
        <v>0</v>
      </c>
    </row>
    <row r="361" spans="1:42" ht="13.5">
      <c r="A361" s="259">
        <v>56.1111</v>
      </c>
      <c r="B361" s="57" t="s">
        <v>639</v>
      </c>
      <c r="C361" s="163">
        <v>17210.009999999998</v>
      </c>
      <c r="D361" s="216">
        <f t="shared" si="883"/>
        <v>17210.009999999998</v>
      </c>
      <c r="E361" s="149">
        <v>0</v>
      </c>
      <c r="F361" s="149">
        <v>17210.009999999998</v>
      </c>
      <c r="G361" s="217">
        <f t="shared" si="884"/>
        <v>1</v>
      </c>
      <c r="H361" s="149">
        <v>0</v>
      </c>
      <c r="I361" s="214">
        <f t="shared" si="885"/>
        <v>17210.009999999998</v>
      </c>
      <c r="J361" s="149">
        <v>17210.009999999998</v>
      </c>
      <c r="K361" s="214">
        <f t="shared" si="903"/>
        <v>0</v>
      </c>
      <c r="L361" s="214">
        <f t="shared" si="904"/>
        <v>0</v>
      </c>
      <c r="M361" s="214">
        <f t="shared" si="905"/>
        <v>0</v>
      </c>
      <c r="N361" s="222"/>
      <c r="O361" s="222"/>
      <c r="P361" s="222"/>
      <c r="Q361" s="214">
        <f t="shared" si="906"/>
        <v>17210.009999999998</v>
      </c>
      <c r="R361" s="214">
        <f t="shared" si="907"/>
        <v>17210.009999999998</v>
      </c>
      <c r="S361" s="214">
        <f t="shared" si="908"/>
        <v>0</v>
      </c>
      <c r="T361" s="185" t="s">
        <v>510</v>
      </c>
      <c r="U361" s="185" t="s">
        <v>510</v>
      </c>
      <c r="V361" s="57" t="str">
        <f t="shared" si="950"/>
        <v>&lt; 250k</v>
      </c>
      <c r="Y361" s="311">
        <v>0</v>
      </c>
      <c r="Z361" s="192">
        <f t="shared" si="951"/>
        <v>0</v>
      </c>
      <c r="AA361" t="str">
        <f t="shared" si="952"/>
        <v>-</v>
      </c>
      <c r="AB361" t="str">
        <f t="shared" si="953"/>
        <v>-</v>
      </c>
      <c r="AC361" s="523"/>
      <c r="AD361" s="34">
        <f>C361-GAAP!C453</f>
        <v>17210.009999999998</v>
      </c>
      <c r="AF361" s="64">
        <f t="shared" si="932"/>
        <v>17210.009999999998</v>
      </c>
      <c r="AG361" s="64">
        <f t="shared" si="933"/>
        <v>17210.009999999998</v>
      </c>
      <c r="AH361" s="64">
        <f t="shared" si="934"/>
        <v>0</v>
      </c>
      <c r="AI361" s="217">
        <f t="shared" si="935"/>
        <v>1</v>
      </c>
      <c r="AJ361" s="98">
        <f t="shared" si="936"/>
        <v>0</v>
      </c>
      <c r="AK361" s="98">
        <f t="shared" si="937"/>
        <v>17210.009999999998</v>
      </c>
      <c r="AL361" s="98">
        <f t="shared" si="938"/>
        <v>0</v>
      </c>
      <c r="AM361" s="98">
        <f t="shared" si="939"/>
        <v>0</v>
      </c>
      <c r="AN361" s="98">
        <f t="shared" si="940"/>
        <v>0</v>
      </c>
      <c r="AO361" s="222">
        <f>GAAP!P398</f>
        <v>35006187.304711714</v>
      </c>
      <c r="AP361" s="129">
        <f t="shared" si="941"/>
        <v>-35006187.304711714</v>
      </c>
    </row>
    <row r="362" spans="1:42" ht="13.5">
      <c r="A362" s="259">
        <v>56.111199999999997</v>
      </c>
      <c r="B362" s="57" t="s">
        <v>640</v>
      </c>
      <c r="C362" s="163">
        <v>27241.58</v>
      </c>
      <c r="D362" s="216">
        <f t="shared" si="883"/>
        <v>27241.58</v>
      </c>
      <c r="E362" s="149">
        <v>0</v>
      </c>
      <c r="F362" s="149">
        <v>27241.58</v>
      </c>
      <c r="G362" s="217">
        <f t="shared" si="884"/>
        <v>1</v>
      </c>
      <c r="H362" s="149">
        <v>0</v>
      </c>
      <c r="I362" s="214">
        <f t="shared" si="885"/>
        <v>27241.58</v>
      </c>
      <c r="J362" s="149">
        <v>27241.58</v>
      </c>
      <c r="K362" s="214">
        <f t="shared" si="903"/>
        <v>0</v>
      </c>
      <c r="L362" s="214">
        <f t="shared" si="904"/>
        <v>0</v>
      </c>
      <c r="M362" s="214">
        <f t="shared" si="905"/>
        <v>0</v>
      </c>
      <c r="N362" s="222"/>
      <c r="O362" s="222"/>
      <c r="P362" s="222"/>
      <c r="Q362" s="214">
        <f t="shared" si="906"/>
        <v>27241.58</v>
      </c>
      <c r="R362" s="214">
        <f t="shared" si="907"/>
        <v>27241.58</v>
      </c>
      <c r="S362" s="214">
        <f t="shared" si="908"/>
        <v>0</v>
      </c>
      <c r="T362" s="185" t="s">
        <v>510</v>
      </c>
      <c r="U362" s="185" t="s">
        <v>510</v>
      </c>
      <c r="V362" s="57" t="str">
        <f t="shared" si="950"/>
        <v>&lt; 250k</v>
      </c>
      <c r="Y362" s="311">
        <v>0</v>
      </c>
      <c r="Z362" s="192">
        <f t="shared" si="951"/>
        <v>0</v>
      </c>
      <c r="AA362" t="str">
        <f t="shared" si="952"/>
        <v>-</v>
      </c>
      <c r="AB362" t="str">
        <f t="shared" si="953"/>
        <v>-</v>
      </c>
      <c r="AC362" s="523"/>
      <c r="AD362" s="34">
        <f>C362-GAAP!C454</f>
        <v>27241.58</v>
      </c>
      <c r="AF362" s="64">
        <f t="shared" si="932"/>
        <v>27241.58</v>
      </c>
      <c r="AG362" s="64">
        <f t="shared" si="933"/>
        <v>27241.58</v>
      </c>
      <c r="AH362" s="64">
        <f t="shared" si="934"/>
        <v>0</v>
      </c>
      <c r="AI362" s="217">
        <f t="shared" si="935"/>
        <v>1</v>
      </c>
      <c r="AJ362" s="98">
        <f t="shared" si="936"/>
        <v>0</v>
      </c>
      <c r="AK362" s="98">
        <f t="shared" si="937"/>
        <v>27241.58</v>
      </c>
      <c r="AL362" s="98">
        <f t="shared" si="938"/>
        <v>0</v>
      </c>
      <c r="AM362" s="98">
        <f t="shared" si="939"/>
        <v>0</v>
      </c>
      <c r="AN362" s="98">
        <f t="shared" si="940"/>
        <v>0</v>
      </c>
      <c r="AO362" s="222">
        <f>GAAP!P399</f>
        <v>17890185.934586044</v>
      </c>
      <c r="AP362" s="129">
        <f t="shared" si="941"/>
        <v>-17890185.934586044</v>
      </c>
    </row>
    <row r="363" spans="1:42" ht="13.5">
      <c r="A363" s="259">
        <v>56.1113</v>
      </c>
      <c r="B363" s="57" t="s">
        <v>641</v>
      </c>
      <c r="C363" s="163">
        <v>49233.440000000002</v>
      </c>
      <c r="D363" s="216">
        <f t="shared" si="883"/>
        <v>49233.440000000002</v>
      </c>
      <c r="E363" s="149">
        <v>0</v>
      </c>
      <c r="F363" s="149">
        <v>49233.440000000002</v>
      </c>
      <c r="G363" s="217">
        <f t="shared" si="884"/>
        <v>1</v>
      </c>
      <c r="H363" s="149">
        <v>0</v>
      </c>
      <c r="I363" s="214">
        <f t="shared" si="885"/>
        <v>49233.440000000002</v>
      </c>
      <c r="J363" s="149">
        <v>49233.440000000002</v>
      </c>
      <c r="K363" s="214">
        <f t="shared" si="903"/>
        <v>0</v>
      </c>
      <c r="L363" s="214">
        <f t="shared" si="904"/>
        <v>0</v>
      </c>
      <c r="M363" s="214">
        <f t="shared" si="905"/>
        <v>0</v>
      </c>
      <c r="N363" s="222"/>
      <c r="O363" s="222"/>
      <c r="P363" s="222"/>
      <c r="Q363" s="214">
        <f t="shared" si="906"/>
        <v>49233.440000000002</v>
      </c>
      <c r="R363" s="214">
        <f t="shared" si="907"/>
        <v>49233.440000000002</v>
      </c>
      <c r="S363" s="214">
        <f t="shared" si="908"/>
        <v>0</v>
      </c>
      <c r="T363" s="185" t="s">
        <v>510</v>
      </c>
      <c r="U363" s="185" t="s">
        <v>510</v>
      </c>
      <c r="V363" s="57" t="str">
        <f t="shared" si="950"/>
        <v>&lt; 250k</v>
      </c>
      <c r="Y363" s="311">
        <v>0</v>
      </c>
      <c r="Z363" s="192">
        <f t="shared" si="951"/>
        <v>0</v>
      </c>
      <c r="AA363" t="str">
        <f t="shared" si="952"/>
        <v>-</v>
      </c>
      <c r="AB363" t="str">
        <f t="shared" si="953"/>
        <v>-</v>
      </c>
      <c r="AC363" s="523"/>
      <c r="AD363" s="34">
        <f>C363-GAAP!C455</f>
        <v>49233.440000000002</v>
      </c>
      <c r="AF363" s="64">
        <f t="shared" si="932"/>
        <v>49233.440000000002</v>
      </c>
      <c r="AG363" s="64">
        <f t="shared" si="933"/>
        <v>49233.440000000002</v>
      </c>
      <c r="AH363" s="64">
        <f t="shared" si="934"/>
        <v>0</v>
      </c>
      <c r="AI363" s="217">
        <f t="shared" si="935"/>
        <v>1</v>
      </c>
      <c r="AJ363" s="98">
        <f t="shared" si="936"/>
        <v>0</v>
      </c>
      <c r="AK363" s="98">
        <f t="shared" si="937"/>
        <v>49233.440000000002</v>
      </c>
      <c r="AL363" s="98">
        <f t="shared" si="938"/>
        <v>0</v>
      </c>
      <c r="AM363" s="98">
        <f t="shared" si="939"/>
        <v>0</v>
      </c>
      <c r="AN363" s="98">
        <f t="shared" si="940"/>
        <v>0</v>
      </c>
      <c r="AO363" s="222">
        <f>GAAP!P400</f>
        <v>52896373.239297763</v>
      </c>
      <c r="AP363" s="129">
        <f t="shared" si="941"/>
        <v>-52896373.239297763</v>
      </c>
    </row>
    <row r="364" spans="1:42" ht="13.5">
      <c r="A364" s="259">
        <v>56.111499999999999</v>
      </c>
      <c r="B364" s="57" t="s">
        <v>642</v>
      </c>
      <c r="C364" s="163">
        <v>5895.77</v>
      </c>
      <c r="D364" s="216">
        <f t="shared" si="883"/>
        <v>5895.77</v>
      </c>
      <c r="E364" s="149">
        <v>0</v>
      </c>
      <c r="F364" s="149">
        <v>5895.77</v>
      </c>
      <c r="G364" s="217">
        <f t="shared" si="884"/>
        <v>1</v>
      </c>
      <c r="H364" s="149">
        <v>0</v>
      </c>
      <c r="I364" s="214">
        <f t="shared" si="885"/>
        <v>5895.77</v>
      </c>
      <c r="J364" s="149">
        <v>5895.77</v>
      </c>
      <c r="K364" s="214">
        <f t="shared" si="903"/>
        <v>0</v>
      </c>
      <c r="L364" s="214">
        <f t="shared" si="904"/>
        <v>0</v>
      </c>
      <c r="M364" s="214">
        <f t="shared" si="905"/>
        <v>0</v>
      </c>
      <c r="N364" s="222"/>
      <c r="O364" s="222"/>
      <c r="P364" s="222"/>
      <c r="Q364" s="214">
        <f t="shared" si="906"/>
        <v>5895.77</v>
      </c>
      <c r="R364" s="214">
        <f t="shared" si="907"/>
        <v>5895.77</v>
      </c>
      <c r="S364" s="214">
        <f t="shared" si="908"/>
        <v>0</v>
      </c>
      <c r="T364" s="185" t="s">
        <v>510</v>
      </c>
      <c r="U364" s="185" t="s">
        <v>510</v>
      </c>
      <c r="V364" s="57" t="str">
        <f t="shared" si="950"/>
        <v>&lt; 250k</v>
      </c>
      <c r="Y364" s="311">
        <v>0</v>
      </c>
      <c r="Z364" s="192">
        <f t="shared" si="951"/>
        <v>0</v>
      </c>
      <c r="AA364" t="str">
        <f t="shared" si="952"/>
        <v>-</v>
      </c>
      <c r="AB364" t="str">
        <f t="shared" si="953"/>
        <v>-</v>
      </c>
      <c r="AC364" s="523"/>
      <c r="AD364" s="34">
        <f>C364-GAAP!C457</f>
        <v>5895.77</v>
      </c>
      <c r="AF364" s="64">
        <f t="shared" si="932"/>
        <v>5895.77</v>
      </c>
      <c r="AG364" s="64">
        <f t="shared" si="933"/>
        <v>5895.77</v>
      </c>
      <c r="AH364" s="64">
        <f t="shared" si="934"/>
        <v>0</v>
      </c>
      <c r="AI364" s="217">
        <f t="shared" si="935"/>
        <v>1</v>
      </c>
      <c r="AJ364" s="98">
        <f t="shared" si="936"/>
        <v>0</v>
      </c>
      <c r="AK364" s="98">
        <f t="shared" si="937"/>
        <v>5895.77</v>
      </c>
      <c r="AL364" s="98">
        <f t="shared" si="938"/>
        <v>0</v>
      </c>
      <c r="AM364" s="98">
        <f t="shared" si="939"/>
        <v>0</v>
      </c>
      <c r="AN364" s="98">
        <f t="shared" si="940"/>
        <v>0</v>
      </c>
      <c r="AO364" s="222">
        <f>GAAP!P402</f>
        <v>0</v>
      </c>
      <c r="AP364" s="129">
        <f t="shared" si="941"/>
        <v>0</v>
      </c>
    </row>
    <row r="365" spans="1:42" ht="13.5">
      <c r="A365" s="259">
        <v>56.111899999999999</v>
      </c>
      <c r="B365" s="57" t="s">
        <v>643</v>
      </c>
      <c r="C365" s="163">
        <v>22184.06</v>
      </c>
      <c r="D365" s="216">
        <f t="shared" si="883"/>
        <v>22184.06</v>
      </c>
      <c r="E365" s="149">
        <v>0</v>
      </c>
      <c r="F365" s="149">
        <v>22184.06</v>
      </c>
      <c r="G365" s="217">
        <f t="shared" si="884"/>
        <v>1</v>
      </c>
      <c r="H365" s="149">
        <v>0</v>
      </c>
      <c r="I365" s="214">
        <f t="shared" si="885"/>
        <v>22184.06</v>
      </c>
      <c r="J365" s="149">
        <v>22184.06</v>
      </c>
      <c r="K365" s="214">
        <f t="shared" si="903"/>
        <v>0</v>
      </c>
      <c r="L365" s="214">
        <f t="shared" si="904"/>
        <v>0</v>
      </c>
      <c r="M365" s="214">
        <f t="shared" si="905"/>
        <v>0</v>
      </c>
      <c r="N365" s="222"/>
      <c r="O365" s="222"/>
      <c r="P365" s="222"/>
      <c r="Q365" s="214">
        <f t="shared" si="906"/>
        <v>22184.06</v>
      </c>
      <c r="R365" s="214">
        <f t="shared" si="907"/>
        <v>22184.06</v>
      </c>
      <c r="S365" s="214">
        <f t="shared" si="908"/>
        <v>0</v>
      </c>
      <c r="T365" s="185" t="s">
        <v>510</v>
      </c>
      <c r="U365" s="185" t="s">
        <v>510</v>
      </c>
      <c r="V365" s="57" t="str">
        <f t="shared" si="950"/>
        <v>&lt; 250k</v>
      </c>
      <c r="Y365" s="311">
        <v>0</v>
      </c>
      <c r="Z365" s="192">
        <f t="shared" si="951"/>
        <v>0</v>
      </c>
      <c r="AA365" t="str">
        <f t="shared" si="952"/>
        <v>-</v>
      </c>
      <c r="AB365" t="str">
        <f t="shared" si="953"/>
        <v>-</v>
      </c>
      <c r="AC365" s="523"/>
      <c r="AD365" s="34">
        <f>C365-GAAP!C458</f>
        <v>22184.06</v>
      </c>
      <c r="AF365" s="64">
        <f t="shared" si="932"/>
        <v>22184.06</v>
      </c>
      <c r="AG365" s="64">
        <f t="shared" si="933"/>
        <v>22184.06</v>
      </c>
      <c r="AH365" s="64">
        <f t="shared" si="934"/>
        <v>0</v>
      </c>
      <c r="AI365" s="217">
        <f t="shared" si="935"/>
        <v>1</v>
      </c>
      <c r="AJ365" s="98">
        <f t="shared" si="936"/>
        <v>0</v>
      </c>
      <c r="AK365" s="98">
        <f t="shared" si="937"/>
        <v>22184.06</v>
      </c>
      <c r="AL365" s="98">
        <f t="shared" si="938"/>
        <v>0</v>
      </c>
      <c r="AM365" s="98">
        <f t="shared" si="939"/>
        <v>0</v>
      </c>
      <c r="AN365" s="98">
        <f t="shared" si="940"/>
        <v>0</v>
      </c>
      <c r="AO365" s="222">
        <f>GAAP!P403</f>
        <v>0</v>
      </c>
      <c r="AP365" s="129">
        <f t="shared" si="941"/>
        <v>0</v>
      </c>
    </row>
    <row r="366" spans="1:42" ht="13.5">
      <c r="A366" s="259">
        <v>56.112000000000002</v>
      </c>
      <c r="B366" s="57" t="s">
        <v>644</v>
      </c>
      <c r="C366" s="163">
        <v>1045.6300000000001</v>
      </c>
      <c r="D366" s="216">
        <f t="shared" si="883"/>
        <v>1045.6300000000001</v>
      </c>
      <c r="E366" s="149">
        <v>0</v>
      </c>
      <c r="F366" s="149">
        <v>1045.6300000000001</v>
      </c>
      <c r="G366" s="217">
        <f t="shared" si="884"/>
        <v>1</v>
      </c>
      <c r="H366" s="149">
        <v>0</v>
      </c>
      <c r="I366" s="214">
        <f t="shared" si="885"/>
        <v>1045.6300000000001</v>
      </c>
      <c r="J366" s="149">
        <v>1045.6300000000001</v>
      </c>
      <c r="K366" s="214">
        <f t="shared" si="903"/>
        <v>0</v>
      </c>
      <c r="L366" s="214">
        <f t="shared" si="904"/>
        <v>0</v>
      </c>
      <c r="M366" s="214">
        <f t="shared" si="905"/>
        <v>0</v>
      </c>
      <c r="N366" s="222"/>
      <c r="O366" s="222"/>
      <c r="P366" s="222"/>
      <c r="Q366" s="214">
        <f t="shared" si="906"/>
        <v>1045.6300000000001</v>
      </c>
      <c r="R366" s="214">
        <f t="shared" si="907"/>
        <v>1045.6300000000001</v>
      </c>
      <c r="S366" s="214">
        <f t="shared" si="908"/>
        <v>0</v>
      </c>
      <c r="T366" s="185" t="s">
        <v>510</v>
      </c>
      <c r="U366" s="185" t="s">
        <v>510</v>
      </c>
      <c r="V366" s="57" t="str">
        <f t="shared" si="950"/>
        <v>&lt; 250k</v>
      </c>
      <c r="Y366" s="311">
        <v>0</v>
      </c>
      <c r="Z366" s="192">
        <f t="shared" si="951"/>
        <v>0</v>
      </c>
      <c r="AA366" t="str">
        <f t="shared" si="952"/>
        <v>-</v>
      </c>
      <c r="AB366" t="str">
        <f t="shared" si="953"/>
        <v>-</v>
      </c>
      <c r="AC366" s="523"/>
      <c r="AD366" s="34"/>
      <c r="AF366" s="64"/>
      <c r="AG366" s="64"/>
      <c r="AH366" s="64"/>
      <c r="AI366" s="217"/>
      <c r="AJ366" s="98"/>
      <c r="AK366" s="98"/>
      <c r="AL366" s="98"/>
      <c r="AM366" s="98"/>
      <c r="AN366" s="98"/>
      <c r="AO366" s="222"/>
      <c r="AP366" s="129"/>
    </row>
    <row r="367" spans="1:42" ht="13.5">
      <c r="A367" s="259">
        <v>56.112099999999998</v>
      </c>
      <c r="B367" s="57" t="s">
        <v>645</v>
      </c>
      <c r="C367" s="163">
        <v>22824.38</v>
      </c>
      <c r="D367" s="216">
        <f t="shared" si="883"/>
        <v>22824.38</v>
      </c>
      <c r="E367" s="149">
        <v>0</v>
      </c>
      <c r="F367" s="149">
        <v>22824.38</v>
      </c>
      <c r="G367" s="217">
        <f t="shared" si="884"/>
        <v>1</v>
      </c>
      <c r="H367" s="149">
        <v>0</v>
      </c>
      <c r="I367" s="214">
        <f t="shared" si="885"/>
        <v>22824.38</v>
      </c>
      <c r="J367" s="149">
        <v>22824.38</v>
      </c>
      <c r="K367" s="214">
        <f t="shared" si="903"/>
        <v>0</v>
      </c>
      <c r="L367" s="214">
        <f t="shared" si="904"/>
        <v>0</v>
      </c>
      <c r="M367" s="214">
        <f t="shared" si="905"/>
        <v>0</v>
      </c>
      <c r="N367" s="222"/>
      <c r="O367" s="222"/>
      <c r="P367" s="222"/>
      <c r="Q367" s="214">
        <f t="shared" si="906"/>
        <v>22824.38</v>
      </c>
      <c r="R367" s="214">
        <f t="shared" si="907"/>
        <v>22824.38</v>
      </c>
      <c r="S367" s="214">
        <f t="shared" si="908"/>
        <v>0</v>
      </c>
      <c r="T367" s="185" t="s">
        <v>510</v>
      </c>
      <c r="U367" s="185" t="s">
        <v>510</v>
      </c>
      <c r="V367" s="57" t="str">
        <f t="shared" si="950"/>
        <v>&lt; 250k</v>
      </c>
      <c r="Y367" s="311">
        <v>0</v>
      </c>
      <c r="Z367" s="192">
        <f t="shared" si="951"/>
        <v>0</v>
      </c>
      <c r="AA367" t="str">
        <f t="shared" si="952"/>
        <v>-</v>
      </c>
      <c r="AB367" t="str">
        <f t="shared" si="953"/>
        <v>-</v>
      </c>
      <c r="AC367" s="523"/>
      <c r="AD367" s="34"/>
      <c r="AF367" s="64"/>
      <c r="AG367" s="64"/>
      <c r="AH367" s="64"/>
      <c r="AI367" s="217"/>
      <c r="AJ367" s="98"/>
      <c r="AK367" s="98"/>
      <c r="AL367" s="98"/>
      <c r="AM367" s="98"/>
      <c r="AN367" s="98"/>
      <c r="AO367" s="222"/>
      <c r="AP367" s="129"/>
    </row>
    <row r="368" spans="1:42" ht="13.5">
      <c r="A368" s="259">
        <v>56.112200000000001</v>
      </c>
      <c r="B368" s="57" t="s">
        <v>646</v>
      </c>
      <c r="C368" s="163">
        <v>6289.38</v>
      </c>
      <c r="D368" s="216">
        <f t="shared" si="883"/>
        <v>6289.38</v>
      </c>
      <c r="E368" s="149">
        <v>0</v>
      </c>
      <c r="F368" s="149">
        <v>6289.38</v>
      </c>
      <c r="G368" s="217">
        <f t="shared" si="884"/>
        <v>1</v>
      </c>
      <c r="H368" s="149">
        <v>0</v>
      </c>
      <c r="I368" s="214">
        <f t="shared" si="885"/>
        <v>6289.38</v>
      </c>
      <c r="J368" s="149">
        <v>6289.38</v>
      </c>
      <c r="K368" s="214">
        <f t="shared" si="903"/>
        <v>0</v>
      </c>
      <c r="L368" s="214">
        <f t="shared" si="904"/>
        <v>0</v>
      </c>
      <c r="M368" s="214">
        <f t="shared" si="905"/>
        <v>0</v>
      </c>
      <c r="N368" s="222"/>
      <c r="O368" s="222"/>
      <c r="P368" s="222"/>
      <c r="Q368" s="214">
        <f t="shared" si="906"/>
        <v>6289.38</v>
      </c>
      <c r="R368" s="214">
        <f t="shared" si="907"/>
        <v>6289.38</v>
      </c>
      <c r="S368" s="214">
        <f t="shared" si="908"/>
        <v>0</v>
      </c>
      <c r="T368" s="185" t="s">
        <v>510</v>
      </c>
      <c r="U368" s="185" t="s">
        <v>510</v>
      </c>
      <c r="V368" s="57" t="str">
        <f t="shared" si="950"/>
        <v>&lt; 250k</v>
      </c>
      <c r="Y368" s="311">
        <v>0</v>
      </c>
      <c r="Z368" s="192">
        <f t="shared" si="951"/>
        <v>0</v>
      </c>
      <c r="AA368" t="str">
        <f t="shared" si="952"/>
        <v>-</v>
      </c>
      <c r="AB368" t="str">
        <f t="shared" si="953"/>
        <v>-</v>
      </c>
      <c r="AC368" s="523"/>
      <c r="AD368" s="34"/>
      <c r="AF368" s="64"/>
      <c r="AG368" s="64"/>
      <c r="AH368" s="64"/>
      <c r="AI368" s="217"/>
      <c r="AJ368" s="98"/>
      <c r="AK368" s="98"/>
      <c r="AL368" s="98"/>
      <c r="AM368" s="98"/>
      <c r="AN368" s="98"/>
      <c r="AO368" s="222"/>
      <c r="AP368" s="129"/>
    </row>
    <row r="369" spans="1:44" ht="13.5">
      <c r="A369" s="259">
        <v>56.112299999999998</v>
      </c>
      <c r="B369" s="57" t="s">
        <v>647</v>
      </c>
      <c r="C369" s="163">
        <v>3772.82</v>
      </c>
      <c r="D369" s="216">
        <f t="shared" si="883"/>
        <v>3772.82</v>
      </c>
      <c r="E369" s="149">
        <v>0</v>
      </c>
      <c r="F369" s="149">
        <v>3772.82</v>
      </c>
      <c r="G369" s="217">
        <f t="shared" si="884"/>
        <v>1</v>
      </c>
      <c r="H369" s="149">
        <v>0</v>
      </c>
      <c r="I369" s="214">
        <f t="shared" si="885"/>
        <v>3772.82</v>
      </c>
      <c r="J369" s="149">
        <v>3772.82</v>
      </c>
      <c r="K369" s="214">
        <f t="shared" si="903"/>
        <v>0</v>
      </c>
      <c r="L369" s="214">
        <f t="shared" si="904"/>
        <v>0</v>
      </c>
      <c r="M369" s="214">
        <f t="shared" si="905"/>
        <v>0</v>
      </c>
      <c r="N369" s="222"/>
      <c r="O369" s="222"/>
      <c r="P369" s="222"/>
      <c r="Q369" s="214">
        <f t="shared" si="906"/>
        <v>3772.82</v>
      </c>
      <c r="R369" s="214">
        <f t="shared" si="907"/>
        <v>3772.82</v>
      </c>
      <c r="S369" s="214">
        <f t="shared" si="908"/>
        <v>0</v>
      </c>
      <c r="T369" s="185" t="s">
        <v>510</v>
      </c>
      <c r="U369" s="185" t="s">
        <v>510</v>
      </c>
      <c r="V369" s="57" t="str">
        <f t="shared" si="950"/>
        <v>&lt; 250k</v>
      </c>
      <c r="Y369" s="311">
        <v>0</v>
      </c>
      <c r="Z369" s="192">
        <f t="shared" si="951"/>
        <v>0</v>
      </c>
      <c r="AA369" t="str">
        <f t="shared" si="952"/>
        <v>-</v>
      </c>
      <c r="AB369" t="str">
        <f t="shared" si="953"/>
        <v>-</v>
      </c>
      <c r="AC369" s="523"/>
      <c r="AD369" s="34"/>
      <c r="AF369" s="64"/>
      <c r="AG369" s="64"/>
      <c r="AH369" s="64"/>
      <c r="AI369" s="217"/>
      <c r="AJ369" s="98"/>
      <c r="AK369" s="98"/>
      <c r="AL369" s="98"/>
      <c r="AM369" s="98"/>
      <c r="AN369" s="98"/>
      <c r="AO369" s="222"/>
      <c r="AP369" s="129"/>
    </row>
    <row r="370" spans="1:44" ht="13.5">
      <c r="A370" s="259">
        <v>56.112400000000001</v>
      </c>
      <c r="B370" s="57" t="s">
        <v>648</v>
      </c>
      <c r="C370" s="163">
        <v>28950</v>
      </c>
      <c r="D370" s="216">
        <f t="shared" si="883"/>
        <v>28950</v>
      </c>
      <c r="E370" s="149">
        <v>0</v>
      </c>
      <c r="F370" s="149">
        <v>28950</v>
      </c>
      <c r="G370" s="217">
        <f t="shared" si="884"/>
        <v>1</v>
      </c>
      <c r="H370" s="149">
        <v>0</v>
      </c>
      <c r="I370" s="214">
        <f t="shared" si="885"/>
        <v>28950</v>
      </c>
      <c r="J370" s="149">
        <v>28950</v>
      </c>
      <c r="K370" s="214">
        <f t="shared" si="903"/>
        <v>0</v>
      </c>
      <c r="L370" s="214">
        <f t="shared" si="904"/>
        <v>0</v>
      </c>
      <c r="M370" s="214">
        <f t="shared" si="905"/>
        <v>0</v>
      </c>
      <c r="N370" s="222"/>
      <c r="O370" s="222"/>
      <c r="P370" s="222"/>
      <c r="Q370" s="214">
        <f t="shared" si="906"/>
        <v>28950</v>
      </c>
      <c r="R370" s="214">
        <f t="shared" si="907"/>
        <v>28950</v>
      </c>
      <c r="S370" s="214">
        <f t="shared" si="908"/>
        <v>0</v>
      </c>
      <c r="T370" s="185" t="s">
        <v>510</v>
      </c>
      <c r="U370" s="185" t="s">
        <v>510</v>
      </c>
      <c r="V370" s="57" t="str">
        <f t="shared" si="950"/>
        <v>&lt; 250k</v>
      </c>
      <c r="Y370" s="311">
        <v>0</v>
      </c>
      <c r="Z370" s="192">
        <f t="shared" si="951"/>
        <v>0</v>
      </c>
      <c r="AA370" t="str">
        <f t="shared" si="952"/>
        <v>-</v>
      </c>
      <c r="AB370" t="str">
        <f t="shared" si="953"/>
        <v>-</v>
      </c>
      <c r="AC370" s="523"/>
      <c r="AD370" s="34"/>
      <c r="AF370" s="64"/>
      <c r="AG370" s="64"/>
      <c r="AH370" s="64"/>
      <c r="AI370" s="217"/>
      <c r="AJ370" s="98"/>
      <c r="AK370" s="98"/>
      <c r="AL370" s="98"/>
      <c r="AM370" s="98"/>
      <c r="AN370" s="98"/>
      <c r="AO370" s="222"/>
      <c r="AP370" s="129"/>
    </row>
    <row r="371" spans="1:44" ht="13.5">
      <c r="A371" s="259">
        <v>56.112499999999997</v>
      </c>
      <c r="B371" s="57" t="s">
        <v>649</v>
      </c>
      <c r="C371" s="163">
        <v>14229.38</v>
      </c>
      <c r="D371" s="216">
        <f t="shared" si="883"/>
        <v>14229.38</v>
      </c>
      <c r="E371" s="149">
        <v>0</v>
      </c>
      <c r="F371" s="149">
        <v>14229.38</v>
      </c>
      <c r="G371" s="217">
        <f t="shared" si="884"/>
        <v>1</v>
      </c>
      <c r="H371" s="149">
        <v>0</v>
      </c>
      <c r="I371" s="214">
        <f t="shared" si="885"/>
        <v>14229.38</v>
      </c>
      <c r="J371" s="149">
        <v>14229.38</v>
      </c>
      <c r="K371" s="214">
        <f t="shared" si="903"/>
        <v>0</v>
      </c>
      <c r="L371" s="214">
        <f t="shared" si="904"/>
        <v>0</v>
      </c>
      <c r="M371" s="214">
        <f t="shared" si="905"/>
        <v>0</v>
      </c>
      <c r="N371" s="222"/>
      <c r="O371" s="222"/>
      <c r="P371" s="222"/>
      <c r="Q371" s="214">
        <f t="shared" si="906"/>
        <v>14229.38</v>
      </c>
      <c r="R371" s="214">
        <f t="shared" si="907"/>
        <v>14229.38</v>
      </c>
      <c r="S371" s="214">
        <f t="shared" si="908"/>
        <v>0</v>
      </c>
      <c r="T371" s="185" t="s">
        <v>510</v>
      </c>
      <c r="U371" s="185" t="s">
        <v>510</v>
      </c>
      <c r="V371" s="57" t="str">
        <f t="shared" si="950"/>
        <v>&lt; 250k</v>
      </c>
      <c r="Y371" s="311">
        <v>0</v>
      </c>
      <c r="Z371" s="192">
        <f t="shared" si="951"/>
        <v>0</v>
      </c>
      <c r="AA371" t="str">
        <f t="shared" si="952"/>
        <v>-</v>
      </c>
      <c r="AB371" t="str">
        <f t="shared" si="953"/>
        <v>-</v>
      </c>
      <c r="AC371" s="523"/>
      <c r="AD371" s="34"/>
      <c r="AF371" s="64"/>
      <c r="AG371" s="64"/>
      <c r="AH371" s="64"/>
      <c r="AI371" s="217"/>
      <c r="AJ371" s="98"/>
      <c r="AK371" s="98"/>
      <c r="AL371" s="98"/>
      <c r="AM371" s="98"/>
      <c r="AN371" s="98"/>
      <c r="AO371" s="222"/>
      <c r="AP371" s="129"/>
    </row>
    <row r="372" spans="1:44" ht="13.5">
      <c r="A372" s="259">
        <v>56.1126</v>
      </c>
      <c r="B372" s="57" t="s">
        <v>650</v>
      </c>
      <c r="C372" s="163">
        <v>9526.8799999999992</v>
      </c>
      <c r="D372" s="216">
        <f t="shared" si="883"/>
        <v>9526.8799999999992</v>
      </c>
      <c r="E372" s="149">
        <v>0</v>
      </c>
      <c r="F372" s="149">
        <v>9526.8799999999992</v>
      </c>
      <c r="G372" s="217">
        <f t="shared" si="884"/>
        <v>1</v>
      </c>
      <c r="H372" s="149">
        <v>0</v>
      </c>
      <c r="I372" s="214">
        <f t="shared" si="885"/>
        <v>9526.8799999999992</v>
      </c>
      <c r="J372" s="149">
        <v>9526.8799999999992</v>
      </c>
      <c r="K372" s="214">
        <f t="shared" si="903"/>
        <v>0</v>
      </c>
      <c r="L372" s="214">
        <f t="shared" si="904"/>
        <v>0</v>
      </c>
      <c r="M372" s="214">
        <f t="shared" si="905"/>
        <v>0</v>
      </c>
      <c r="N372" s="222"/>
      <c r="O372" s="222"/>
      <c r="P372" s="222"/>
      <c r="Q372" s="214">
        <f t="shared" si="906"/>
        <v>9526.8799999999992</v>
      </c>
      <c r="R372" s="214">
        <f t="shared" si="907"/>
        <v>9526.8799999999992</v>
      </c>
      <c r="S372" s="214">
        <f t="shared" si="908"/>
        <v>0</v>
      </c>
      <c r="T372" s="185" t="s">
        <v>510</v>
      </c>
      <c r="U372" s="185" t="s">
        <v>510</v>
      </c>
      <c r="V372" s="57" t="str">
        <f t="shared" si="950"/>
        <v>&lt; 250k</v>
      </c>
      <c r="Y372" s="311">
        <v>0</v>
      </c>
      <c r="Z372" s="192">
        <f t="shared" si="951"/>
        <v>0</v>
      </c>
      <c r="AA372" t="str">
        <f t="shared" si="952"/>
        <v>-</v>
      </c>
      <c r="AB372" t="str">
        <f t="shared" si="953"/>
        <v>-</v>
      </c>
      <c r="AC372" s="523"/>
      <c r="AD372" s="34"/>
      <c r="AF372" s="64"/>
      <c r="AG372" s="64"/>
      <c r="AH372" s="64"/>
      <c r="AI372" s="217"/>
      <c r="AJ372" s="98"/>
      <c r="AK372" s="98"/>
      <c r="AL372" s="98"/>
      <c r="AM372" s="98"/>
      <c r="AN372" s="98"/>
      <c r="AO372" s="222"/>
      <c r="AP372" s="129"/>
    </row>
    <row r="373" spans="1:44" ht="13.5">
      <c r="A373" s="259">
        <v>56.112699999999997</v>
      </c>
      <c r="B373" s="57" t="s">
        <v>651</v>
      </c>
      <c r="C373" s="163">
        <v>6519.07</v>
      </c>
      <c r="D373" s="216">
        <f t="shared" si="883"/>
        <v>6519.07</v>
      </c>
      <c r="E373" s="149">
        <v>0</v>
      </c>
      <c r="F373" s="149">
        <v>6519.07</v>
      </c>
      <c r="G373" s="217">
        <f t="shared" si="884"/>
        <v>1</v>
      </c>
      <c r="H373" s="149">
        <v>0</v>
      </c>
      <c r="I373" s="214">
        <f t="shared" si="885"/>
        <v>6519.07</v>
      </c>
      <c r="J373" s="149">
        <v>6519.07</v>
      </c>
      <c r="K373" s="214">
        <f t="shared" si="903"/>
        <v>0</v>
      </c>
      <c r="L373" s="214">
        <f t="shared" si="904"/>
        <v>0</v>
      </c>
      <c r="M373" s="214">
        <f t="shared" si="905"/>
        <v>0</v>
      </c>
      <c r="N373" s="222"/>
      <c r="O373" s="222"/>
      <c r="P373" s="222"/>
      <c r="Q373" s="214">
        <f t="shared" si="906"/>
        <v>6519.07</v>
      </c>
      <c r="R373" s="214">
        <f t="shared" si="907"/>
        <v>6519.07</v>
      </c>
      <c r="S373" s="214">
        <f t="shared" si="908"/>
        <v>0</v>
      </c>
      <c r="T373" s="185" t="s">
        <v>510</v>
      </c>
      <c r="U373" s="185" t="s">
        <v>510</v>
      </c>
      <c r="V373" s="57" t="str">
        <f t="shared" si="950"/>
        <v>&lt; 250k</v>
      </c>
      <c r="Y373" s="311">
        <v>0</v>
      </c>
      <c r="Z373" s="192">
        <f t="shared" si="951"/>
        <v>0</v>
      </c>
      <c r="AA373" t="str">
        <f t="shared" si="952"/>
        <v>-</v>
      </c>
      <c r="AB373" t="str">
        <f t="shared" si="953"/>
        <v>-</v>
      </c>
      <c r="AC373" s="523"/>
      <c r="AD373" s="34"/>
      <c r="AF373" s="64"/>
      <c r="AG373" s="64"/>
      <c r="AH373" s="64"/>
      <c r="AI373" s="217"/>
      <c r="AJ373" s="98"/>
      <c r="AK373" s="98"/>
      <c r="AL373" s="98"/>
      <c r="AM373" s="98"/>
      <c r="AN373" s="98"/>
      <c r="AO373" s="222"/>
      <c r="AP373" s="129"/>
    </row>
    <row r="374" spans="1:44" ht="13.5">
      <c r="A374" s="259">
        <v>56.1128</v>
      </c>
      <c r="B374" s="57" t="s">
        <v>652</v>
      </c>
      <c r="C374" s="163">
        <v>4793.13</v>
      </c>
      <c r="D374" s="216">
        <f t="shared" si="883"/>
        <v>4793.13</v>
      </c>
      <c r="E374" s="149">
        <v>0</v>
      </c>
      <c r="F374" s="149">
        <v>4793.13</v>
      </c>
      <c r="G374" s="217">
        <f t="shared" si="884"/>
        <v>1</v>
      </c>
      <c r="H374" s="149">
        <v>0</v>
      </c>
      <c r="I374" s="214">
        <f t="shared" si="885"/>
        <v>4793.13</v>
      </c>
      <c r="J374" s="149">
        <v>4793.13</v>
      </c>
      <c r="K374" s="214">
        <f t="shared" si="903"/>
        <v>0</v>
      </c>
      <c r="L374" s="214">
        <f t="shared" si="904"/>
        <v>0</v>
      </c>
      <c r="M374" s="214">
        <f t="shared" si="905"/>
        <v>0</v>
      </c>
      <c r="N374" s="222"/>
      <c r="O374" s="222"/>
      <c r="P374" s="222"/>
      <c r="Q374" s="214">
        <f t="shared" si="906"/>
        <v>4793.13</v>
      </c>
      <c r="R374" s="214">
        <f t="shared" si="907"/>
        <v>4793.13</v>
      </c>
      <c r="S374" s="214">
        <f t="shared" si="908"/>
        <v>0</v>
      </c>
      <c r="T374" s="185" t="s">
        <v>510</v>
      </c>
      <c r="U374" s="185" t="s">
        <v>510</v>
      </c>
      <c r="V374" s="57" t="str">
        <f t="shared" si="950"/>
        <v>&lt; 250k</v>
      </c>
      <c r="Y374" s="311">
        <v>0</v>
      </c>
      <c r="Z374" s="192">
        <f t="shared" si="951"/>
        <v>0</v>
      </c>
      <c r="AA374" t="str">
        <f t="shared" si="952"/>
        <v>-</v>
      </c>
      <c r="AB374" t="str">
        <f t="shared" si="953"/>
        <v>-</v>
      </c>
      <c r="AC374" s="523"/>
      <c r="AD374" s="34"/>
      <c r="AF374" s="64"/>
      <c r="AG374" s="64"/>
      <c r="AH374" s="64"/>
      <c r="AI374" s="217"/>
      <c r="AJ374" s="98"/>
      <c r="AK374" s="98"/>
      <c r="AL374" s="98"/>
      <c r="AM374" s="98"/>
      <c r="AN374" s="98"/>
      <c r="AO374" s="222"/>
      <c r="AP374" s="129"/>
    </row>
    <row r="375" spans="1:44" ht="13.5">
      <c r="A375" s="259">
        <v>56.112900000000003</v>
      </c>
      <c r="B375" s="57" t="s">
        <v>653</v>
      </c>
      <c r="C375" s="163">
        <v>133.75</v>
      </c>
      <c r="D375" s="216">
        <f t="shared" si="883"/>
        <v>133.75</v>
      </c>
      <c r="E375" s="149">
        <v>0</v>
      </c>
      <c r="F375" s="149">
        <v>133.75</v>
      </c>
      <c r="G375" s="217">
        <f t="shared" si="884"/>
        <v>1</v>
      </c>
      <c r="H375" s="149">
        <v>0</v>
      </c>
      <c r="I375" s="214">
        <f t="shared" si="885"/>
        <v>133.75</v>
      </c>
      <c r="J375" s="149">
        <v>133.75</v>
      </c>
      <c r="K375" s="214">
        <f t="shared" si="903"/>
        <v>0</v>
      </c>
      <c r="L375" s="214">
        <f t="shared" si="904"/>
        <v>0</v>
      </c>
      <c r="M375" s="214">
        <f t="shared" si="905"/>
        <v>0</v>
      </c>
      <c r="N375" s="222"/>
      <c r="O375" s="222"/>
      <c r="P375" s="222"/>
      <c r="Q375" s="214">
        <f t="shared" si="906"/>
        <v>133.75</v>
      </c>
      <c r="R375" s="214">
        <f t="shared" si="907"/>
        <v>133.75</v>
      </c>
      <c r="S375" s="214">
        <f t="shared" si="908"/>
        <v>0</v>
      </c>
      <c r="T375" s="185" t="s">
        <v>510</v>
      </c>
      <c r="U375" s="185" t="s">
        <v>510</v>
      </c>
      <c r="V375" s="57" t="str">
        <f t="shared" si="950"/>
        <v>&lt; 250k</v>
      </c>
      <c r="Y375" s="311">
        <v>0</v>
      </c>
      <c r="Z375" s="192">
        <f t="shared" si="951"/>
        <v>0</v>
      </c>
      <c r="AA375" t="str">
        <f t="shared" si="952"/>
        <v>-</v>
      </c>
      <c r="AB375" t="str">
        <f t="shared" si="953"/>
        <v>-</v>
      </c>
      <c r="AC375" s="523"/>
      <c r="AD375" s="34"/>
      <c r="AF375" s="64"/>
      <c r="AG375" s="64"/>
      <c r="AH375" s="64"/>
      <c r="AI375" s="217"/>
      <c r="AJ375" s="98"/>
      <c r="AK375" s="98"/>
      <c r="AL375" s="98"/>
      <c r="AM375" s="98"/>
      <c r="AN375" s="98"/>
      <c r="AO375" s="222"/>
      <c r="AP375" s="129"/>
    </row>
    <row r="376" spans="1:44" ht="13.5">
      <c r="A376" s="259">
        <v>56.113</v>
      </c>
      <c r="B376" s="57" t="s">
        <v>589</v>
      </c>
      <c r="C376" s="163"/>
      <c r="D376" s="216">
        <f t="shared" si="883"/>
        <v>267.5</v>
      </c>
      <c r="E376" s="149">
        <v>-267.5</v>
      </c>
      <c r="F376" s="149">
        <v>267.5</v>
      </c>
      <c r="G376" s="217">
        <f t="shared" si="884"/>
        <v>1</v>
      </c>
      <c r="H376" s="149">
        <v>-267.5</v>
      </c>
      <c r="I376" s="214">
        <f t="shared" si="885"/>
        <v>0</v>
      </c>
      <c r="J376" s="149">
        <v>0</v>
      </c>
      <c r="K376" s="214">
        <f t="shared" si="903"/>
        <v>0</v>
      </c>
      <c r="L376" s="214">
        <f t="shared" si="904"/>
        <v>0</v>
      </c>
      <c r="M376" s="214">
        <f t="shared" si="905"/>
        <v>0</v>
      </c>
      <c r="N376" s="222"/>
      <c r="O376" s="222"/>
      <c r="P376" s="222"/>
      <c r="Q376" s="214">
        <f t="shared" si="906"/>
        <v>267.5</v>
      </c>
      <c r="R376" s="214">
        <f t="shared" si="907"/>
        <v>0</v>
      </c>
      <c r="S376" s="214">
        <f t="shared" si="908"/>
        <v>-267.5</v>
      </c>
      <c r="T376" s="185" t="s">
        <v>510</v>
      </c>
      <c r="U376" s="185" t="s">
        <v>510</v>
      </c>
      <c r="V376" s="57" t="s">
        <v>511</v>
      </c>
      <c r="Y376" s="311">
        <v>-267.5</v>
      </c>
      <c r="Z376" s="192">
        <f t="shared" si="951"/>
        <v>0</v>
      </c>
      <c r="AA376" t="str">
        <f t="shared" si="952"/>
        <v>-</v>
      </c>
      <c r="AB376" t="str">
        <f t="shared" si="953"/>
        <v>-</v>
      </c>
      <c r="AC376" s="523"/>
      <c r="AD376" s="34"/>
      <c r="AF376" s="64"/>
      <c r="AG376" s="64"/>
      <c r="AH376" s="64"/>
      <c r="AI376" s="217"/>
      <c r="AJ376" s="98"/>
      <c r="AK376" s="98"/>
      <c r="AL376" s="98"/>
      <c r="AM376" s="98"/>
      <c r="AN376" s="98"/>
      <c r="AO376" s="222"/>
      <c r="AP376" s="129"/>
    </row>
    <row r="377" spans="1:44" ht="13.5">
      <c r="A377" s="259">
        <v>56.113100000000003</v>
      </c>
      <c r="B377" s="57" t="s">
        <v>654</v>
      </c>
      <c r="C377" s="163">
        <v>2388.75</v>
      </c>
      <c r="D377" s="216">
        <f t="shared" si="883"/>
        <v>2388.75</v>
      </c>
      <c r="E377" s="149">
        <v>0</v>
      </c>
      <c r="F377" s="149">
        <v>2388.75</v>
      </c>
      <c r="G377" s="217">
        <f t="shared" si="884"/>
        <v>1</v>
      </c>
      <c r="H377" s="149">
        <v>0</v>
      </c>
      <c r="I377" s="214">
        <f t="shared" si="885"/>
        <v>2388.75</v>
      </c>
      <c r="J377" s="149">
        <v>2388.75</v>
      </c>
      <c r="K377" s="214">
        <f t="shared" si="903"/>
        <v>0</v>
      </c>
      <c r="L377" s="214">
        <f t="shared" si="904"/>
        <v>0</v>
      </c>
      <c r="M377" s="214">
        <f t="shared" si="905"/>
        <v>0</v>
      </c>
      <c r="N377" s="222"/>
      <c r="O377" s="222"/>
      <c r="P377" s="222"/>
      <c r="Q377" s="214">
        <f t="shared" si="906"/>
        <v>2388.75</v>
      </c>
      <c r="R377" s="214">
        <f t="shared" si="907"/>
        <v>2388.75</v>
      </c>
      <c r="S377" s="214">
        <f t="shared" si="908"/>
        <v>0</v>
      </c>
      <c r="T377" s="185" t="s">
        <v>510</v>
      </c>
      <c r="U377" s="185" t="s">
        <v>510</v>
      </c>
      <c r="V377" s="57" t="str">
        <f t="shared" si="950"/>
        <v>&lt; 250k</v>
      </c>
      <c r="Y377" s="311">
        <v>0</v>
      </c>
      <c r="Z377" s="192">
        <f t="shared" si="951"/>
        <v>0</v>
      </c>
      <c r="AA377" t="str">
        <f t="shared" si="952"/>
        <v>-</v>
      </c>
      <c r="AB377" t="str">
        <f t="shared" si="953"/>
        <v>-</v>
      </c>
      <c r="AC377" s="523"/>
      <c r="AD377" s="34"/>
      <c r="AF377" s="64"/>
      <c r="AG377" s="64"/>
      <c r="AH377" s="64"/>
      <c r="AI377" s="217"/>
      <c r="AJ377" s="98"/>
      <c r="AK377" s="98"/>
      <c r="AL377" s="98"/>
      <c r="AM377" s="98"/>
      <c r="AN377" s="98"/>
      <c r="AO377" s="222"/>
      <c r="AP377" s="129"/>
    </row>
    <row r="378" spans="1:44" ht="13.5">
      <c r="A378" s="259">
        <v>56.113199999999999</v>
      </c>
      <c r="B378" s="57" t="s">
        <v>655</v>
      </c>
      <c r="C378" s="163">
        <v>585</v>
      </c>
      <c r="D378" s="216">
        <f t="shared" si="883"/>
        <v>585</v>
      </c>
      <c r="E378" s="149">
        <v>0</v>
      </c>
      <c r="F378" s="149">
        <v>585</v>
      </c>
      <c r="G378" s="217">
        <f t="shared" si="884"/>
        <v>1</v>
      </c>
      <c r="H378" s="149">
        <v>0</v>
      </c>
      <c r="I378" s="214">
        <f t="shared" si="885"/>
        <v>585</v>
      </c>
      <c r="J378" s="149">
        <v>585</v>
      </c>
      <c r="K378" s="214">
        <f t="shared" si="903"/>
        <v>0</v>
      </c>
      <c r="L378" s="214">
        <f t="shared" si="904"/>
        <v>0</v>
      </c>
      <c r="M378" s="214">
        <f t="shared" si="905"/>
        <v>0</v>
      </c>
      <c r="N378" s="222"/>
      <c r="O378" s="222"/>
      <c r="P378" s="222"/>
      <c r="Q378" s="214">
        <f t="shared" si="906"/>
        <v>585</v>
      </c>
      <c r="R378" s="214">
        <f t="shared" si="907"/>
        <v>585</v>
      </c>
      <c r="S378" s="214">
        <f t="shared" si="908"/>
        <v>0</v>
      </c>
      <c r="T378" s="185" t="s">
        <v>510</v>
      </c>
      <c r="U378" s="185" t="s">
        <v>510</v>
      </c>
      <c r="V378" s="57" t="str">
        <f t="shared" si="950"/>
        <v>&lt; 250k</v>
      </c>
      <c r="Y378" s="311">
        <v>0</v>
      </c>
      <c r="Z378" s="192">
        <f t="shared" si="951"/>
        <v>0</v>
      </c>
      <c r="AA378" t="str">
        <f t="shared" si="952"/>
        <v>-</v>
      </c>
      <c r="AB378" t="str">
        <f t="shared" si="953"/>
        <v>-</v>
      </c>
      <c r="AC378" s="523"/>
      <c r="AD378" s="34"/>
      <c r="AF378" s="64"/>
      <c r="AG378" s="64"/>
      <c r="AH378" s="64"/>
      <c r="AI378" s="217"/>
      <c r="AJ378" s="98"/>
      <c r="AK378" s="98"/>
      <c r="AL378" s="98"/>
      <c r="AM378" s="98"/>
      <c r="AN378" s="98"/>
      <c r="AO378" s="222"/>
      <c r="AP378" s="129"/>
    </row>
    <row r="379" spans="1:44" ht="13.5">
      <c r="A379" s="259">
        <v>56.113300000000002</v>
      </c>
      <c r="B379" s="57" t="s">
        <v>656</v>
      </c>
      <c r="C379" s="163">
        <v>2827.5</v>
      </c>
      <c r="D379" s="216">
        <f t="shared" si="883"/>
        <v>2827.5</v>
      </c>
      <c r="E379" s="149">
        <v>0</v>
      </c>
      <c r="F379" s="149">
        <v>2827.5</v>
      </c>
      <c r="G379" s="217">
        <f t="shared" si="884"/>
        <v>1</v>
      </c>
      <c r="H379" s="149">
        <v>0</v>
      </c>
      <c r="I379" s="214">
        <f t="shared" si="885"/>
        <v>2827.5</v>
      </c>
      <c r="J379" s="149">
        <v>2827.5</v>
      </c>
      <c r="K379" s="214">
        <f t="shared" si="903"/>
        <v>0</v>
      </c>
      <c r="L379" s="214">
        <f t="shared" si="904"/>
        <v>0</v>
      </c>
      <c r="M379" s="214">
        <f t="shared" si="905"/>
        <v>0</v>
      </c>
      <c r="N379" s="222"/>
      <c r="O379" s="222"/>
      <c r="P379" s="222"/>
      <c r="Q379" s="214">
        <f t="shared" si="906"/>
        <v>2827.5</v>
      </c>
      <c r="R379" s="214">
        <f t="shared" si="907"/>
        <v>2827.5</v>
      </c>
      <c r="S379" s="214">
        <f t="shared" si="908"/>
        <v>0</v>
      </c>
      <c r="T379" s="185" t="s">
        <v>510</v>
      </c>
      <c r="U379" s="185" t="s">
        <v>510</v>
      </c>
      <c r="V379" s="57" t="str">
        <f t="shared" si="950"/>
        <v>&lt; 250k</v>
      </c>
      <c r="Y379" s="311">
        <v>0</v>
      </c>
      <c r="Z379" s="192">
        <f t="shared" si="951"/>
        <v>0</v>
      </c>
      <c r="AA379" t="str">
        <f t="shared" si="952"/>
        <v>-</v>
      </c>
      <c r="AB379" t="str">
        <f t="shared" si="953"/>
        <v>-</v>
      </c>
      <c r="AC379" s="523"/>
      <c r="AD379" s="34"/>
      <c r="AF379" s="64"/>
      <c r="AG379" s="64"/>
      <c r="AH379" s="64"/>
      <c r="AI379" s="217"/>
      <c r="AJ379" s="98"/>
      <c r="AK379" s="98"/>
      <c r="AL379" s="98"/>
      <c r="AM379" s="98"/>
      <c r="AN379" s="98"/>
      <c r="AO379" s="222"/>
      <c r="AP379" s="129"/>
    </row>
    <row r="380" spans="1:44" ht="13.5">
      <c r="A380" s="259">
        <v>56.113399999999999</v>
      </c>
      <c r="B380" s="57" t="s">
        <v>657</v>
      </c>
      <c r="C380" s="163">
        <v>965.51</v>
      </c>
      <c r="D380" s="216">
        <f t="shared" si="883"/>
        <v>965.51</v>
      </c>
      <c r="E380" s="149">
        <v>0</v>
      </c>
      <c r="F380" s="149">
        <v>965.51</v>
      </c>
      <c r="G380" s="217">
        <f t="shared" si="884"/>
        <v>1</v>
      </c>
      <c r="H380" s="149">
        <v>0</v>
      </c>
      <c r="I380" s="214">
        <f t="shared" si="885"/>
        <v>965.51</v>
      </c>
      <c r="J380" s="149">
        <v>965.51</v>
      </c>
      <c r="K380" s="214">
        <f t="shared" si="903"/>
        <v>0</v>
      </c>
      <c r="L380" s="214">
        <f t="shared" si="904"/>
        <v>0</v>
      </c>
      <c r="M380" s="214">
        <f t="shared" si="905"/>
        <v>0</v>
      </c>
      <c r="N380" s="222"/>
      <c r="O380" s="222"/>
      <c r="P380" s="222"/>
      <c r="Q380" s="214">
        <f t="shared" si="906"/>
        <v>965.51</v>
      </c>
      <c r="R380" s="214">
        <f t="shared" si="907"/>
        <v>965.51</v>
      </c>
      <c r="S380" s="214">
        <f t="shared" si="908"/>
        <v>0</v>
      </c>
      <c r="T380" s="185" t="s">
        <v>510</v>
      </c>
      <c r="U380" s="185" t="s">
        <v>510</v>
      </c>
      <c r="V380" s="57" t="str">
        <f t="shared" si="950"/>
        <v>&lt; 250k</v>
      </c>
      <c r="Y380" s="311">
        <v>0</v>
      </c>
      <c r="Z380" s="192">
        <f t="shared" si="951"/>
        <v>0</v>
      </c>
      <c r="AA380" t="str">
        <f t="shared" si="952"/>
        <v>-</v>
      </c>
      <c r="AB380" t="str">
        <f t="shared" si="953"/>
        <v>-</v>
      </c>
      <c r="AC380" s="523"/>
      <c r="AD380" s="34"/>
      <c r="AF380" s="64"/>
      <c r="AG380" s="64"/>
      <c r="AH380" s="64"/>
      <c r="AI380" s="217"/>
      <c r="AJ380" s="98"/>
      <c r="AK380" s="98"/>
      <c r="AL380" s="98"/>
      <c r="AM380" s="98"/>
      <c r="AN380" s="98"/>
      <c r="AO380" s="222"/>
      <c r="AP380" s="129"/>
    </row>
    <row r="381" spans="1:44" ht="13.5">
      <c r="A381" s="259">
        <v>56.113500000000002</v>
      </c>
      <c r="B381" s="57" t="s">
        <v>658</v>
      </c>
      <c r="C381" s="163">
        <v>112.5</v>
      </c>
      <c r="D381" s="216">
        <f t="shared" si="883"/>
        <v>112.5</v>
      </c>
      <c r="E381" s="149">
        <v>0</v>
      </c>
      <c r="F381" s="149">
        <v>112.5</v>
      </c>
      <c r="G381" s="217">
        <f t="shared" si="884"/>
        <v>1</v>
      </c>
      <c r="H381" s="149">
        <v>0</v>
      </c>
      <c r="I381" s="214">
        <f t="shared" si="885"/>
        <v>112.5</v>
      </c>
      <c r="J381" s="149">
        <v>112.5</v>
      </c>
      <c r="K381" s="214">
        <f t="shared" si="903"/>
        <v>0</v>
      </c>
      <c r="L381" s="214">
        <f t="shared" si="904"/>
        <v>0</v>
      </c>
      <c r="M381" s="214">
        <f t="shared" si="905"/>
        <v>0</v>
      </c>
      <c r="N381" s="222"/>
      <c r="O381" s="222"/>
      <c r="P381" s="222"/>
      <c r="Q381" s="214">
        <f t="shared" si="906"/>
        <v>112.5</v>
      </c>
      <c r="R381" s="214">
        <f t="shared" si="907"/>
        <v>112.5</v>
      </c>
      <c r="S381" s="214">
        <f t="shared" si="908"/>
        <v>0</v>
      </c>
      <c r="T381" s="185" t="s">
        <v>510</v>
      </c>
      <c r="U381" s="185" t="s">
        <v>510</v>
      </c>
      <c r="V381" s="57" t="str">
        <f t="shared" si="950"/>
        <v>&lt; 250k</v>
      </c>
      <c r="Y381" s="311">
        <v>0</v>
      </c>
      <c r="Z381" s="192">
        <f t="shared" si="951"/>
        <v>0</v>
      </c>
      <c r="AA381" t="str">
        <f t="shared" si="952"/>
        <v>-</v>
      </c>
      <c r="AB381" t="str">
        <f t="shared" si="953"/>
        <v>-</v>
      </c>
      <c r="AC381" s="523"/>
      <c r="AD381" s="34"/>
      <c r="AF381" s="64"/>
      <c r="AG381" s="64"/>
      <c r="AH381" s="64"/>
      <c r="AI381" s="217"/>
      <c r="AJ381" s="98"/>
      <c r="AK381" s="98"/>
      <c r="AL381" s="98"/>
      <c r="AM381" s="98"/>
      <c r="AN381" s="98"/>
      <c r="AO381" s="222"/>
      <c r="AP381" s="129"/>
    </row>
    <row r="382" spans="1:44" ht="13.5">
      <c r="A382" s="259">
        <v>56.114100000000001</v>
      </c>
      <c r="B382" s="57" t="s">
        <v>659</v>
      </c>
      <c r="C382" s="163">
        <v>2827.5</v>
      </c>
      <c r="D382" s="216">
        <f t="shared" si="883"/>
        <v>2827.5</v>
      </c>
      <c r="E382" s="149">
        <v>0</v>
      </c>
      <c r="F382" s="149">
        <v>2827.5</v>
      </c>
      <c r="G382" s="217">
        <f t="shared" si="884"/>
        <v>1</v>
      </c>
      <c r="H382" s="149">
        <v>0</v>
      </c>
      <c r="I382" s="214">
        <f t="shared" si="885"/>
        <v>2827.5</v>
      </c>
      <c r="J382" s="149">
        <v>2827.5</v>
      </c>
      <c r="K382" s="214">
        <f t="shared" si="903"/>
        <v>0</v>
      </c>
      <c r="L382" s="214">
        <f t="shared" si="904"/>
        <v>0</v>
      </c>
      <c r="M382" s="214">
        <f t="shared" si="905"/>
        <v>0</v>
      </c>
      <c r="N382" s="222"/>
      <c r="O382" s="222"/>
      <c r="P382" s="222"/>
      <c r="Q382" s="214">
        <f t="shared" si="906"/>
        <v>2827.5</v>
      </c>
      <c r="R382" s="214">
        <f t="shared" si="907"/>
        <v>2827.5</v>
      </c>
      <c r="S382" s="214">
        <f t="shared" si="908"/>
        <v>0</v>
      </c>
      <c r="T382" s="185" t="s">
        <v>510</v>
      </c>
      <c r="U382" s="185" t="s">
        <v>510</v>
      </c>
      <c r="V382" s="57" t="str">
        <f t="shared" si="950"/>
        <v>&lt; 250k</v>
      </c>
      <c r="Y382" s="311">
        <v>0</v>
      </c>
      <c r="Z382" s="192">
        <f t="shared" si="951"/>
        <v>0</v>
      </c>
      <c r="AA382" t="str">
        <f t="shared" si="952"/>
        <v>-</v>
      </c>
      <c r="AB382" t="str">
        <f t="shared" si="953"/>
        <v>-</v>
      </c>
      <c r="AC382" s="523"/>
      <c r="AD382" s="34"/>
      <c r="AF382" s="64"/>
      <c r="AG382" s="64"/>
      <c r="AH382" s="64"/>
      <c r="AI382" s="217"/>
      <c r="AJ382" s="98"/>
      <c r="AK382" s="98"/>
      <c r="AL382" s="98"/>
      <c r="AM382" s="98"/>
      <c r="AN382" s="98"/>
      <c r="AO382" s="222"/>
      <c r="AP382" s="129"/>
    </row>
    <row r="383" spans="1:44" s="57" customFormat="1" ht="13.5" hidden="1" customHeight="1">
      <c r="A383" s="259"/>
      <c r="C383" s="163"/>
      <c r="D383" s="216"/>
      <c r="E383" s="218"/>
      <c r="F383" s="149"/>
      <c r="G383" s="217"/>
      <c r="H383" s="224"/>
      <c r="I383" s="214"/>
      <c r="J383" s="149"/>
      <c r="K383" s="214"/>
      <c r="L383" s="214"/>
      <c r="M383" s="214"/>
      <c r="N383" s="222"/>
      <c r="O383" s="222"/>
      <c r="P383" s="220"/>
      <c r="Q383" s="214"/>
      <c r="R383" s="214"/>
      <c r="S383" s="214"/>
      <c r="T383" s="185"/>
      <c r="U383" s="185"/>
      <c r="W383" s="282"/>
      <c r="X383" s="290"/>
      <c r="Y383" s="311"/>
      <c r="Z383" s="192">
        <f t="shared" si="869"/>
        <v>0</v>
      </c>
      <c r="AA383" t="str">
        <f t="shared" si="870"/>
        <v>-</v>
      </c>
      <c r="AB383" t="str">
        <f t="shared" si="871"/>
        <v>-</v>
      </c>
      <c r="AC383" s="82"/>
      <c r="AD383" s="34">
        <f>C383-GAAP!C409</f>
        <v>0</v>
      </c>
      <c r="AE383" s="82"/>
      <c r="AF383" s="82"/>
      <c r="AG383" s="82"/>
      <c r="AH383" s="82"/>
      <c r="AI383" s="82"/>
      <c r="AJ383" s="82"/>
      <c r="AK383" s="82"/>
      <c r="AL383" s="82"/>
      <c r="AM383" s="82"/>
      <c r="AN383" s="82"/>
      <c r="AO383" s="82"/>
      <c r="AP383" s="82"/>
    </row>
    <row r="384" spans="1:44" s="57" customFormat="1" ht="13.5" customHeight="1">
      <c r="A384" s="356" t="s">
        <v>371</v>
      </c>
      <c r="B384" s="411"/>
      <c r="C384" s="357">
        <f>SUM(C320:C383)</f>
        <v>4511779.6499999976</v>
      </c>
      <c r="D384" s="357">
        <f>SUM(D320:D383)</f>
        <v>7995768.9399999985</v>
      </c>
      <c r="E384" s="357">
        <f>SUM(E320:E383)</f>
        <v>-3483989.29</v>
      </c>
      <c r="F384" s="357">
        <f>SUM(F320:F383)</f>
        <v>7995768.9399999985</v>
      </c>
      <c r="G384" s="357"/>
      <c r="H384" s="357">
        <f t="shared" ref="H384:S384" si="954">SUM(H320:H383)</f>
        <v>-3483989.29</v>
      </c>
      <c r="I384" s="357">
        <f t="shared" si="954"/>
        <v>4511779.6499999976</v>
      </c>
      <c r="J384" s="357">
        <f t="shared" si="954"/>
        <v>4511779.6499999976</v>
      </c>
      <c r="K384" s="357">
        <f t="shared" si="954"/>
        <v>0</v>
      </c>
      <c r="L384" s="357">
        <f t="shared" si="954"/>
        <v>0</v>
      </c>
      <c r="M384" s="357">
        <f t="shared" si="954"/>
        <v>0</v>
      </c>
      <c r="N384" s="357">
        <f t="shared" si="954"/>
        <v>1128586.33</v>
      </c>
      <c r="O384" s="357">
        <f t="shared" si="954"/>
        <v>734633.5</v>
      </c>
      <c r="P384" s="357">
        <f t="shared" si="954"/>
        <v>335306.4276492052</v>
      </c>
      <c r="Q384" s="357">
        <f t="shared" si="954"/>
        <v>6867182.6099999985</v>
      </c>
      <c r="R384" s="357">
        <f t="shared" si="954"/>
        <v>3777146.149999998</v>
      </c>
      <c r="S384" s="357">
        <f t="shared" si="954"/>
        <v>-3819295.7176492056</v>
      </c>
      <c r="T384" s="185"/>
      <c r="U384" s="185"/>
      <c r="W384" s="282"/>
      <c r="X384" s="290"/>
      <c r="Y384" s="311">
        <v>381412.97949750855</v>
      </c>
      <c r="Z384" s="192">
        <f t="shared" si="869"/>
        <v>-4200708.6971467137</v>
      </c>
      <c r="AA384" t="str">
        <f t="shared" si="870"/>
        <v>-</v>
      </c>
      <c r="AB384" t="str">
        <f t="shared" si="871"/>
        <v>-</v>
      </c>
      <c r="AC384" s="82"/>
      <c r="AD384" s="34">
        <f>C384-GAAP!C410</f>
        <v>4511779.6499999976</v>
      </c>
      <c r="AE384" s="82"/>
      <c r="AF384" s="357">
        <f>SUM(AF320:AF383)</f>
        <v>4395988.4699999979</v>
      </c>
      <c r="AG384" s="357">
        <f>SUM(AG320:AG383)</f>
        <v>7883482.129999999</v>
      </c>
      <c r="AH384" s="357">
        <f>SUM(AH320:AH383)</f>
        <v>-3487493.66</v>
      </c>
      <c r="AI384" s="357"/>
      <c r="AJ384" s="357">
        <f t="shared" ref="AJ384:AP384" si="955">SUM(AJ320:AJ383)</f>
        <v>-3487493.66</v>
      </c>
      <c r="AK384" s="357">
        <f t="shared" si="955"/>
        <v>4395988.4699999979</v>
      </c>
      <c r="AL384" s="357">
        <f t="shared" si="955"/>
        <v>0</v>
      </c>
      <c r="AM384" s="357">
        <f t="shared" si="955"/>
        <v>0</v>
      </c>
      <c r="AN384" s="357">
        <f t="shared" si="955"/>
        <v>0</v>
      </c>
      <c r="AO384" s="357" t="e">
        <f t="shared" si="955"/>
        <v>#REF!</v>
      </c>
      <c r="AP384" s="357" t="e">
        <f t="shared" si="955"/>
        <v>#REF!</v>
      </c>
      <c r="AR384" s="64"/>
    </row>
    <row r="385" spans="1:44" s="57" customFormat="1" ht="13.5" customHeight="1">
      <c r="A385" s="440" t="s">
        <v>358</v>
      </c>
      <c r="B385" s="85"/>
      <c r="C385" s="84">
        <f>C317+C384</f>
        <v>18534626.899999999</v>
      </c>
      <c r="D385" s="84">
        <f>D317+D384</f>
        <v>19963559.329999998</v>
      </c>
      <c r="E385" s="84">
        <f>E317+E384</f>
        <v>-1428932.4300000002</v>
      </c>
      <c r="F385" s="84">
        <f>F317+F384</f>
        <v>14455117.849999998</v>
      </c>
      <c r="G385" s="84"/>
      <c r="H385" s="84">
        <f t="shared" ref="H385:M385" si="956">H317+H384</f>
        <v>-2376617.4984208196</v>
      </c>
      <c r="I385" s="84">
        <f t="shared" si="956"/>
        <v>12078500.351579178</v>
      </c>
      <c r="J385" s="84">
        <f t="shared" si="956"/>
        <v>10435397.739999998</v>
      </c>
      <c r="K385" s="84">
        <f t="shared" si="956"/>
        <v>-1643102.6115791802</v>
      </c>
      <c r="L385" s="84">
        <f t="shared" si="956"/>
        <v>5508441.4799999995</v>
      </c>
      <c r="M385" s="84">
        <f t="shared" si="956"/>
        <v>8099229.1600000001</v>
      </c>
      <c r="N385" s="84">
        <f>N317</f>
        <v>1002698.5300000003</v>
      </c>
      <c r="O385" s="84">
        <f>O317</f>
        <v>302445</v>
      </c>
      <c r="P385" s="84">
        <f>P317</f>
        <v>247627.68362803198</v>
      </c>
      <c r="Q385" s="84">
        <f>Q317+Q384</f>
        <v>12323832.989999998</v>
      </c>
      <c r="R385" s="84">
        <f>R317+R384</f>
        <v>9398319.2399999984</v>
      </c>
      <c r="S385" s="84">
        <f>S317+S384</f>
        <v>-2959551.6096980572</v>
      </c>
      <c r="T385" s="199"/>
      <c r="U385" s="199"/>
      <c r="V385" s="82"/>
      <c r="W385" s="288"/>
      <c r="X385" s="289"/>
      <c r="Y385" s="311">
        <v>-3153564.4264124143</v>
      </c>
      <c r="Z385" s="192">
        <f t="shared" si="869"/>
        <v>194012.81671435712</v>
      </c>
      <c r="AA385" t="str">
        <f t="shared" si="870"/>
        <v>-</v>
      </c>
      <c r="AB385" t="str">
        <f t="shared" si="871"/>
        <v>-</v>
      </c>
      <c r="AC385" s="85"/>
      <c r="AD385" s="34">
        <f>C385-GAAP!C411</f>
        <v>18534626.899999999</v>
      </c>
      <c r="AE385" s="85"/>
      <c r="AF385" s="84">
        <f>AF317+AF384</f>
        <v>17795481.719999999</v>
      </c>
      <c r="AG385" s="84">
        <f>AG317+AG384</f>
        <v>19360784.52</v>
      </c>
      <c r="AH385" s="84">
        <f>AH317+AH384</f>
        <v>-1565302.8000000003</v>
      </c>
      <c r="AI385" s="84"/>
      <c r="AJ385" s="84">
        <f t="shared" ref="AJ385:AP385" si="957">AJ317+AJ384</f>
        <v>-2411382.3798219217</v>
      </c>
      <c r="AK385" s="84">
        <f t="shared" si="957"/>
        <v>11811676.630178075</v>
      </c>
      <c r="AL385" s="84">
        <f t="shared" si="957"/>
        <v>-1530047.0701780785</v>
      </c>
      <c r="AM385" s="84">
        <f t="shared" si="957"/>
        <v>5137725.51</v>
      </c>
      <c r="AN385" s="84">
        <f t="shared" si="957"/>
        <v>7513852.1600000001</v>
      </c>
      <c r="AO385" s="84" t="e">
        <f t="shared" si="957"/>
        <v>#REF!</v>
      </c>
      <c r="AP385" s="84" t="e">
        <f t="shared" si="957"/>
        <v>#REF!</v>
      </c>
      <c r="AR385" s="64"/>
    </row>
    <row r="386" spans="1:44" s="57" customFormat="1" ht="12" customHeight="1">
      <c r="A386" s="176"/>
      <c r="B386" s="85"/>
      <c r="C386" s="191"/>
      <c r="D386" s="84"/>
      <c r="E386" s="84"/>
      <c r="F386" s="191"/>
      <c r="G386" s="84"/>
      <c r="H386" s="84"/>
      <c r="I386" s="84"/>
      <c r="J386" s="213"/>
      <c r="K386" s="84"/>
      <c r="L386" s="84"/>
      <c r="M386" s="84"/>
      <c r="N386" s="84"/>
      <c r="O386" s="84"/>
      <c r="P386" s="84"/>
      <c r="Q386" s="84"/>
      <c r="R386" s="84"/>
      <c r="S386" s="84"/>
      <c r="T386" s="185"/>
      <c r="U386" s="185"/>
      <c r="V386" s="82"/>
      <c r="W386" s="282"/>
      <c r="X386" s="282"/>
      <c r="Y386" s="311"/>
      <c r="Z386" s="192">
        <f t="shared" si="869"/>
        <v>0</v>
      </c>
      <c r="AA386" t="str">
        <f t="shared" si="870"/>
        <v>-</v>
      </c>
      <c r="AB386" t="str">
        <f t="shared" si="871"/>
        <v>-</v>
      </c>
      <c r="AD386" s="34">
        <f>C386-GAAP!C412</f>
        <v>0</v>
      </c>
      <c r="AR386" s="64"/>
    </row>
    <row r="387" spans="1:44" s="57" customFormat="1" ht="13.5" customHeight="1">
      <c r="A387" s="176" t="s">
        <v>366</v>
      </c>
      <c r="B387" s="82"/>
      <c r="C387" s="146"/>
      <c r="D387" s="218"/>
      <c r="E387" s="218"/>
      <c r="F387" s="221"/>
      <c r="G387" s="182"/>
      <c r="H387" s="224"/>
      <c r="I387" s="98"/>
      <c r="J387" s="218"/>
      <c r="K387" s="98"/>
      <c r="L387" s="98"/>
      <c r="M387" s="98"/>
      <c r="N387" s="183"/>
      <c r="O387" s="219"/>
      <c r="P387" s="219"/>
      <c r="Q387" s="98"/>
      <c r="R387" s="98"/>
      <c r="S387" s="98"/>
      <c r="T387" s="185"/>
      <c r="U387" s="185"/>
      <c r="V387" s="82"/>
      <c r="W387" s="282"/>
      <c r="X387" s="282"/>
      <c r="Y387" s="311"/>
      <c r="Z387" s="192">
        <f t="shared" si="869"/>
        <v>0</v>
      </c>
      <c r="AA387" t="str">
        <f t="shared" si="870"/>
        <v>-</v>
      </c>
      <c r="AB387" t="str">
        <f t="shared" si="871"/>
        <v>-</v>
      </c>
      <c r="AD387" s="34">
        <f>C387-GAAP!C413</f>
        <v>0</v>
      </c>
      <c r="AR387" s="64"/>
    </row>
    <row r="388" spans="1:44" s="57" customFormat="1" ht="13.5" customHeight="1">
      <c r="A388" s="259">
        <v>50.054099999999998</v>
      </c>
      <c r="B388" s="82" t="s">
        <v>192</v>
      </c>
      <c r="C388" s="122">
        <f t="shared" ref="C388" si="958">J388</f>
        <v>0</v>
      </c>
      <c r="D388" s="216">
        <f t="shared" ref="D388" si="959">+C388-E388</f>
        <v>3642039.89</v>
      </c>
      <c r="E388" s="218">
        <f t="shared" ref="E388" si="960">+C388-F388</f>
        <v>-3642039.89</v>
      </c>
      <c r="F388" s="221">
        <v>3642039.89</v>
      </c>
      <c r="G388" s="217">
        <f t="shared" ref="G388:G393" si="961">IF(D388&lt;&gt;0,+F388/D388,0)</f>
        <v>1</v>
      </c>
      <c r="H388" s="224">
        <f t="shared" ref="H388" si="962">+C388-F388</f>
        <v>-3642039.89</v>
      </c>
      <c r="I388" s="214">
        <f t="shared" ref="I388" si="963">+F388+H388</f>
        <v>0</v>
      </c>
      <c r="J388" s="221">
        <v>0</v>
      </c>
      <c r="K388" s="98">
        <f t="shared" ref="K388" si="964">J388-I388</f>
        <v>0</v>
      </c>
      <c r="L388" s="98">
        <f t="shared" ref="L388" si="965">+D388-F388</f>
        <v>0</v>
      </c>
      <c r="M388" s="98">
        <f t="shared" ref="M388" si="966">+C388-J388</f>
        <v>0</v>
      </c>
      <c r="N388" s="183">
        <v>0</v>
      </c>
      <c r="O388" s="219">
        <v>0</v>
      </c>
      <c r="P388" s="98">
        <v>0</v>
      </c>
      <c r="Q388" s="214">
        <f t="shared" ref="Q388" si="967">F388-N388</f>
        <v>3642039.89</v>
      </c>
      <c r="R388" s="214">
        <f t="shared" ref="R388" si="968">+J388-O388</f>
        <v>0</v>
      </c>
      <c r="S388" s="214">
        <f>+H388-P388</f>
        <v>-3642039.89</v>
      </c>
      <c r="T388" s="185" t="s">
        <v>422</v>
      </c>
      <c r="U388" s="185" t="s">
        <v>422</v>
      </c>
      <c r="V388" s="82"/>
      <c r="W388" s="282"/>
      <c r="X388" s="282"/>
      <c r="Y388" s="311">
        <v>-3221414.38</v>
      </c>
      <c r="Z388" s="192">
        <f t="shared" si="869"/>
        <v>-420625.51000000024</v>
      </c>
      <c r="AA388" t="str">
        <f t="shared" si="870"/>
        <v>-</v>
      </c>
      <c r="AB388" t="str">
        <f t="shared" si="871"/>
        <v>-</v>
      </c>
      <c r="AD388" s="34">
        <f>C388-GAAP!C414</f>
        <v>0</v>
      </c>
      <c r="AF388" s="64">
        <f t="shared" ref="AF388:AH388" si="969">C388</f>
        <v>0</v>
      </c>
      <c r="AG388" s="64">
        <f t="shared" si="969"/>
        <v>3642039.89</v>
      </c>
      <c r="AH388" s="64">
        <f t="shared" si="969"/>
        <v>-3642039.89</v>
      </c>
      <c r="AI388" s="217">
        <f t="shared" ref="AI388" si="970">IF(AG388&lt;&gt;0,+F388/AG388,0)</f>
        <v>1</v>
      </c>
      <c r="AJ388" s="98">
        <f t="shared" ref="AJ388" si="971">IF(AH388&lt;=0,AH388,IF(G388&lt;0.1,0,IF(G388&lt;=1,G388*AH388,AH388)))</f>
        <v>-3642039.89</v>
      </c>
      <c r="AK388" s="98">
        <f t="shared" ref="AK388" si="972">+F388+AJ388</f>
        <v>0</v>
      </c>
      <c r="AL388" s="98">
        <f t="shared" ref="AL388" si="973">J388-AK388</f>
        <v>0</v>
      </c>
      <c r="AM388" s="98">
        <f t="shared" ref="AM388" si="974">+AG388-F388</f>
        <v>0</v>
      </c>
      <c r="AN388" s="98">
        <f t="shared" ref="AN388" si="975">+AF388-J388</f>
        <v>0</v>
      </c>
      <c r="AP388" s="129">
        <f>AJ388-AO388</f>
        <v>-3642039.89</v>
      </c>
      <c r="AR388" s="64"/>
    </row>
    <row r="389" spans="1:44" s="57" customFormat="1" ht="13.5" customHeight="1">
      <c r="A389" s="259">
        <v>50.054200000000002</v>
      </c>
      <c r="B389" s="82" t="s">
        <v>374</v>
      </c>
      <c r="C389" s="122">
        <f t="shared" ref="C389:C393" si="976">J389</f>
        <v>0</v>
      </c>
      <c r="D389" s="216">
        <f t="shared" ref="D389:D393" si="977">+C389-E389</f>
        <v>100487.45</v>
      </c>
      <c r="E389" s="218">
        <f t="shared" ref="E389:E393" si="978">+C389-F389</f>
        <v>-100487.45</v>
      </c>
      <c r="F389" s="221">
        <v>100487.45</v>
      </c>
      <c r="G389" s="217">
        <f t="shared" si="961"/>
        <v>1</v>
      </c>
      <c r="H389" s="224">
        <f t="shared" ref="H389:H393" si="979">+C389-F389</f>
        <v>-100487.45</v>
      </c>
      <c r="I389" s="214">
        <f t="shared" ref="I389:I393" si="980">+F389+H389</f>
        <v>0</v>
      </c>
      <c r="J389" s="221">
        <v>0</v>
      </c>
      <c r="K389" s="98">
        <f t="shared" ref="K389:K393" si="981">J389-I389</f>
        <v>0</v>
      </c>
      <c r="L389" s="98">
        <f t="shared" ref="L389:L393" si="982">+D389-F389</f>
        <v>0</v>
      </c>
      <c r="M389" s="98">
        <f t="shared" ref="M389:M393" si="983">+C389-J389</f>
        <v>0</v>
      </c>
      <c r="N389" s="183">
        <v>0</v>
      </c>
      <c r="O389" s="219">
        <v>0</v>
      </c>
      <c r="P389" s="98">
        <v>0</v>
      </c>
      <c r="Q389" s="214">
        <f t="shared" ref="Q389:Q393" si="984">F389-N389</f>
        <v>100487.45</v>
      </c>
      <c r="R389" s="214">
        <f t="shared" ref="R389:R393" si="985">+J389-O389</f>
        <v>0</v>
      </c>
      <c r="S389" s="214">
        <f t="shared" ref="S389:S393" si="986">+H389-P389</f>
        <v>-100487.45</v>
      </c>
      <c r="T389" s="185" t="s">
        <v>422</v>
      </c>
      <c r="U389" s="185" t="s">
        <v>422</v>
      </c>
      <c r="V389" s="82"/>
      <c r="W389" s="282"/>
      <c r="X389" s="282"/>
      <c r="Y389" s="311">
        <v>-79728.23</v>
      </c>
      <c r="Z389" s="192">
        <f t="shared" si="869"/>
        <v>-20759.22</v>
      </c>
      <c r="AA389" t="str">
        <f t="shared" si="870"/>
        <v>-</v>
      </c>
      <c r="AB389" t="str">
        <f t="shared" si="871"/>
        <v>-</v>
      </c>
      <c r="AD389" s="34">
        <f>C389-GAAP!C415</f>
        <v>0</v>
      </c>
      <c r="AF389" s="64">
        <f t="shared" ref="AF389:AF393" si="987">C389</f>
        <v>0</v>
      </c>
      <c r="AG389" s="64">
        <f t="shared" ref="AG389:AG393" si="988">D389</f>
        <v>100487.45</v>
      </c>
      <c r="AH389" s="64">
        <f t="shared" ref="AH389:AH393" si="989">E389</f>
        <v>-100487.45</v>
      </c>
      <c r="AI389" s="217">
        <f t="shared" ref="AI389:AI393" si="990">IF(AG389&lt;&gt;0,+F389/AG389,0)</f>
        <v>1</v>
      </c>
      <c r="AJ389" s="98">
        <f t="shared" ref="AJ389:AJ393" si="991">IF(AH389&lt;=0,AH389,IF(G389&lt;0.1,0,IF(G389&lt;=1,G389*AH389,AH389)))</f>
        <v>-100487.45</v>
      </c>
      <c r="AK389" s="98">
        <f t="shared" ref="AK389:AK393" si="992">+F389+AJ389</f>
        <v>0</v>
      </c>
      <c r="AL389" s="98">
        <f t="shared" ref="AL389:AL393" si="993">J389-AK389</f>
        <v>0</v>
      </c>
      <c r="AM389" s="98">
        <f t="shared" ref="AM389:AM393" si="994">+AG389-F389</f>
        <v>0</v>
      </c>
      <c r="AN389" s="98">
        <f t="shared" ref="AN389:AN393" si="995">+AF389-J389</f>
        <v>0</v>
      </c>
      <c r="AP389" s="129">
        <f t="shared" ref="AP389:AP393" si="996">AJ389-AO389</f>
        <v>-100487.45</v>
      </c>
      <c r="AR389" s="64"/>
    </row>
    <row r="390" spans="1:44" s="57" customFormat="1" ht="13.5">
      <c r="A390" s="259">
        <v>50.054299999999998</v>
      </c>
      <c r="B390" s="82" t="s">
        <v>404</v>
      </c>
      <c r="C390" s="122">
        <f t="shared" si="976"/>
        <v>7051.01</v>
      </c>
      <c r="D390" s="216">
        <f t="shared" si="977"/>
        <v>7051.01</v>
      </c>
      <c r="E390" s="218">
        <f t="shared" si="978"/>
        <v>0</v>
      </c>
      <c r="F390" s="221">
        <v>7051.01</v>
      </c>
      <c r="G390" s="217">
        <f t="shared" si="961"/>
        <v>1</v>
      </c>
      <c r="H390" s="224">
        <f t="shared" si="979"/>
        <v>0</v>
      </c>
      <c r="I390" s="214">
        <f t="shared" si="980"/>
        <v>7051.01</v>
      </c>
      <c r="J390" s="221">
        <v>7051.01</v>
      </c>
      <c r="K390" s="98">
        <f t="shared" si="981"/>
        <v>0</v>
      </c>
      <c r="L390" s="98">
        <f t="shared" si="982"/>
        <v>0</v>
      </c>
      <c r="M390" s="98">
        <f t="shared" si="983"/>
        <v>0</v>
      </c>
      <c r="N390" s="183">
        <v>0</v>
      </c>
      <c r="O390" s="219">
        <v>0</v>
      </c>
      <c r="P390" s="98">
        <v>0</v>
      </c>
      <c r="Q390" s="214">
        <f t="shared" si="984"/>
        <v>7051.01</v>
      </c>
      <c r="R390" s="214">
        <f t="shared" si="985"/>
        <v>7051.01</v>
      </c>
      <c r="S390" s="214">
        <f t="shared" si="986"/>
        <v>0</v>
      </c>
      <c r="T390" s="185" t="s">
        <v>422</v>
      </c>
      <c r="U390" s="185" t="s">
        <v>422</v>
      </c>
      <c r="V390" s="82"/>
      <c r="W390" s="282"/>
      <c r="X390" s="282"/>
      <c r="Y390" s="311">
        <v>0</v>
      </c>
      <c r="Z390" s="192">
        <f t="shared" si="869"/>
        <v>0</v>
      </c>
      <c r="AA390" t="str">
        <f t="shared" si="870"/>
        <v>-</v>
      </c>
      <c r="AB390" t="str">
        <f t="shared" si="871"/>
        <v>-</v>
      </c>
      <c r="AD390" s="34">
        <f>C390-GAAP!C416</f>
        <v>7051.01</v>
      </c>
      <c r="AF390" s="64">
        <f t="shared" si="987"/>
        <v>7051.01</v>
      </c>
      <c r="AG390" s="64">
        <f t="shared" si="988"/>
        <v>7051.01</v>
      </c>
      <c r="AH390" s="64">
        <f t="shared" si="989"/>
        <v>0</v>
      </c>
      <c r="AI390" s="217">
        <f t="shared" si="990"/>
        <v>1</v>
      </c>
      <c r="AJ390" s="98">
        <f t="shared" si="991"/>
        <v>0</v>
      </c>
      <c r="AK390" s="98">
        <f t="shared" si="992"/>
        <v>7051.01</v>
      </c>
      <c r="AL390" s="98">
        <f t="shared" si="993"/>
        <v>0</v>
      </c>
      <c r="AM390" s="98">
        <f t="shared" si="994"/>
        <v>0</v>
      </c>
      <c r="AN390" s="98">
        <f t="shared" si="995"/>
        <v>0</v>
      </c>
      <c r="AP390" s="129">
        <f t="shared" si="996"/>
        <v>0</v>
      </c>
    </row>
    <row r="391" spans="1:44" s="85" customFormat="1" ht="13.5" customHeight="1">
      <c r="A391" s="259">
        <v>50.054400000000001</v>
      </c>
      <c r="B391" s="82" t="s">
        <v>178</v>
      </c>
      <c r="C391" s="122">
        <f t="shared" si="976"/>
        <v>13555.8</v>
      </c>
      <c r="D391" s="216">
        <f t="shared" si="977"/>
        <v>13555.8</v>
      </c>
      <c r="E391" s="218">
        <f t="shared" si="978"/>
        <v>0</v>
      </c>
      <c r="F391" s="221">
        <v>13555.8</v>
      </c>
      <c r="G391" s="217">
        <f t="shared" si="961"/>
        <v>1</v>
      </c>
      <c r="H391" s="224">
        <f t="shared" si="979"/>
        <v>0</v>
      </c>
      <c r="I391" s="214">
        <f t="shared" si="980"/>
        <v>13555.8</v>
      </c>
      <c r="J391" s="221">
        <v>13555.8</v>
      </c>
      <c r="K391" s="98">
        <f t="shared" si="981"/>
        <v>0</v>
      </c>
      <c r="L391" s="98">
        <f t="shared" si="982"/>
        <v>0</v>
      </c>
      <c r="M391" s="98">
        <f t="shared" si="983"/>
        <v>0</v>
      </c>
      <c r="N391" s="183">
        <v>0</v>
      </c>
      <c r="O391" s="219">
        <v>0</v>
      </c>
      <c r="P391" s="98">
        <v>0</v>
      </c>
      <c r="Q391" s="214">
        <f t="shared" si="984"/>
        <v>13555.8</v>
      </c>
      <c r="R391" s="214">
        <f t="shared" si="985"/>
        <v>13555.8</v>
      </c>
      <c r="S391" s="214">
        <f t="shared" si="986"/>
        <v>0</v>
      </c>
      <c r="T391" s="185" t="s">
        <v>422</v>
      </c>
      <c r="U391" s="185" t="s">
        <v>422</v>
      </c>
      <c r="V391" s="82"/>
      <c r="W391" s="282"/>
      <c r="X391" s="282"/>
      <c r="Y391" s="311">
        <v>0</v>
      </c>
      <c r="Z391" s="192">
        <f t="shared" si="869"/>
        <v>0</v>
      </c>
      <c r="AA391" t="str">
        <f t="shared" si="870"/>
        <v>-</v>
      </c>
      <c r="AB391" t="str">
        <f t="shared" si="871"/>
        <v>-</v>
      </c>
      <c r="AC391" s="57"/>
      <c r="AD391" s="34">
        <f>C391-GAAP!C417</f>
        <v>13555.8</v>
      </c>
      <c r="AE391" s="57"/>
      <c r="AF391" s="64">
        <f t="shared" si="987"/>
        <v>13555.8</v>
      </c>
      <c r="AG391" s="64">
        <f t="shared" si="988"/>
        <v>13555.8</v>
      </c>
      <c r="AH391" s="64">
        <f t="shared" si="989"/>
        <v>0</v>
      </c>
      <c r="AI391" s="217">
        <f t="shared" si="990"/>
        <v>1</v>
      </c>
      <c r="AJ391" s="98">
        <f t="shared" si="991"/>
        <v>0</v>
      </c>
      <c r="AK391" s="98">
        <f t="shared" si="992"/>
        <v>13555.8</v>
      </c>
      <c r="AL391" s="98">
        <f t="shared" si="993"/>
        <v>0</v>
      </c>
      <c r="AM391" s="98">
        <f t="shared" si="994"/>
        <v>0</v>
      </c>
      <c r="AN391" s="98">
        <f t="shared" si="995"/>
        <v>0</v>
      </c>
      <c r="AO391" s="57"/>
      <c r="AP391" s="129">
        <f t="shared" si="996"/>
        <v>0</v>
      </c>
    </row>
    <row r="392" spans="1:44" s="81" customFormat="1" ht="13.5" customHeight="1">
      <c r="A392" s="259">
        <v>50.054499999999997</v>
      </c>
      <c r="B392" s="82" t="s">
        <v>498</v>
      </c>
      <c r="C392" s="122">
        <f t="shared" si="976"/>
        <v>2226.16</v>
      </c>
      <c r="D392" s="216">
        <f t="shared" si="977"/>
        <v>2226.16</v>
      </c>
      <c r="E392" s="218">
        <f t="shared" si="978"/>
        <v>0</v>
      </c>
      <c r="F392" s="221">
        <v>2226.16</v>
      </c>
      <c r="G392" s="217">
        <f t="shared" si="961"/>
        <v>1</v>
      </c>
      <c r="H392" s="224">
        <f t="shared" si="979"/>
        <v>0</v>
      </c>
      <c r="I392" s="214">
        <f t="shared" si="980"/>
        <v>2226.16</v>
      </c>
      <c r="J392" s="221">
        <v>2226.16</v>
      </c>
      <c r="K392" s="98">
        <f t="shared" si="981"/>
        <v>0</v>
      </c>
      <c r="L392" s="98">
        <f t="shared" si="982"/>
        <v>0</v>
      </c>
      <c r="M392" s="98">
        <f t="shared" si="983"/>
        <v>0</v>
      </c>
      <c r="N392" s="183"/>
      <c r="O392" s="219"/>
      <c r="P392" s="98"/>
      <c r="Q392" s="214">
        <f t="shared" si="984"/>
        <v>2226.16</v>
      </c>
      <c r="R392" s="214">
        <f t="shared" si="985"/>
        <v>2226.16</v>
      </c>
      <c r="S392" s="214">
        <f t="shared" si="986"/>
        <v>0</v>
      </c>
      <c r="T392" s="185" t="s">
        <v>422</v>
      </c>
      <c r="U392" s="185" t="s">
        <v>422</v>
      </c>
      <c r="V392" s="82"/>
      <c r="W392" s="282"/>
      <c r="X392" s="282"/>
      <c r="Y392" s="311">
        <v>0</v>
      </c>
      <c r="Z392" s="192">
        <f t="shared" si="869"/>
        <v>0</v>
      </c>
      <c r="AA392" t="str">
        <f t="shared" si="870"/>
        <v>-</v>
      </c>
      <c r="AB392" t="str">
        <f t="shared" si="871"/>
        <v>-</v>
      </c>
      <c r="AC392" s="57"/>
      <c r="AD392" s="34" t="e">
        <f>C392-GAAP!C418</f>
        <v>#VALUE!</v>
      </c>
      <c r="AE392" s="57"/>
      <c r="AF392" s="64">
        <f t="shared" ref="AF392" si="997">C392</f>
        <v>2226.16</v>
      </c>
      <c r="AG392" s="64">
        <f t="shared" ref="AG392" si="998">D392</f>
        <v>2226.16</v>
      </c>
      <c r="AH392" s="64">
        <f t="shared" ref="AH392" si="999">E392</f>
        <v>0</v>
      </c>
      <c r="AI392" s="217">
        <f t="shared" ref="AI392" si="1000">IF(AG392&lt;&gt;0,+F392/AG392,0)</f>
        <v>1</v>
      </c>
      <c r="AJ392" s="98">
        <f t="shared" ref="AJ392" si="1001">IF(AH392&lt;=0,AH392,IF(G392&lt;0.1,0,IF(G392&lt;=1,G392*AH392,AH392)))</f>
        <v>0</v>
      </c>
      <c r="AK392" s="98">
        <f t="shared" ref="AK392" si="1002">+F392+AJ392</f>
        <v>2226.16</v>
      </c>
      <c r="AL392" s="98">
        <f t="shared" ref="AL392" si="1003">J392-AK392</f>
        <v>0</v>
      </c>
      <c r="AM392" s="98">
        <f t="shared" ref="AM392" si="1004">+AG392-F392</f>
        <v>0</v>
      </c>
      <c r="AN392" s="98">
        <f t="shared" ref="AN392" si="1005">+AF392-J392</f>
        <v>0</v>
      </c>
      <c r="AO392" s="57"/>
      <c r="AP392" s="129">
        <f t="shared" ref="AP392" si="1006">AJ392-AO392</f>
        <v>0</v>
      </c>
    </row>
    <row r="393" spans="1:44" s="81" customFormat="1" ht="13.5" customHeight="1">
      <c r="A393" s="259">
        <v>50.054600000000001</v>
      </c>
      <c r="B393" s="82" t="s">
        <v>238</v>
      </c>
      <c r="C393" s="122">
        <f t="shared" si="976"/>
        <v>11256.72</v>
      </c>
      <c r="D393" s="216">
        <f t="shared" si="977"/>
        <v>10468.06</v>
      </c>
      <c r="E393" s="218">
        <f t="shared" si="978"/>
        <v>788.65999999999985</v>
      </c>
      <c r="F393" s="221">
        <v>10468.06</v>
      </c>
      <c r="G393" s="217">
        <f t="shared" si="961"/>
        <v>1</v>
      </c>
      <c r="H393" s="224">
        <f t="shared" si="979"/>
        <v>788.65999999999985</v>
      </c>
      <c r="I393" s="214">
        <f t="shared" si="980"/>
        <v>11256.72</v>
      </c>
      <c r="J393" s="221">
        <v>11256.72</v>
      </c>
      <c r="K393" s="98">
        <f t="shared" si="981"/>
        <v>0</v>
      </c>
      <c r="L393" s="98">
        <f t="shared" si="982"/>
        <v>0</v>
      </c>
      <c r="M393" s="98">
        <f t="shared" si="983"/>
        <v>0</v>
      </c>
      <c r="N393" s="183">
        <v>0</v>
      </c>
      <c r="O393" s="219">
        <v>0</v>
      </c>
      <c r="P393" s="98">
        <v>0</v>
      </c>
      <c r="Q393" s="214">
        <f t="shared" si="984"/>
        <v>10468.06</v>
      </c>
      <c r="R393" s="214">
        <f t="shared" si="985"/>
        <v>11256.72</v>
      </c>
      <c r="S393" s="214">
        <f t="shared" si="986"/>
        <v>788.65999999999985</v>
      </c>
      <c r="T393" s="185" t="s">
        <v>422</v>
      </c>
      <c r="U393" s="185" t="s">
        <v>422</v>
      </c>
      <c r="V393" s="82"/>
      <c r="W393" s="282"/>
      <c r="X393" s="282"/>
      <c r="Y393" s="311">
        <v>788.65999999999985</v>
      </c>
      <c r="Z393" s="192">
        <f t="shared" si="869"/>
        <v>0</v>
      </c>
      <c r="AA393" t="str">
        <f t="shared" si="870"/>
        <v>-</v>
      </c>
      <c r="AB393" t="str">
        <f t="shared" si="871"/>
        <v>-</v>
      </c>
      <c r="AC393" s="57"/>
      <c r="AD393" s="34" t="e">
        <f>C393-GAAP!C419</f>
        <v>#VALUE!</v>
      </c>
      <c r="AE393" s="57"/>
      <c r="AF393" s="64">
        <f t="shared" si="987"/>
        <v>11256.72</v>
      </c>
      <c r="AG393" s="64">
        <f t="shared" si="988"/>
        <v>10468.06</v>
      </c>
      <c r="AH393" s="64">
        <f t="shared" si="989"/>
        <v>788.65999999999985</v>
      </c>
      <c r="AI393" s="217">
        <f t="shared" si="990"/>
        <v>1</v>
      </c>
      <c r="AJ393" s="98">
        <f t="shared" si="991"/>
        <v>788.65999999999985</v>
      </c>
      <c r="AK393" s="98">
        <f t="shared" si="992"/>
        <v>11256.72</v>
      </c>
      <c r="AL393" s="98">
        <f t="shared" si="993"/>
        <v>0</v>
      </c>
      <c r="AM393" s="98">
        <f t="shared" si="994"/>
        <v>0</v>
      </c>
      <c r="AN393" s="98">
        <f t="shared" si="995"/>
        <v>0</v>
      </c>
      <c r="AO393" s="57"/>
      <c r="AP393" s="129">
        <f t="shared" si="996"/>
        <v>788.65999999999985</v>
      </c>
    </row>
    <row r="394" spans="1:44" s="81" customFormat="1" ht="13.5" customHeight="1">
      <c r="A394" s="259">
        <v>50.055100000000003</v>
      </c>
      <c r="B394" s="82" t="s">
        <v>598</v>
      </c>
      <c r="C394" s="122">
        <f t="shared" ref="C394" si="1007">J394</f>
        <v>5457.42</v>
      </c>
      <c r="D394" s="216">
        <f t="shared" ref="D394" si="1008">+C394-E394</f>
        <v>5457.42</v>
      </c>
      <c r="E394" s="218">
        <f t="shared" ref="E394" si="1009">+C394-F394</f>
        <v>0</v>
      </c>
      <c r="F394" s="221">
        <v>5457.42</v>
      </c>
      <c r="G394" s="217">
        <f t="shared" ref="G394" si="1010">IF(D394&lt;&gt;0,+F394/D394,0)</f>
        <v>1</v>
      </c>
      <c r="H394" s="224">
        <f t="shared" ref="H394" si="1011">+C394-F394</f>
        <v>0</v>
      </c>
      <c r="I394" s="214">
        <f t="shared" ref="I394" si="1012">+F394+H394</f>
        <v>5457.42</v>
      </c>
      <c r="J394" s="221">
        <v>5457.42</v>
      </c>
      <c r="K394" s="98">
        <f t="shared" ref="K394" si="1013">J394-I394</f>
        <v>0</v>
      </c>
      <c r="L394" s="98">
        <f t="shared" ref="L394" si="1014">+D394-F394</f>
        <v>0</v>
      </c>
      <c r="M394" s="98">
        <f t="shared" ref="M394" si="1015">+C394-J394</f>
        <v>0</v>
      </c>
      <c r="N394" s="183"/>
      <c r="O394" s="219"/>
      <c r="P394" s="98"/>
      <c r="Q394" s="214">
        <f t="shared" ref="Q394" si="1016">F394-N394</f>
        <v>5457.42</v>
      </c>
      <c r="R394" s="214">
        <f t="shared" ref="R394" si="1017">+J394-O394</f>
        <v>5457.42</v>
      </c>
      <c r="S394" s="214">
        <f t="shared" ref="S394" si="1018">+H394-P394</f>
        <v>0</v>
      </c>
      <c r="T394" s="185" t="s">
        <v>422</v>
      </c>
      <c r="U394" s="185" t="s">
        <v>422</v>
      </c>
      <c r="V394" s="82"/>
      <c r="W394" s="282"/>
      <c r="X394" s="282"/>
      <c r="Y394" s="311">
        <v>0</v>
      </c>
      <c r="Z394" s="192">
        <f t="shared" ref="Z394" si="1019">S394-Y394</f>
        <v>0</v>
      </c>
      <c r="AA394" t="str">
        <f t="shared" ref="AA394" si="1020">IF(L394&lt;0,"CHECK","-")</f>
        <v>-</v>
      </c>
      <c r="AB394" t="str">
        <f t="shared" ref="AB394" si="1021">IF(M394&lt;0,"CHECK","-")</f>
        <v>-</v>
      </c>
      <c r="AC394" s="57"/>
      <c r="AD394" s="34"/>
      <c r="AE394" s="57"/>
      <c r="AF394" s="64"/>
      <c r="AG394" s="64"/>
      <c r="AH394" s="64"/>
      <c r="AI394" s="217"/>
      <c r="AJ394" s="98"/>
      <c r="AK394" s="98"/>
      <c r="AL394" s="98"/>
      <c r="AM394" s="98"/>
      <c r="AN394" s="98"/>
      <c r="AO394" s="57"/>
      <c r="AP394" s="129"/>
    </row>
    <row r="395" spans="1:44" s="81" customFormat="1" ht="13.5" hidden="1" customHeight="1">
      <c r="A395" s="259"/>
      <c r="B395" s="82"/>
      <c r="C395" s="146"/>
      <c r="D395" s="216"/>
      <c r="E395" s="218"/>
      <c r="F395" s="221"/>
      <c r="G395" s="217"/>
      <c r="H395" s="224"/>
      <c r="I395" s="214"/>
      <c r="J395" s="221"/>
      <c r="K395" s="98"/>
      <c r="L395" s="98"/>
      <c r="M395" s="98"/>
      <c r="N395" s="183"/>
      <c r="O395" s="219"/>
      <c r="P395" s="98"/>
      <c r="Q395" s="214"/>
      <c r="R395" s="214"/>
      <c r="S395" s="214"/>
      <c r="T395" s="185"/>
      <c r="U395" s="185"/>
      <c r="V395" s="82"/>
      <c r="W395" s="282"/>
      <c r="X395" s="282"/>
      <c r="Y395" s="311"/>
      <c r="Z395" s="192">
        <f t="shared" si="869"/>
        <v>0</v>
      </c>
      <c r="AA395" t="str">
        <f t="shared" si="870"/>
        <v>-</v>
      </c>
      <c r="AB395" t="str">
        <f t="shared" si="871"/>
        <v>-</v>
      </c>
      <c r="AC395" s="57"/>
      <c r="AD395" s="34" t="e">
        <f>C395-GAAP!C420</f>
        <v>#VALUE!</v>
      </c>
      <c r="AE395" s="57"/>
      <c r="AF395" s="57"/>
      <c r="AG395" s="57"/>
      <c r="AH395" s="57"/>
      <c r="AI395" s="57"/>
      <c r="AJ395" s="57"/>
      <c r="AK395" s="57"/>
      <c r="AL395" s="57"/>
      <c r="AM395" s="57"/>
      <c r="AN395" s="57"/>
      <c r="AO395" s="57"/>
      <c r="AP395" s="57"/>
    </row>
    <row r="396" spans="1:44" s="85" customFormat="1" ht="13.5" customHeight="1">
      <c r="A396" s="178" t="s">
        <v>372</v>
      </c>
      <c r="B396" s="87"/>
      <c r="C396" s="83">
        <f>SUM(C388:C395)</f>
        <v>39547.109999999993</v>
      </c>
      <c r="D396" s="83">
        <f>SUM(D388:D395)</f>
        <v>3781285.79</v>
      </c>
      <c r="E396" s="83">
        <f>SUM(E388:E395)</f>
        <v>-3741738.68</v>
      </c>
      <c r="F396" s="83">
        <f>SUM(F388:F395)</f>
        <v>3781285.79</v>
      </c>
      <c r="G396" s="83"/>
      <c r="H396" s="83">
        <f t="shared" ref="H396:R396" si="1022">SUM(H388:H395)</f>
        <v>-3741738.68</v>
      </c>
      <c r="I396" s="83">
        <f t="shared" si="1022"/>
        <v>39547.109999999993</v>
      </c>
      <c r="J396" s="83">
        <f t="shared" si="1022"/>
        <v>39547.109999999993</v>
      </c>
      <c r="K396" s="83">
        <f t="shared" si="1022"/>
        <v>0</v>
      </c>
      <c r="L396" s="83">
        <f t="shared" si="1022"/>
        <v>0</v>
      </c>
      <c r="M396" s="83">
        <f t="shared" si="1022"/>
        <v>0</v>
      </c>
      <c r="N396" s="83">
        <f t="shared" si="1022"/>
        <v>0</v>
      </c>
      <c r="O396" s="83">
        <f t="shared" si="1022"/>
        <v>0</v>
      </c>
      <c r="P396" s="83">
        <f t="shared" si="1022"/>
        <v>0</v>
      </c>
      <c r="Q396" s="83">
        <f>SUM(Q388:Q395)</f>
        <v>3781285.79</v>
      </c>
      <c r="R396" s="83">
        <f t="shared" si="1022"/>
        <v>39547.109999999993</v>
      </c>
      <c r="S396" s="83">
        <f>SUM(S388:S395)</f>
        <v>-3741738.68</v>
      </c>
      <c r="T396" s="203"/>
      <c r="U396" s="199"/>
      <c r="W396" s="288"/>
      <c r="X396" s="293"/>
      <c r="Y396" s="311">
        <v>-3300353.9499999997</v>
      </c>
      <c r="Z396" s="192">
        <f t="shared" si="869"/>
        <v>-441384.73000000045</v>
      </c>
      <c r="AA396" t="str">
        <f t="shared" si="870"/>
        <v>-</v>
      </c>
      <c r="AB396" t="str">
        <f t="shared" si="871"/>
        <v>-</v>
      </c>
      <c r="AD396" s="34" t="e">
        <f>C396-GAAP!C421</f>
        <v>#VALUE!</v>
      </c>
      <c r="AF396" s="83">
        <f>SUM(AF388:AF395)</f>
        <v>34089.689999999995</v>
      </c>
      <c r="AG396" s="83">
        <f t="shared" ref="AG396:AP396" si="1023">SUM(AG388:AG395)</f>
        <v>3775828.37</v>
      </c>
      <c r="AH396" s="83">
        <f t="shared" si="1023"/>
        <v>-3741738.68</v>
      </c>
      <c r="AI396" s="83"/>
      <c r="AJ396" s="83">
        <f t="shared" si="1023"/>
        <v>-3741738.68</v>
      </c>
      <c r="AK396" s="83">
        <f t="shared" si="1023"/>
        <v>34089.689999999995</v>
      </c>
      <c r="AL396" s="83">
        <f t="shared" si="1023"/>
        <v>0</v>
      </c>
      <c r="AM396" s="83">
        <f t="shared" si="1023"/>
        <v>0</v>
      </c>
      <c r="AN396" s="83">
        <f t="shared" si="1023"/>
        <v>0</v>
      </c>
      <c r="AO396" s="83">
        <f t="shared" si="1023"/>
        <v>0</v>
      </c>
      <c r="AP396" s="83">
        <f t="shared" si="1023"/>
        <v>-3741738.68</v>
      </c>
    </row>
    <row r="397" spans="1:44" s="70" customFormat="1" ht="12" customHeight="1">
      <c r="A397" s="347"/>
      <c r="B397" s="347"/>
      <c r="C397" s="347"/>
      <c r="D397" s="348"/>
      <c r="E397" s="349"/>
      <c r="F397" s="349"/>
      <c r="G397" s="350"/>
      <c r="H397" s="351"/>
      <c r="I397" s="348"/>
      <c r="J397" s="352"/>
      <c r="K397" s="348"/>
      <c r="L397" s="348"/>
      <c r="M397" s="348"/>
      <c r="N397" s="353"/>
      <c r="O397" s="353"/>
      <c r="P397" s="353"/>
      <c r="Q397" s="348"/>
      <c r="R397" s="348"/>
      <c r="S397" s="348"/>
      <c r="T397" s="186"/>
      <c r="U397" s="185"/>
      <c r="V397" s="81"/>
      <c r="W397" s="293"/>
      <c r="X397" s="293"/>
      <c r="Y397" s="311"/>
      <c r="Z397" s="192">
        <f t="shared" si="869"/>
        <v>0</v>
      </c>
      <c r="AA397" t="str">
        <f t="shared" si="870"/>
        <v>-</v>
      </c>
      <c r="AB397" t="str">
        <f t="shared" si="871"/>
        <v>-</v>
      </c>
      <c r="AC397" s="81"/>
      <c r="AD397" s="34" t="e">
        <f>C397-GAAP!C422</f>
        <v>#VALUE!</v>
      </c>
      <c r="AE397" s="81"/>
      <c r="AF397" s="81"/>
      <c r="AG397" s="81"/>
      <c r="AH397" s="81"/>
      <c r="AI397" s="81"/>
      <c r="AJ397" s="81"/>
      <c r="AK397" s="81"/>
      <c r="AL397" s="81"/>
      <c r="AM397" s="81"/>
      <c r="AN397" s="81"/>
      <c r="AO397" s="81"/>
      <c r="AP397" s="81"/>
    </row>
    <row r="398" spans="1:44" s="57" customFormat="1" ht="13.5" customHeight="1">
      <c r="A398" s="346" t="s">
        <v>173</v>
      </c>
      <c r="B398" s="346"/>
      <c r="C398" s="346">
        <f>C218+C278+C317</f>
        <v>1871949205.4099998</v>
      </c>
      <c r="D398" s="346">
        <f>D218+D278+D317</f>
        <v>1745812094.02</v>
      </c>
      <c r="E398" s="346">
        <f>E218+E278+E317</f>
        <v>126137111.39</v>
      </c>
      <c r="F398" s="346">
        <f>F218+F278+F317</f>
        <v>1041534998.2699999</v>
      </c>
      <c r="G398" s="346"/>
      <c r="H398" s="346">
        <f t="shared" ref="H398:S398" si="1024">H218+H278+H317</f>
        <v>66272671.223135963</v>
      </c>
      <c r="I398" s="346">
        <f t="shared" si="1024"/>
        <v>1107807669.4931359</v>
      </c>
      <c r="J398" s="346">
        <f t="shared" si="1024"/>
        <v>1107424084.2599998</v>
      </c>
      <c r="K398" s="346">
        <f t="shared" si="1024"/>
        <v>-383585.23313595215</v>
      </c>
      <c r="L398" s="346">
        <f t="shared" si="1024"/>
        <v>704277095.75</v>
      </c>
      <c r="M398" s="346">
        <f t="shared" si="1024"/>
        <v>764525121.14999998</v>
      </c>
      <c r="N398" s="346">
        <f t="shared" si="1024"/>
        <v>737998939.52999997</v>
      </c>
      <c r="O398" s="346">
        <f t="shared" si="1024"/>
        <v>774452969.04999995</v>
      </c>
      <c r="P398" s="346">
        <f t="shared" si="1024"/>
        <v>41070417.082760751</v>
      </c>
      <c r="Q398" s="346">
        <f t="shared" si="1024"/>
        <v>303536058.73999995</v>
      </c>
      <c r="R398" s="346">
        <f t="shared" si="1024"/>
        <v>332971115.20999998</v>
      </c>
      <c r="S398" s="346">
        <f t="shared" si="1024"/>
        <v>25202254.140375223</v>
      </c>
      <c r="T398" s="186"/>
      <c r="U398" s="185"/>
      <c r="V398" s="81"/>
      <c r="W398" s="293"/>
      <c r="X398" s="293"/>
      <c r="Y398" s="311">
        <v>12177951.467913017</v>
      </c>
      <c r="Z398" s="192">
        <f t="shared" si="869"/>
        <v>13024302.672462206</v>
      </c>
      <c r="AA398" t="str">
        <f t="shared" si="870"/>
        <v>-</v>
      </c>
      <c r="AB398" t="str">
        <f t="shared" si="871"/>
        <v>-</v>
      </c>
      <c r="AC398" s="81"/>
      <c r="AD398" s="34" t="e">
        <f>C398-GAAP!C423</f>
        <v>#VALUE!</v>
      </c>
      <c r="AE398" s="81"/>
      <c r="AF398" s="346">
        <f>AF218+AF278+AF317</f>
        <v>1475449017.7299998</v>
      </c>
      <c r="AG398" s="346">
        <f>AG218+AG278+AG317</f>
        <v>1387652215.6300001</v>
      </c>
      <c r="AH398" s="346">
        <f>AH218+AH278+AH317</f>
        <v>87796802.099999979</v>
      </c>
      <c r="AI398" s="346"/>
      <c r="AJ398" s="346">
        <f t="shared" ref="AJ398:AP398" si="1025">AJ218+AJ278+AJ317</f>
        <v>64701897.776873</v>
      </c>
      <c r="AK398" s="346">
        <f t="shared" si="1025"/>
        <v>1093567640.0168731</v>
      </c>
      <c r="AL398" s="346">
        <f t="shared" si="1025"/>
        <v>1914545.033127008</v>
      </c>
      <c r="AM398" s="346">
        <f t="shared" si="1025"/>
        <v>358786473.38999999</v>
      </c>
      <c r="AN398" s="346">
        <f t="shared" si="1025"/>
        <v>379966832.68000001</v>
      </c>
      <c r="AO398" s="346" t="e">
        <f t="shared" si="1025"/>
        <v>#REF!</v>
      </c>
      <c r="AP398" s="346" t="e">
        <f t="shared" si="1025"/>
        <v>#REF!</v>
      </c>
    </row>
    <row r="399" spans="1:44" s="57" customFormat="1" ht="13.5" customHeight="1">
      <c r="A399" s="346" t="s">
        <v>164</v>
      </c>
      <c r="B399" s="346"/>
      <c r="C399" s="346">
        <f>C219+C279+C384+C396</f>
        <v>152608093.41000003</v>
      </c>
      <c r="D399" s="346">
        <f>D219+D279+D384+D396</f>
        <v>147840152.80999997</v>
      </c>
      <c r="E399" s="346">
        <f>E219+E279+E384+E396</f>
        <v>4767940.599999994</v>
      </c>
      <c r="F399" s="346">
        <f>F219+F279+F384+F396</f>
        <v>147840152.80999997</v>
      </c>
      <c r="G399" s="346"/>
      <c r="H399" s="346">
        <f t="shared" ref="H399:S399" si="1026">H219+H279+H384+H396</f>
        <v>4767940.599999994</v>
      </c>
      <c r="I399" s="346">
        <f t="shared" si="1026"/>
        <v>152608093.41000003</v>
      </c>
      <c r="J399" s="346">
        <f t="shared" si="1026"/>
        <v>152608093.41000003</v>
      </c>
      <c r="K399" s="482">
        <f t="shared" si="1026"/>
        <v>0</v>
      </c>
      <c r="L399" s="482">
        <f t="shared" si="1026"/>
        <v>0</v>
      </c>
      <c r="M399" s="482">
        <f t="shared" si="1026"/>
        <v>0</v>
      </c>
      <c r="N399" s="346">
        <f t="shared" si="1026"/>
        <v>112492442.66999999</v>
      </c>
      <c r="O399" s="346">
        <f t="shared" si="1026"/>
        <v>130560851.55999999</v>
      </c>
      <c r="P399" s="346">
        <f t="shared" si="1026"/>
        <v>17833981.082099926</v>
      </c>
      <c r="Q399" s="346">
        <f t="shared" si="1026"/>
        <v>35347710.140000008</v>
      </c>
      <c r="R399" s="346">
        <f t="shared" si="1026"/>
        <v>22047241.850000001</v>
      </c>
      <c r="S399" s="346">
        <f t="shared" si="1026"/>
        <v>-13066040.482099928</v>
      </c>
      <c r="T399" s="186"/>
      <c r="U399" s="185"/>
      <c r="V399" s="81"/>
      <c r="W399" s="293"/>
      <c r="X399" s="293"/>
      <c r="Y399" s="311">
        <v>-1482175.0031987187</v>
      </c>
      <c r="Z399" s="192">
        <f t="shared" si="869"/>
        <v>-11583865.478901209</v>
      </c>
      <c r="AA399" t="str">
        <f t="shared" si="870"/>
        <v>-</v>
      </c>
      <c r="AB399" t="str">
        <f t="shared" si="871"/>
        <v>-</v>
      </c>
      <c r="AC399" s="81"/>
      <c r="AD399" s="34" t="e">
        <f>C399-GAAP!C424</f>
        <v>#VALUE!</v>
      </c>
      <c r="AE399" s="81"/>
      <c r="AF399" s="346">
        <f>AF219+AF279+AF384+AF396</f>
        <v>51670078.560000002</v>
      </c>
      <c r="AG399" s="346">
        <f>AG219+AG279+AG384+AG396</f>
        <v>59204495.579999991</v>
      </c>
      <c r="AH399" s="346">
        <f>AH219+AH279+AH384+AH396</f>
        <v>-7534417.0200000014</v>
      </c>
      <c r="AI399" s="346"/>
      <c r="AJ399" s="346">
        <f t="shared" ref="AJ399:AP399" si="1027">AJ219+AJ279+AJ384+AJ396</f>
        <v>-7534417.0200000014</v>
      </c>
      <c r="AK399" s="346">
        <f t="shared" si="1027"/>
        <v>51670078.560000002</v>
      </c>
      <c r="AL399" s="482">
        <f t="shared" si="1027"/>
        <v>0</v>
      </c>
      <c r="AM399" s="482">
        <f t="shared" si="1027"/>
        <v>0</v>
      </c>
      <c r="AN399" s="482">
        <f t="shared" si="1027"/>
        <v>0</v>
      </c>
      <c r="AO399" s="346" t="e">
        <f t="shared" si="1027"/>
        <v>#REF!</v>
      </c>
      <c r="AP399" s="346" t="e">
        <f t="shared" si="1027"/>
        <v>#REF!</v>
      </c>
    </row>
    <row r="400" spans="1:44" s="57" customFormat="1" ht="13.5" customHeight="1" thickBot="1">
      <c r="A400" s="204" t="s">
        <v>54</v>
      </c>
      <c r="B400" s="204"/>
      <c r="C400" s="204">
        <f>SUM(C398:C399)</f>
        <v>2024557298.8199999</v>
      </c>
      <c r="D400" s="204">
        <f t="shared" ref="D400:F400" si="1028">SUM(D398:D399)</f>
        <v>1893652246.8299999</v>
      </c>
      <c r="E400" s="204">
        <f t="shared" si="1028"/>
        <v>130905051.98999999</v>
      </c>
      <c r="F400" s="204">
        <f t="shared" si="1028"/>
        <v>1189375151.0799999</v>
      </c>
      <c r="G400" s="204"/>
      <c r="H400" s="204">
        <f t="shared" ref="H400:R400" si="1029">SUM(H398:H399)</f>
        <v>71040611.823135957</v>
      </c>
      <c r="I400" s="204">
        <f t="shared" si="1029"/>
        <v>1260415762.903136</v>
      </c>
      <c r="J400" s="204">
        <f t="shared" si="1029"/>
        <v>1260032177.6699998</v>
      </c>
      <c r="K400" s="204">
        <f>SUM(K398:K399)</f>
        <v>-383585.23313595215</v>
      </c>
      <c r="L400" s="204">
        <f t="shared" si="1029"/>
        <v>704277095.75</v>
      </c>
      <c r="M400" s="204">
        <f t="shared" si="1029"/>
        <v>764525121.14999998</v>
      </c>
      <c r="N400" s="204">
        <f t="shared" si="1029"/>
        <v>850491382.19999993</v>
      </c>
      <c r="O400" s="204">
        <f t="shared" si="1029"/>
        <v>905013820.6099999</v>
      </c>
      <c r="P400" s="204">
        <f>SUM(P398:P399)</f>
        <v>58904398.164860681</v>
      </c>
      <c r="Q400" s="204">
        <f>SUM(Q398:Q399)</f>
        <v>338883768.87999994</v>
      </c>
      <c r="R400" s="204">
        <f t="shared" si="1029"/>
        <v>355018357.06</v>
      </c>
      <c r="S400" s="204">
        <f>SUM(S398:S399)</f>
        <v>12136213.658275295</v>
      </c>
      <c r="T400" s="203"/>
      <c r="U400" s="199"/>
      <c r="V400" s="205"/>
      <c r="W400" s="288">
        <f>SUM(W9:W395)</f>
        <v>52896373.239297777</v>
      </c>
      <c r="X400" s="294"/>
      <c r="Y400" s="311">
        <v>10695776.464714298</v>
      </c>
      <c r="Z400" s="192">
        <f t="shared" si="869"/>
        <v>1440437.193560997</v>
      </c>
      <c r="AA400" t="str">
        <f t="shared" si="870"/>
        <v>-</v>
      </c>
      <c r="AB400" t="str">
        <f t="shared" si="871"/>
        <v>-</v>
      </c>
      <c r="AC400" s="205"/>
      <c r="AD400" s="34" t="e">
        <f>C400-GAAP!C425</f>
        <v>#VALUE!</v>
      </c>
      <c r="AE400" s="205"/>
      <c r="AF400" s="204">
        <f>SUM(AF398:AF399)</f>
        <v>1527119096.2899997</v>
      </c>
      <c r="AG400" s="204">
        <f t="shared" ref="AG400:AP400" si="1030">SUM(AG398:AG399)</f>
        <v>1446856711.21</v>
      </c>
      <c r="AH400" s="204">
        <f t="shared" si="1030"/>
        <v>80262385.079999983</v>
      </c>
      <c r="AI400" s="204"/>
      <c r="AJ400" s="204">
        <f t="shared" si="1030"/>
        <v>57167480.756872997</v>
      </c>
      <c r="AK400" s="204">
        <f t="shared" si="1030"/>
        <v>1145237718.5768731</v>
      </c>
      <c r="AL400" s="204">
        <f t="shared" si="1030"/>
        <v>1914545.033127008</v>
      </c>
      <c r="AM400" s="204">
        <f t="shared" si="1030"/>
        <v>358786473.38999999</v>
      </c>
      <c r="AN400" s="204">
        <f t="shared" si="1030"/>
        <v>379966832.68000001</v>
      </c>
      <c r="AO400" s="204" t="e">
        <f t="shared" si="1030"/>
        <v>#REF!</v>
      </c>
      <c r="AP400" s="459" t="e">
        <f t="shared" si="1030"/>
        <v>#REF!</v>
      </c>
    </row>
    <row r="401" spans="1:42" s="57" customFormat="1" ht="12" customHeight="1" thickTop="1">
      <c r="A401" s="99"/>
      <c r="B401" s="99"/>
      <c r="C401" s="161"/>
      <c r="D401" s="99"/>
      <c r="E401" s="146"/>
      <c r="F401" s="161"/>
      <c r="G401" s="99"/>
      <c r="H401" s="161"/>
      <c r="I401" s="99"/>
      <c r="J401" s="146"/>
      <c r="K401" s="99"/>
      <c r="L401" s="99"/>
      <c r="M401" s="99"/>
      <c r="N401" s="146"/>
      <c r="O401" s="146"/>
      <c r="P401" s="146"/>
      <c r="Q401" s="67"/>
      <c r="R401" s="67"/>
      <c r="S401" s="67"/>
      <c r="T401" s="187"/>
      <c r="U401" s="185"/>
      <c r="V401" s="70"/>
      <c r="W401" s="295"/>
      <c r="X401" s="295"/>
      <c r="Y401" s="310"/>
      <c r="Z401" s="192"/>
      <c r="AA401" s="70"/>
      <c r="AB401" s="70"/>
      <c r="AC401" s="70"/>
      <c r="AD401" s="34"/>
      <c r="AE401" s="70"/>
      <c r="AF401" s="70"/>
      <c r="AG401" s="70"/>
      <c r="AH401" s="70"/>
      <c r="AI401" s="70"/>
      <c r="AJ401" s="70"/>
      <c r="AK401" s="70"/>
      <c r="AL401" s="70"/>
      <c r="AM401" s="70"/>
      <c r="AN401" s="70"/>
      <c r="AO401" s="70"/>
      <c r="AP401" s="70"/>
    </row>
    <row r="402" spans="1:42" s="57" customFormat="1" ht="13.5" customHeight="1">
      <c r="C402" s="162"/>
      <c r="D402" s="64"/>
      <c r="E402" s="149"/>
      <c r="F402" s="298"/>
      <c r="G402" s="69"/>
      <c r="H402" s="223"/>
      <c r="I402" s="57" t="s">
        <v>39</v>
      </c>
      <c r="J402" s="149"/>
      <c r="K402" s="64"/>
      <c r="L402" s="64"/>
      <c r="N402" s="149"/>
      <c r="O402" s="149"/>
      <c r="P402" s="149"/>
      <c r="Q402" s="64"/>
      <c r="R402" s="64"/>
      <c r="S402" s="64"/>
      <c r="U402" s="118"/>
      <c r="W402" s="282"/>
      <c r="X402" s="282"/>
      <c r="Y402" s="311"/>
      <c r="Z402" s="192"/>
      <c r="AJ402" s="82" t="s">
        <v>32</v>
      </c>
      <c r="AM402" s="64"/>
    </row>
    <row r="403" spans="1:42" s="57" customFormat="1" ht="13.5" customHeight="1">
      <c r="C403" s="149"/>
      <c r="D403" s="65"/>
      <c r="E403" s="149"/>
      <c r="F403" s="149"/>
      <c r="H403" s="148"/>
      <c r="I403" s="57" t="s">
        <v>33</v>
      </c>
      <c r="J403" s="149"/>
      <c r="L403" s="64">
        <f>+R400</f>
        <v>355018357.06</v>
      </c>
      <c r="M403" s="64"/>
      <c r="N403" s="149"/>
      <c r="O403" s="149"/>
      <c r="P403" s="148"/>
      <c r="Q403" s="298"/>
      <c r="R403" s="298"/>
      <c r="U403" s="118"/>
      <c r="W403" s="282"/>
      <c r="X403" s="282"/>
      <c r="Y403" s="311"/>
      <c r="Z403" s="192"/>
      <c r="AJ403" s="82" t="s">
        <v>33</v>
      </c>
      <c r="AM403" s="71">
        <f>R400</f>
        <v>355018357.06</v>
      </c>
    </row>
    <row r="404" spans="1:42" s="57" customFormat="1" ht="13.5" customHeight="1">
      <c r="C404" s="148"/>
      <c r="E404" s="149"/>
      <c r="F404" s="298"/>
      <c r="G404" s="64"/>
      <c r="H404" s="148"/>
      <c r="I404" s="57" t="s">
        <v>24</v>
      </c>
      <c r="J404" s="149"/>
      <c r="K404" s="64">
        <v>-4381959.7548606796</v>
      </c>
      <c r="L404" s="71"/>
      <c r="M404" s="64"/>
      <c r="N404" s="149"/>
      <c r="O404" s="149"/>
      <c r="P404" s="148"/>
      <c r="Q404" s="64"/>
      <c r="R404" s="64"/>
      <c r="U404" s="118"/>
      <c r="W404" s="282"/>
      <c r="X404" s="282"/>
      <c r="Y404" s="311"/>
      <c r="Z404" s="192"/>
      <c r="AJ404" s="82" t="s">
        <v>24</v>
      </c>
      <c r="AL404" s="71">
        <v>1626065.1707022099</v>
      </c>
      <c r="AM404" s="64"/>
    </row>
    <row r="405" spans="1:42" s="57" customFormat="1" ht="13.5" customHeight="1">
      <c r="C405" s="148"/>
      <c r="E405" s="149"/>
      <c r="F405" s="298"/>
      <c r="H405" s="148"/>
      <c r="I405" s="57" t="s">
        <v>25</v>
      </c>
      <c r="J405" s="149"/>
      <c r="K405" s="72">
        <f>-K400</f>
        <v>383585.23313595215</v>
      </c>
      <c r="L405" s="73">
        <f>SUM(K404:K405)</f>
        <v>-3998374.5217247275</v>
      </c>
      <c r="M405" s="64"/>
      <c r="N405" s="64"/>
      <c r="O405" s="148"/>
      <c r="P405" s="148"/>
      <c r="Q405" s="64"/>
      <c r="R405" s="64"/>
      <c r="U405" s="118"/>
      <c r="W405" s="282"/>
      <c r="X405" s="282"/>
      <c r="Y405" s="311"/>
      <c r="Z405" s="192"/>
      <c r="AJ405" s="82" t="s">
        <v>25</v>
      </c>
      <c r="AL405" s="73">
        <f>-AL400</f>
        <v>-1914545.033127008</v>
      </c>
      <c r="AM405" s="72">
        <f>SUM(AL404:AL405)</f>
        <v>-288479.86242479808</v>
      </c>
    </row>
    <row r="406" spans="1:42" s="57" customFormat="1" ht="13.5" customHeight="1">
      <c r="C406" s="148"/>
      <c r="E406" s="149"/>
      <c r="F406" s="298"/>
      <c r="H406" s="148"/>
      <c r="I406" s="57" t="s">
        <v>40</v>
      </c>
      <c r="J406" s="149"/>
      <c r="K406" s="64">
        <f>SUM(K403:K405)</f>
        <v>-3998374.5217247275</v>
      </c>
      <c r="L406" s="71">
        <f>SUM(L403:L405)</f>
        <v>351019982.5382753</v>
      </c>
      <c r="M406" s="175"/>
      <c r="N406" s="148"/>
      <c r="O406" s="148"/>
      <c r="P406" s="148"/>
      <c r="Q406" s="64"/>
      <c r="R406" s="281"/>
      <c r="U406" s="118"/>
      <c r="W406" s="282"/>
      <c r="X406" s="282"/>
      <c r="Y406" s="311"/>
      <c r="Z406" s="192"/>
      <c r="AJ406" s="82" t="s">
        <v>34</v>
      </c>
      <c r="AL406" s="71">
        <f>SUM(AL404:AL405)</f>
        <v>-288479.86242479808</v>
      </c>
      <c r="AM406" s="64">
        <f>SUM(AM403:AM405)</f>
        <v>354729877.19757521</v>
      </c>
    </row>
    <row r="407" spans="1:42" s="57" customFormat="1" ht="13.5" customHeight="1">
      <c r="C407" s="148"/>
      <c r="E407" s="149"/>
      <c r="F407" s="298"/>
      <c r="H407" s="148"/>
      <c r="I407" s="57" t="s">
        <v>21</v>
      </c>
      <c r="J407" s="149"/>
      <c r="K407" s="64"/>
      <c r="L407" s="64">
        <f>-Q400</f>
        <v>-338883768.87999994</v>
      </c>
      <c r="M407" s="64"/>
      <c r="N407" s="148"/>
      <c r="O407" s="148"/>
      <c r="P407" s="148"/>
      <c r="Q407" s="64"/>
      <c r="R407" s="64"/>
      <c r="U407" s="118"/>
      <c r="W407" s="282"/>
      <c r="X407" s="282"/>
      <c r="Y407" s="311"/>
      <c r="Z407" s="192"/>
      <c r="AJ407" s="82" t="s">
        <v>35</v>
      </c>
      <c r="AL407" s="71"/>
      <c r="AM407" s="64">
        <f>-Q400</f>
        <v>-338883768.87999994</v>
      </c>
    </row>
    <row r="408" spans="1:42" s="57" customFormat="1" ht="10.5" customHeight="1">
      <c r="C408" s="148"/>
      <c r="E408" s="149"/>
      <c r="F408" s="298"/>
      <c r="H408" s="148"/>
      <c r="J408" s="149"/>
      <c r="M408" s="64"/>
      <c r="N408" s="148"/>
      <c r="O408" s="148"/>
      <c r="P408" s="148"/>
      <c r="Q408" s="64"/>
      <c r="R408" s="64"/>
      <c r="S408" s="64"/>
      <c r="U408" s="118"/>
      <c r="W408" s="282"/>
      <c r="X408" s="282"/>
      <c r="Y408" s="311"/>
      <c r="Z408" s="192"/>
      <c r="AJ408" s="82"/>
      <c r="AL408" s="71"/>
      <c r="AM408" s="64"/>
    </row>
    <row r="409" spans="1:42" s="57" customFormat="1" ht="13.5" customHeight="1" thickBot="1">
      <c r="C409" s="149"/>
      <c r="D409" s="149"/>
      <c r="E409" s="149"/>
      <c r="F409" s="298"/>
      <c r="H409" s="148"/>
      <c r="I409" s="57" t="s">
        <v>41</v>
      </c>
      <c r="J409" s="149"/>
      <c r="L409" s="74">
        <f>L406+L407+L408</f>
        <v>12136213.658275366</v>
      </c>
      <c r="M409" s="64"/>
      <c r="N409" s="148"/>
      <c r="O409" s="148"/>
      <c r="P409" s="148"/>
      <c r="Q409" s="64"/>
      <c r="R409" s="64"/>
      <c r="U409" s="118"/>
      <c r="W409" s="282"/>
      <c r="X409" s="282"/>
      <c r="Y409" s="311"/>
      <c r="Z409" s="192"/>
      <c r="AJ409" s="82" t="s">
        <v>36</v>
      </c>
      <c r="AM409" s="88">
        <f>AM406+AM407</f>
        <v>15846108.317575276</v>
      </c>
    </row>
    <row r="410" spans="1:42" ht="13.5" thickTop="1">
      <c r="A410" s="57"/>
      <c r="B410" s="57"/>
      <c r="C410" s="148"/>
      <c r="D410" s="57"/>
      <c r="E410" s="149"/>
      <c r="F410" s="298"/>
      <c r="G410" s="57"/>
      <c r="H410" s="148"/>
      <c r="I410" s="57"/>
      <c r="J410" s="149"/>
      <c r="K410" s="57"/>
      <c r="L410" s="71"/>
      <c r="M410" s="57"/>
      <c r="N410" s="148"/>
      <c r="O410" s="148"/>
      <c r="P410" s="148"/>
      <c r="Q410" s="64"/>
      <c r="R410" s="64"/>
      <c r="S410" s="57"/>
      <c r="T410" s="57"/>
      <c r="U410" s="118"/>
      <c r="V410" s="57"/>
      <c r="X410" s="282"/>
      <c r="AA410" s="57"/>
      <c r="AB410" s="57"/>
      <c r="AC410" s="57"/>
      <c r="AD410" s="57"/>
      <c r="AE410" s="57"/>
      <c r="AF410" s="57"/>
      <c r="AG410" s="57"/>
      <c r="AH410" s="57"/>
      <c r="AI410" s="57"/>
      <c r="AJ410" s="57"/>
      <c r="AK410" s="57"/>
      <c r="AL410" s="57"/>
      <c r="AM410" s="57"/>
      <c r="AN410" s="57"/>
      <c r="AO410" s="57"/>
      <c r="AP410" s="57"/>
    </row>
    <row r="411" spans="1:42">
      <c r="A411" s="57"/>
      <c r="B411" s="57"/>
      <c r="C411" s="148"/>
      <c r="D411" s="57"/>
      <c r="E411" s="149"/>
      <c r="F411" s="298"/>
      <c r="G411" s="57"/>
      <c r="H411" s="148"/>
      <c r="I411" s="57" t="s">
        <v>53</v>
      </c>
      <c r="J411" s="149"/>
      <c r="K411" s="57"/>
      <c r="L411" s="527">
        <f>L409-S400</f>
        <v>7.0780515670776367E-8</v>
      </c>
      <c r="M411" s="57"/>
      <c r="N411" s="148"/>
      <c r="O411" s="148"/>
      <c r="P411" s="148"/>
      <c r="Q411" s="64"/>
      <c r="R411" s="64"/>
      <c r="S411" s="64"/>
      <c r="T411" s="57"/>
      <c r="U411" s="118"/>
      <c r="V411" s="57"/>
      <c r="X411" s="282"/>
      <c r="AA411" s="57"/>
      <c r="AB411" s="57"/>
      <c r="AC411" s="57"/>
      <c r="AD411" s="57"/>
      <c r="AE411" s="57"/>
      <c r="AF411" s="57"/>
      <c r="AG411" s="57"/>
      <c r="AH411" s="57"/>
      <c r="AI411" s="57"/>
      <c r="AJ411" s="82" t="s">
        <v>53</v>
      </c>
      <c r="AK411" s="57"/>
      <c r="AL411" s="57"/>
      <c r="AM411" s="71" t="e">
        <f>AM409-AP400</f>
        <v>#REF!</v>
      </c>
      <c r="AN411" s="57"/>
      <c r="AO411" s="57"/>
      <c r="AP411" s="57"/>
    </row>
    <row r="412" spans="1:42" s="57" customFormat="1" ht="13.5" customHeight="1">
      <c r="C412" s="148"/>
      <c r="E412" s="149"/>
      <c r="F412" s="298"/>
      <c r="H412" s="148"/>
      <c r="J412" s="149"/>
      <c r="N412" s="148"/>
      <c r="O412" s="148"/>
      <c r="P412" s="148"/>
      <c r="Q412" s="64"/>
      <c r="R412" s="64"/>
      <c r="U412" s="118"/>
      <c r="W412" s="282"/>
      <c r="X412" s="282"/>
      <c r="Y412" s="311"/>
      <c r="Z412" s="192"/>
    </row>
    <row r="413" spans="1:42" s="57" customFormat="1" ht="13.5" customHeight="1">
      <c r="A413" s="57" t="s">
        <v>117</v>
      </c>
      <c r="C413" s="148"/>
      <c r="E413" s="149"/>
      <c r="F413" s="298"/>
      <c r="H413" s="148"/>
      <c r="J413" s="149"/>
      <c r="K413" s="64"/>
      <c r="N413" s="148"/>
      <c r="O413" s="148"/>
      <c r="P413" s="148"/>
      <c r="Q413" s="64"/>
      <c r="R413" s="64"/>
      <c r="U413" s="118"/>
      <c r="W413" s="282"/>
      <c r="X413" s="282"/>
      <c r="Y413" s="311"/>
      <c r="Z413" s="192"/>
    </row>
    <row r="414" spans="1:42" s="57" customFormat="1" ht="13.5" customHeight="1">
      <c r="A414" s="263">
        <v>51.110799999999998</v>
      </c>
      <c r="B414" s="57" t="s">
        <v>181</v>
      </c>
      <c r="C414" s="163">
        <f>C9-GAAP!C9</f>
        <v>150450.1400000006</v>
      </c>
      <c r="D414" s="163">
        <f>D9-GAAP!D9</f>
        <v>2211.2000000029802</v>
      </c>
      <c r="E414" s="149">
        <f>E9-GAAP!E9</f>
        <v>148238.93999999762</v>
      </c>
      <c r="F414" s="149"/>
      <c r="G414" s="149"/>
      <c r="H414" s="149"/>
      <c r="I414" s="33"/>
      <c r="J414" s="154"/>
      <c r="K414" s="33"/>
      <c r="L414" s="33"/>
      <c r="M414" s="33"/>
      <c r="N414" s="154"/>
      <c r="O414" s="154"/>
      <c r="P414" s="154"/>
      <c r="Q414" s="33"/>
      <c r="R414" s="33"/>
      <c r="S414" s="149"/>
      <c r="T414"/>
      <c r="U414" s="15"/>
      <c r="V414"/>
      <c r="W414" s="282"/>
      <c r="X414" s="290"/>
      <c r="Y414" s="311"/>
      <c r="Z414" s="192"/>
      <c r="AA414"/>
      <c r="AB414"/>
      <c r="AC414"/>
      <c r="AD414"/>
      <c r="AE414"/>
      <c r="AF414" s="458">
        <f>AF400-GAAP!C400</f>
        <v>-484611837.12000012</v>
      </c>
      <c r="AG414" s="458">
        <f>AG400-GAAP!D400</f>
        <v>-435823024.02999973</v>
      </c>
      <c r="AH414" s="458">
        <f>AH400-GAAP!E400</f>
        <v>-48788813.090000004</v>
      </c>
      <c r="AI414" s="458"/>
      <c r="AJ414" s="458">
        <f>AJ400-GAAP!H400</f>
        <v>-13010639.540318862</v>
      </c>
      <c r="AK414" s="458">
        <f>AK400-GAAP!I400</f>
        <v>-114315552.80031872</v>
      </c>
      <c r="AL414" s="458">
        <f>AL400-GAAP!K400</f>
        <v>1435638.7403188529</v>
      </c>
      <c r="AM414" s="458">
        <f>AM400-GAAP!L400</f>
        <v>-334518110.76999998</v>
      </c>
      <c r="AN414" s="458">
        <f>AN400-GAAP!M400</f>
        <v>-371731923.06</v>
      </c>
      <c r="AO414" s="458" t="e">
        <f>AO400-GAAP!P400</f>
        <v>#REF!</v>
      </c>
      <c r="AP414" s="458" t="e">
        <f>AP400-GAAP!S400</f>
        <v>#REF!</v>
      </c>
    </row>
    <row r="415" spans="1:42" s="57" customFormat="1" ht="13.5" customHeight="1">
      <c r="A415" s="263">
        <v>52.856299999999997</v>
      </c>
      <c r="B415" s="57" t="str">
        <f>B44</f>
        <v>City of Santa Cruz - Graham Hill WTP Facility Improvements - Phase 1</v>
      </c>
      <c r="C415" s="149">
        <f>C44-GAAP!C44</f>
        <v>40144.600000000093</v>
      </c>
      <c r="D415" s="149">
        <f>D44-GAAP!D44</f>
        <v>21713.04999999993</v>
      </c>
      <c r="E415" s="149">
        <f>E44-GAAP!E44</f>
        <v>18431.550000000163</v>
      </c>
      <c r="F415" s="149"/>
      <c r="G415" s="149"/>
      <c r="H415" s="149"/>
      <c r="I415" s="33"/>
      <c r="J415" s="154"/>
      <c r="K415" s="33"/>
      <c r="L415" s="33"/>
      <c r="M415" s="33"/>
      <c r="N415" s="154"/>
      <c r="O415" s="154"/>
      <c r="P415" s="154"/>
      <c r="Q415" s="33"/>
      <c r="R415" s="33"/>
      <c r="S415" s="149"/>
      <c r="T415"/>
      <c r="U415" s="15"/>
      <c r="V415"/>
      <c r="W415" s="282"/>
      <c r="X415" s="290"/>
      <c r="Y415" s="311"/>
      <c r="Z415" s="192"/>
      <c r="AA415"/>
      <c r="AB415"/>
      <c r="AC415"/>
      <c r="AD415"/>
      <c r="AE415"/>
      <c r="AF415"/>
      <c r="AG415"/>
      <c r="AH415"/>
      <c r="AI415"/>
      <c r="AJ415"/>
      <c r="AK415"/>
      <c r="AL415"/>
      <c r="AM415"/>
      <c r="AN415"/>
      <c r="AO415"/>
      <c r="AP415"/>
    </row>
    <row r="416" spans="1:42" s="57" customFormat="1" ht="13.5" customHeight="1">
      <c r="A416" s="263">
        <v>52.863599999999998</v>
      </c>
      <c r="B416" s="57" t="str">
        <f>B48</f>
        <v>Anaergia Technologies, LLC - Anaergia M1W Digester Mixing Project</v>
      </c>
      <c r="C416" s="149">
        <f>C48-GAAP!C48</f>
        <v>-13915</v>
      </c>
      <c r="D416" s="149">
        <f>D48-GAAP!D48</f>
        <v>-13915</v>
      </c>
      <c r="E416" s="149">
        <f>E48-GAAP!E48</f>
        <v>0</v>
      </c>
      <c r="F416" s="149"/>
      <c r="G416" s="149"/>
      <c r="H416" s="149"/>
      <c r="I416" s="33"/>
      <c r="J416" s="154"/>
      <c r="K416" s="33"/>
      <c r="L416" s="33"/>
      <c r="M416" s="33"/>
      <c r="N416" s="154"/>
      <c r="O416" s="154"/>
      <c r="P416" s="154"/>
      <c r="Q416" s="33"/>
      <c r="R416" s="33"/>
      <c r="S416" s="149"/>
      <c r="T416"/>
      <c r="U416" s="15"/>
      <c r="V416"/>
      <c r="W416" s="282"/>
      <c r="X416" s="290"/>
      <c r="Y416" s="311"/>
      <c r="Z416" s="192"/>
      <c r="AA416"/>
      <c r="AB416"/>
      <c r="AC416"/>
      <c r="AD416"/>
      <c r="AE416"/>
      <c r="AF416"/>
      <c r="AG416"/>
      <c r="AH416"/>
      <c r="AI416"/>
      <c r="AJ416"/>
      <c r="AK416"/>
      <c r="AL416"/>
      <c r="AM416"/>
      <c r="AN416"/>
      <c r="AO416"/>
      <c r="AP416"/>
    </row>
    <row r="417" spans="1:42" s="57" customFormat="1" ht="13.5" customHeight="1">
      <c r="A417" s="263">
        <v>54.926900000000003</v>
      </c>
      <c r="B417" s="65" t="str">
        <f>B124</f>
        <v>Semitropic Water Storage Dist. - Design &amp; Construction of the Central TCP Facility-Phase 1</v>
      </c>
      <c r="C417" s="149">
        <f>C124-GAAP!C124</f>
        <v>0</v>
      </c>
      <c r="D417" s="149">
        <f>D124-GAAP!D124</f>
        <v>41752.380000000005</v>
      </c>
      <c r="E417" s="149">
        <f>E124-GAAP!E124</f>
        <v>-41752.380000000048</v>
      </c>
      <c r="F417" s="149"/>
      <c r="G417" s="149"/>
      <c r="H417" s="149"/>
      <c r="I417" s="33"/>
      <c r="J417" s="154"/>
      <c r="K417" s="33"/>
      <c r="L417" s="33"/>
      <c r="M417" s="33"/>
      <c r="N417" s="154"/>
      <c r="O417" s="154"/>
      <c r="P417" s="154"/>
      <c r="Q417" s="33"/>
      <c r="R417" s="33"/>
      <c r="S417" s="149"/>
      <c r="T417"/>
      <c r="U417" s="15"/>
      <c r="V417"/>
      <c r="W417" s="282"/>
      <c r="X417" s="290"/>
      <c r="Y417" s="311"/>
      <c r="Z417" s="192"/>
      <c r="AA417"/>
      <c r="AB417"/>
      <c r="AC417"/>
      <c r="AD417"/>
      <c r="AE417"/>
      <c r="AF417"/>
      <c r="AG417"/>
      <c r="AH417"/>
      <c r="AI417"/>
      <c r="AJ417"/>
      <c r="AK417"/>
      <c r="AL417"/>
      <c r="AM417"/>
      <c r="AN417"/>
      <c r="AO417"/>
      <c r="AP417"/>
    </row>
    <row r="418" spans="1:42" s="57" customFormat="1" ht="13.5" customHeight="1">
      <c r="A418" s="263">
        <v>54.941400000000002</v>
      </c>
      <c r="B418" s="57" t="str">
        <f>B148</f>
        <v>Cawelo Water Dist. - Cawelo Diversion Structure Rehab</v>
      </c>
      <c r="C418" s="149">
        <f>C148-GAAP!C148</f>
        <v>21189.150000000023</v>
      </c>
      <c r="D418" s="149">
        <f>D148-GAAP!D148</f>
        <v>1189.1500000000233</v>
      </c>
      <c r="E418" s="149">
        <f>E148-GAAP!E148</f>
        <v>20000</v>
      </c>
      <c r="F418" s="149"/>
      <c r="G418" s="149"/>
      <c r="H418" s="149"/>
      <c r="I418" s="33"/>
      <c r="J418" s="154"/>
      <c r="K418" s="33"/>
      <c r="L418" s="33"/>
      <c r="M418" s="33"/>
      <c r="N418" s="154"/>
      <c r="O418" s="154"/>
      <c r="P418" s="154"/>
      <c r="Q418" s="33"/>
      <c r="R418" s="33"/>
      <c r="S418" s="149"/>
      <c r="T418"/>
      <c r="U418" s="15"/>
      <c r="V418"/>
      <c r="W418" s="282"/>
      <c r="X418" s="290"/>
      <c r="Y418" s="311"/>
      <c r="Z418" s="192"/>
      <c r="AA418"/>
      <c r="AB418"/>
      <c r="AC418"/>
      <c r="AD418"/>
      <c r="AE418"/>
      <c r="AF418"/>
      <c r="AG418"/>
      <c r="AH418"/>
      <c r="AI418"/>
      <c r="AJ418"/>
      <c r="AK418"/>
      <c r="AL418"/>
      <c r="AM418"/>
      <c r="AN418"/>
      <c r="AO418"/>
      <c r="AP418"/>
    </row>
    <row r="419" spans="1:42" s="57" customFormat="1" ht="13.5" customHeight="1">
      <c r="A419" s="441">
        <v>55.109000000000002</v>
      </c>
      <c r="B419" s="57" t="str">
        <f>B223</f>
        <v>LA Dept of Water and Power - Silverlake</v>
      </c>
      <c r="C419" s="149">
        <f>C223-GAAP!C223</f>
        <v>164727.63999999966</v>
      </c>
      <c r="D419" s="149">
        <f>D223-GAAP!D223</f>
        <v>65935.950000000186</v>
      </c>
      <c r="E419" s="149">
        <f>E223-GAAP!E223</f>
        <v>98791.689999999478</v>
      </c>
      <c r="F419" s="149"/>
      <c r="G419" s="149"/>
      <c r="H419" s="149"/>
      <c r="J419" s="149"/>
      <c r="N419" s="148"/>
      <c r="O419" s="148"/>
      <c r="P419" s="148"/>
      <c r="Q419" s="64"/>
      <c r="R419" s="64"/>
      <c r="S419" s="149"/>
      <c r="U419" s="118"/>
      <c r="W419" s="282"/>
      <c r="X419" s="282"/>
      <c r="Y419" s="311"/>
      <c r="Z419" s="192"/>
    </row>
    <row r="420" spans="1:42" s="57" customFormat="1" ht="13.5" customHeight="1">
      <c r="A420" s="441">
        <v>55.12</v>
      </c>
      <c r="B420" s="57" t="s">
        <v>186</v>
      </c>
      <c r="C420" s="149">
        <f>C226-GAAP!C226</f>
        <v>900000</v>
      </c>
      <c r="D420" s="149">
        <f>D226-GAAP!D226</f>
        <v>4739.5099999904633</v>
      </c>
      <c r="E420" s="149">
        <f>E226-GAAP!E226</f>
        <v>895260.49000000954</v>
      </c>
      <c r="F420" s="149"/>
      <c r="G420" s="149"/>
      <c r="H420" s="149"/>
      <c r="J420" s="149"/>
      <c r="N420" s="148"/>
      <c r="O420" s="148"/>
      <c r="P420" s="148"/>
      <c r="Q420" s="64"/>
      <c r="R420" s="64"/>
      <c r="S420" s="149"/>
      <c r="U420" s="118"/>
      <c r="W420" s="282"/>
      <c r="X420" s="282"/>
      <c r="Y420" s="311"/>
      <c r="Z420" s="192"/>
    </row>
    <row r="421" spans="1:42" s="57" customFormat="1" ht="13.5" customHeight="1">
      <c r="A421" s="441">
        <v>55.120399999999997</v>
      </c>
      <c r="B421" s="57" t="s">
        <v>188</v>
      </c>
      <c r="C421" s="149">
        <f>C228-GAAP!C228</f>
        <v>580000</v>
      </c>
      <c r="D421" s="149">
        <f>D228-GAAP!D228</f>
        <v>8897.7899999991059</v>
      </c>
      <c r="E421" s="149">
        <f>E228-GAAP!E228</f>
        <v>571102.21000000089</v>
      </c>
      <c r="F421" s="149"/>
      <c r="G421" s="149"/>
      <c r="H421" s="149"/>
      <c r="J421" s="149"/>
      <c r="N421" s="148"/>
      <c r="O421" s="148"/>
      <c r="P421" s="148"/>
      <c r="Q421" s="64"/>
      <c r="R421" s="64"/>
      <c r="S421" s="149"/>
      <c r="U421" s="118"/>
      <c r="W421" s="282"/>
      <c r="X421" s="282"/>
      <c r="Y421" s="311"/>
      <c r="Z421" s="192"/>
    </row>
    <row r="422" spans="1:42" s="57" customFormat="1" ht="13.5" customHeight="1">
      <c r="A422" s="441">
        <v>55.1233</v>
      </c>
      <c r="B422" s="57" t="str">
        <f>B230</f>
        <v>Veolia Water West Operating Services, Inc. - Rialto Solids Handling Design-Build Project (Design Phase)</v>
      </c>
      <c r="C422" s="149">
        <f>C230-GAAP!C230</f>
        <v>9712109.8399999999</v>
      </c>
      <c r="D422" s="149">
        <f>D230-GAAP!D230</f>
        <v>9712109.8399999999</v>
      </c>
      <c r="E422" s="149">
        <f>E230-GAAP!E230</f>
        <v>0</v>
      </c>
      <c r="F422" s="149"/>
      <c r="G422" s="149"/>
      <c r="H422" s="149"/>
      <c r="J422" s="149"/>
      <c r="N422" s="148"/>
      <c r="O422" s="148"/>
      <c r="P422" s="148"/>
      <c r="Q422" s="64"/>
      <c r="R422" s="64"/>
      <c r="S422" s="149"/>
      <c r="U422" s="118"/>
      <c r="W422" s="282"/>
      <c r="X422" s="282"/>
      <c r="Y422" s="311"/>
      <c r="Z422" s="192"/>
    </row>
    <row r="423" spans="1:42" s="57" customFormat="1" ht="13.5" customHeight="1">
      <c r="A423" s="441">
        <v>55.125399999999999</v>
      </c>
      <c r="B423" s="57" t="str">
        <f>B233</f>
        <v>JV w/City of Banning - Wastewater Treatment Plant Recycled Water</v>
      </c>
      <c r="C423" s="149">
        <f>C233-GAAP!C233</f>
        <v>312943.35999999999</v>
      </c>
      <c r="D423" s="149">
        <f>D233-GAAP!D233</f>
        <v>315334.58999999997</v>
      </c>
      <c r="E423" s="149">
        <f>E233-GAAP!E233</f>
        <v>-2391.2300000000105</v>
      </c>
      <c r="F423" s="149"/>
      <c r="G423" s="149"/>
      <c r="H423" s="149"/>
      <c r="J423" s="149"/>
      <c r="N423" s="148"/>
      <c r="O423" s="148"/>
      <c r="P423" s="148"/>
      <c r="Q423" s="64"/>
      <c r="R423" s="64"/>
      <c r="S423" s="149"/>
      <c r="U423" s="118"/>
      <c r="W423" s="282"/>
      <c r="X423" s="282"/>
      <c r="Y423" s="311"/>
      <c r="Z423" s="192"/>
    </row>
    <row r="424" spans="1:42" s="57" customFormat="1" ht="13.5" customHeight="1">
      <c r="A424" s="441">
        <v>56.101500000000001</v>
      </c>
      <c r="B424" s="57" t="str">
        <f>B286</f>
        <v>Mike Brown Electric Co. - Riverside Ponds &amp; Headworks Mitigation – City of Calistoga</v>
      </c>
      <c r="C424" s="149">
        <f>C286-GAAP!C286</f>
        <v>70000</v>
      </c>
      <c r="D424" s="149">
        <f>D286-GAAP!D286</f>
        <v>61161.049999999988</v>
      </c>
      <c r="E424" s="149">
        <f>E286-GAAP!E286</f>
        <v>8838.9500000000116</v>
      </c>
      <c r="F424" s="149"/>
      <c r="G424" s="149"/>
      <c r="H424" s="149"/>
      <c r="J424" s="149"/>
      <c r="N424" s="148"/>
      <c r="O424" s="148"/>
      <c r="P424" s="148"/>
      <c r="Q424" s="64"/>
      <c r="R424" s="64"/>
      <c r="S424" s="149"/>
      <c r="U424" s="118"/>
      <c r="W424" s="282"/>
      <c r="X424" s="282"/>
      <c r="Y424" s="311"/>
      <c r="Z424" s="192"/>
    </row>
    <row r="425" spans="1:42" s="57" customFormat="1" ht="13.5" customHeight="1">
      <c r="A425" s="441">
        <v>56.107500000000002</v>
      </c>
      <c r="B425" s="57" t="str">
        <f>B308</f>
        <v>California Water Service Co. -Pkg 1 Bakersfield &amp; Arden PFAS RF</v>
      </c>
      <c r="C425" s="149">
        <f>C308-GAAP!C308</f>
        <v>922334.08</v>
      </c>
      <c r="D425" s="149">
        <f>D308-GAAP!D308</f>
        <v>751382.08</v>
      </c>
      <c r="E425" s="149">
        <f>E308-GAAP!E308</f>
        <v>170952</v>
      </c>
      <c r="F425" s="149"/>
      <c r="G425" s="149"/>
      <c r="H425" s="149"/>
      <c r="J425" s="149"/>
      <c r="N425" s="148"/>
      <c r="O425" s="148"/>
      <c r="P425" s="148"/>
      <c r="Q425" s="64"/>
      <c r="R425" s="64"/>
      <c r="S425" s="149"/>
      <c r="U425" s="118"/>
      <c r="W425" s="282"/>
      <c r="X425" s="282"/>
      <c r="Y425" s="311"/>
      <c r="Z425" s="192"/>
    </row>
    <row r="426" spans="1:42" s="57" customFormat="1" ht="13.5" customHeight="1">
      <c r="A426" s="441">
        <v>57.000700000000002</v>
      </c>
      <c r="B426" s="57" t="str">
        <f>B254</f>
        <v>Anaergia Technologies, LLC - East County Package 5 - Phase 1B</v>
      </c>
      <c r="C426" s="149">
        <f>C254-GAAP!C254</f>
        <v>-33618.399999999994</v>
      </c>
      <c r="D426" s="149">
        <f>D254-GAAP!D254</f>
        <v>0</v>
      </c>
      <c r="E426" s="149">
        <f>E254-GAAP!E254</f>
        <v>-33618.399999999994</v>
      </c>
      <c r="F426" s="149"/>
      <c r="G426" s="149"/>
      <c r="H426" s="149"/>
      <c r="J426" s="149"/>
      <c r="N426" s="148"/>
      <c r="O426" s="148"/>
      <c r="P426" s="148"/>
      <c r="Q426" s="64"/>
      <c r="R426" s="64"/>
      <c r="S426" s="149"/>
      <c r="U426" s="118"/>
      <c r="W426" s="282"/>
      <c r="X426" s="282"/>
      <c r="Y426" s="311"/>
      <c r="Z426" s="192"/>
    </row>
    <row r="427" spans="1:42" s="57" customFormat="1" ht="13.5" customHeight="1">
      <c r="A427" s="57" t="s">
        <v>118</v>
      </c>
      <c r="C427" s="341">
        <f>SUM(C414:C426)</f>
        <v>12826365.41</v>
      </c>
      <c r="D427" s="341">
        <f t="shared" ref="D427:E427" si="1031">SUM(D414:D426)</f>
        <v>10972511.589999992</v>
      </c>
      <c r="E427" s="341">
        <f t="shared" si="1031"/>
        <v>1853853.8200000077</v>
      </c>
      <c r="F427" s="298"/>
      <c r="H427" s="163"/>
      <c r="J427" s="149"/>
      <c r="N427" s="148"/>
      <c r="O427" s="148"/>
      <c r="P427" s="148"/>
      <c r="Q427" s="64"/>
      <c r="R427" s="64"/>
      <c r="S427" s="163"/>
      <c r="U427" s="118"/>
      <c r="W427" s="282"/>
      <c r="X427" s="282"/>
      <c r="Y427" s="311"/>
      <c r="Z427" s="192"/>
    </row>
    <row r="428" spans="1:42" s="57" customFormat="1" ht="13.5" customHeight="1">
      <c r="C428" s="148"/>
      <c r="E428" s="149"/>
      <c r="F428" s="298"/>
      <c r="H428" s="148"/>
      <c r="J428" s="149"/>
      <c r="N428" s="148"/>
      <c r="O428" s="148"/>
      <c r="P428" s="148"/>
      <c r="Q428" s="64"/>
      <c r="R428" s="64"/>
      <c r="S428" s="148"/>
      <c r="U428" s="118"/>
      <c r="W428" s="282"/>
      <c r="X428" s="282"/>
      <c r="Y428" s="311"/>
      <c r="Z428" s="192"/>
    </row>
    <row r="429" spans="1:42" s="57" customFormat="1" ht="13.5" customHeight="1">
      <c r="A429" s="57" t="s">
        <v>119</v>
      </c>
      <c r="C429" s="163">
        <f>+C400-C427</f>
        <v>2011730933.4099998</v>
      </c>
      <c r="D429" s="163">
        <f>+D400-D427</f>
        <v>1882679735.24</v>
      </c>
      <c r="E429" s="149">
        <f>+E400-E427</f>
        <v>129051198.16999999</v>
      </c>
      <c r="F429" s="298"/>
      <c r="H429" s="149"/>
      <c r="J429" s="149"/>
      <c r="N429" s="148"/>
      <c r="O429" s="148"/>
      <c r="P429" s="148"/>
      <c r="Q429" s="64"/>
      <c r="R429" s="64"/>
      <c r="S429" s="149"/>
      <c r="U429" s="118"/>
      <c r="W429" s="282"/>
      <c r="X429" s="282"/>
      <c r="Y429" s="311"/>
      <c r="Z429" s="192"/>
    </row>
    <row r="430" spans="1:42" s="57" customFormat="1" ht="13.5" customHeight="1">
      <c r="A430" s="57" t="s">
        <v>116</v>
      </c>
      <c r="C430" s="220">
        <f>+GAAP!C400</f>
        <v>2011730933.4099998</v>
      </c>
      <c r="D430" s="220">
        <f>+GAAP!D400</f>
        <v>1882679735.2399998</v>
      </c>
      <c r="E430" s="220">
        <f>+GAAP!E400</f>
        <v>129051198.16999999</v>
      </c>
      <c r="F430" s="220"/>
      <c r="G430" s="220"/>
      <c r="H430" s="481"/>
      <c r="I430" s="68"/>
      <c r="J430" s="481"/>
      <c r="K430" s="68"/>
      <c r="L430" s="68"/>
      <c r="M430" s="68"/>
      <c r="N430" s="148"/>
      <c r="O430" s="148"/>
      <c r="P430" s="148"/>
      <c r="Q430" s="68"/>
      <c r="R430" s="68"/>
      <c r="S430" s="481"/>
      <c r="U430" s="118"/>
      <c r="W430" s="282"/>
      <c r="X430" s="282"/>
      <c r="Y430" s="311"/>
      <c r="Z430" s="192"/>
    </row>
    <row r="431" spans="1:42" s="269" customFormat="1" ht="26.25" customHeight="1">
      <c r="A431" s="57" t="s">
        <v>53</v>
      </c>
      <c r="B431" s="57"/>
      <c r="C431" s="363">
        <f>+C429-C430</f>
        <v>0</v>
      </c>
      <c r="D431" s="364">
        <f>+D429-D430</f>
        <v>0</v>
      </c>
      <c r="E431" s="342">
        <f>+E429-E430</f>
        <v>0</v>
      </c>
      <c r="F431" s="298"/>
      <c r="G431" s="57"/>
      <c r="H431" s="149"/>
      <c r="I431" s="68"/>
      <c r="J431" s="149"/>
      <c r="K431" s="69"/>
      <c r="L431" s="65"/>
      <c r="M431" s="65"/>
      <c r="N431" s="148"/>
      <c r="O431" s="148"/>
      <c r="P431" s="148"/>
      <c r="Q431" s="64"/>
      <c r="R431" s="64"/>
      <c r="S431" s="149"/>
      <c r="T431" s="57"/>
      <c r="U431" s="118"/>
      <c r="V431" s="57"/>
      <c r="W431" s="282"/>
      <c r="X431" s="282"/>
      <c r="Y431" s="311"/>
      <c r="Z431" s="192"/>
      <c r="AA431" s="57"/>
      <c r="AB431" s="57"/>
      <c r="AC431" s="57"/>
      <c r="AD431" s="57"/>
      <c r="AE431" s="57"/>
      <c r="AF431" s="57"/>
      <c r="AG431" s="57"/>
      <c r="AH431" s="57"/>
      <c r="AI431" s="57"/>
      <c r="AJ431" s="57"/>
      <c r="AK431" s="57"/>
      <c r="AL431" s="57"/>
      <c r="AM431" s="57"/>
      <c r="AN431" s="57"/>
      <c r="AO431" s="57"/>
      <c r="AP431" s="57"/>
    </row>
    <row r="432" spans="1:42" s="269" customFormat="1" ht="13.5" customHeight="1">
      <c r="A432" s="57"/>
      <c r="B432" s="57"/>
      <c r="C432" s="148"/>
      <c r="D432" s="57"/>
      <c r="E432" s="149"/>
      <c r="F432" s="298"/>
      <c r="G432" s="57"/>
      <c r="H432" s="148"/>
      <c r="I432" s="214"/>
      <c r="J432" s="149"/>
      <c r="K432" s="69"/>
      <c r="L432" s="69"/>
      <c r="M432" s="57"/>
      <c r="N432" s="148"/>
      <c r="O432" s="148"/>
      <c r="P432" s="148"/>
      <c r="Q432" s="64"/>
      <c r="R432" s="64"/>
      <c r="S432" s="57"/>
      <c r="T432" s="57"/>
      <c r="U432" s="118"/>
      <c r="V432" s="57"/>
      <c r="W432" s="282"/>
      <c r="X432" s="282"/>
      <c r="Y432" s="311"/>
      <c r="Z432" s="192"/>
      <c r="AA432" s="57"/>
      <c r="AB432" s="57"/>
      <c r="AC432" s="57"/>
      <c r="AD432" s="57"/>
      <c r="AE432" s="57"/>
      <c r="AF432" s="57"/>
      <c r="AG432" s="57"/>
      <c r="AH432" s="57"/>
      <c r="AI432" s="57"/>
      <c r="AJ432" s="57"/>
      <c r="AK432" s="57"/>
      <c r="AL432" s="57"/>
      <c r="AM432" s="57"/>
      <c r="AN432" s="57"/>
      <c r="AO432" s="57"/>
      <c r="AP432" s="57"/>
    </row>
    <row r="433" spans="1:42" s="269" customFormat="1" ht="26.25" customHeight="1">
      <c r="A433" s="57" t="s">
        <v>120</v>
      </c>
      <c r="B433" s="57"/>
      <c r="C433" s="148"/>
      <c r="D433" s="57"/>
      <c r="E433" s="149"/>
      <c r="F433" s="298"/>
      <c r="G433" s="57"/>
      <c r="H433" s="148"/>
      <c r="I433" s="64"/>
      <c r="J433" s="64"/>
      <c r="K433" s="57"/>
      <c r="L433" s="69"/>
      <c r="M433" s="57"/>
      <c r="N433" s="148"/>
      <c r="O433" s="148"/>
      <c r="P433" s="148"/>
      <c r="Q433" s="64"/>
      <c r="R433" s="64"/>
      <c r="S433" s="57"/>
      <c r="T433" s="57"/>
      <c r="U433" s="118"/>
      <c r="V433" s="57"/>
      <c r="W433" s="282"/>
      <c r="X433" s="282"/>
      <c r="Y433" s="311"/>
      <c r="Z433" s="192"/>
      <c r="AA433" s="57"/>
      <c r="AB433" s="57"/>
      <c r="AC433" s="57"/>
      <c r="AD433" s="57"/>
      <c r="AE433" s="57"/>
      <c r="AF433" s="57"/>
      <c r="AG433" s="57"/>
      <c r="AH433" s="57"/>
      <c r="AI433" s="57"/>
      <c r="AJ433" s="57"/>
      <c r="AK433" s="57"/>
      <c r="AL433" s="57"/>
      <c r="AM433" s="57"/>
      <c r="AN433" s="57"/>
      <c r="AO433" s="57"/>
      <c r="AP433" s="57"/>
    </row>
    <row r="434" spans="1:42" s="269" customFormat="1" ht="13.5" customHeight="1">
      <c r="A434" s="343"/>
      <c r="B434" s="343"/>
      <c r="C434" s="343"/>
      <c r="D434" s="343"/>
      <c r="E434" s="344"/>
      <c r="F434" s="298"/>
      <c r="G434" s="57"/>
      <c r="H434" s="148"/>
      <c r="I434" s="64"/>
      <c r="J434" s="64"/>
      <c r="K434" s="57"/>
      <c r="L434" s="69"/>
      <c r="M434" s="57"/>
      <c r="N434" s="148"/>
      <c r="O434" s="148"/>
      <c r="P434" s="148"/>
      <c r="Q434" s="64"/>
      <c r="R434" s="64"/>
      <c r="S434" s="57"/>
      <c r="T434" s="57"/>
      <c r="U434" s="118"/>
      <c r="V434" s="57"/>
      <c r="W434" s="282"/>
      <c r="X434" s="282"/>
      <c r="Y434" s="311"/>
      <c r="Z434" s="192"/>
      <c r="AA434" s="57"/>
      <c r="AB434" s="57"/>
      <c r="AC434" s="57"/>
      <c r="AD434" s="57"/>
      <c r="AE434" s="57"/>
      <c r="AF434" s="57"/>
      <c r="AG434" s="57"/>
      <c r="AH434" s="57"/>
      <c r="AI434" s="57"/>
      <c r="AJ434" s="57"/>
      <c r="AK434" s="57"/>
      <c r="AL434" s="57"/>
      <c r="AM434" s="57"/>
      <c r="AN434" s="57"/>
      <c r="AO434" s="57"/>
      <c r="AP434" s="57"/>
    </row>
    <row r="435" spans="1:42" s="269" customFormat="1" ht="26.25" customHeight="1">
      <c r="A435" s="642" t="s">
        <v>182</v>
      </c>
      <c r="B435" s="642"/>
      <c r="C435" s="642"/>
      <c r="D435" s="642"/>
      <c r="E435" s="642"/>
      <c r="F435" s="642"/>
      <c r="G435" s="642"/>
      <c r="H435" s="642"/>
      <c r="I435" s="642"/>
      <c r="J435" s="642"/>
      <c r="K435" s="642"/>
      <c r="L435" s="271"/>
      <c r="N435" s="268"/>
      <c r="O435" s="268"/>
      <c r="P435" s="268"/>
      <c r="Q435" s="270"/>
      <c r="R435" s="270"/>
      <c r="U435" s="272"/>
      <c r="W435" s="296"/>
      <c r="X435" s="296"/>
      <c r="Y435" s="313"/>
      <c r="Z435" s="192"/>
    </row>
    <row r="436" spans="1:42" s="45" customFormat="1" ht="13.5" customHeight="1">
      <c r="A436" s="343"/>
      <c r="B436" s="343"/>
      <c r="C436" s="343"/>
      <c r="D436" s="343"/>
      <c r="E436" s="343"/>
      <c r="F436" s="487"/>
      <c r="G436" s="269"/>
      <c r="H436" s="268"/>
      <c r="I436" s="270"/>
      <c r="J436" s="270"/>
      <c r="K436" s="269"/>
      <c r="L436" s="271"/>
      <c r="M436" s="269"/>
      <c r="N436" s="268"/>
      <c r="O436" s="268"/>
      <c r="P436" s="268"/>
      <c r="Q436" s="270"/>
      <c r="R436" s="270"/>
      <c r="S436" s="269"/>
      <c r="T436" s="269"/>
      <c r="U436" s="272"/>
      <c r="V436" s="269"/>
      <c r="W436" s="296"/>
      <c r="X436" s="296"/>
      <c r="Y436" s="313"/>
      <c r="Z436" s="192"/>
      <c r="AA436" s="269"/>
      <c r="AB436" s="269"/>
      <c r="AC436" s="269"/>
      <c r="AD436" s="269"/>
      <c r="AE436" s="269"/>
      <c r="AF436" s="269"/>
      <c r="AG436" s="269"/>
      <c r="AH436" s="269"/>
      <c r="AI436" s="269"/>
      <c r="AJ436" s="269"/>
      <c r="AK436" s="269"/>
      <c r="AL436" s="269"/>
      <c r="AM436" s="269"/>
      <c r="AN436" s="269"/>
      <c r="AO436" s="269"/>
      <c r="AP436" s="269"/>
    </row>
    <row r="437" spans="1:42" s="269" customFormat="1" ht="26.25" customHeight="1">
      <c r="A437" s="642" t="s">
        <v>209</v>
      </c>
      <c r="B437" s="642"/>
      <c r="C437" s="642"/>
      <c r="D437" s="642"/>
      <c r="E437" s="642"/>
      <c r="F437" s="642"/>
      <c r="G437" s="642"/>
      <c r="H437" s="642"/>
      <c r="I437" s="642"/>
      <c r="J437" s="642"/>
      <c r="K437" s="642"/>
      <c r="L437" s="271"/>
      <c r="N437" s="268"/>
      <c r="O437" s="268"/>
      <c r="P437" s="268"/>
      <c r="Q437" s="270"/>
      <c r="R437" s="270"/>
      <c r="U437" s="272"/>
      <c r="W437" s="296"/>
      <c r="X437" s="296"/>
      <c r="Y437" s="313"/>
      <c r="Z437" s="192"/>
    </row>
    <row r="438" spans="1:42" s="45" customFormat="1" ht="13.5" customHeight="1">
      <c r="A438" s="343"/>
      <c r="B438" s="343"/>
      <c r="C438" s="343"/>
      <c r="D438" s="343"/>
      <c r="E438" s="343"/>
      <c r="F438" s="487"/>
      <c r="G438" s="269"/>
      <c r="H438" s="268"/>
      <c r="I438" s="270"/>
      <c r="J438" s="270"/>
      <c r="K438" s="269"/>
      <c r="L438" s="271"/>
      <c r="M438" s="269"/>
      <c r="N438" s="268"/>
      <c r="O438" s="268"/>
      <c r="P438" s="268"/>
      <c r="Q438" s="270"/>
      <c r="R438" s="270"/>
      <c r="S438" s="269"/>
      <c r="T438" s="269"/>
      <c r="U438" s="272"/>
      <c r="V438" s="269"/>
      <c r="W438" s="296"/>
      <c r="X438" s="296"/>
      <c r="Y438" s="313"/>
      <c r="Z438" s="192"/>
      <c r="AA438" s="269"/>
      <c r="AB438" s="269"/>
      <c r="AC438" s="269"/>
      <c r="AD438" s="269"/>
      <c r="AE438" s="269"/>
      <c r="AF438" s="269"/>
      <c r="AG438" s="269"/>
      <c r="AH438" s="269"/>
      <c r="AI438" s="269"/>
      <c r="AJ438" s="269"/>
      <c r="AK438" s="269"/>
      <c r="AL438" s="269"/>
      <c r="AM438" s="269"/>
      <c r="AN438" s="269"/>
      <c r="AO438" s="269"/>
      <c r="AP438" s="269"/>
    </row>
    <row r="439" spans="1:42" s="269" customFormat="1" ht="11.25">
      <c r="A439" s="642" t="s">
        <v>725</v>
      </c>
      <c r="B439" s="642"/>
      <c r="C439" s="642"/>
      <c r="D439" s="642"/>
      <c r="E439" s="642"/>
      <c r="F439" s="642"/>
      <c r="G439" s="642"/>
      <c r="H439" s="642"/>
      <c r="I439" s="642"/>
      <c r="J439" s="642"/>
      <c r="K439" s="642"/>
      <c r="L439" s="271"/>
      <c r="N439" s="268"/>
      <c r="O439" s="268"/>
      <c r="P439" s="268"/>
      <c r="Q439" s="270"/>
      <c r="R439" s="270"/>
      <c r="U439" s="272"/>
      <c r="W439" s="296"/>
      <c r="X439" s="296"/>
      <c r="Y439" s="313"/>
      <c r="Z439" s="192"/>
    </row>
    <row r="440" spans="1:42" s="45" customFormat="1" ht="13.5" customHeight="1">
      <c r="A440" s="343"/>
      <c r="B440" s="343"/>
      <c r="C440" s="343"/>
      <c r="D440" s="343"/>
      <c r="E440" s="343"/>
      <c r="F440" s="487"/>
      <c r="G440" s="269"/>
      <c r="H440" s="268"/>
      <c r="I440" s="270"/>
      <c r="J440" s="270"/>
      <c r="K440" s="269"/>
      <c r="L440" s="271"/>
      <c r="M440" s="269"/>
      <c r="N440" s="268"/>
      <c r="O440" s="268"/>
      <c r="P440" s="268"/>
      <c r="Q440" s="270"/>
      <c r="R440" s="270"/>
      <c r="S440" s="269"/>
      <c r="T440" s="269"/>
      <c r="U440" s="272"/>
      <c r="V440" s="269"/>
      <c r="W440" s="296"/>
      <c r="X440" s="296"/>
      <c r="Y440" s="313"/>
      <c r="Z440" s="192"/>
      <c r="AA440" s="269"/>
      <c r="AB440" s="269"/>
      <c r="AC440" s="269"/>
      <c r="AD440" s="269"/>
      <c r="AE440" s="269"/>
      <c r="AF440" s="269"/>
      <c r="AG440" s="269"/>
      <c r="AH440" s="269"/>
      <c r="AI440" s="269"/>
      <c r="AJ440" s="269"/>
      <c r="AK440" s="269"/>
      <c r="AL440" s="269"/>
      <c r="AM440" s="269"/>
      <c r="AN440" s="269"/>
      <c r="AO440" s="269"/>
      <c r="AP440" s="269"/>
    </row>
    <row r="441" spans="1:42" s="269" customFormat="1" ht="11.25" customHeight="1">
      <c r="A441" s="642" t="s">
        <v>716</v>
      </c>
      <c r="B441" s="642"/>
      <c r="C441" s="642"/>
      <c r="D441" s="642"/>
      <c r="E441" s="642"/>
      <c r="F441" s="642"/>
      <c r="G441" s="642"/>
      <c r="H441" s="642"/>
      <c r="I441" s="642"/>
      <c r="J441" s="642"/>
      <c r="K441" s="642"/>
      <c r="L441" s="271"/>
      <c r="N441" s="268"/>
      <c r="O441" s="268"/>
      <c r="P441" s="268"/>
      <c r="Q441" s="270"/>
      <c r="R441" s="270"/>
      <c r="U441" s="272"/>
      <c r="W441" s="296"/>
      <c r="X441" s="296"/>
      <c r="Y441" s="313"/>
      <c r="Z441" s="192"/>
    </row>
    <row r="442" spans="1:42" s="269" customFormat="1" ht="11.25" customHeight="1">
      <c r="A442" s="489"/>
      <c r="B442" s="489"/>
      <c r="C442" s="489"/>
      <c r="D442" s="489"/>
      <c r="E442" s="489"/>
      <c r="F442" s="489"/>
      <c r="G442" s="489"/>
      <c r="H442" s="489"/>
      <c r="I442" s="489"/>
      <c r="J442" s="489"/>
      <c r="K442" s="489"/>
      <c r="L442" s="271"/>
      <c r="N442" s="268"/>
      <c r="O442" s="268"/>
      <c r="P442" s="268"/>
      <c r="Q442" s="270"/>
      <c r="R442" s="270"/>
      <c r="U442" s="272"/>
      <c r="W442" s="296"/>
      <c r="X442" s="296"/>
      <c r="Y442" s="313"/>
      <c r="Z442" s="192"/>
    </row>
    <row r="443" spans="1:42" s="269" customFormat="1" ht="11.25" customHeight="1">
      <c r="A443" s="642" t="s">
        <v>719</v>
      </c>
      <c r="B443" s="642"/>
      <c r="C443" s="642"/>
      <c r="D443" s="642"/>
      <c r="E443" s="642"/>
      <c r="F443" s="642"/>
      <c r="G443" s="642"/>
      <c r="H443" s="642"/>
      <c r="I443" s="642"/>
      <c r="J443" s="642"/>
      <c r="K443" s="642"/>
      <c r="L443" s="271"/>
      <c r="N443" s="268"/>
      <c r="O443" s="268"/>
      <c r="P443" s="268"/>
      <c r="Q443" s="270"/>
      <c r="R443" s="270"/>
      <c r="U443" s="272"/>
      <c r="W443" s="296"/>
      <c r="X443" s="296"/>
      <c r="Y443" s="313"/>
      <c r="Z443" s="192"/>
    </row>
    <row r="444" spans="1:42" s="45" customFormat="1" ht="13.5" customHeight="1">
      <c r="A444" s="489"/>
      <c r="B444" s="489"/>
      <c r="C444" s="489"/>
      <c r="D444" s="489"/>
      <c r="E444" s="489"/>
      <c r="F444" s="489"/>
      <c r="G444" s="489"/>
      <c r="H444" s="489"/>
      <c r="I444" s="489"/>
      <c r="J444" s="489"/>
      <c r="K444" s="489"/>
      <c r="L444" s="271"/>
      <c r="M444" s="269"/>
      <c r="N444" s="268"/>
      <c r="O444" s="268"/>
      <c r="P444" s="268"/>
      <c r="Q444" s="270"/>
      <c r="R444" s="270"/>
      <c r="S444" s="269"/>
      <c r="T444" s="269"/>
      <c r="U444" s="272"/>
      <c r="V444" s="269"/>
      <c r="W444" s="296"/>
      <c r="X444" s="296"/>
      <c r="Y444" s="313"/>
      <c r="Z444" s="192"/>
      <c r="AA444" s="269"/>
      <c r="AB444" s="269"/>
      <c r="AC444" s="269"/>
      <c r="AD444" s="269"/>
      <c r="AE444" s="269"/>
      <c r="AF444" s="269"/>
      <c r="AG444" s="269"/>
      <c r="AH444" s="269"/>
      <c r="AI444" s="269"/>
      <c r="AJ444" s="269"/>
      <c r="AK444" s="269"/>
      <c r="AL444" s="269"/>
      <c r="AM444" s="269"/>
      <c r="AN444" s="269"/>
      <c r="AO444" s="269"/>
      <c r="AP444" s="269"/>
    </row>
    <row r="445" spans="1:42" s="269" customFormat="1" ht="26.25" customHeight="1">
      <c r="A445" s="642" t="s">
        <v>174</v>
      </c>
      <c r="B445" s="642"/>
      <c r="C445" s="642"/>
      <c r="D445" s="642"/>
      <c r="E445" s="642"/>
      <c r="F445" s="642"/>
      <c r="G445" s="642"/>
      <c r="H445" s="642"/>
      <c r="I445" s="642"/>
      <c r="J445" s="642"/>
      <c r="K445" s="642"/>
      <c r="L445" s="271"/>
      <c r="N445" s="268"/>
      <c r="O445" s="268"/>
      <c r="P445" s="268"/>
      <c r="Q445" s="270"/>
      <c r="R445" s="270"/>
      <c r="U445" s="272"/>
      <c r="W445" s="296"/>
      <c r="X445" s="296"/>
      <c r="Y445" s="313"/>
      <c r="Z445" s="192"/>
    </row>
    <row r="446" spans="1:42" s="45" customFormat="1" ht="13.5" customHeight="1">
      <c r="C446" s="150"/>
      <c r="E446" s="154"/>
      <c r="F446" s="486"/>
      <c r="H446" s="150"/>
      <c r="J446" s="154"/>
      <c r="N446" s="150"/>
      <c r="O446" s="150"/>
      <c r="P446" s="150"/>
      <c r="Q446" s="54"/>
      <c r="R446" s="54"/>
      <c r="U446" s="118"/>
      <c r="W446" s="282"/>
      <c r="X446" s="290"/>
      <c r="Y446" s="311"/>
      <c r="Z446" s="192"/>
    </row>
    <row r="447" spans="1:42" s="45" customFormat="1" ht="26.25" customHeight="1">
      <c r="A447" s="642" t="s">
        <v>199</v>
      </c>
      <c r="B447" s="642"/>
      <c r="C447" s="642"/>
      <c r="D447" s="642"/>
      <c r="E447" s="642"/>
      <c r="F447" s="642"/>
      <c r="G447" s="642"/>
      <c r="H447" s="642"/>
      <c r="I447" s="642"/>
      <c r="J447" s="642"/>
      <c r="K447" s="642"/>
      <c r="L447" s="271"/>
      <c r="M447" s="269"/>
      <c r="N447" s="268"/>
      <c r="O447" s="268"/>
      <c r="P447" s="268"/>
      <c r="Q447" s="270"/>
      <c r="R447" s="270"/>
      <c r="S447" s="269"/>
      <c r="T447" s="269"/>
      <c r="U447" s="272"/>
      <c r="V447" s="269"/>
      <c r="W447" s="296"/>
      <c r="X447" s="296"/>
      <c r="Y447" s="313"/>
      <c r="Z447" s="192"/>
      <c r="AA447" s="269"/>
      <c r="AB447" s="269"/>
      <c r="AC447" s="269"/>
      <c r="AD447" s="269"/>
      <c r="AE447" s="269"/>
      <c r="AF447" s="269"/>
      <c r="AG447" s="269"/>
      <c r="AH447" s="269"/>
      <c r="AI447" s="269"/>
      <c r="AJ447" s="269"/>
      <c r="AK447" s="269"/>
      <c r="AL447" s="269"/>
      <c r="AM447" s="269"/>
      <c r="AN447" s="269"/>
      <c r="AO447" s="269"/>
      <c r="AP447" s="269"/>
    </row>
    <row r="448" spans="1:42" s="54" customFormat="1">
      <c r="A448" s="45"/>
      <c r="B448" s="45"/>
      <c r="C448" s="150"/>
      <c r="D448" s="45"/>
      <c r="E448" s="154"/>
      <c r="F448" s="486"/>
      <c r="G448" s="45"/>
      <c r="H448" s="150"/>
      <c r="I448" s="45"/>
      <c r="J448" s="154"/>
      <c r="K448" s="45"/>
      <c r="L448" s="45"/>
      <c r="M448" s="45"/>
      <c r="N448" s="150"/>
      <c r="O448" s="150"/>
      <c r="P448" s="150"/>
      <c r="S448" s="45"/>
      <c r="T448" s="45"/>
      <c r="U448" s="10"/>
      <c r="V448" s="45"/>
      <c r="W448" s="282"/>
      <c r="X448" s="290"/>
      <c r="Y448" s="311"/>
      <c r="Z448" s="192"/>
      <c r="AA448" s="45"/>
      <c r="AB448" s="45"/>
      <c r="AC448" s="45"/>
      <c r="AD448" s="45"/>
      <c r="AE448" s="45"/>
      <c r="AF448" s="45"/>
      <c r="AG448" s="45"/>
      <c r="AH448" s="45"/>
      <c r="AI448" s="45"/>
      <c r="AJ448" s="45"/>
      <c r="AK448" s="45"/>
      <c r="AL448" s="45"/>
      <c r="AM448" s="45"/>
      <c r="AN448" s="45"/>
      <c r="AO448" s="45"/>
      <c r="AP448" s="45"/>
    </row>
    <row r="449" spans="1:42" s="45" customFormat="1" ht="26.25" customHeight="1">
      <c r="A449" s="642" t="s">
        <v>200</v>
      </c>
      <c r="B449" s="642"/>
      <c r="C449" s="642"/>
      <c r="D449" s="642"/>
      <c r="E449" s="642"/>
      <c r="F449" s="642"/>
      <c r="G449" s="642"/>
      <c r="H449" s="642"/>
      <c r="I449" s="642"/>
      <c r="J449" s="642"/>
      <c r="K449" s="642"/>
      <c r="L449" s="271"/>
      <c r="M449" s="269"/>
      <c r="N449" s="268"/>
      <c r="O449" s="268"/>
      <c r="P449" s="268"/>
      <c r="Q449" s="270"/>
      <c r="R449" s="270"/>
      <c r="S449" s="269"/>
      <c r="T449" s="269"/>
      <c r="U449" s="272"/>
      <c r="V449" s="269"/>
      <c r="W449" s="296"/>
      <c r="X449" s="296"/>
      <c r="Y449" s="313"/>
      <c r="Z449" s="192"/>
      <c r="AA449" s="269"/>
      <c r="AB449" s="269"/>
      <c r="AC449" s="269"/>
      <c r="AD449" s="269"/>
      <c r="AE449" s="269"/>
      <c r="AF449" s="269"/>
      <c r="AG449" s="269"/>
      <c r="AH449" s="269"/>
      <c r="AI449" s="269"/>
      <c r="AJ449" s="269"/>
      <c r="AK449" s="269"/>
      <c r="AL449" s="269"/>
      <c r="AM449" s="269"/>
      <c r="AN449" s="269"/>
      <c r="AO449" s="269"/>
      <c r="AP449" s="269"/>
    </row>
    <row r="450" spans="1:42" s="45" customFormat="1" ht="13.5" customHeight="1">
      <c r="A450" s="44"/>
      <c r="B450" s="55"/>
      <c r="C450" s="150"/>
      <c r="D450" s="54"/>
      <c r="E450" s="154"/>
      <c r="F450" s="486"/>
      <c r="G450" s="54"/>
      <c r="H450" s="169"/>
      <c r="I450" s="54"/>
      <c r="J450" s="154"/>
      <c r="K450" s="54"/>
      <c r="L450" s="54"/>
      <c r="M450" s="54"/>
      <c r="N450" s="154"/>
      <c r="O450" s="154"/>
      <c r="P450" s="154"/>
      <c r="Q450" s="54"/>
      <c r="R450" s="54"/>
      <c r="S450" s="54"/>
      <c r="U450" s="10"/>
      <c r="W450" s="282"/>
      <c r="X450" s="290"/>
      <c r="Y450" s="311"/>
      <c r="Z450" s="192"/>
    </row>
    <row r="451" spans="1:42" s="45" customFormat="1" ht="26.25" customHeight="1">
      <c r="A451" s="642" t="s">
        <v>717</v>
      </c>
      <c r="B451" s="642"/>
      <c r="C451" s="642"/>
      <c r="D451" s="642"/>
      <c r="E451" s="642"/>
      <c r="F451" s="642"/>
      <c r="G451" s="642"/>
      <c r="H451" s="642"/>
      <c r="I451" s="642"/>
      <c r="J451" s="642"/>
      <c r="K451" s="642"/>
      <c r="L451" s="271"/>
      <c r="M451" s="269"/>
      <c r="N451" s="268"/>
      <c r="O451" s="268"/>
      <c r="P451" s="268"/>
      <c r="Q451" s="270"/>
      <c r="R451" s="270"/>
      <c r="S451" s="269"/>
      <c r="T451" s="269"/>
      <c r="U451" s="272"/>
      <c r="V451" s="269"/>
      <c r="W451" s="296"/>
      <c r="X451" s="296"/>
      <c r="Y451" s="313"/>
      <c r="Z451" s="192"/>
      <c r="AA451" s="269"/>
      <c r="AB451" s="269"/>
      <c r="AC451" s="269"/>
      <c r="AD451" s="269"/>
      <c r="AE451" s="269"/>
      <c r="AF451" s="269"/>
      <c r="AG451" s="269"/>
      <c r="AH451" s="269"/>
      <c r="AI451" s="269"/>
      <c r="AJ451" s="269"/>
      <c r="AK451" s="269"/>
      <c r="AL451" s="269"/>
      <c r="AM451" s="269"/>
      <c r="AN451" s="269"/>
      <c r="AO451" s="269"/>
      <c r="AP451" s="269"/>
    </row>
    <row r="452" spans="1:42" s="45" customFormat="1" ht="13.5" customHeight="1">
      <c r="A452" s="54"/>
      <c r="B452" s="54"/>
      <c r="C452" s="154"/>
      <c r="D452" s="154"/>
      <c r="E452" s="154"/>
      <c r="F452" s="154"/>
      <c r="G452" s="154"/>
      <c r="H452" s="154"/>
      <c r="I452" s="154"/>
      <c r="J452" s="154"/>
      <c r="K452" s="154"/>
      <c r="L452" s="154"/>
      <c r="M452" s="154"/>
      <c r="N452" s="154"/>
      <c r="O452" s="154"/>
      <c r="P452" s="154"/>
      <c r="Q452" s="154"/>
      <c r="R452" s="154"/>
      <c r="S452" s="154"/>
      <c r="T452" s="54"/>
      <c r="U452" s="478"/>
      <c r="V452" s="54"/>
      <c r="W452" s="479"/>
      <c r="X452" s="480"/>
      <c r="Y452" s="311"/>
      <c r="Z452" s="68"/>
      <c r="AA452" s="54"/>
      <c r="AB452" s="54"/>
      <c r="AC452" s="54"/>
      <c r="AD452" s="54"/>
      <c r="AE452" s="54"/>
      <c r="AF452" s="54"/>
      <c r="AG452" s="54"/>
      <c r="AH452" s="54"/>
      <c r="AI452" s="54"/>
      <c r="AJ452" s="54"/>
      <c r="AK452" s="54"/>
      <c r="AL452" s="54"/>
      <c r="AM452" s="54"/>
      <c r="AN452" s="54"/>
      <c r="AO452" s="54"/>
      <c r="AP452" s="54"/>
    </row>
    <row r="453" spans="1:42" s="45" customFormat="1" ht="26.25" customHeight="1">
      <c r="A453" s="642" t="s">
        <v>718</v>
      </c>
      <c r="B453" s="642"/>
      <c r="C453" s="642"/>
      <c r="D453" s="642"/>
      <c r="E453" s="642"/>
      <c r="F453" s="642"/>
      <c r="G453" s="642"/>
      <c r="H453" s="642"/>
      <c r="I453" s="642"/>
      <c r="J453" s="642"/>
      <c r="K453" s="642"/>
      <c r="L453" s="271"/>
      <c r="M453" s="269"/>
      <c r="N453" s="268"/>
      <c r="O453" s="268"/>
      <c r="P453" s="268"/>
      <c r="Q453" s="270"/>
      <c r="R453" s="270"/>
      <c r="S453" s="269"/>
      <c r="T453" s="269"/>
      <c r="U453" s="272"/>
      <c r="V453" s="269"/>
      <c r="W453" s="296"/>
      <c r="X453" s="296"/>
      <c r="Y453" s="313"/>
      <c r="Z453" s="192"/>
      <c r="AA453" s="269"/>
      <c r="AB453" s="269"/>
      <c r="AC453" s="269"/>
      <c r="AD453" s="269"/>
      <c r="AE453" s="269"/>
      <c r="AF453" s="269"/>
      <c r="AG453" s="269"/>
      <c r="AH453" s="269"/>
      <c r="AI453" s="269"/>
      <c r="AJ453" s="269"/>
      <c r="AK453" s="269"/>
      <c r="AL453" s="269"/>
      <c r="AM453" s="269"/>
      <c r="AN453" s="269"/>
      <c r="AO453" s="269"/>
      <c r="AP453" s="269"/>
    </row>
    <row r="454" spans="1:42" s="45" customFormat="1" ht="13.5" customHeight="1">
      <c r="C454" s="164"/>
      <c r="D454" s="54"/>
      <c r="E454" s="154"/>
      <c r="F454" s="486"/>
      <c r="G454" s="55"/>
      <c r="H454" s="154"/>
      <c r="I454" s="54"/>
      <c r="J454" s="154"/>
      <c r="K454" s="54"/>
      <c r="L454" s="54"/>
      <c r="M454" s="54"/>
      <c r="N454" s="154"/>
      <c r="O454" s="154"/>
      <c r="P454" s="154"/>
      <c r="Q454" s="54"/>
      <c r="R454" s="54"/>
      <c r="S454" s="54"/>
      <c r="U454" s="10"/>
      <c r="W454" s="282"/>
      <c r="X454" s="290"/>
      <c r="Y454" s="311"/>
      <c r="Z454" s="192"/>
    </row>
    <row r="455" spans="1:42" s="269" customFormat="1" ht="11.25">
      <c r="A455" s="642" t="s">
        <v>722</v>
      </c>
      <c r="B455" s="642"/>
      <c r="C455" s="642"/>
      <c r="D455" s="642"/>
      <c r="E455" s="642"/>
      <c r="F455" s="642"/>
      <c r="G455" s="642"/>
      <c r="H455" s="642"/>
      <c r="I455" s="642"/>
      <c r="J455" s="642"/>
      <c r="K455" s="642"/>
      <c r="L455" s="271"/>
      <c r="N455" s="268"/>
      <c r="O455" s="268"/>
      <c r="P455" s="268"/>
      <c r="Q455" s="270"/>
      <c r="R455" s="270"/>
      <c r="U455" s="272"/>
      <c r="W455" s="296"/>
      <c r="X455" s="296"/>
      <c r="Y455" s="313"/>
      <c r="Z455" s="192"/>
    </row>
    <row r="456" spans="1:42" s="45" customFormat="1" ht="13.5" customHeight="1">
      <c r="C456" s="164"/>
      <c r="D456" s="54"/>
      <c r="E456" s="154"/>
      <c r="F456" s="486"/>
      <c r="G456" s="55"/>
      <c r="H456" s="154"/>
      <c r="I456" s="54"/>
      <c r="J456" s="154"/>
      <c r="K456" s="54"/>
      <c r="L456" s="54"/>
      <c r="M456" s="54"/>
      <c r="N456" s="154"/>
      <c r="O456" s="154"/>
      <c r="P456" s="154"/>
      <c r="Q456" s="54"/>
      <c r="R456" s="54"/>
      <c r="S456" s="54"/>
      <c r="U456" s="10"/>
      <c r="W456" s="282"/>
      <c r="X456" s="290"/>
      <c r="Y456" s="311"/>
      <c r="Z456" s="192"/>
    </row>
    <row r="457" spans="1:42" s="269" customFormat="1" ht="11.25">
      <c r="A457" s="642" t="s">
        <v>721</v>
      </c>
      <c r="B457" s="642"/>
      <c r="C457" s="642"/>
      <c r="D457" s="642"/>
      <c r="E457" s="642"/>
      <c r="F457" s="642"/>
      <c r="G457" s="642"/>
      <c r="H457" s="642"/>
      <c r="I457" s="642"/>
      <c r="J457" s="642"/>
      <c r="K457" s="642"/>
      <c r="L457" s="271"/>
      <c r="N457" s="268"/>
      <c r="O457" s="268"/>
      <c r="P457" s="268"/>
      <c r="Q457" s="270"/>
      <c r="R457" s="270"/>
      <c r="U457" s="272"/>
      <c r="W457" s="296"/>
      <c r="X457" s="296"/>
      <c r="Y457" s="313"/>
      <c r="Z457" s="192"/>
    </row>
    <row r="458" spans="1:42" s="45" customFormat="1" ht="13.5" customHeight="1">
      <c r="A458" s="44"/>
      <c r="B458" s="55"/>
      <c r="C458" s="164"/>
      <c r="D458" s="54"/>
      <c r="E458" s="154"/>
      <c r="F458" s="486"/>
      <c r="G458" s="55"/>
      <c r="H458" s="150"/>
      <c r="J458" s="154"/>
      <c r="N458" s="150"/>
      <c r="O458" s="150"/>
      <c r="P458" s="150"/>
      <c r="Q458" s="54"/>
      <c r="R458" s="54"/>
      <c r="U458" s="10"/>
      <c r="W458" s="282"/>
      <c r="X458" s="290"/>
      <c r="Y458" s="311"/>
      <c r="Z458" s="192"/>
    </row>
    <row r="459" spans="1:42" s="269" customFormat="1" ht="11.25" customHeight="1">
      <c r="A459" s="642" t="s">
        <v>720</v>
      </c>
      <c r="B459" s="642"/>
      <c r="C459" s="642"/>
      <c r="D459" s="642"/>
      <c r="E459" s="642"/>
      <c r="F459" s="642"/>
      <c r="G459" s="642"/>
      <c r="H459" s="642"/>
      <c r="I459" s="642"/>
      <c r="J459" s="642"/>
      <c r="K459" s="642"/>
      <c r="L459" s="271"/>
      <c r="N459" s="268"/>
      <c r="O459" s="268"/>
      <c r="P459" s="268"/>
      <c r="Q459" s="270"/>
      <c r="R459" s="270"/>
      <c r="U459" s="272"/>
      <c r="W459" s="296"/>
      <c r="X459" s="296"/>
      <c r="Y459" s="313"/>
      <c r="Z459" s="192"/>
    </row>
    <row r="460" spans="1:42" s="45" customFormat="1" ht="13.5" customHeight="1">
      <c r="A460" s="44"/>
      <c r="B460" s="345"/>
      <c r="C460" s="164"/>
      <c r="D460" s="54"/>
      <c r="E460" s="154"/>
      <c r="F460" s="486"/>
      <c r="G460" s="55"/>
      <c r="H460" s="150"/>
      <c r="J460" s="154"/>
      <c r="N460" s="150"/>
      <c r="O460" s="150"/>
      <c r="P460" s="150"/>
      <c r="Q460" s="54"/>
      <c r="R460" s="54"/>
      <c r="U460" s="10"/>
      <c r="W460" s="282"/>
      <c r="X460" s="290"/>
      <c r="Y460" s="311"/>
      <c r="Z460" s="192"/>
    </row>
    <row r="461" spans="1:42" s="45" customFormat="1" ht="13.5" customHeight="1">
      <c r="A461" s="44"/>
      <c r="B461" s="345"/>
      <c r="C461" s="164"/>
      <c r="D461" s="54"/>
      <c r="E461" s="154"/>
      <c r="F461" s="486"/>
      <c r="G461" s="55"/>
      <c r="H461" s="150"/>
      <c r="J461" s="154"/>
      <c r="N461" s="150"/>
      <c r="O461" s="150"/>
      <c r="P461" s="150"/>
      <c r="Q461" s="54"/>
      <c r="R461" s="54"/>
      <c r="U461" s="10"/>
      <c r="W461" s="282"/>
      <c r="X461" s="290"/>
      <c r="Y461" s="311"/>
      <c r="Z461" s="192"/>
    </row>
    <row r="462" spans="1:42" s="45" customFormat="1" ht="13.5" customHeight="1">
      <c r="A462" s="44"/>
      <c r="B462" s="55"/>
      <c r="C462" s="164"/>
      <c r="D462" s="54"/>
      <c r="E462" s="154"/>
      <c r="F462" s="486"/>
      <c r="G462" s="55"/>
      <c r="H462" s="150"/>
      <c r="J462" s="154"/>
      <c r="N462" s="150"/>
      <c r="O462" s="150"/>
      <c r="P462" s="150"/>
      <c r="Q462" s="54"/>
      <c r="R462" s="54"/>
      <c r="U462" s="10"/>
      <c r="W462" s="282"/>
      <c r="X462" s="290"/>
      <c r="Y462" s="311"/>
      <c r="Z462" s="192"/>
    </row>
    <row r="463" spans="1:42" s="45" customFormat="1" ht="13.5" customHeight="1">
      <c r="A463" s="44"/>
      <c r="B463" s="55"/>
      <c r="C463" s="164"/>
      <c r="D463" s="54"/>
      <c r="E463" s="154"/>
      <c r="F463" s="486"/>
      <c r="G463" s="55"/>
      <c r="H463" s="150"/>
      <c r="J463" s="154"/>
      <c r="N463" s="150"/>
      <c r="O463" s="150"/>
      <c r="P463" s="150"/>
      <c r="Q463" s="54"/>
      <c r="R463" s="54"/>
      <c r="U463" s="10"/>
      <c r="W463" s="282"/>
      <c r="X463" s="290"/>
      <c r="Y463" s="311"/>
      <c r="Z463" s="192"/>
    </row>
    <row r="464" spans="1:42" s="45" customFormat="1" ht="13.5" customHeight="1">
      <c r="A464" s="55"/>
      <c r="B464" s="55"/>
      <c r="C464" s="164"/>
      <c r="D464" s="54"/>
      <c r="E464" s="154"/>
      <c r="F464" s="486"/>
      <c r="G464" s="55"/>
      <c r="H464" s="150"/>
      <c r="J464" s="154"/>
      <c r="N464" s="150"/>
      <c r="O464" s="150"/>
      <c r="P464" s="150"/>
      <c r="Q464" s="54"/>
      <c r="R464" s="54"/>
      <c r="U464" s="10"/>
      <c r="W464" s="282"/>
      <c r="X464" s="290"/>
      <c r="Y464" s="311"/>
      <c r="Z464" s="192"/>
    </row>
    <row r="465" spans="1:26" s="45" customFormat="1" ht="13.5" customHeight="1">
      <c r="A465" s="44"/>
      <c r="B465" s="55"/>
      <c r="C465" s="164"/>
      <c r="D465" s="54"/>
      <c r="E465" s="154"/>
      <c r="F465" s="486"/>
      <c r="G465" s="55"/>
      <c r="H465" s="150"/>
      <c r="J465" s="154"/>
      <c r="N465" s="150"/>
      <c r="O465" s="150"/>
      <c r="P465" s="150"/>
      <c r="Q465" s="54"/>
      <c r="R465" s="54"/>
      <c r="U465" s="10"/>
      <c r="W465" s="282"/>
      <c r="X465" s="290"/>
      <c r="Y465" s="311"/>
      <c r="Z465" s="192"/>
    </row>
    <row r="466" spans="1:26" s="45" customFormat="1" ht="13.5" customHeight="1">
      <c r="A466" s="44"/>
      <c r="B466" s="55"/>
      <c r="C466" s="164"/>
      <c r="D466" s="54"/>
      <c r="E466" s="154"/>
      <c r="F466" s="486"/>
      <c r="G466" s="55"/>
      <c r="H466" s="150"/>
      <c r="J466" s="154"/>
      <c r="N466" s="150"/>
      <c r="O466" s="150"/>
      <c r="P466" s="150"/>
      <c r="Q466" s="54"/>
      <c r="R466" s="54"/>
      <c r="U466" s="10"/>
      <c r="W466" s="282"/>
      <c r="X466" s="290"/>
      <c r="Y466" s="311"/>
      <c r="Z466" s="192"/>
    </row>
    <row r="467" spans="1:26" s="45" customFormat="1" ht="13.5" customHeight="1">
      <c r="A467" s="44"/>
      <c r="B467" s="55"/>
      <c r="C467" s="164"/>
      <c r="D467" s="164"/>
      <c r="E467" s="164"/>
      <c r="F467" s="164"/>
      <c r="G467" s="164"/>
      <c r="H467" s="164"/>
      <c r="I467" s="164"/>
      <c r="J467" s="164"/>
      <c r="K467" s="164"/>
      <c r="L467" s="164"/>
      <c r="M467" s="164"/>
      <c r="N467" s="164"/>
      <c r="O467" s="164"/>
      <c r="P467" s="164"/>
      <c r="Q467" s="164"/>
      <c r="R467" s="164"/>
      <c r="S467" s="164"/>
      <c r="U467" s="10"/>
      <c r="W467" s="282"/>
      <c r="X467" s="290"/>
      <c r="Y467" s="311"/>
      <c r="Z467" s="192"/>
    </row>
    <row r="468" spans="1:26" s="45" customFormat="1" ht="13.5" customHeight="1">
      <c r="A468" s="44"/>
      <c r="B468" s="55"/>
      <c r="C468" s="164"/>
      <c r="D468" s="164"/>
      <c r="E468" s="164"/>
      <c r="F468" s="164"/>
      <c r="G468" s="164"/>
      <c r="H468" s="164"/>
      <c r="I468" s="164"/>
      <c r="J468" s="164"/>
      <c r="K468" s="164"/>
      <c r="L468" s="164"/>
      <c r="M468" s="164"/>
      <c r="N468" s="164"/>
      <c r="O468" s="164"/>
      <c r="P468" s="164"/>
      <c r="Q468" s="164"/>
      <c r="R468" s="164"/>
      <c r="S468" s="164"/>
      <c r="U468" s="10"/>
      <c r="W468" s="282"/>
      <c r="X468" s="290"/>
      <c r="Y468" s="311"/>
      <c r="Z468" s="192"/>
    </row>
    <row r="469" spans="1:26" s="45" customFormat="1" ht="13.5" customHeight="1">
      <c r="A469" s="44"/>
      <c r="B469" s="55"/>
      <c r="C469" s="164"/>
      <c r="D469" s="54"/>
      <c r="E469" s="154"/>
      <c r="F469" s="486"/>
      <c r="G469" s="55"/>
      <c r="H469" s="150"/>
      <c r="J469" s="154"/>
      <c r="N469" s="150"/>
      <c r="O469" s="150"/>
      <c r="P469" s="150"/>
      <c r="Q469" s="54"/>
      <c r="R469" s="54"/>
      <c r="U469" s="10"/>
      <c r="W469" s="282"/>
      <c r="X469" s="290"/>
      <c r="Y469" s="311"/>
      <c r="Z469" s="192"/>
    </row>
    <row r="470" spans="1:26" s="45" customFormat="1" ht="13.5" customHeight="1">
      <c r="A470" s="44"/>
      <c r="B470" s="55"/>
      <c r="C470" s="164"/>
      <c r="D470" s="54"/>
      <c r="E470" s="154"/>
      <c r="F470" s="486"/>
      <c r="G470" s="55"/>
      <c r="H470" s="150"/>
      <c r="J470" s="154"/>
      <c r="N470" s="150"/>
      <c r="O470" s="150"/>
      <c r="P470" s="150"/>
      <c r="Q470" s="54"/>
      <c r="R470" s="54"/>
      <c r="U470" s="10"/>
      <c r="W470" s="282"/>
      <c r="X470" s="290"/>
      <c r="Y470" s="311"/>
      <c r="Z470" s="192"/>
    </row>
    <row r="471" spans="1:26" s="45" customFormat="1" ht="13.5" customHeight="1">
      <c r="A471" s="44"/>
      <c r="B471" s="55"/>
      <c r="C471" s="164"/>
      <c r="D471" s="54"/>
      <c r="E471" s="154"/>
      <c r="F471" s="486"/>
      <c r="G471" s="55"/>
      <c r="H471" s="150"/>
      <c r="J471" s="154"/>
      <c r="N471" s="150"/>
      <c r="O471" s="150"/>
      <c r="P471" s="150"/>
      <c r="Q471" s="54"/>
      <c r="R471" s="54"/>
      <c r="U471" s="10"/>
      <c r="W471" s="282"/>
      <c r="X471" s="290"/>
      <c r="Y471" s="311"/>
      <c r="Z471" s="192"/>
    </row>
    <row r="472" spans="1:26" s="45" customFormat="1" ht="13.5" customHeight="1">
      <c r="A472" s="44"/>
      <c r="B472" s="55"/>
      <c r="C472" s="164"/>
      <c r="D472" s="54"/>
      <c r="E472" s="154"/>
      <c r="F472" s="486"/>
      <c r="G472" s="55"/>
      <c r="H472" s="150"/>
      <c r="J472" s="154"/>
      <c r="N472" s="150"/>
      <c r="O472" s="150"/>
      <c r="P472" s="150"/>
      <c r="Q472" s="54"/>
      <c r="R472" s="54"/>
      <c r="U472" s="10"/>
      <c r="W472" s="282"/>
      <c r="X472" s="290"/>
      <c r="Y472" s="311"/>
      <c r="Z472" s="192"/>
    </row>
    <row r="473" spans="1:26" s="45" customFormat="1" ht="13.5" customHeight="1">
      <c r="A473" s="44"/>
      <c r="B473" s="55"/>
      <c r="C473" s="164"/>
      <c r="D473" s="54"/>
      <c r="E473" s="154"/>
      <c r="F473" s="486"/>
      <c r="G473" s="55"/>
      <c r="H473" s="150"/>
      <c r="J473" s="154"/>
      <c r="N473" s="150"/>
      <c r="O473" s="150"/>
      <c r="P473" s="150"/>
      <c r="Q473" s="54"/>
      <c r="R473" s="54"/>
      <c r="U473" s="10"/>
      <c r="W473" s="282"/>
      <c r="X473" s="290"/>
      <c r="Y473" s="311"/>
      <c r="Z473" s="192"/>
    </row>
    <row r="474" spans="1:26" s="45" customFormat="1" ht="13.5" customHeight="1">
      <c r="A474" s="44"/>
      <c r="B474" s="55"/>
      <c r="C474" s="473"/>
      <c r="D474" s="473"/>
      <c r="E474" s="473"/>
      <c r="F474" s="220"/>
      <c r="G474" s="473"/>
      <c r="H474" s="473"/>
      <c r="I474" s="220"/>
      <c r="J474" s="473"/>
      <c r="K474" s="473"/>
      <c r="L474" s="473"/>
      <c r="M474" s="473"/>
      <c r="N474" s="473"/>
      <c r="O474" s="473"/>
      <c r="P474" s="473"/>
      <c r="Q474" s="473"/>
      <c r="R474" s="473"/>
      <c r="S474" s="473"/>
      <c r="U474" s="10"/>
      <c r="W474" s="282"/>
      <c r="X474" s="290"/>
      <c r="Y474" s="311"/>
      <c r="Z474" s="192"/>
    </row>
    <row r="475" spans="1:26" s="45" customFormat="1" ht="13.5" customHeight="1">
      <c r="A475" s="44"/>
      <c r="B475" s="55"/>
      <c r="C475" s="472"/>
      <c r="D475" s="54"/>
      <c r="E475" s="154"/>
      <c r="F475" s="486"/>
      <c r="G475" s="55"/>
      <c r="H475" s="150"/>
      <c r="J475" s="154"/>
      <c r="N475" s="150"/>
      <c r="O475" s="150"/>
      <c r="P475" s="150"/>
      <c r="Q475" s="54"/>
      <c r="R475" s="54"/>
      <c r="U475" s="10"/>
      <c r="W475" s="282"/>
      <c r="X475" s="290"/>
      <c r="Y475" s="311"/>
      <c r="Z475" s="192"/>
    </row>
    <row r="476" spans="1:26" s="45" customFormat="1" ht="13.5" customHeight="1">
      <c r="A476" s="44"/>
      <c r="B476" s="55"/>
      <c r="C476" s="164"/>
      <c r="D476" s="54"/>
      <c r="E476" s="154"/>
      <c r="F476" s="486"/>
      <c r="G476" s="55"/>
      <c r="H476" s="150"/>
      <c r="J476" s="154"/>
      <c r="N476" s="150"/>
      <c r="O476" s="150"/>
      <c r="P476" s="150"/>
      <c r="Q476" s="54"/>
      <c r="R476" s="54"/>
      <c r="U476" s="10"/>
      <c r="W476" s="282"/>
      <c r="X476" s="290"/>
      <c r="Y476" s="311"/>
      <c r="Z476" s="192"/>
    </row>
    <row r="477" spans="1:26" s="45" customFormat="1" ht="13.5" customHeight="1">
      <c r="A477" s="44"/>
      <c r="B477" s="55"/>
      <c r="C477" s="169"/>
      <c r="D477" s="164"/>
      <c r="E477" s="169"/>
      <c r="F477" s="169"/>
      <c r="G477" s="55"/>
      <c r="H477" s="169"/>
      <c r="I477" s="164"/>
      <c r="J477" s="169"/>
      <c r="N477" s="150"/>
      <c r="O477" s="150"/>
      <c r="P477" s="150"/>
      <c r="Q477" s="54"/>
      <c r="R477" s="54"/>
      <c r="U477" s="10"/>
      <c r="W477" s="282"/>
      <c r="X477" s="290"/>
      <c r="Y477" s="311"/>
      <c r="Z477" s="192"/>
    </row>
    <row r="478" spans="1:26" s="45" customFormat="1" ht="13.5" customHeight="1">
      <c r="A478" s="44"/>
      <c r="B478" s="55"/>
      <c r="C478" s="164"/>
      <c r="D478" s="54"/>
      <c r="E478" s="154"/>
      <c r="F478" s="486"/>
      <c r="G478" s="55"/>
      <c r="H478" s="150"/>
      <c r="J478" s="154"/>
      <c r="N478" s="150"/>
      <c r="O478" s="150"/>
      <c r="P478" s="150"/>
      <c r="Q478" s="54"/>
      <c r="R478" s="54"/>
      <c r="U478" s="10"/>
      <c r="W478" s="282"/>
      <c r="X478" s="290"/>
      <c r="Y478" s="311"/>
      <c r="Z478" s="192"/>
    </row>
    <row r="479" spans="1:26" s="45" customFormat="1" ht="13.5" customHeight="1">
      <c r="A479" s="44"/>
      <c r="B479" s="55"/>
      <c r="C479" s="164"/>
      <c r="D479" s="54"/>
      <c r="E479" s="154"/>
      <c r="F479" s="486"/>
      <c r="G479" s="55"/>
      <c r="H479" s="150"/>
      <c r="J479" s="154"/>
      <c r="N479" s="150"/>
      <c r="O479" s="150"/>
      <c r="P479" s="150"/>
      <c r="Q479" s="54"/>
      <c r="R479" s="54"/>
      <c r="U479" s="10"/>
      <c r="W479" s="282"/>
      <c r="X479" s="290"/>
      <c r="Y479" s="311"/>
      <c r="Z479" s="192"/>
    </row>
    <row r="480" spans="1:26" s="45" customFormat="1" ht="13.5" customHeight="1">
      <c r="A480" s="44"/>
      <c r="B480" s="55"/>
      <c r="C480" s="164"/>
      <c r="D480" s="54"/>
      <c r="E480" s="154"/>
      <c r="F480" s="486"/>
      <c r="G480" s="55"/>
      <c r="H480" s="150"/>
      <c r="J480" s="154"/>
      <c r="N480" s="150"/>
      <c r="O480" s="150"/>
      <c r="P480" s="150"/>
      <c r="Q480" s="54"/>
      <c r="R480" s="54"/>
      <c r="U480" s="10"/>
      <c r="W480" s="282"/>
      <c r="X480" s="290"/>
      <c r="Y480" s="311"/>
      <c r="Z480" s="192"/>
    </row>
    <row r="481" spans="1:26" s="45" customFormat="1" ht="13.5" customHeight="1">
      <c r="A481" s="44"/>
      <c r="B481" s="55"/>
      <c r="C481" s="164"/>
      <c r="D481" s="54"/>
      <c r="E481" s="154"/>
      <c r="F481" s="486"/>
      <c r="G481" s="55"/>
      <c r="H481" s="150"/>
      <c r="J481" s="154"/>
      <c r="N481" s="150"/>
      <c r="O481" s="150"/>
      <c r="P481" s="150"/>
      <c r="Q481" s="54"/>
      <c r="R481" s="54"/>
      <c r="U481" s="10"/>
      <c r="W481" s="282"/>
      <c r="X481" s="290"/>
      <c r="Y481" s="311"/>
      <c r="Z481" s="192"/>
    </row>
    <row r="482" spans="1:26" s="45" customFormat="1" ht="13.5" customHeight="1">
      <c r="A482" s="44"/>
      <c r="B482" s="55"/>
      <c r="C482" s="164"/>
      <c r="D482" s="54"/>
      <c r="E482" s="154"/>
      <c r="F482" s="486"/>
      <c r="G482" s="55"/>
      <c r="H482" s="150"/>
      <c r="J482" s="154"/>
      <c r="N482" s="150"/>
      <c r="O482" s="150"/>
      <c r="P482" s="150"/>
      <c r="Q482" s="54"/>
      <c r="R482" s="54"/>
      <c r="U482" s="10"/>
      <c r="W482" s="282"/>
      <c r="X482" s="290"/>
      <c r="Y482" s="311"/>
      <c r="Z482" s="192"/>
    </row>
    <row r="483" spans="1:26" s="45" customFormat="1" ht="13.5" customHeight="1">
      <c r="A483" s="44"/>
      <c r="B483" s="55"/>
      <c r="C483" s="164"/>
      <c r="D483" s="54"/>
      <c r="E483" s="154"/>
      <c r="F483" s="486"/>
      <c r="G483" s="55"/>
      <c r="H483" s="150"/>
      <c r="J483" s="154"/>
      <c r="N483" s="150"/>
      <c r="O483" s="150"/>
      <c r="P483" s="150"/>
      <c r="Q483" s="54"/>
      <c r="R483" s="54"/>
      <c r="U483" s="10"/>
      <c r="W483" s="282"/>
      <c r="X483" s="290"/>
      <c r="Y483" s="311"/>
      <c r="Z483" s="192"/>
    </row>
    <row r="484" spans="1:26" s="45" customFormat="1" ht="13.5" customHeight="1">
      <c r="A484" s="44"/>
      <c r="B484" s="55"/>
      <c r="C484" s="164"/>
      <c r="D484" s="54"/>
      <c r="E484" s="154"/>
      <c r="F484" s="486"/>
      <c r="G484" s="55"/>
      <c r="H484" s="150"/>
      <c r="J484" s="154"/>
      <c r="N484" s="150"/>
      <c r="O484" s="150"/>
      <c r="P484" s="150"/>
      <c r="Q484" s="54"/>
      <c r="R484" s="54"/>
      <c r="U484" s="10"/>
      <c r="W484" s="282"/>
      <c r="X484" s="290"/>
      <c r="Y484" s="311"/>
      <c r="Z484" s="192"/>
    </row>
    <row r="485" spans="1:26" s="45" customFormat="1" ht="13.5" customHeight="1">
      <c r="A485" s="44"/>
      <c r="B485" s="55"/>
      <c r="C485" s="164"/>
      <c r="D485" s="54"/>
      <c r="E485" s="154"/>
      <c r="F485" s="486"/>
      <c r="G485" s="55"/>
      <c r="H485" s="150"/>
      <c r="J485" s="154"/>
      <c r="N485" s="150"/>
      <c r="O485" s="150"/>
      <c r="P485" s="150"/>
      <c r="Q485" s="54"/>
      <c r="R485" s="54"/>
      <c r="U485" s="10"/>
      <c r="W485" s="282"/>
      <c r="X485" s="290"/>
      <c r="Y485" s="311"/>
      <c r="Z485" s="192"/>
    </row>
    <row r="486" spans="1:26" s="45" customFormat="1" ht="13.5" customHeight="1">
      <c r="A486" s="44"/>
      <c r="B486" s="55"/>
      <c r="C486" s="164"/>
      <c r="D486" s="54"/>
      <c r="E486" s="154"/>
      <c r="F486" s="486"/>
      <c r="G486" s="55"/>
      <c r="H486" s="150"/>
      <c r="J486" s="154"/>
      <c r="N486" s="150"/>
      <c r="O486" s="150"/>
      <c r="P486" s="150"/>
      <c r="Q486" s="54"/>
      <c r="R486" s="54"/>
      <c r="U486" s="10"/>
      <c r="W486" s="282"/>
      <c r="X486" s="290"/>
      <c r="Y486" s="311"/>
      <c r="Z486" s="192"/>
    </row>
    <row r="487" spans="1:26" s="45" customFormat="1" ht="13.5" customHeight="1">
      <c r="A487" s="44"/>
      <c r="B487" s="55"/>
      <c r="C487" s="164"/>
      <c r="D487" s="54"/>
      <c r="E487" s="154"/>
      <c r="F487" s="486"/>
      <c r="G487" s="55"/>
      <c r="H487" s="150"/>
      <c r="J487" s="154"/>
      <c r="N487" s="150"/>
      <c r="O487" s="150"/>
      <c r="P487" s="150"/>
      <c r="Q487" s="54"/>
      <c r="R487" s="54"/>
      <c r="U487" s="10"/>
      <c r="W487" s="282"/>
      <c r="X487" s="290"/>
      <c r="Y487" s="311"/>
      <c r="Z487" s="192"/>
    </row>
    <row r="488" spans="1:26" s="45" customFormat="1" ht="13.5" customHeight="1">
      <c r="A488" s="44"/>
      <c r="B488" s="55"/>
      <c r="C488" s="164"/>
      <c r="D488" s="54"/>
      <c r="E488" s="154"/>
      <c r="F488" s="486"/>
      <c r="G488" s="55"/>
      <c r="H488" s="150"/>
      <c r="J488" s="154"/>
      <c r="N488" s="150"/>
      <c r="O488" s="150"/>
      <c r="P488" s="150"/>
      <c r="Q488" s="54"/>
      <c r="R488" s="54"/>
      <c r="U488" s="10"/>
      <c r="W488" s="282"/>
      <c r="X488" s="290"/>
      <c r="Y488" s="311"/>
      <c r="Z488" s="192"/>
    </row>
    <row r="489" spans="1:26" s="45" customFormat="1" ht="13.5" customHeight="1">
      <c r="A489" s="44"/>
      <c r="B489" s="55"/>
      <c r="C489" s="164"/>
      <c r="D489" s="54"/>
      <c r="E489" s="154"/>
      <c r="F489" s="486"/>
      <c r="G489" s="55"/>
      <c r="H489" s="150"/>
      <c r="J489" s="154"/>
      <c r="N489" s="150"/>
      <c r="O489" s="150"/>
      <c r="P489" s="150"/>
      <c r="Q489" s="54"/>
      <c r="R489" s="54"/>
      <c r="U489" s="10"/>
      <c r="W489" s="282"/>
      <c r="X489" s="290"/>
      <c r="Y489" s="311"/>
      <c r="Z489" s="192"/>
    </row>
    <row r="490" spans="1:26" s="45" customFormat="1" ht="13.5" customHeight="1">
      <c r="A490" s="44"/>
      <c r="B490" s="55"/>
      <c r="C490" s="164"/>
      <c r="D490" s="54"/>
      <c r="E490" s="154"/>
      <c r="F490" s="486"/>
      <c r="G490" s="55"/>
      <c r="H490" s="150"/>
      <c r="J490" s="154"/>
      <c r="N490" s="150"/>
      <c r="O490" s="150"/>
      <c r="P490" s="150"/>
      <c r="Q490" s="54"/>
      <c r="R490" s="54"/>
      <c r="U490" s="10"/>
      <c r="W490" s="282"/>
      <c r="X490" s="290"/>
      <c r="Y490" s="311"/>
      <c r="Z490" s="192"/>
    </row>
    <row r="491" spans="1:26" s="45" customFormat="1" ht="13.5" customHeight="1">
      <c r="A491" s="44"/>
      <c r="B491" s="55"/>
      <c r="C491" s="164"/>
      <c r="D491" s="54"/>
      <c r="E491" s="154"/>
      <c r="F491" s="486"/>
      <c r="G491" s="55"/>
      <c r="H491" s="150"/>
      <c r="J491" s="154"/>
      <c r="N491" s="150"/>
      <c r="O491" s="150"/>
      <c r="P491" s="150"/>
      <c r="Q491" s="54"/>
      <c r="R491" s="54"/>
      <c r="U491" s="10"/>
      <c r="W491" s="282"/>
      <c r="X491" s="290"/>
      <c r="Y491" s="311"/>
      <c r="Z491" s="192"/>
    </row>
    <row r="492" spans="1:26" s="45" customFormat="1" ht="13.5" customHeight="1">
      <c r="A492" s="44"/>
      <c r="B492" s="55"/>
      <c r="C492" s="164"/>
      <c r="D492" s="54"/>
      <c r="E492" s="154"/>
      <c r="F492" s="486"/>
      <c r="G492" s="55"/>
      <c r="H492" s="150"/>
      <c r="J492" s="154"/>
      <c r="N492" s="150"/>
      <c r="O492" s="150"/>
      <c r="P492" s="150"/>
      <c r="Q492" s="54"/>
      <c r="R492" s="54"/>
      <c r="U492" s="10"/>
      <c r="W492" s="282"/>
      <c r="X492" s="290"/>
      <c r="Y492" s="311"/>
      <c r="Z492" s="192"/>
    </row>
    <row r="493" spans="1:26" s="45" customFormat="1" ht="13.5" customHeight="1">
      <c r="A493" s="44"/>
      <c r="B493" s="55"/>
      <c r="C493" s="164"/>
      <c r="D493" s="54"/>
      <c r="E493" s="154"/>
      <c r="F493" s="486"/>
      <c r="G493" s="55"/>
      <c r="H493" s="150"/>
      <c r="J493" s="154"/>
      <c r="N493" s="150"/>
      <c r="O493" s="150"/>
      <c r="P493" s="150"/>
      <c r="Q493" s="54"/>
      <c r="R493" s="54"/>
      <c r="U493" s="10"/>
      <c r="W493" s="282"/>
      <c r="X493" s="290"/>
      <c r="Y493" s="311"/>
      <c r="Z493" s="192"/>
    </row>
    <row r="494" spans="1:26" s="45" customFormat="1" ht="13.5" customHeight="1">
      <c r="A494" s="44"/>
      <c r="B494" s="55"/>
      <c r="C494" s="164"/>
      <c r="D494" s="54"/>
      <c r="E494" s="154"/>
      <c r="F494" s="486"/>
      <c r="G494" s="55"/>
      <c r="H494" s="150"/>
      <c r="J494" s="154"/>
      <c r="N494" s="150"/>
      <c r="O494" s="150"/>
      <c r="P494" s="150"/>
      <c r="Q494" s="54"/>
      <c r="R494" s="54"/>
      <c r="U494" s="10"/>
      <c r="W494" s="282"/>
      <c r="X494" s="290"/>
      <c r="Y494" s="311"/>
      <c r="Z494" s="192"/>
    </row>
    <row r="495" spans="1:26" s="45" customFormat="1" ht="13.5" customHeight="1">
      <c r="A495" s="44"/>
      <c r="B495" s="55"/>
      <c r="C495" s="164"/>
      <c r="D495" s="54"/>
      <c r="E495" s="154"/>
      <c r="F495" s="486"/>
      <c r="G495" s="55"/>
      <c r="H495" s="150"/>
      <c r="J495" s="154"/>
      <c r="N495" s="150"/>
      <c r="O495" s="150"/>
      <c r="P495" s="150"/>
      <c r="Q495" s="54"/>
      <c r="R495" s="54"/>
      <c r="U495" s="10"/>
      <c r="W495" s="282"/>
      <c r="X495" s="290"/>
      <c r="Y495" s="311"/>
      <c r="Z495" s="192"/>
    </row>
    <row r="496" spans="1:26" s="45" customFormat="1" ht="13.5" customHeight="1">
      <c r="A496" s="44"/>
      <c r="B496" s="55"/>
      <c r="C496" s="164"/>
      <c r="D496" s="54"/>
      <c r="E496" s="154"/>
      <c r="F496" s="486"/>
      <c r="G496" s="55"/>
      <c r="H496" s="150"/>
      <c r="J496" s="154"/>
      <c r="N496" s="150"/>
      <c r="O496" s="150"/>
      <c r="P496" s="150"/>
      <c r="Q496" s="54"/>
      <c r="R496" s="54"/>
      <c r="U496" s="10"/>
      <c r="W496" s="282"/>
      <c r="X496" s="290"/>
      <c r="Y496" s="311"/>
      <c r="Z496" s="192"/>
    </row>
    <row r="497" spans="1:42" s="45" customFormat="1" ht="13.5" customHeight="1">
      <c r="A497" s="44"/>
      <c r="B497" s="55"/>
      <c r="C497" s="164"/>
      <c r="D497" s="54"/>
      <c r="E497" s="154"/>
      <c r="F497" s="486"/>
      <c r="G497" s="55"/>
      <c r="H497" s="150"/>
      <c r="J497" s="154"/>
      <c r="N497" s="150"/>
      <c r="O497" s="150"/>
      <c r="P497" s="150"/>
      <c r="Q497" s="54"/>
      <c r="R497" s="54"/>
      <c r="U497" s="10"/>
      <c r="W497" s="282"/>
      <c r="X497" s="290"/>
      <c r="Y497" s="311"/>
      <c r="Z497" s="192"/>
    </row>
    <row r="498" spans="1:42" s="45" customFormat="1" ht="13.5" customHeight="1">
      <c r="A498" s="44"/>
      <c r="B498" s="55"/>
      <c r="C498" s="164"/>
      <c r="D498" s="54"/>
      <c r="E498" s="154"/>
      <c r="F498" s="486"/>
      <c r="G498" s="55"/>
      <c r="H498" s="150"/>
      <c r="J498" s="154"/>
      <c r="N498" s="150"/>
      <c r="O498" s="150"/>
      <c r="P498" s="150"/>
      <c r="Q498" s="54"/>
      <c r="R498" s="54"/>
      <c r="U498" s="10"/>
      <c r="W498" s="282"/>
      <c r="X498" s="290"/>
      <c r="Y498" s="311"/>
      <c r="Z498" s="192"/>
    </row>
    <row r="499" spans="1:42" s="45" customFormat="1" ht="13.5" customHeight="1">
      <c r="A499" s="44"/>
      <c r="B499" s="55"/>
      <c r="C499" s="164"/>
      <c r="D499" s="54"/>
      <c r="E499" s="154"/>
      <c r="F499" s="486"/>
      <c r="G499" s="55"/>
      <c r="H499" s="150"/>
      <c r="J499" s="154"/>
      <c r="N499" s="150"/>
      <c r="O499" s="150"/>
      <c r="P499" s="150"/>
      <c r="Q499" s="54"/>
      <c r="R499" s="54"/>
      <c r="U499" s="10"/>
      <c r="W499" s="282"/>
      <c r="X499" s="290"/>
      <c r="Y499" s="311"/>
      <c r="Z499" s="192"/>
    </row>
    <row r="500" spans="1:42" s="45" customFormat="1" ht="13.5" customHeight="1">
      <c r="A500" s="44"/>
      <c r="B500" s="55"/>
      <c r="C500" s="164"/>
      <c r="D500" s="54"/>
      <c r="E500" s="154"/>
      <c r="F500" s="486"/>
      <c r="G500" s="55"/>
      <c r="H500" s="150"/>
      <c r="J500" s="154"/>
      <c r="N500" s="150"/>
      <c r="O500" s="150"/>
      <c r="P500" s="150"/>
      <c r="Q500" s="54"/>
      <c r="R500" s="54"/>
      <c r="U500" s="10"/>
      <c r="W500" s="282"/>
      <c r="X500" s="290"/>
      <c r="Y500" s="311"/>
      <c r="Z500" s="192"/>
    </row>
    <row r="501" spans="1:42" s="45" customFormat="1" ht="13.5" customHeight="1">
      <c r="A501" s="44"/>
      <c r="B501" s="55"/>
      <c r="C501" s="164"/>
      <c r="D501" s="54"/>
      <c r="E501" s="154"/>
      <c r="F501" s="486"/>
      <c r="G501" s="55"/>
      <c r="H501" s="150"/>
      <c r="J501" s="154"/>
      <c r="N501" s="150"/>
      <c r="O501" s="150"/>
      <c r="P501" s="150"/>
      <c r="Q501" s="54"/>
      <c r="R501" s="54"/>
      <c r="U501" s="10"/>
      <c r="W501" s="282"/>
      <c r="X501" s="290"/>
      <c r="Y501" s="311"/>
      <c r="Z501" s="192"/>
    </row>
    <row r="502" spans="1:42" s="45" customFormat="1" ht="13.5" customHeight="1">
      <c r="A502" s="44"/>
      <c r="B502" s="55"/>
      <c r="C502" s="164"/>
      <c r="D502" s="54"/>
      <c r="E502" s="154"/>
      <c r="F502" s="486"/>
      <c r="G502" s="55"/>
      <c r="H502" s="150"/>
      <c r="J502" s="154"/>
      <c r="N502" s="150"/>
      <c r="O502" s="150"/>
      <c r="P502" s="150"/>
      <c r="Q502" s="54"/>
      <c r="R502" s="54"/>
      <c r="U502" s="10"/>
      <c r="W502" s="282"/>
      <c r="X502" s="290"/>
      <c r="Y502" s="311"/>
      <c r="Z502" s="192"/>
    </row>
    <row r="503" spans="1:42" s="45" customFormat="1" ht="13.5" customHeight="1">
      <c r="A503" s="44"/>
      <c r="B503" s="55"/>
      <c r="C503" s="164"/>
      <c r="D503" s="54"/>
      <c r="E503" s="154"/>
      <c r="F503" s="486"/>
      <c r="G503" s="55"/>
      <c r="H503" s="150"/>
      <c r="J503" s="154"/>
      <c r="N503" s="150"/>
      <c r="O503" s="150"/>
      <c r="P503" s="150"/>
      <c r="Q503" s="54"/>
      <c r="R503" s="54"/>
      <c r="U503" s="10"/>
      <c r="W503" s="282"/>
      <c r="X503" s="290"/>
      <c r="Y503" s="311"/>
      <c r="Z503" s="192"/>
    </row>
    <row r="504" spans="1:42" s="45" customFormat="1" ht="13.5" customHeight="1">
      <c r="A504" s="44"/>
      <c r="B504" s="55"/>
      <c r="C504" s="164"/>
      <c r="D504" s="54"/>
      <c r="E504" s="154"/>
      <c r="F504" s="486"/>
      <c r="G504" s="55"/>
      <c r="H504" s="150"/>
      <c r="J504" s="154"/>
      <c r="N504" s="150"/>
      <c r="O504" s="150"/>
      <c r="P504" s="150"/>
      <c r="Q504" s="54"/>
      <c r="R504" s="54"/>
      <c r="U504" s="10"/>
      <c r="W504" s="282"/>
      <c r="X504" s="290"/>
      <c r="Y504" s="311"/>
      <c r="Z504" s="192"/>
    </row>
    <row r="505" spans="1:42" s="45" customFormat="1" ht="13.5" customHeight="1">
      <c r="A505" s="44"/>
      <c r="B505" s="55"/>
      <c r="C505" s="164"/>
      <c r="D505" s="54"/>
      <c r="E505" s="154"/>
      <c r="F505" s="486"/>
      <c r="G505" s="55"/>
      <c r="H505" s="150"/>
      <c r="J505" s="154"/>
      <c r="N505" s="150"/>
      <c r="O505" s="150"/>
      <c r="P505" s="150"/>
      <c r="Q505" s="54"/>
      <c r="R505" s="54"/>
      <c r="U505" s="10"/>
      <c r="W505" s="282"/>
      <c r="X505" s="290"/>
      <c r="Y505" s="311"/>
      <c r="Z505" s="192"/>
    </row>
    <row r="506" spans="1:42" s="45" customFormat="1" ht="13.5" customHeight="1">
      <c r="A506" s="44"/>
      <c r="B506" s="55"/>
      <c r="C506" s="164"/>
      <c r="D506" s="54"/>
      <c r="E506" s="154"/>
      <c r="F506" s="486"/>
      <c r="G506" s="55"/>
      <c r="H506" s="150"/>
      <c r="J506" s="154"/>
      <c r="N506" s="150"/>
      <c r="O506" s="150"/>
      <c r="P506" s="150"/>
      <c r="Q506" s="54"/>
      <c r="R506" s="54"/>
      <c r="U506" s="10"/>
      <c r="W506" s="282"/>
      <c r="X506" s="290"/>
      <c r="Y506" s="311"/>
      <c r="Z506" s="192"/>
    </row>
    <row r="507" spans="1:42" s="45" customFormat="1" ht="13.5" customHeight="1">
      <c r="A507" s="55"/>
      <c r="B507" s="55"/>
      <c r="C507" s="164"/>
      <c r="D507" s="54"/>
      <c r="E507" s="154"/>
      <c r="F507" s="486"/>
      <c r="G507" s="55"/>
      <c r="H507" s="150"/>
      <c r="J507" s="154"/>
      <c r="N507" s="150"/>
      <c r="O507" s="150"/>
      <c r="P507" s="150"/>
      <c r="Q507" s="54"/>
      <c r="R507" s="54"/>
      <c r="U507" s="10"/>
      <c r="W507" s="282"/>
      <c r="X507" s="290"/>
      <c r="Y507" s="311"/>
      <c r="Z507" s="192"/>
    </row>
    <row r="508" spans="1:42" s="57" customFormat="1" ht="13.5" customHeight="1">
      <c r="A508" s="55"/>
      <c r="B508" s="55"/>
      <c r="C508" s="164"/>
      <c r="D508" s="54"/>
      <c r="E508" s="154"/>
      <c r="F508" s="486"/>
      <c r="G508" s="55"/>
      <c r="H508" s="150"/>
      <c r="I508" s="45"/>
      <c r="J508" s="154"/>
      <c r="K508" s="45"/>
      <c r="L508" s="45"/>
      <c r="M508" s="45"/>
      <c r="N508" s="150"/>
      <c r="O508" s="150"/>
      <c r="P508" s="150"/>
      <c r="Q508" s="54"/>
      <c r="R508" s="54"/>
      <c r="S508" s="45"/>
      <c r="T508" s="45"/>
      <c r="U508" s="10"/>
      <c r="V508" s="45"/>
      <c r="W508" s="282"/>
      <c r="X508" s="290"/>
      <c r="Y508" s="311"/>
      <c r="Z508" s="192"/>
      <c r="AA508" s="45"/>
      <c r="AB508" s="45"/>
      <c r="AC508" s="45"/>
      <c r="AD508" s="45"/>
      <c r="AE508" s="45"/>
      <c r="AF508" s="45"/>
      <c r="AG508" s="45"/>
      <c r="AH508" s="45"/>
      <c r="AI508" s="45"/>
      <c r="AJ508" s="45"/>
      <c r="AK508" s="45"/>
      <c r="AL508" s="45"/>
      <c r="AM508" s="45"/>
      <c r="AN508" s="45"/>
      <c r="AO508" s="45"/>
      <c r="AP508" s="45"/>
    </row>
    <row r="509" spans="1:42" s="57" customFormat="1" ht="13.5" customHeight="1">
      <c r="A509" s="55"/>
      <c r="B509" s="55"/>
      <c r="C509" s="164"/>
      <c r="D509" s="54"/>
      <c r="E509" s="154"/>
      <c r="F509" s="486"/>
      <c r="G509" s="55"/>
      <c r="H509" s="150"/>
      <c r="I509" s="45"/>
      <c r="J509" s="154"/>
      <c r="K509" s="45"/>
      <c r="L509" s="45"/>
      <c r="M509" s="45"/>
      <c r="N509" s="150"/>
      <c r="O509" s="150"/>
      <c r="P509" s="150"/>
      <c r="Q509" s="54"/>
      <c r="R509" s="54"/>
      <c r="S509" s="45"/>
      <c r="T509" s="45"/>
      <c r="U509" s="10"/>
      <c r="V509" s="45"/>
      <c r="W509" s="282"/>
      <c r="X509" s="290"/>
      <c r="Y509" s="311"/>
      <c r="Z509" s="192"/>
      <c r="AA509" s="45"/>
      <c r="AB509" s="45"/>
      <c r="AC509" s="45"/>
      <c r="AD509" s="45"/>
      <c r="AE509" s="45"/>
      <c r="AF509" s="45"/>
      <c r="AG509" s="45"/>
      <c r="AH509" s="45"/>
      <c r="AI509" s="45"/>
      <c r="AJ509" s="45"/>
      <c r="AK509" s="45"/>
      <c r="AL509" s="45"/>
      <c r="AM509" s="45"/>
      <c r="AN509" s="45"/>
      <c r="AO509" s="45"/>
      <c r="AP509" s="45"/>
    </row>
    <row r="510" spans="1:42" s="57" customFormat="1" ht="13.5" customHeight="1">
      <c r="A510" s="45"/>
      <c r="B510" s="45"/>
      <c r="C510" s="164"/>
      <c r="D510" s="54"/>
      <c r="E510" s="154"/>
      <c r="F510" s="486"/>
      <c r="G510" s="55"/>
      <c r="H510" s="150"/>
      <c r="I510" s="45"/>
      <c r="J510" s="154"/>
      <c r="K510" s="45"/>
      <c r="L510" s="45"/>
      <c r="M510" s="45"/>
      <c r="N510" s="150"/>
      <c r="O510" s="150"/>
      <c r="P510" s="150"/>
      <c r="Q510" s="54"/>
      <c r="R510" s="54"/>
      <c r="S510" s="45"/>
      <c r="T510" s="45"/>
      <c r="U510" s="10"/>
      <c r="V510" s="45"/>
      <c r="W510" s="282"/>
      <c r="X510" s="290"/>
      <c r="Y510" s="311"/>
      <c r="Z510" s="192"/>
      <c r="AA510" s="45"/>
      <c r="AB510" s="45"/>
      <c r="AC510" s="45"/>
      <c r="AD510" s="45"/>
      <c r="AE510" s="45"/>
      <c r="AF510" s="45"/>
      <c r="AG510" s="45"/>
      <c r="AH510" s="45"/>
      <c r="AI510" s="45"/>
      <c r="AJ510" s="45"/>
      <c r="AK510" s="45"/>
      <c r="AL510" s="45"/>
      <c r="AM510" s="45"/>
      <c r="AN510" s="45"/>
      <c r="AO510" s="45"/>
      <c r="AP510" s="45"/>
    </row>
    <row r="511" spans="1:42" s="57" customFormat="1" ht="13.5" customHeight="1">
      <c r="A511" s="45"/>
      <c r="B511" s="45"/>
      <c r="C511" s="164"/>
      <c r="D511" s="54"/>
      <c r="E511" s="154"/>
      <c r="F511" s="486"/>
      <c r="G511" s="55"/>
      <c r="H511" s="150"/>
      <c r="I511" s="45"/>
      <c r="J511" s="154"/>
      <c r="K511" s="45"/>
      <c r="L511" s="45"/>
      <c r="M511" s="45"/>
      <c r="N511" s="150"/>
      <c r="O511" s="150"/>
      <c r="P511" s="150"/>
      <c r="Q511" s="54"/>
      <c r="R511" s="54"/>
      <c r="S511" s="45"/>
      <c r="T511" s="45"/>
      <c r="U511" s="10"/>
      <c r="V511" s="45"/>
      <c r="W511" s="282"/>
      <c r="X511" s="290"/>
      <c r="Y511" s="311"/>
      <c r="Z511" s="192"/>
      <c r="AA511" s="45"/>
      <c r="AB511" s="45"/>
      <c r="AC511" s="45"/>
      <c r="AD511" s="45"/>
      <c r="AE511" s="45"/>
      <c r="AF511" s="45"/>
      <c r="AG511" s="45"/>
      <c r="AH511" s="45"/>
      <c r="AI511" s="45"/>
      <c r="AJ511" s="45"/>
      <c r="AK511" s="45"/>
      <c r="AL511" s="45"/>
      <c r="AM511" s="45"/>
      <c r="AN511" s="45"/>
      <c r="AO511" s="45"/>
      <c r="AP511" s="45"/>
    </row>
    <row r="512" spans="1:42" s="57" customFormat="1" ht="13.5" customHeight="1">
      <c r="C512" s="163"/>
      <c r="D512" s="64"/>
      <c r="E512" s="149"/>
      <c r="F512" s="298"/>
      <c r="G512" s="69"/>
      <c r="H512" s="148"/>
      <c r="J512" s="149"/>
      <c r="N512" s="148"/>
      <c r="O512" s="148"/>
      <c r="P512" s="148"/>
      <c r="Q512" s="64"/>
      <c r="R512" s="64"/>
      <c r="U512" s="79"/>
      <c r="W512" s="282"/>
      <c r="X512" s="282"/>
      <c r="Y512" s="311"/>
      <c r="Z512" s="192"/>
    </row>
    <row r="513" spans="3:26" s="57" customFormat="1" ht="13.5" customHeight="1">
      <c r="C513" s="163"/>
      <c r="D513" s="64"/>
      <c r="E513" s="149"/>
      <c r="F513" s="298"/>
      <c r="G513" s="69"/>
      <c r="H513" s="148"/>
      <c r="J513" s="149"/>
      <c r="N513" s="148"/>
      <c r="O513" s="148"/>
      <c r="P513" s="148"/>
      <c r="Q513" s="64"/>
      <c r="R513" s="64"/>
      <c r="U513" s="79"/>
      <c r="W513" s="282"/>
      <c r="X513" s="282"/>
      <c r="Y513" s="311"/>
      <c r="Z513" s="192"/>
    </row>
    <row r="514" spans="3:26" s="57" customFormat="1" ht="13.5" customHeight="1">
      <c r="C514" s="163"/>
      <c r="D514" s="64"/>
      <c r="E514" s="149"/>
      <c r="F514" s="298"/>
      <c r="G514" s="69"/>
      <c r="H514" s="148"/>
      <c r="J514" s="149"/>
      <c r="N514" s="148"/>
      <c r="O514" s="148"/>
      <c r="P514" s="148"/>
      <c r="Q514" s="64"/>
      <c r="R514" s="64"/>
      <c r="U514" s="79"/>
      <c r="W514" s="282"/>
      <c r="X514" s="282"/>
      <c r="Y514" s="311"/>
      <c r="Z514" s="192"/>
    </row>
    <row r="515" spans="3:26" s="57" customFormat="1" ht="13.5" customHeight="1">
      <c r="C515" s="148"/>
      <c r="E515" s="149"/>
      <c r="F515" s="298"/>
      <c r="G515" s="69"/>
      <c r="H515" s="148"/>
      <c r="J515" s="149"/>
      <c r="N515" s="148"/>
      <c r="O515" s="148"/>
      <c r="P515" s="148"/>
      <c r="Q515" s="64"/>
      <c r="R515" s="64"/>
      <c r="U515" s="79"/>
      <c r="W515" s="282"/>
      <c r="X515" s="282"/>
      <c r="Y515" s="311"/>
      <c r="Z515" s="192"/>
    </row>
    <row r="516" spans="3:26" s="57" customFormat="1" ht="13.5" customHeight="1">
      <c r="C516" s="148"/>
      <c r="E516" s="149"/>
      <c r="F516" s="298"/>
      <c r="G516" s="69"/>
      <c r="H516" s="148"/>
      <c r="J516" s="149"/>
      <c r="N516" s="148"/>
      <c r="O516" s="148"/>
      <c r="P516" s="148"/>
      <c r="Q516" s="64"/>
      <c r="R516" s="64"/>
      <c r="U516" s="79"/>
      <c r="W516" s="282"/>
      <c r="X516" s="282"/>
      <c r="Y516" s="311"/>
      <c r="Z516" s="192"/>
    </row>
    <row r="517" spans="3:26" s="57" customFormat="1" ht="13.5" customHeight="1">
      <c r="C517" s="148"/>
      <c r="E517" s="149"/>
      <c r="F517" s="298"/>
      <c r="G517" s="69"/>
      <c r="H517" s="148"/>
      <c r="J517" s="149"/>
      <c r="N517" s="148"/>
      <c r="O517" s="148"/>
      <c r="P517" s="148"/>
      <c r="Q517" s="64"/>
      <c r="R517" s="64"/>
      <c r="U517" s="79"/>
      <c r="W517" s="282"/>
      <c r="X517" s="282"/>
      <c r="Y517" s="311"/>
      <c r="Z517" s="192"/>
    </row>
    <row r="518" spans="3:26" s="57" customFormat="1" ht="13.5" customHeight="1">
      <c r="C518" s="148"/>
      <c r="E518" s="149"/>
      <c r="F518" s="298"/>
      <c r="G518" s="69"/>
      <c r="H518" s="148"/>
      <c r="J518" s="149"/>
      <c r="N518" s="148"/>
      <c r="O518" s="148"/>
      <c r="P518" s="148"/>
      <c r="Q518" s="64"/>
      <c r="R518" s="64"/>
      <c r="U518" s="79"/>
      <c r="W518" s="282"/>
      <c r="X518" s="282"/>
      <c r="Y518" s="311"/>
      <c r="Z518" s="192"/>
    </row>
    <row r="519" spans="3:26" s="57" customFormat="1" ht="13.5" customHeight="1">
      <c r="C519" s="148"/>
      <c r="E519" s="149"/>
      <c r="F519" s="298"/>
      <c r="G519" s="69"/>
      <c r="H519" s="148"/>
      <c r="J519" s="149"/>
      <c r="N519" s="148"/>
      <c r="O519" s="148"/>
      <c r="P519" s="148"/>
      <c r="Q519" s="64"/>
      <c r="R519" s="64"/>
      <c r="U519" s="79"/>
      <c r="W519" s="282"/>
      <c r="X519" s="282"/>
      <c r="Y519" s="311"/>
      <c r="Z519" s="192"/>
    </row>
    <row r="520" spans="3:26" s="57" customFormat="1" ht="13.5" customHeight="1">
      <c r="C520" s="148"/>
      <c r="E520" s="149"/>
      <c r="F520" s="298"/>
      <c r="G520" s="69"/>
      <c r="H520" s="148"/>
      <c r="J520" s="149"/>
      <c r="N520" s="148"/>
      <c r="O520" s="148"/>
      <c r="P520" s="148"/>
      <c r="Q520" s="64"/>
      <c r="R520" s="64"/>
      <c r="U520" s="79"/>
      <c r="W520" s="282"/>
      <c r="X520" s="282"/>
      <c r="Y520" s="311"/>
      <c r="Z520" s="192"/>
    </row>
    <row r="521" spans="3:26" s="57" customFormat="1" ht="13.5" customHeight="1">
      <c r="C521" s="148"/>
      <c r="E521" s="149"/>
      <c r="F521" s="298"/>
      <c r="G521" s="69"/>
      <c r="H521" s="148"/>
      <c r="J521" s="149"/>
      <c r="N521" s="148"/>
      <c r="O521" s="148"/>
      <c r="P521" s="148"/>
      <c r="Q521" s="64"/>
      <c r="R521" s="64"/>
      <c r="U521" s="79"/>
      <c r="W521" s="282"/>
      <c r="X521" s="282"/>
      <c r="Y521" s="311"/>
      <c r="Z521" s="192"/>
    </row>
    <row r="522" spans="3:26" s="57" customFormat="1" ht="13.5" customHeight="1">
      <c r="C522" s="148"/>
      <c r="E522" s="149"/>
      <c r="F522" s="298"/>
      <c r="G522" s="69"/>
      <c r="H522" s="148"/>
      <c r="J522" s="149"/>
      <c r="N522" s="148"/>
      <c r="O522" s="148"/>
      <c r="P522" s="148"/>
      <c r="Q522" s="64"/>
      <c r="R522" s="64"/>
      <c r="U522" s="79"/>
      <c r="W522" s="282"/>
      <c r="X522" s="282"/>
      <c r="Y522" s="311"/>
      <c r="Z522" s="192"/>
    </row>
    <row r="523" spans="3:26" s="57" customFormat="1" ht="13.5" customHeight="1">
      <c r="C523" s="148"/>
      <c r="E523" s="149"/>
      <c r="F523" s="298"/>
      <c r="G523" s="69"/>
      <c r="H523" s="148"/>
      <c r="J523" s="149"/>
      <c r="N523" s="148"/>
      <c r="O523" s="148"/>
      <c r="P523" s="148"/>
      <c r="Q523" s="64"/>
      <c r="R523" s="64"/>
      <c r="U523" s="79"/>
      <c r="W523" s="282"/>
      <c r="X523" s="282"/>
      <c r="Y523" s="311"/>
      <c r="Z523" s="192"/>
    </row>
    <row r="524" spans="3:26" s="57" customFormat="1" ht="13.5" customHeight="1">
      <c r="C524" s="148"/>
      <c r="E524" s="149"/>
      <c r="F524" s="298"/>
      <c r="G524" s="69"/>
      <c r="H524" s="148"/>
      <c r="J524" s="149"/>
      <c r="N524" s="148"/>
      <c r="O524" s="148"/>
      <c r="P524" s="148"/>
      <c r="Q524" s="64"/>
      <c r="R524" s="64"/>
      <c r="U524" s="79"/>
      <c r="W524" s="282"/>
      <c r="X524" s="282"/>
      <c r="Y524" s="311"/>
      <c r="Z524" s="192"/>
    </row>
    <row r="525" spans="3:26" s="57" customFormat="1" ht="13.5" customHeight="1">
      <c r="C525" s="148"/>
      <c r="E525" s="149"/>
      <c r="F525" s="298"/>
      <c r="G525" s="69"/>
      <c r="H525" s="148"/>
      <c r="J525" s="149"/>
      <c r="N525" s="148"/>
      <c r="O525" s="148"/>
      <c r="P525" s="148"/>
      <c r="Q525" s="64"/>
      <c r="R525" s="64"/>
      <c r="U525" s="79"/>
      <c r="W525" s="282"/>
      <c r="X525" s="282"/>
      <c r="Y525" s="311"/>
      <c r="Z525" s="192"/>
    </row>
    <row r="526" spans="3:26" s="57" customFormat="1" ht="13.5" customHeight="1">
      <c r="C526" s="148"/>
      <c r="E526" s="149"/>
      <c r="F526" s="298"/>
      <c r="G526" s="69"/>
      <c r="H526" s="148"/>
      <c r="J526" s="149"/>
      <c r="N526" s="148"/>
      <c r="O526" s="148"/>
      <c r="P526" s="148"/>
      <c r="Q526" s="64"/>
      <c r="R526" s="64"/>
      <c r="U526" s="79"/>
      <c r="W526" s="282"/>
      <c r="X526" s="282"/>
      <c r="Y526" s="311"/>
      <c r="Z526" s="192"/>
    </row>
    <row r="527" spans="3:26" s="57" customFormat="1" ht="13.5" customHeight="1">
      <c r="C527" s="148"/>
      <c r="E527" s="149"/>
      <c r="F527" s="298"/>
      <c r="G527" s="69"/>
      <c r="H527" s="148"/>
      <c r="J527" s="149"/>
      <c r="N527" s="148"/>
      <c r="O527" s="148"/>
      <c r="P527" s="148"/>
      <c r="Q527" s="64"/>
      <c r="R527" s="64"/>
      <c r="U527" s="79"/>
      <c r="W527" s="282"/>
      <c r="X527" s="282"/>
      <c r="Y527" s="311"/>
      <c r="Z527" s="192"/>
    </row>
    <row r="528" spans="3:26" s="57" customFormat="1" ht="13.5" customHeight="1">
      <c r="C528" s="148"/>
      <c r="E528" s="149"/>
      <c r="F528" s="298"/>
      <c r="G528" s="69"/>
      <c r="H528" s="148"/>
      <c r="J528" s="149"/>
      <c r="N528" s="148"/>
      <c r="O528" s="148"/>
      <c r="P528" s="148"/>
      <c r="Q528" s="64"/>
      <c r="R528" s="64"/>
      <c r="U528" s="79"/>
      <c r="W528" s="282"/>
      <c r="X528" s="282"/>
      <c r="Y528" s="311"/>
      <c r="Z528" s="192"/>
    </row>
    <row r="529" spans="1:26" s="57" customFormat="1" ht="13.5" customHeight="1">
      <c r="C529" s="148"/>
      <c r="E529" s="149"/>
      <c r="F529" s="298"/>
      <c r="G529" s="69"/>
      <c r="H529" s="148"/>
      <c r="J529" s="149"/>
      <c r="N529" s="148"/>
      <c r="O529" s="148"/>
      <c r="P529" s="148"/>
      <c r="Q529" s="64"/>
      <c r="R529" s="64"/>
      <c r="U529" s="79"/>
      <c r="W529" s="282"/>
      <c r="X529" s="282"/>
      <c r="Y529" s="311"/>
      <c r="Z529" s="192"/>
    </row>
    <row r="530" spans="1:26" s="57" customFormat="1" ht="13.5" customHeight="1">
      <c r="C530" s="148"/>
      <c r="E530" s="149"/>
      <c r="F530" s="298"/>
      <c r="G530" s="69"/>
      <c r="H530" s="148"/>
      <c r="J530" s="149"/>
      <c r="N530" s="148"/>
      <c r="O530" s="148"/>
      <c r="P530" s="148"/>
      <c r="Q530" s="64"/>
      <c r="R530" s="64"/>
      <c r="U530" s="79"/>
      <c r="W530" s="282"/>
      <c r="X530" s="282"/>
      <c r="Y530" s="311"/>
      <c r="Z530" s="192"/>
    </row>
    <row r="531" spans="1:26" s="57" customFormat="1" ht="13.5" customHeight="1">
      <c r="C531" s="163"/>
      <c r="D531" s="64"/>
      <c r="E531" s="149"/>
      <c r="F531" s="298"/>
      <c r="G531" s="69"/>
      <c r="H531" s="148"/>
      <c r="J531" s="149"/>
      <c r="N531" s="148"/>
      <c r="O531" s="148"/>
      <c r="P531" s="148"/>
      <c r="Q531" s="64"/>
      <c r="R531" s="64"/>
      <c r="U531" s="79"/>
      <c r="W531" s="282"/>
      <c r="X531" s="282"/>
      <c r="Y531" s="311"/>
      <c r="Z531" s="192"/>
    </row>
    <row r="532" spans="1:26" s="57" customFormat="1" ht="13.5" customHeight="1">
      <c r="C532" s="163"/>
      <c r="D532" s="64"/>
      <c r="E532" s="149"/>
      <c r="F532" s="298"/>
      <c r="G532" s="69"/>
      <c r="H532" s="148"/>
      <c r="J532" s="149"/>
      <c r="N532" s="148"/>
      <c r="O532" s="148"/>
      <c r="P532" s="148"/>
      <c r="Q532" s="64"/>
      <c r="R532" s="64"/>
      <c r="U532" s="79"/>
      <c r="W532" s="282"/>
      <c r="X532" s="282"/>
      <c r="Y532" s="311"/>
      <c r="Z532" s="192"/>
    </row>
    <row r="533" spans="1:26" s="57" customFormat="1" ht="13.5" customHeight="1">
      <c r="C533" s="163"/>
      <c r="D533" s="64"/>
      <c r="E533" s="149"/>
      <c r="F533" s="298"/>
      <c r="G533" s="69"/>
      <c r="H533" s="148"/>
      <c r="J533" s="149"/>
      <c r="N533" s="148"/>
      <c r="O533" s="148"/>
      <c r="P533" s="148"/>
      <c r="Q533" s="64"/>
      <c r="R533" s="64"/>
      <c r="U533" s="79"/>
      <c r="W533" s="282"/>
      <c r="X533" s="282"/>
      <c r="Y533" s="311"/>
      <c r="Z533" s="192"/>
    </row>
    <row r="534" spans="1:26" s="57" customFormat="1" ht="13.5" customHeight="1">
      <c r="C534" s="163"/>
      <c r="D534" s="64"/>
      <c r="E534" s="149"/>
      <c r="F534" s="298"/>
      <c r="G534" s="69"/>
      <c r="H534" s="148"/>
      <c r="J534" s="149"/>
      <c r="N534" s="148"/>
      <c r="O534" s="148"/>
      <c r="P534" s="148"/>
      <c r="Q534" s="64"/>
      <c r="R534" s="64"/>
      <c r="U534" s="79"/>
      <c r="W534" s="282"/>
      <c r="X534" s="282"/>
      <c r="Y534" s="311"/>
      <c r="Z534" s="192"/>
    </row>
    <row r="535" spans="1:26" s="57" customFormat="1" ht="13.5" customHeight="1">
      <c r="C535" s="163"/>
      <c r="D535" s="64"/>
      <c r="E535" s="149"/>
      <c r="F535" s="298"/>
      <c r="G535" s="69"/>
      <c r="H535" s="148"/>
      <c r="J535" s="149"/>
      <c r="N535" s="148"/>
      <c r="O535" s="148"/>
      <c r="P535" s="148"/>
      <c r="Q535" s="64"/>
      <c r="R535" s="64"/>
      <c r="U535" s="79"/>
      <c r="W535" s="282"/>
      <c r="X535" s="282"/>
      <c r="Y535" s="311"/>
      <c r="Z535" s="192"/>
    </row>
    <row r="536" spans="1:26" s="57" customFormat="1" ht="11.25">
      <c r="A536" s="75"/>
      <c r="B536" s="69"/>
      <c r="C536" s="163"/>
      <c r="D536" s="64"/>
      <c r="E536" s="149"/>
      <c r="F536" s="298"/>
      <c r="G536" s="69"/>
      <c r="H536" s="148"/>
      <c r="J536" s="149"/>
      <c r="N536" s="148"/>
      <c r="O536" s="148"/>
      <c r="P536" s="148"/>
      <c r="Q536" s="64"/>
      <c r="R536" s="64"/>
      <c r="U536" s="79"/>
      <c r="W536" s="282"/>
      <c r="X536" s="282"/>
      <c r="Y536" s="311"/>
      <c r="Z536" s="192"/>
    </row>
    <row r="537" spans="1:26" s="57" customFormat="1" ht="11.25">
      <c r="A537" s="75"/>
      <c r="B537" s="69"/>
      <c r="C537" s="163"/>
      <c r="D537" s="64"/>
      <c r="E537" s="149"/>
      <c r="F537" s="298"/>
      <c r="G537" s="69"/>
      <c r="H537" s="149"/>
      <c r="I537" s="64"/>
      <c r="J537" s="149"/>
      <c r="K537" s="64"/>
      <c r="L537" s="64"/>
      <c r="M537" s="64"/>
      <c r="N537" s="149"/>
      <c r="O537" s="149"/>
      <c r="P537" s="149"/>
      <c r="Q537" s="64"/>
      <c r="R537" s="64"/>
      <c r="S537" s="64"/>
      <c r="U537" s="79"/>
      <c r="W537" s="282"/>
      <c r="X537" s="282"/>
      <c r="Y537" s="311"/>
      <c r="Z537" s="192"/>
    </row>
    <row r="538" spans="1:26" s="57" customFormat="1" ht="11.25">
      <c r="A538" s="75"/>
      <c r="B538" s="69"/>
      <c r="C538" s="163"/>
      <c r="D538" s="64"/>
      <c r="E538" s="149"/>
      <c r="F538" s="298"/>
      <c r="G538" s="69"/>
      <c r="H538" s="149"/>
      <c r="I538" s="64"/>
      <c r="J538" s="149"/>
      <c r="K538" s="64"/>
      <c r="L538" s="64"/>
      <c r="M538" s="64"/>
      <c r="N538" s="149"/>
      <c r="O538" s="149"/>
      <c r="P538" s="149"/>
      <c r="Q538" s="64"/>
      <c r="R538" s="64"/>
      <c r="S538" s="64"/>
      <c r="U538" s="79"/>
      <c r="W538" s="282"/>
      <c r="X538" s="282"/>
      <c r="Y538" s="311"/>
      <c r="Z538" s="192"/>
    </row>
    <row r="539" spans="1:26" s="57" customFormat="1" ht="11.25">
      <c r="A539" s="75"/>
      <c r="B539" s="69"/>
      <c r="C539" s="163"/>
      <c r="D539" s="64"/>
      <c r="E539" s="149"/>
      <c r="F539" s="298"/>
      <c r="G539" s="69"/>
      <c r="H539" s="149"/>
      <c r="I539" s="64"/>
      <c r="J539" s="149"/>
      <c r="K539" s="64"/>
      <c r="L539" s="64"/>
      <c r="M539" s="64"/>
      <c r="N539" s="149"/>
      <c r="O539" s="149"/>
      <c r="P539" s="149"/>
      <c r="Q539" s="64"/>
      <c r="R539" s="64"/>
      <c r="S539" s="64"/>
      <c r="U539" s="79"/>
      <c r="W539" s="282"/>
      <c r="X539" s="282"/>
      <c r="Y539" s="311"/>
      <c r="Z539" s="192"/>
    </row>
    <row r="540" spans="1:26" s="57" customFormat="1" ht="11.25">
      <c r="A540" s="75"/>
      <c r="B540" s="69"/>
      <c r="C540" s="163"/>
      <c r="D540" s="64"/>
      <c r="E540" s="149"/>
      <c r="F540" s="298"/>
      <c r="G540" s="69"/>
      <c r="H540" s="149"/>
      <c r="I540" s="64"/>
      <c r="J540" s="149"/>
      <c r="K540" s="64"/>
      <c r="L540" s="64"/>
      <c r="M540" s="64"/>
      <c r="N540" s="149"/>
      <c r="O540" s="149"/>
      <c r="P540" s="149"/>
      <c r="Q540" s="64"/>
      <c r="R540" s="64"/>
      <c r="S540" s="64"/>
      <c r="U540" s="79"/>
      <c r="W540" s="282"/>
      <c r="X540" s="282"/>
      <c r="Y540" s="311"/>
      <c r="Z540" s="192"/>
    </row>
    <row r="541" spans="1:26" s="57" customFormat="1" ht="11.25">
      <c r="C541" s="163"/>
      <c r="D541" s="76"/>
      <c r="E541" s="153"/>
      <c r="F541" s="488"/>
      <c r="G541" s="110"/>
      <c r="H541" s="153"/>
      <c r="I541" s="76"/>
      <c r="J541" s="153"/>
      <c r="K541" s="76"/>
      <c r="L541" s="76"/>
      <c r="M541" s="76"/>
      <c r="N541" s="153"/>
      <c r="O541" s="153"/>
      <c r="P541" s="153"/>
      <c r="Q541" s="76"/>
      <c r="R541" s="76"/>
      <c r="S541" s="76"/>
      <c r="U541" s="79"/>
      <c r="W541" s="282"/>
      <c r="X541" s="282"/>
      <c r="Y541" s="311"/>
      <c r="Z541" s="192"/>
    </row>
    <row r="542" spans="1:26" s="57" customFormat="1" ht="11.25">
      <c r="C542" s="163"/>
      <c r="D542" s="64"/>
      <c r="E542" s="149"/>
      <c r="F542" s="298"/>
      <c r="G542" s="69"/>
      <c r="H542" s="149"/>
      <c r="I542" s="64"/>
      <c r="J542" s="149"/>
      <c r="K542" s="64"/>
      <c r="L542" s="64"/>
      <c r="M542" s="64"/>
      <c r="N542" s="149"/>
      <c r="O542" s="149"/>
      <c r="P542" s="149"/>
      <c r="Q542" s="64"/>
      <c r="R542" s="64"/>
      <c r="S542" s="64"/>
      <c r="U542" s="79"/>
      <c r="W542" s="282"/>
      <c r="X542" s="282"/>
      <c r="Y542" s="311"/>
      <c r="Z542" s="192"/>
    </row>
    <row r="543" spans="1:26" s="57" customFormat="1" ht="11.25">
      <c r="C543" s="163"/>
      <c r="D543" s="76"/>
      <c r="E543" s="153"/>
      <c r="F543" s="488"/>
      <c r="G543" s="110"/>
      <c r="H543" s="153"/>
      <c r="I543" s="76"/>
      <c r="J543" s="153"/>
      <c r="K543" s="76"/>
      <c r="L543" s="76"/>
      <c r="M543" s="76"/>
      <c r="N543" s="153"/>
      <c r="O543" s="153"/>
      <c r="P543" s="153"/>
      <c r="Q543" s="76"/>
      <c r="R543" s="76"/>
      <c r="S543" s="76"/>
      <c r="T543" s="110"/>
      <c r="U543" s="79"/>
      <c r="W543" s="282"/>
      <c r="X543" s="282"/>
      <c r="Y543" s="311"/>
      <c r="Z543" s="192"/>
    </row>
    <row r="544" spans="1:26" s="57" customFormat="1" ht="11.25">
      <c r="C544" s="163"/>
      <c r="D544" s="64"/>
      <c r="E544" s="149"/>
      <c r="F544" s="298"/>
      <c r="H544" s="149"/>
      <c r="I544" s="64"/>
      <c r="J544" s="149"/>
      <c r="K544" s="64"/>
      <c r="L544" s="64"/>
      <c r="M544" s="64"/>
      <c r="N544" s="149"/>
      <c r="O544" s="149"/>
      <c r="P544" s="149"/>
      <c r="Q544" s="64"/>
      <c r="R544" s="64"/>
      <c r="S544" s="64"/>
      <c r="U544" s="79"/>
      <c r="W544" s="282"/>
      <c r="X544" s="282"/>
      <c r="Y544" s="311"/>
      <c r="Z544" s="192"/>
    </row>
    <row r="545" spans="1:28" s="57" customFormat="1" ht="11.25">
      <c r="A545" s="75"/>
      <c r="B545" s="69"/>
      <c r="C545" s="163"/>
      <c r="D545" s="64"/>
      <c r="E545" s="149"/>
      <c r="F545" s="298"/>
      <c r="G545" s="69"/>
      <c r="H545" s="149"/>
      <c r="I545" s="64"/>
      <c r="J545" s="149"/>
      <c r="K545" s="64"/>
      <c r="L545" s="64"/>
      <c r="M545" s="64"/>
      <c r="N545" s="149"/>
      <c r="O545" s="149"/>
      <c r="P545" s="149"/>
      <c r="Q545" s="64"/>
      <c r="R545" s="64"/>
      <c r="S545" s="64"/>
      <c r="U545" s="79"/>
      <c r="W545" s="282"/>
      <c r="X545" s="282"/>
      <c r="Y545" s="311"/>
      <c r="Z545" s="192"/>
    </row>
    <row r="546" spans="1:28" s="57" customFormat="1" ht="11.25">
      <c r="A546" s="75"/>
      <c r="B546" s="69"/>
      <c r="C546" s="163"/>
      <c r="D546" s="64"/>
      <c r="E546" s="149"/>
      <c r="F546" s="298"/>
      <c r="G546" s="69"/>
      <c r="H546" s="149"/>
      <c r="I546" s="64"/>
      <c r="J546" s="149"/>
      <c r="K546" s="64"/>
      <c r="L546" s="64"/>
      <c r="M546" s="64"/>
      <c r="N546" s="149"/>
      <c r="O546" s="149"/>
      <c r="P546" s="149"/>
      <c r="Q546" s="64"/>
      <c r="R546" s="64"/>
      <c r="S546" s="64"/>
      <c r="U546" s="79"/>
      <c r="W546" s="282"/>
      <c r="X546" s="282"/>
      <c r="Y546" s="311"/>
      <c r="Z546" s="192"/>
    </row>
    <row r="547" spans="1:28" s="57" customFormat="1" ht="11.25">
      <c r="A547" s="75"/>
      <c r="B547" s="69"/>
      <c r="C547" s="163"/>
      <c r="D547" s="64"/>
      <c r="E547" s="149"/>
      <c r="F547" s="298"/>
      <c r="G547" s="69"/>
      <c r="H547" s="149"/>
      <c r="I547" s="64"/>
      <c r="J547" s="149"/>
      <c r="K547" s="64"/>
      <c r="L547" s="64"/>
      <c r="M547" s="64"/>
      <c r="N547" s="149"/>
      <c r="O547" s="149"/>
      <c r="P547" s="149"/>
      <c r="Q547" s="64"/>
      <c r="R547" s="64"/>
      <c r="S547" s="64"/>
      <c r="U547" s="79"/>
      <c r="W547" s="282"/>
      <c r="X547" s="282"/>
      <c r="Y547" s="311"/>
      <c r="Z547" s="192"/>
    </row>
    <row r="548" spans="1:28" s="57" customFormat="1" ht="11.25">
      <c r="A548" s="75"/>
      <c r="B548" s="69"/>
      <c r="C548" s="163"/>
      <c r="D548" s="64"/>
      <c r="E548" s="149"/>
      <c r="F548" s="298"/>
      <c r="G548" s="69"/>
      <c r="H548" s="149"/>
      <c r="I548" s="64"/>
      <c r="J548" s="149"/>
      <c r="K548" s="64"/>
      <c r="L548" s="64"/>
      <c r="M548" s="64"/>
      <c r="N548" s="149"/>
      <c r="O548" s="149"/>
      <c r="P548" s="149"/>
      <c r="Q548" s="64"/>
      <c r="R548" s="64"/>
      <c r="S548" s="64"/>
      <c r="U548" s="79"/>
      <c r="W548" s="282"/>
      <c r="X548" s="282"/>
      <c r="Y548" s="311"/>
      <c r="Z548" s="192"/>
    </row>
    <row r="549" spans="1:28" s="57" customFormat="1" ht="11.25">
      <c r="A549" s="75"/>
      <c r="B549" s="69"/>
      <c r="C549" s="163"/>
      <c r="D549" s="64"/>
      <c r="E549" s="149"/>
      <c r="F549" s="298"/>
      <c r="G549" s="69"/>
      <c r="H549" s="149"/>
      <c r="I549" s="64"/>
      <c r="J549" s="149"/>
      <c r="K549" s="64"/>
      <c r="L549" s="64"/>
      <c r="M549" s="64"/>
      <c r="N549" s="149"/>
      <c r="O549" s="149"/>
      <c r="P549" s="149"/>
      <c r="Q549" s="64"/>
      <c r="R549" s="64"/>
      <c r="S549" s="64"/>
      <c r="U549" s="79"/>
      <c r="W549" s="282"/>
      <c r="X549" s="282"/>
      <c r="Y549" s="311"/>
      <c r="Z549" s="192"/>
    </row>
    <row r="550" spans="1:28" s="57" customFormat="1" ht="11.25">
      <c r="A550" s="75"/>
      <c r="B550" s="69"/>
      <c r="C550" s="163"/>
      <c r="D550" s="64"/>
      <c r="E550" s="149"/>
      <c r="F550" s="298"/>
      <c r="G550" s="69"/>
      <c r="H550" s="149"/>
      <c r="I550" s="64"/>
      <c r="J550" s="149"/>
      <c r="K550" s="64"/>
      <c r="L550" s="64"/>
      <c r="M550" s="64"/>
      <c r="N550" s="149"/>
      <c r="O550" s="149"/>
      <c r="P550" s="149"/>
      <c r="Q550" s="64"/>
      <c r="R550" s="64"/>
      <c r="S550" s="64"/>
      <c r="U550" s="79"/>
      <c r="W550" s="282"/>
      <c r="X550" s="282"/>
      <c r="Y550" s="311"/>
      <c r="Z550" s="192"/>
    </row>
    <row r="551" spans="1:28" s="57" customFormat="1" ht="11.25">
      <c r="A551" s="75"/>
      <c r="B551" s="69"/>
      <c r="C551" s="163"/>
      <c r="D551" s="64"/>
      <c r="E551" s="149"/>
      <c r="F551" s="298"/>
      <c r="G551" s="69"/>
      <c r="H551" s="149"/>
      <c r="I551" s="64"/>
      <c r="J551" s="149"/>
      <c r="K551" s="64"/>
      <c r="L551" s="64"/>
      <c r="M551" s="64"/>
      <c r="N551" s="149"/>
      <c r="O551" s="149"/>
      <c r="P551" s="149"/>
      <c r="Q551" s="64"/>
      <c r="R551" s="64"/>
      <c r="S551" s="64"/>
      <c r="U551" s="79"/>
      <c r="W551" s="282"/>
      <c r="X551" s="282"/>
      <c r="Y551" s="311"/>
      <c r="Z551" s="192"/>
    </row>
    <row r="552" spans="1:28" s="57" customFormat="1" ht="11.25">
      <c r="A552" s="75"/>
      <c r="B552" s="69"/>
      <c r="C552" s="163"/>
      <c r="D552" s="64"/>
      <c r="E552" s="149"/>
      <c r="F552" s="298"/>
      <c r="G552" s="69"/>
      <c r="H552" s="149"/>
      <c r="I552" s="64"/>
      <c r="J552" s="149"/>
      <c r="K552" s="64"/>
      <c r="L552" s="64"/>
      <c r="M552" s="64"/>
      <c r="N552" s="149"/>
      <c r="O552" s="149"/>
      <c r="P552" s="149"/>
      <c r="Q552" s="64"/>
      <c r="R552" s="64"/>
      <c r="S552" s="64"/>
      <c r="U552" s="79"/>
      <c r="W552" s="282"/>
      <c r="X552" s="282"/>
      <c r="Y552" s="311"/>
      <c r="Z552" s="192"/>
    </row>
    <row r="553" spans="1:28" s="57" customFormat="1" ht="11.25">
      <c r="A553" s="75"/>
      <c r="B553" s="69"/>
      <c r="C553" s="163"/>
      <c r="D553" s="64"/>
      <c r="E553" s="149"/>
      <c r="F553" s="298"/>
      <c r="G553" s="69"/>
      <c r="H553" s="149"/>
      <c r="I553" s="64"/>
      <c r="J553" s="149"/>
      <c r="K553" s="64"/>
      <c r="L553" s="64"/>
      <c r="M553" s="64"/>
      <c r="N553" s="149"/>
      <c r="O553" s="149"/>
      <c r="P553" s="149"/>
      <c r="Q553" s="64"/>
      <c r="R553" s="64"/>
      <c r="S553" s="64"/>
      <c r="U553" s="79"/>
      <c r="W553" s="282"/>
      <c r="X553" s="282"/>
      <c r="Y553" s="311"/>
      <c r="Z553" s="192"/>
    </row>
    <row r="554" spans="1:28" s="57" customFormat="1" ht="11.25">
      <c r="C554" s="163"/>
      <c r="D554" s="76"/>
      <c r="E554" s="153"/>
      <c r="F554" s="488"/>
      <c r="G554" s="110"/>
      <c r="H554" s="153"/>
      <c r="I554" s="76"/>
      <c r="J554" s="153"/>
      <c r="K554" s="76"/>
      <c r="L554" s="76"/>
      <c r="M554" s="76"/>
      <c r="N554" s="153"/>
      <c r="O554" s="153"/>
      <c r="P554" s="153"/>
      <c r="Q554" s="76"/>
      <c r="R554" s="76"/>
      <c r="S554" s="76"/>
      <c r="U554" s="79"/>
      <c r="W554" s="282"/>
      <c r="X554" s="282"/>
      <c r="Y554" s="311"/>
      <c r="Z554" s="192"/>
    </row>
    <row r="555" spans="1:28" s="57" customFormat="1" ht="11.25">
      <c r="C555" s="163"/>
      <c r="D555" s="64"/>
      <c r="E555" s="149"/>
      <c r="F555" s="298"/>
      <c r="G555" s="69"/>
      <c r="H555" s="149"/>
      <c r="I555" s="64"/>
      <c r="J555" s="149"/>
      <c r="K555" s="64"/>
      <c r="L555" s="64"/>
      <c r="M555" s="64"/>
      <c r="N555" s="149"/>
      <c r="O555" s="149"/>
      <c r="P555" s="149"/>
      <c r="Q555" s="64"/>
      <c r="R555" s="64"/>
      <c r="S555" s="64"/>
      <c r="U555" s="79"/>
      <c r="W555" s="282"/>
      <c r="X555" s="282"/>
      <c r="Y555" s="311"/>
      <c r="Z555" s="192"/>
    </row>
    <row r="556" spans="1:28" s="57" customFormat="1" ht="11.25">
      <c r="C556" s="163"/>
      <c r="D556" s="76"/>
      <c r="E556" s="153"/>
      <c r="F556" s="488"/>
      <c r="G556" s="117"/>
      <c r="H556" s="153"/>
      <c r="I556" s="76"/>
      <c r="J556" s="153"/>
      <c r="K556" s="76"/>
      <c r="L556" s="76"/>
      <c r="M556" s="76"/>
      <c r="N556" s="153"/>
      <c r="O556" s="153"/>
      <c r="P556" s="153"/>
      <c r="Q556" s="76"/>
      <c r="R556" s="76"/>
      <c r="S556" s="76"/>
      <c r="U556" s="79"/>
      <c r="W556" s="282"/>
      <c r="X556" s="282"/>
      <c r="Y556" s="311"/>
      <c r="Z556" s="192"/>
    </row>
    <row r="557" spans="1:28" s="57" customFormat="1" ht="11.25">
      <c r="C557" s="163"/>
      <c r="D557" s="64"/>
      <c r="E557" s="149"/>
      <c r="F557" s="298"/>
      <c r="G557" s="69"/>
      <c r="H557" s="149"/>
      <c r="I557" s="64"/>
      <c r="J557" s="149"/>
      <c r="K557" s="64"/>
      <c r="L557" s="64"/>
      <c r="M557" s="64"/>
      <c r="N557" s="149"/>
      <c r="O557" s="149"/>
      <c r="P557" s="149"/>
      <c r="Q557" s="64"/>
      <c r="R557" s="64"/>
      <c r="S557" s="64"/>
      <c r="T557" s="69"/>
      <c r="U557" s="59"/>
      <c r="V557" s="69"/>
      <c r="W557" s="297"/>
      <c r="X557" s="297"/>
      <c r="Y557" s="311"/>
      <c r="Z557" s="192"/>
      <c r="AA557" s="69"/>
      <c r="AB557" s="69"/>
    </row>
    <row r="558" spans="1:28" s="57" customFormat="1" ht="11.25">
      <c r="C558" s="163"/>
      <c r="D558" s="76"/>
      <c r="E558" s="153"/>
      <c r="F558" s="488"/>
      <c r="G558" s="60"/>
      <c r="H558" s="153"/>
      <c r="I558" s="76"/>
      <c r="J558" s="153"/>
      <c r="K558" s="76"/>
      <c r="L558" s="76"/>
      <c r="M558" s="76"/>
      <c r="N558" s="153"/>
      <c r="O558" s="153"/>
      <c r="P558" s="153"/>
      <c r="Q558" s="76"/>
      <c r="R558" s="76"/>
      <c r="S558" s="76"/>
      <c r="T558" s="60"/>
      <c r="U558" s="59"/>
      <c r="V558" s="69"/>
      <c r="W558" s="297"/>
      <c r="X558" s="297"/>
      <c r="Y558" s="311"/>
      <c r="Z558" s="192"/>
      <c r="AA558" s="69"/>
      <c r="AB558" s="69"/>
    </row>
    <row r="559" spans="1:28" s="57" customFormat="1" ht="11.25">
      <c r="C559" s="163"/>
      <c r="D559" s="64"/>
      <c r="E559" s="149"/>
      <c r="F559" s="298"/>
      <c r="G559" s="69"/>
      <c r="H559" s="149"/>
      <c r="I559" s="64"/>
      <c r="J559" s="149"/>
      <c r="K559" s="64"/>
      <c r="L559" s="64"/>
      <c r="M559" s="64"/>
      <c r="N559" s="149"/>
      <c r="O559" s="149"/>
      <c r="P559" s="149"/>
      <c r="Q559" s="64"/>
      <c r="R559" s="64"/>
      <c r="S559" s="64"/>
      <c r="T559" s="69"/>
      <c r="U559" s="59"/>
      <c r="V559" s="69"/>
      <c r="W559" s="297"/>
      <c r="X559" s="297"/>
      <c r="Y559" s="311"/>
      <c r="Z559" s="192"/>
      <c r="AA559" s="69"/>
      <c r="AB559" s="69"/>
    </row>
    <row r="560" spans="1:28" s="57" customFormat="1" ht="11.25">
      <c r="C560" s="163"/>
      <c r="D560" s="76"/>
      <c r="E560" s="153"/>
      <c r="F560" s="488"/>
      <c r="G560" s="60"/>
      <c r="H560" s="153"/>
      <c r="I560" s="76"/>
      <c r="J560" s="153"/>
      <c r="K560" s="76"/>
      <c r="L560" s="76"/>
      <c r="M560" s="76"/>
      <c r="N560" s="153"/>
      <c r="O560" s="153"/>
      <c r="P560" s="153"/>
      <c r="Q560" s="76"/>
      <c r="R560" s="76"/>
      <c r="S560" s="76"/>
      <c r="U560" s="79"/>
      <c r="W560" s="282"/>
      <c r="X560" s="282"/>
      <c r="Y560" s="311"/>
      <c r="Z560" s="192"/>
    </row>
    <row r="561" spans="3:26" s="57" customFormat="1" ht="11.25">
      <c r="C561" s="163"/>
      <c r="D561" s="64"/>
      <c r="E561" s="149"/>
      <c r="F561" s="298"/>
      <c r="G561" s="69"/>
      <c r="H561" s="149"/>
      <c r="I561" s="64"/>
      <c r="J561" s="149"/>
      <c r="K561" s="64"/>
      <c r="L561" s="64"/>
      <c r="M561" s="64"/>
      <c r="N561" s="149"/>
      <c r="O561" s="149"/>
      <c r="P561" s="149"/>
      <c r="Q561" s="64"/>
      <c r="R561" s="64"/>
      <c r="S561" s="64"/>
      <c r="U561" s="79"/>
      <c r="W561" s="282"/>
      <c r="X561" s="282"/>
      <c r="Y561" s="311"/>
      <c r="Z561" s="192"/>
    </row>
    <row r="562" spans="3:26" s="57" customFormat="1" ht="11.25">
      <c r="C562" s="163"/>
      <c r="D562" s="64"/>
      <c r="E562" s="149"/>
      <c r="F562" s="298"/>
      <c r="G562" s="69"/>
      <c r="H562" s="149"/>
      <c r="I562" s="64"/>
      <c r="J562" s="149"/>
      <c r="K562" s="64"/>
      <c r="L562" s="64"/>
      <c r="M562" s="64"/>
      <c r="N562" s="149"/>
      <c r="O562" s="149"/>
      <c r="P562" s="149"/>
      <c r="Q562" s="64"/>
      <c r="R562" s="64"/>
      <c r="S562" s="64"/>
      <c r="U562" s="79"/>
      <c r="W562" s="282"/>
      <c r="X562" s="282"/>
      <c r="Y562" s="311"/>
      <c r="Z562" s="192"/>
    </row>
    <row r="563" spans="3:26" s="57" customFormat="1" ht="11.25">
      <c r="C563" s="148"/>
      <c r="E563" s="149"/>
      <c r="F563" s="298"/>
      <c r="G563" s="69"/>
      <c r="H563" s="149"/>
      <c r="I563" s="64"/>
      <c r="J563" s="149"/>
      <c r="K563" s="64"/>
      <c r="L563" s="64"/>
      <c r="M563" s="64"/>
      <c r="N563" s="149"/>
      <c r="O563" s="149"/>
      <c r="P563" s="149"/>
      <c r="Q563" s="64"/>
      <c r="R563" s="64"/>
      <c r="S563" s="64"/>
      <c r="U563" s="79"/>
      <c r="W563" s="282"/>
      <c r="X563" s="282"/>
      <c r="Y563" s="311"/>
      <c r="Z563" s="192"/>
    </row>
    <row r="564" spans="3:26" s="57" customFormat="1" ht="11.25">
      <c r="C564" s="148"/>
      <c r="E564" s="149"/>
      <c r="F564" s="298"/>
      <c r="G564" s="69"/>
      <c r="H564" s="149"/>
      <c r="I564" s="64"/>
      <c r="J564" s="149"/>
      <c r="K564" s="64"/>
      <c r="L564" s="64"/>
      <c r="M564" s="64"/>
      <c r="N564" s="149"/>
      <c r="O564" s="149"/>
      <c r="P564" s="149"/>
      <c r="Q564" s="64"/>
      <c r="R564" s="64"/>
      <c r="S564" s="64"/>
      <c r="U564" s="79"/>
      <c r="W564" s="282"/>
      <c r="X564" s="282"/>
      <c r="Y564" s="311"/>
      <c r="Z564" s="192"/>
    </row>
    <row r="565" spans="3:26" s="57" customFormat="1" ht="11.25">
      <c r="C565" s="148"/>
      <c r="E565" s="149"/>
      <c r="F565" s="298"/>
      <c r="G565" s="69"/>
      <c r="H565" s="149"/>
      <c r="I565" s="64"/>
      <c r="J565" s="149"/>
      <c r="K565" s="64"/>
      <c r="L565" s="64"/>
      <c r="M565" s="64"/>
      <c r="N565" s="149"/>
      <c r="O565" s="149"/>
      <c r="P565" s="149"/>
      <c r="Q565" s="64"/>
      <c r="R565" s="64"/>
      <c r="S565" s="64"/>
      <c r="U565" s="79"/>
      <c r="W565" s="282"/>
      <c r="X565" s="282"/>
      <c r="Y565" s="311"/>
      <c r="Z565" s="192"/>
    </row>
    <row r="566" spans="3:26" s="57" customFormat="1" ht="11.25">
      <c r="C566" s="148"/>
      <c r="E566" s="149"/>
      <c r="F566" s="298"/>
      <c r="G566" s="69"/>
      <c r="H566" s="149"/>
      <c r="I566" s="64"/>
      <c r="J566" s="149"/>
      <c r="K566" s="64"/>
      <c r="L566" s="64"/>
      <c r="M566" s="64"/>
      <c r="N566" s="149"/>
      <c r="O566" s="149"/>
      <c r="P566" s="149"/>
      <c r="Q566" s="64"/>
      <c r="R566" s="64"/>
      <c r="S566" s="64"/>
      <c r="U566" s="79"/>
      <c r="W566" s="282"/>
      <c r="X566" s="282"/>
      <c r="Y566" s="311"/>
      <c r="Z566" s="192"/>
    </row>
    <row r="567" spans="3:26" s="57" customFormat="1" ht="11.25">
      <c r="C567" s="148"/>
      <c r="E567" s="149"/>
      <c r="F567" s="298"/>
      <c r="G567" s="69"/>
      <c r="H567" s="149"/>
      <c r="I567" s="64"/>
      <c r="J567" s="149"/>
      <c r="K567" s="64"/>
      <c r="L567" s="64"/>
      <c r="M567" s="64"/>
      <c r="N567" s="149"/>
      <c r="O567" s="149"/>
      <c r="P567" s="149"/>
      <c r="Q567" s="64"/>
      <c r="R567" s="64"/>
      <c r="S567" s="64"/>
      <c r="U567" s="79"/>
      <c r="W567" s="282"/>
      <c r="X567" s="282"/>
      <c r="Y567" s="311"/>
      <c r="Z567" s="192"/>
    </row>
    <row r="568" spans="3:26" s="57" customFormat="1" ht="11.25">
      <c r="C568" s="148"/>
      <c r="E568" s="149"/>
      <c r="F568" s="298"/>
      <c r="G568" s="69"/>
      <c r="H568" s="149"/>
      <c r="I568" s="64"/>
      <c r="J568" s="149"/>
      <c r="K568" s="64"/>
      <c r="L568" s="64"/>
      <c r="M568" s="64"/>
      <c r="N568" s="149"/>
      <c r="O568" s="149"/>
      <c r="P568" s="149"/>
      <c r="Q568" s="64"/>
      <c r="R568" s="64"/>
      <c r="S568" s="64"/>
      <c r="U568" s="79"/>
      <c r="W568" s="282"/>
      <c r="X568" s="282"/>
      <c r="Y568" s="311"/>
      <c r="Z568" s="192"/>
    </row>
    <row r="569" spans="3:26" s="57" customFormat="1" ht="11.25">
      <c r="C569" s="148"/>
      <c r="E569" s="149"/>
      <c r="F569" s="298"/>
      <c r="G569" s="69"/>
      <c r="H569" s="148"/>
      <c r="J569" s="149"/>
      <c r="N569" s="148"/>
      <c r="O569" s="148"/>
      <c r="P569" s="148"/>
      <c r="Q569" s="64"/>
      <c r="R569" s="64"/>
      <c r="U569" s="79"/>
      <c r="W569" s="282"/>
      <c r="X569" s="282"/>
      <c r="Y569" s="311"/>
      <c r="Z569" s="192"/>
    </row>
    <row r="570" spans="3:26" s="57" customFormat="1" ht="11.25">
      <c r="C570" s="148"/>
      <c r="E570" s="149"/>
      <c r="F570" s="298"/>
      <c r="G570" s="69"/>
      <c r="H570" s="148"/>
      <c r="J570" s="149"/>
      <c r="N570" s="148"/>
      <c r="O570" s="148"/>
      <c r="P570" s="148"/>
      <c r="Q570" s="64"/>
      <c r="R570" s="64"/>
      <c r="U570" s="79"/>
      <c r="W570" s="282"/>
      <c r="X570" s="282"/>
      <c r="Y570" s="311"/>
      <c r="Z570" s="192"/>
    </row>
    <row r="571" spans="3:26" s="57" customFormat="1" ht="11.25">
      <c r="C571" s="148"/>
      <c r="E571" s="149"/>
      <c r="F571" s="298"/>
      <c r="G571" s="69"/>
      <c r="H571" s="148"/>
      <c r="J571" s="149"/>
      <c r="N571" s="148"/>
      <c r="O571" s="148"/>
      <c r="P571" s="148"/>
      <c r="Q571" s="64"/>
      <c r="R571" s="64"/>
      <c r="U571" s="79"/>
      <c r="W571" s="282"/>
      <c r="X571" s="282"/>
      <c r="Y571" s="311"/>
      <c r="Z571" s="192"/>
    </row>
    <row r="572" spans="3:26" s="57" customFormat="1" ht="11.25">
      <c r="C572" s="148"/>
      <c r="E572" s="149"/>
      <c r="F572" s="298"/>
      <c r="G572" s="69"/>
      <c r="H572" s="148"/>
      <c r="J572" s="149"/>
      <c r="N572" s="148"/>
      <c r="O572" s="148"/>
      <c r="P572" s="148"/>
      <c r="Q572" s="64"/>
      <c r="R572" s="64"/>
      <c r="U572" s="79"/>
      <c r="W572" s="282"/>
      <c r="X572" s="282"/>
      <c r="Y572" s="311"/>
      <c r="Z572" s="192"/>
    </row>
    <row r="573" spans="3:26" s="57" customFormat="1" ht="11.25">
      <c r="C573" s="148"/>
      <c r="E573" s="149"/>
      <c r="F573" s="298"/>
      <c r="G573" s="69"/>
      <c r="H573" s="148"/>
      <c r="J573" s="149"/>
      <c r="N573" s="148"/>
      <c r="O573" s="148"/>
      <c r="P573" s="148"/>
      <c r="Q573" s="64"/>
      <c r="R573" s="64"/>
      <c r="U573" s="79"/>
      <c r="W573" s="282"/>
      <c r="X573" s="282"/>
      <c r="Y573" s="311"/>
      <c r="Z573" s="192"/>
    </row>
    <row r="574" spans="3:26" s="57" customFormat="1" ht="11.25">
      <c r="C574" s="148"/>
      <c r="E574" s="149"/>
      <c r="F574" s="298"/>
      <c r="G574" s="69"/>
      <c r="H574" s="148"/>
      <c r="J574" s="149"/>
      <c r="N574" s="148"/>
      <c r="O574" s="148"/>
      <c r="P574" s="148"/>
      <c r="Q574" s="64"/>
      <c r="R574" s="64"/>
      <c r="U574" s="79"/>
      <c r="W574" s="282"/>
      <c r="X574" s="282"/>
      <c r="Y574" s="311"/>
      <c r="Z574" s="192"/>
    </row>
    <row r="575" spans="3:26" s="57" customFormat="1" ht="11.25">
      <c r="C575" s="148"/>
      <c r="E575" s="149"/>
      <c r="F575" s="298"/>
      <c r="G575" s="69"/>
      <c r="H575" s="148"/>
      <c r="J575" s="149"/>
      <c r="N575" s="148"/>
      <c r="O575" s="148"/>
      <c r="P575" s="148"/>
      <c r="Q575" s="64"/>
      <c r="R575" s="64"/>
      <c r="U575" s="79"/>
      <c r="W575" s="282"/>
      <c r="X575" s="282"/>
      <c r="Y575" s="311"/>
      <c r="Z575" s="192"/>
    </row>
    <row r="576" spans="3:26" s="57" customFormat="1" ht="11.25">
      <c r="C576" s="148"/>
      <c r="E576" s="149"/>
      <c r="F576" s="298"/>
      <c r="G576" s="69"/>
      <c r="H576" s="148"/>
      <c r="J576" s="149"/>
      <c r="N576" s="148"/>
      <c r="O576" s="148"/>
      <c r="P576" s="148"/>
      <c r="Q576" s="64"/>
      <c r="R576" s="64"/>
      <c r="U576" s="79"/>
      <c r="W576" s="282"/>
      <c r="X576" s="282"/>
      <c r="Y576" s="311"/>
      <c r="Z576" s="192"/>
    </row>
    <row r="577" spans="3:26" s="57" customFormat="1" ht="11.25">
      <c r="C577" s="148"/>
      <c r="E577" s="149"/>
      <c r="F577" s="298"/>
      <c r="G577" s="69"/>
      <c r="H577" s="148"/>
      <c r="J577" s="149"/>
      <c r="N577" s="148"/>
      <c r="O577" s="148"/>
      <c r="P577" s="148"/>
      <c r="Q577" s="64"/>
      <c r="R577" s="64"/>
      <c r="U577" s="79"/>
      <c r="W577" s="282"/>
      <c r="X577" s="282"/>
      <c r="Y577" s="311"/>
      <c r="Z577" s="192"/>
    </row>
    <row r="578" spans="3:26" s="57" customFormat="1" ht="11.25">
      <c r="C578" s="148"/>
      <c r="E578" s="149"/>
      <c r="F578" s="298"/>
      <c r="G578" s="69"/>
      <c r="H578" s="148"/>
      <c r="J578" s="149"/>
      <c r="N578" s="148"/>
      <c r="O578" s="148"/>
      <c r="P578" s="148"/>
      <c r="Q578" s="64"/>
      <c r="R578" s="64"/>
      <c r="U578" s="79"/>
      <c r="W578" s="282"/>
      <c r="X578" s="282"/>
      <c r="Y578" s="311"/>
      <c r="Z578" s="192"/>
    </row>
    <row r="579" spans="3:26" s="57" customFormat="1" ht="11.25">
      <c r="C579" s="148"/>
      <c r="E579" s="149"/>
      <c r="F579" s="298"/>
      <c r="G579" s="69"/>
      <c r="H579" s="148"/>
      <c r="J579" s="149"/>
      <c r="N579" s="148"/>
      <c r="O579" s="148"/>
      <c r="P579" s="148"/>
      <c r="Q579" s="64"/>
      <c r="R579" s="64"/>
      <c r="U579" s="79"/>
      <c r="W579" s="282"/>
      <c r="X579" s="282"/>
      <c r="Y579" s="311"/>
      <c r="Z579" s="192"/>
    </row>
    <row r="580" spans="3:26" s="57" customFormat="1" ht="11.25">
      <c r="C580" s="148"/>
      <c r="E580" s="149"/>
      <c r="F580" s="298"/>
      <c r="G580" s="69"/>
      <c r="H580" s="148"/>
      <c r="J580" s="149"/>
      <c r="N580" s="148"/>
      <c r="O580" s="148"/>
      <c r="P580" s="148"/>
      <c r="Q580" s="64"/>
      <c r="R580" s="64"/>
      <c r="U580" s="79"/>
      <c r="W580" s="282"/>
      <c r="X580" s="282"/>
      <c r="Y580" s="311"/>
      <c r="Z580" s="192"/>
    </row>
    <row r="581" spans="3:26" s="57" customFormat="1" ht="11.25">
      <c r="C581" s="148"/>
      <c r="E581" s="149"/>
      <c r="F581" s="298"/>
      <c r="G581" s="69"/>
      <c r="H581" s="148"/>
      <c r="J581" s="149"/>
      <c r="N581" s="148"/>
      <c r="O581" s="148"/>
      <c r="P581" s="148"/>
      <c r="Q581" s="64"/>
      <c r="R581" s="64"/>
      <c r="U581" s="79"/>
      <c r="W581" s="282"/>
      <c r="X581" s="282"/>
      <c r="Y581" s="311"/>
      <c r="Z581" s="192"/>
    </row>
    <row r="582" spans="3:26" s="57" customFormat="1" ht="11.25">
      <c r="C582" s="148"/>
      <c r="E582" s="149"/>
      <c r="F582" s="298"/>
      <c r="G582" s="69"/>
      <c r="H582" s="148"/>
      <c r="J582" s="149"/>
      <c r="N582" s="148"/>
      <c r="O582" s="148"/>
      <c r="P582" s="148"/>
      <c r="Q582" s="64"/>
      <c r="R582" s="64"/>
      <c r="U582" s="79"/>
      <c r="W582" s="282"/>
      <c r="X582" s="282"/>
      <c r="Y582" s="311"/>
      <c r="Z582" s="192"/>
    </row>
    <row r="583" spans="3:26" s="57" customFormat="1" ht="11.25">
      <c r="C583" s="148"/>
      <c r="E583" s="149"/>
      <c r="F583" s="298"/>
      <c r="G583" s="69"/>
      <c r="H583" s="148"/>
      <c r="J583" s="149"/>
      <c r="N583" s="148"/>
      <c r="O583" s="148"/>
      <c r="P583" s="148"/>
      <c r="Q583" s="64"/>
      <c r="R583" s="64"/>
      <c r="U583" s="79"/>
      <c r="W583" s="282"/>
      <c r="X583" s="282"/>
      <c r="Y583" s="311"/>
      <c r="Z583" s="192"/>
    </row>
    <row r="584" spans="3:26" s="57" customFormat="1" ht="11.25">
      <c r="C584" s="148"/>
      <c r="E584" s="149"/>
      <c r="F584" s="298"/>
      <c r="G584" s="69"/>
      <c r="H584" s="148"/>
      <c r="J584" s="149"/>
      <c r="N584" s="148"/>
      <c r="O584" s="148"/>
      <c r="P584" s="148"/>
      <c r="Q584" s="64"/>
      <c r="R584" s="64"/>
      <c r="U584" s="79"/>
      <c r="W584" s="282"/>
      <c r="X584" s="282"/>
      <c r="Y584" s="311"/>
      <c r="Z584" s="192"/>
    </row>
    <row r="585" spans="3:26" s="57" customFormat="1" ht="11.25">
      <c r="C585" s="148"/>
      <c r="E585" s="149"/>
      <c r="F585" s="298"/>
      <c r="G585" s="69"/>
      <c r="H585" s="148"/>
      <c r="J585" s="149"/>
      <c r="N585" s="148"/>
      <c r="O585" s="148"/>
      <c r="P585" s="148"/>
      <c r="Q585" s="64"/>
      <c r="R585" s="64"/>
      <c r="U585" s="79"/>
      <c r="W585" s="282"/>
      <c r="X585" s="282"/>
      <c r="Y585" s="311"/>
      <c r="Z585" s="192"/>
    </row>
    <row r="586" spans="3:26" s="57" customFormat="1" ht="11.25">
      <c r="C586" s="148"/>
      <c r="E586" s="149"/>
      <c r="F586" s="298"/>
      <c r="G586" s="69"/>
      <c r="H586" s="148"/>
      <c r="J586" s="149"/>
      <c r="N586" s="148"/>
      <c r="O586" s="148"/>
      <c r="P586" s="148"/>
      <c r="Q586" s="64"/>
      <c r="R586" s="64"/>
      <c r="U586" s="79"/>
      <c r="W586" s="282"/>
      <c r="X586" s="282"/>
      <c r="Y586" s="311"/>
      <c r="Z586" s="192"/>
    </row>
    <row r="587" spans="3:26" s="57" customFormat="1" ht="11.25">
      <c r="C587" s="148"/>
      <c r="E587" s="149"/>
      <c r="F587" s="298"/>
      <c r="G587" s="69"/>
      <c r="H587" s="148"/>
      <c r="J587" s="149"/>
      <c r="N587" s="148"/>
      <c r="O587" s="148"/>
      <c r="P587" s="148"/>
      <c r="Q587" s="64"/>
      <c r="R587" s="64"/>
      <c r="U587" s="79"/>
      <c r="W587" s="282"/>
      <c r="X587" s="282"/>
      <c r="Y587" s="311"/>
      <c r="Z587" s="192"/>
    </row>
    <row r="588" spans="3:26" s="57" customFormat="1" ht="11.25">
      <c r="C588" s="148"/>
      <c r="E588" s="149"/>
      <c r="F588" s="298"/>
      <c r="G588" s="69"/>
      <c r="H588" s="148"/>
      <c r="J588" s="149"/>
      <c r="N588" s="148"/>
      <c r="O588" s="148"/>
      <c r="P588" s="148"/>
      <c r="Q588" s="64"/>
      <c r="R588" s="64"/>
      <c r="U588" s="79"/>
      <c r="W588" s="282"/>
      <c r="X588" s="282"/>
      <c r="Y588" s="311"/>
      <c r="Z588" s="192"/>
    </row>
    <row r="589" spans="3:26" s="57" customFormat="1" ht="11.25">
      <c r="C589" s="148"/>
      <c r="E589" s="149"/>
      <c r="F589" s="298"/>
      <c r="G589" s="69"/>
      <c r="H589" s="148"/>
      <c r="J589" s="149"/>
      <c r="N589" s="148"/>
      <c r="O589" s="148"/>
      <c r="P589" s="148"/>
      <c r="Q589" s="64"/>
      <c r="R589" s="64"/>
      <c r="U589" s="79"/>
      <c r="W589" s="282"/>
      <c r="X589" s="282"/>
      <c r="Y589" s="311"/>
      <c r="Z589" s="192"/>
    </row>
    <row r="590" spans="3:26" s="57" customFormat="1" ht="11.25">
      <c r="C590" s="148"/>
      <c r="E590" s="149"/>
      <c r="F590" s="298"/>
      <c r="G590" s="69"/>
      <c r="H590" s="148"/>
      <c r="J590" s="149"/>
      <c r="N590" s="148"/>
      <c r="O590" s="148"/>
      <c r="P590" s="148"/>
      <c r="Q590" s="64"/>
      <c r="R590" s="64"/>
      <c r="U590" s="79"/>
      <c r="W590" s="282"/>
      <c r="X590" s="282"/>
      <c r="Y590" s="311"/>
      <c r="Z590" s="192"/>
    </row>
    <row r="591" spans="3:26" s="57" customFormat="1" ht="11.25">
      <c r="C591" s="148"/>
      <c r="E591" s="149"/>
      <c r="F591" s="298"/>
      <c r="G591" s="69"/>
      <c r="H591" s="148"/>
      <c r="J591" s="149"/>
      <c r="N591" s="148"/>
      <c r="O591" s="148"/>
      <c r="P591" s="148"/>
      <c r="Q591" s="64"/>
      <c r="R591" s="64"/>
      <c r="U591" s="79"/>
      <c r="W591" s="282"/>
      <c r="X591" s="282"/>
      <c r="Y591" s="311"/>
      <c r="Z591" s="192"/>
    </row>
    <row r="592" spans="3:26" s="57" customFormat="1" ht="11.25">
      <c r="C592" s="148"/>
      <c r="E592" s="149"/>
      <c r="F592" s="298"/>
      <c r="G592" s="69"/>
      <c r="H592" s="148"/>
      <c r="J592" s="149"/>
      <c r="N592" s="148"/>
      <c r="O592" s="148"/>
      <c r="P592" s="148"/>
      <c r="Q592" s="64"/>
      <c r="R592" s="64"/>
      <c r="U592" s="79"/>
      <c r="W592" s="282"/>
      <c r="X592" s="282"/>
      <c r="Y592" s="311"/>
      <c r="Z592" s="192"/>
    </row>
    <row r="593" spans="3:26" s="57" customFormat="1" ht="11.25">
      <c r="C593" s="148"/>
      <c r="E593" s="149"/>
      <c r="F593" s="298"/>
      <c r="G593" s="69"/>
      <c r="H593" s="148"/>
      <c r="J593" s="149"/>
      <c r="N593" s="148"/>
      <c r="O593" s="148"/>
      <c r="P593" s="148"/>
      <c r="Q593" s="64"/>
      <c r="R593" s="64"/>
      <c r="U593" s="79"/>
      <c r="W593" s="282"/>
      <c r="X593" s="282"/>
      <c r="Y593" s="311"/>
      <c r="Z593" s="192"/>
    </row>
    <row r="594" spans="3:26" s="57" customFormat="1" ht="11.25">
      <c r="C594" s="148"/>
      <c r="E594" s="149"/>
      <c r="F594" s="298"/>
      <c r="G594" s="69"/>
      <c r="H594" s="148"/>
      <c r="J594" s="149"/>
      <c r="N594" s="148"/>
      <c r="O594" s="148"/>
      <c r="P594" s="148"/>
      <c r="Q594" s="64"/>
      <c r="R594" s="64"/>
      <c r="U594" s="79"/>
      <c r="W594" s="282"/>
      <c r="X594" s="282"/>
      <c r="Y594" s="311"/>
      <c r="Z594" s="192"/>
    </row>
    <row r="595" spans="3:26" s="57" customFormat="1" ht="11.25">
      <c r="C595" s="148"/>
      <c r="E595" s="149"/>
      <c r="F595" s="298"/>
      <c r="G595" s="69"/>
      <c r="H595" s="148"/>
      <c r="J595" s="149"/>
      <c r="N595" s="148"/>
      <c r="O595" s="148"/>
      <c r="P595" s="148"/>
      <c r="Q595" s="64"/>
      <c r="R595" s="64"/>
      <c r="U595" s="79"/>
      <c r="W595" s="282"/>
      <c r="X595" s="282"/>
      <c r="Y595" s="311"/>
      <c r="Z595" s="192"/>
    </row>
    <row r="596" spans="3:26" s="57" customFormat="1" ht="11.25">
      <c r="C596" s="148"/>
      <c r="E596" s="149"/>
      <c r="F596" s="298"/>
      <c r="G596" s="69"/>
      <c r="H596" s="148"/>
      <c r="J596" s="149"/>
      <c r="N596" s="148"/>
      <c r="O596" s="148"/>
      <c r="P596" s="148"/>
      <c r="Q596" s="64"/>
      <c r="R596" s="64"/>
      <c r="U596" s="79"/>
      <c r="W596" s="282"/>
      <c r="X596" s="282"/>
      <c r="Y596" s="311"/>
      <c r="Z596" s="192"/>
    </row>
    <row r="597" spans="3:26" s="57" customFormat="1" ht="11.25">
      <c r="C597" s="148"/>
      <c r="E597" s="149"/>
      <c r="F597" s="298"/>
      <c r="G597" s="69"/>
      <c r="H597" s="148"/>
      <c r="J597" s="149"/>
      <c r="N597" s="148"/>
      <c r="O597" s="148"/>
      <c r="P597" s="148"/>
      <c r="Q597" s="64"/>
      <c r="R597" s="64"/>
      <c r="U597" s="79"/>
      <c r="W597" s="282"/>
      <c r="X597" s="282"/>
      <c r="Y597" s="311"/>
      <c r="Z597" s="192"/>
    </row>
    <row r="598" spans="3:26" s="57" customFormat="1" ht="11.25">
      <c r="C598" s="148"/>
      <c r="E598" s="149"/>
      <c r="F598" s="298"/>
      <c r="G598" s="69"/>
      <c r="H598" s="148"/>
      <c r="J598" s="149"/>
      <c r="N598" s="148"/>
      <c r="O598" s="148"/>
      <c r="P598" s="148"/>
      <c r="Q598" s="64"/>
      <c r="R598" s="64"/>
      <c r="U598" s="79"/>
      <c r="W598" s="282"/>
      <c r="X598" s="282"/>
      <c r="Y598" s="311"/>
      <c r="Z598" s="192"/>
    </row>
    <row r="599" spans="3:26" s="57" customFormat="1" ht="11.25">
      <c r="C599" s="148"/>
      <c r="E599" s="149"/>
      <c r="F599" s="298"/>
      <c r="G599" s="69"/>
      <c r="H599" s="148"/>
      <c r="J599" s="149"/>
      <c r="N599" s="148"/>
      <c r="O599" s="148"/>
      <c r="P599" s="148"/>
      <c r="Q599" s="64"/>
      <c r="R599" s="64"/>
      <c r="U599" s="79"/>
      <c r="W599" s="282"/>
      <c r="X599" s="282"/>
      <c r="Y599" s="311"/>
      <c r="Z599" s="192"/>
    </row>
    <row r="600" spans="3:26" s="57" customFormat="1" ht="11.25">
      <c r="C600" s="148"/>
      <c r="E600" s="149"/>
      <c r="F600" s="298"/>
      <c r="G600" s="69"/>
      <c r="H600" s="148"/>
      <c r="J600" s="149"/>
      <c r="N600" s="148"/>
      <c r="O600" s="148"/>
      <c r="P600" s="148"/>
      <c r="Q600" s="64"/>
      <c r="R600" s="64"/>
      <c r="U600" s="79"/>
      <c r="W600" s="282"/>
      <c r="X600" s="282"/>
      <c r="Y600" s="311"/>
      <c r="Z600" s="192"/>
    </row>
    <row r="601" spans="3:26" s="57" customFormat="1" ht="11.25">
      <c r="C601" s="148"/>
      <c r="E601" s="149"/>
      <c r="F601" s="298"/>
      <c r="G601" s="69"/>
      <c r="H601" s="148"/>
      <c r="J601" s="149"/>
      <c r="N601" s="148"/>
      <c r="O601" s="148"/>
      <c r="P601" s="148"/>
      <c r="Q601" s="64"/>
      <c r="R601" s="64"/>
      <c r="U601" s="79"/>
      <c r="W601" s="282"/>
      <c r="X601" s="282"/>
      <c r="Y601" s="311"/>
      <c r="Z601" s="192"/>
    </row>
    <row r="602" spans="3:26" s="57" customFormat="1" ht="11.25">
      <c r="C602" s="148"/>
      <c r="E602" s="149"/>
      <c r="F602" s="298"/>
      <c r="G602" s="69"/>
      <c r="H602" s="148"/>
      <c r="J602" s="149"/>
      <c r="N602" s="148"/>
      <c r="O602" s="148"/>
      <c r="P602" s="148"/>
      <c r="Q602" s="64"/>
      <c r="R602" s="64"/>
      <c r="U602" s="79"/>
      <c r="W602" s="282"/>
      <c r="X602" s="282"/>
      <c r="Y602" s="311"/>
      <c r="Z602" s="192"/>
    </row>
    <row r="603" spans="3:26" s="57" customFormat="1" ht="11.25">
      <c r="C603" s="148"/>
      <c r="E603" s="149"/>
      <c r="F603" s="298"/>
      <c r="G603" s="69"/>
      <c r="H603" s="148"/>
      <c r="J603" s="149"/>
      <c r="N603" s="148"/>
      <c r="O603" s="148"/>
      <c r="P603" s="148"/>
      <c r="Q603" s="64"/>
      <c r="R603" s="64"/>
      <c r="U603" s="79"/>
      <c r="W603" s="282"/>
      <c r="X603" s="282"/>
      <c r="Y603" s="311"/>
      <c r="Z603" s="192"/>
    </row>
    <row r="604" spans="3:26" s="57" customFormat="1" ht="11.25">
      <c r="C604" s="148"/>
      <c r="E604" s="149"/>
      <c r="F604" s="298"/>
      <c r="G604" s="69"/>
      <c r="H604" s="148"/>
      <c r="J604" s="149"/>
      <c r="N604" s="148"/>
      <c r="O604" s="148"/>
      <c r="P604" s="148"/>
      <c r="Q604" s="64"/>
      <c r="R604" s="64"/>
      <c r="U604" s="79"/>
      <c r="W604" s="282"/>
      <c r="X604" s="282"/>
      <c r="Y604" s="311"/>
      <c r="Z604" s="192"/>
    </row>
    <row r="605" spans="3:26" s="57" customFormat="1" ht="11.25">
      <c r="C605" s="148"/>
      <c r="E605" s="149"/>
      <c r="F605" s="298"/>
      <c r="G605" s="69"/>
      <c r="H605" s="148"/>
      <c r="J605" s="149"/>
      <c r="N605" s="148"/>
      <c r="O605" s="148"/>
      <c r="P605" s="148"/>
      <c r="Q605" s="64"/>
      <c r="R605" s="64"/>
      <c r="U605" s="79"/>
      <c r="W605" s="282"/>
      <c r="X605" s="282"/>
      <c r="Y605" s="311"/>
      <c r="Z605" s="192"/>
    </row>
    <row r="606" spans="3:26" s="57" customFormat="1" ht="11.25">
      <c r="C606" s="148"/>
      <c r="E606" s="149"/>
      <c r="F606" s="298"/>
      <c r="G606" s="69"/>
      <c r="H606" s="148"/>
      <c r="J606" s="149"/>
      <c r="N606" s="148"/>
      <c r="O606" s="148"/>
      <c r="P606" s="148"/>
      <c r="Q606" s="64"/>
      <c r="R606" s="64"/>
      <c r="U606" s="79"/>
      <c r="W606" s="282"/>
      <c r="X606" s="282"/>
      <c r="Y606" s="311"/>
      <c r="Z606" s="192"/>
    </row>
    <row r="607" spans="3:26" s="57" customFormat="1" ht="11.25">
      <c r="C607" s="148"/>
      <c r="E607" s="149"/>
      <c r="F607" s="298"/>
      <c r="G607" s="69"/>
      <c r="H607" s="148"/>
      <c r="J607" s="149"/>
      <c r="N607" s="148"/>
      <c r="O607" s="148"/>
      <c r="P607" s="148"/>
      <c r="Q607" s="64"/>
      <c r="R607" s="64"/>
      <c r="U607" s="79"/>
      <c r="W607" s="282"/>
      <c r="X607" s="282"/>
      <c r="Y607" s="311"/>
      <c r="Z607" s="192"/>
    </row>
    <row r="608" spans="3:26" s="57" customFormat="1" ht="11.25">
      <c r="C608" s="148"/>
      <c r="E608" s="149"/>
      <c r="F608" s="298"/>
      <c r="G608" s="69"/>
      <c r="H608" s="148"/>
      <c r="J608" s="149"/>
      <c r="N608" s="148"/>
      <c r="O608" s="148"/>
      <c r="P608" s="148"/>
      <c r="Q608" s="64"/>
      <c r="R608" s="64"/>
      <c r="U608" s="79"/>
      <c r="W608" s="282"/>
      <c r="X608" s="282"/>
      <c r="Y608" s="311"/>
      <c r="Z608" s="192"/>
    </row>
    <row r="609" spans="3:26" s="57" customFormat="1" ht="11.25">
      <c r="C609" s="148"/>
      <c r="E609" s="149"/>
      <c r="F609" s="298"/>
      <c r="G609" s="69"/>
      <c r="H609" s="148"/>
      <c r="J609" s="149"/>
      <c r="N609" s="148"/>
      <c r="O609" s="148"/>
      <c r="P609" s="148"/>
      <c r="Q609" s="64"/>
      <c r="R609" s="64"/>
      <c r="U609" s="79"/>
      <c r="W609" s="282"/>
      <c r="X609" s="282"/>
      <c r="Y609" s="311"/>
      <c r="Z609" s="192"/>
    </row>
    <row r="610" spans="3:26" s="57" customFormat="1" ht="11.25">
      <c r="C610" s="148"/>
      <c r="E610" s="149"/>
      <c r="F610" s="298"/>
      <c r="G610" s="69"/>
      <c r="H610" s="148"/>
      <c r="J610" s="149"/>
      <c r="N610" s="148"/>
      <c r="O610" s="148"/>
      <c r="P610" s="148"/>
      <c r="Q610" s="64"/>
      <c r="R610" s="64"/>
      <c r="U610" s="79"/>
      <c r="W610" s="282"/>
      <c r="X610" s="282"/>
      <c r="Y610" s="311"/>
      <c r="Z610" s="192"/>
    </row>
    <row r="611" spans="3:26" s="57" customFormat="1" ht="11.25">
      <c r="C611" s="148"/>
      <c r="E611" s="149"/>
      <c r="F611" s="298"/>
      <c r="G611" s="69"/>
      <c r="H611" s="148"/>
      <c r="J611" s="149"/>
      <c r="N611" s="148"/>
      <c r="O611" s="148"/>
      <c r="P611" s="148"/>
      <c r="Q611" s="64"/>
      <c r="R611" s="64"/>
      <c r="U611" s="79"/>
      <c r="W611" s="282"/>
      <c r="X611" s="282"/>
      <c r="Y611" s="311"/>
      <c r="Z611" s="192"/>
    </row>
    <row r="612" spans="3:26" s="57" customFormat="1" ht="11.25">
      <c r="C612" s="148"/>
      <c r="E612" s="149"/>
      <c r="F612" s="298"/>
      <c r="G612" s="69"/>
      <c r="H612" s="148"/>
      <c r="J612" s="149"/>
      <c r="N612" s="148"/>
      <c r="O612" s="148"/>
      <c r="P612" s="148"/>
      <c r="Q612" s="64"/>
      <c r="R612" s="64"/>
      <c r="U612" s="79"/>
      <c r="W612" s="282"/>
      <c r="X612" s="282"/>
      <c r="Y612" s="311"/>
      <c r="Z612" s="192"/>
    </row>
    <row r="613" spans="3:26" s="57" customFormat="1" ht="11.25">
      <c r="C613" s="148"/>
      <c r="E613" s="149"/>
      <c r="F613" s="298"/>
      <c r="G613" s="69"/>
      <c r="H613" s="148"/>
      <c r="J613" s="149"/>
      <c r="N613" s="148"/>
      <c r="O613" s="148"/>
      <c r="P613" s="148"/>
      <c r="Q613" s="64"/>
      <c r="R613" s="64"/>
      <c r="U613" s="79"/>
      <c r="W613" s="282"/>
      <c r="X613" s="282"/>
      <c r="Y613" s="311"/>
      <c r="Z613" s="192"/>
    </row>
    <row r="614" spans="3:26" s="57" customFormat="1" ht="11.25">
      <c r="C614" s="148"/>
      <c r="E614" s="149"/>
      <c r="F614" s="298"/>
      <c r="G614" s="69"/>
      <c r="H614" s="148"/>
      <c r="J614" s="149"/>
      <c r="N614" s="148"/>
      <c r="O614" s="148"/>
      <c r="P614" s="148"/>
      <c r="Q614" s="64"/>
      <c r="R614" s="64"/>
      <c r="U614" s="79"/>
      <c r="W614" s="282"/>
      <c r="X614" s="282"/>
      <c r="Y614" s="311"/>
      <c r="Z614" s="192"/>
    </row>
    <row r="615" spans="3:26" s="57" customFormat="1" ht="11.25">
      <c r="C615" s="148"/>
      <c r="E615" s="149"/>
      <c r="F615" s="298"/>
      <c r="G615" s="69"/>
      <c r="H615" s="148"/>
      <c r="J615" s="149"/>
      <c r="N615" s="148"/>
      <c r="O615" s="148"/>
      <c r="P615" s="148"/>
      <c r="Q615" s="64"/>
      <c r="R615" s="64"/>
      <c r="U615" s="79"/>
      <c r="W615" s="282"/>
      <c r="X615" s="282"/>
      <c r="Y615" s="311"/>
      <c r="Z615" s="192"/>
    </row>
    <row r="616" spans="3:26" s="57" customFormat="1" ht="11.25">
      <c r="C616" s="148"/>
      <c r="E616" s="149"/>
      <c r="F616" s="298"/>
      <c r="G616" s="69"/>
      <c r="H616" s="148"/>
      <c r="J616" s="149"/>
      <c r="N616" s="148"/>
      <c r="O616" s="148"/>
      <c r="P616" s="148"/>
      <c r="Q616" s="64"/>
      <c r="R616" s="64"/>
      <c r="U616" s="79"/>
      <c r="W616" s="282"/>
      <c r="X616" s="282"/>
      <c r="Y616" s="311"/>
      <c r="Z616" s="192"/>
    </row>
    <row r="617" spans="3:26" s="57" customFormat="1" ht="11.25">
      <c r="C617" s="148"/>
      <c r="E617" s="149"/>
      <c r="F617" s="298"/>
      <c r="G617" s="69"/>
      <c r="H617" s="148"/>
      <c r="J617" s="149"/>
      <c r="N617" s="148"/>
      <c r="O617" s="148"/>
      <c r="P617" s="148"/>
      <c r="Q617" s="64"/>
      <c r="R617" s="64"/>
      <c r="U617" s="79"/>
      <c r="W617" s="282"/>
      <c r="X617" s="282"/>
      <c r="Y617" s="311"/>
      <c r="Z617" s="192"/>
    </row>
    <row r="618" spans="3:26" s="57" customFormat="1" ht="11.25">
      <c r="C618" s="148"/>
      <c r="E618" s="149"/>
      <c r="F618" s="298"/>
      <c r="G618" s="69"/>
      <c r="H618" s="148"/>
      <c r="J618" s="149"/>
      <c r="N618" s="148"/>
      <c r="O618" s="148"/>
      <c r="P618" s="148"/>
      <c r="Q618" s="64"/>
      <c r="R618" s="64"/>
      <c r="U618" s="79"/>
      <c r="W618" s="282"/>
      <c r="X618" s="282"/>
      <c r="Y618" s="311"/>
      <c r="Z618" s="192"/>
    </row>
    <row r="619" spans="3:26" s="57" customFormat="1" ht="11.25">
      <c r="C619" s="148"/>
      <c r="E619" s="149"/>
      <c r="F619" s="298"/>
      <c r="G619" s="69"/>
      <c r="H619" s="148"/>
      <c r="J619" s="149"/>
      <c r="N619" s="148"/>
      <c r="O619" s="148"/>
      <c r="P619" s="148"/>
      <c r="Q619" s="64"/>
      <c r="R619" s="64"/>
      <c r="U619" s="79"/>
      <c r="W619" s="282"/>
      <c r="X619" s="282"/>
      <c r="Y619" s="311"/>
      <c r="Z619" s="192"/>
    </row>
    <row r="620" spans="3:26" s="57" customFormat="1" ht="11.25">
      <c r="C620" s="148"/>
      <c r="E620" s="149"/>
      <c r="F620" s="298"/>
      <c r="G620" s="69"/>
      <c r="H620" s="148"/>
      <c r="J620" s="149"/>
      <c r="N620" s="148"/>
      <c r="O620" s="148"/>
      <c r="P620" s="148"/>
      <c r="Q620" s="64"/>
      <c r="R620" s="64"/>
      <c r="U620" s="79"/>
      <c r="W620" s="282"/>
      <c r="X620" s="282"/>
      <c r="Y620" s="311"/>
      <c r="Z620" s="192"/>
    </row>
    <row r="621" spans="3:26" s="57" customFormat="1" ht="11.25">
      <c r="C621" s="148"/>
      <c r="E621" s="149"/>
      <c r="F621" s="298"/>
      <c r="G621" s="69"/>
      <c r="H621" s="148"/>
      <c r="J621" s="149"/>
      <c r="N621" s="148"/>
      <c r="O621" s="148"/>
      <c r="P621" s="148"/>
      <c r="Q621" s="64"/>
      <c r="R621" s="64"/>
      <c r="U621" s="79"/>
      <c r="W621" s="282"/>
      <c r="X621" s="282"/>
      <c r="Y621" s="311"/>
      <c r="Z621" s="192"/>
    </row>
    <row r="622" spans="3:26" s="57" customFormat="1" ht="11.25">
      <c r="C622" s="148"/>
      <c r="E622" s="149"/>
      <c r="F622" s="298"/>
      <c r="G622" s="69"/>
      <c r="H622" s="148"/>
      <c r="J622" s="149"/>
      <c r="N622" s="148"/>
      <c r="O622" s="148"/>
      <c r="P622" s="148"/>
      <c r="Q622" s="64"/>
      <c r="R622" s="64"/>
      <c r="U622" s="79"/>
      <c r="W622" s="282"/>
      <c r="X622" s="282"/>
      <c r="Y622" s="311"/>
      <c r="Z622" s="192"/>
    </row>
    <row r="623" spans="3:26" s="57" customFormat="1" ht="11.25">
      <c r="C623" s="148"/>
      <c r="E623" s="149"/>
      <c r="F623" s="298"/>
      <c r="G623" s="69"/>
      <c r="H623" s="148"/>
      <c r="J623" s="149"/>
      <c r="N623" s="148"/>
      <c r="O623" s="148"/>
      <c r="P623" s="148"/>
      <c r="Q623" s="64"/>
      <c r="R623" s="64"/>
      <c r="U623" s="79"/>
      <c r="W623" s="282"/>
      <c r="X623" s="282"/>
      <c r="Y623" s="311"/>
      <c r="Z623" s="192"/>
    </row>
    <row r="624" spans="3:26" s="57" customFormat="1" ht="11.25">
      <c r="C624" s="148"/>
      <c r="E624" s="149"/>
      <c r="F624" s="298"/>
      <c r="G624" s="69"/>
      <c r="H624" s="148"/>
      <c r="J624" s="149"/>
      <c r="N624" s="148"/>
      <c r="O624" s="148"/>
      <c r="P624" s="148"/>
      <c r="Q624" s="64"/>
      <c r="R624" s="64"/>
      <c r="U624" s="79"/>
      <c r="W624" s="282"/>
      <c r="X624" s="282"/>
      <c r="Y624" s="311"/>
      <c r="Z624" s="192"/>
    </row>
    <row r="625" spans="1:42" s="57" customFormat="1" ht="11.25">
      <c r="C625" s="148"/>
      <c r="E625" s="149"/>
      <c r="F625" s="298"/>
      <c r="G625" s="69"/>
      <c r="H625" s="148"/>
      <c r="J625" s="149"/>
      <c r="N625" s="148"/>
      <c r="O625" s="148"/>
      <c r="P625" s="148"/>
      <c r="Q625" s="64"/>
      <c r="R625" s="64"/>
      <c r="U625" s="79"/>
      <c r="W625" s="282"/>
      <c r="X625" s="282"/>
      <c r="Y625" s="311"/>
      <c r="Z625" s="192"/>
    </row>
    <row r="626" spans="1:42" s="57" customFormat="1" ht="11.25">
      <c r="C626" s="148"/>
      <c r="E626" s="149"/>
      <c r="F626" s="298"/>
      <c r="G626" s="69"/>
      <c r="H626" s="148"/>
      <c r="J626" s="149"/>
      <c r="N626" s="148"/>
      <c r="O626" s="148"/>
      <c r="P626" s="148"/>
      <c r="Q626" s="64"/>
      <c r="R626" s="64"/>
      <c r="U626" s="79"/>
      <c r="W626" s="282"/>
      <c r="X626" s="282"/>
      <c r="Y626" s="311"/>
      <c r="Z626" s="192"/>
    </row>
    <row r="627" spans="1:42" s="57" customFormat="1" ht="11.25">
      <c r="C627" s="148"/>
      <c r="E627" s="149"/>
      <c r="F627" s="298"/>
      <c r="G627" s="69"/>
      <c r="H627" s="148"/>
      <c r="J627" s="149"/>
      <c r="N627" s="148"/>
      <c r="O627" s="148"/>
      <c r="P627" s="148"/>
      <c r="Q627" s="64"/>
      <c r="R627" s="64"/>
      <c r="U627" s="79"/>
      <c r="W627" s="282"/>
      <c r="X627" s="282"/>
      <c r="Y627" s="311"/>
      <c r="Z627" s="192"/>
    </row>
    <row r="628" spans="1:42" s="57" customFormat="1" ht="11.25">
      <c r="C628" s="148"/>
      <c r="E628" s="149"/>
      <c r="F628" s="298"/>
      <c r="G628" s="69"/>
      <c r="H628" s="148"/>
      <c r="J628" s="149"/>
      <c r="N628" s="148"/>
      <c r="O628" s="148"/>
      <c r="P628" s="148"/>
      <c r="Q628" s="64"/>
      <c r="R628" s="64"/>
      <c r="U628" s="79"/>
      <c r="W628" s="282"/>
      <c r="X628" s="282"/>
      <c r="Y628" s="311"/>
      <c r="Z628" s="192"/>
    </row>
    <row r="629" spans="1:42" s="57" customFormat="1" ht="11.25">
      <c r="C629" s="148"/>
      <c r="E629" s="149"/>
      <c r="F629" s="298"/>
      <c r="G629" s="69"/>
      <c r="H629" s="148"/>
      <c r="J629" s="149"/>
      <c r="N629" s="148"/>
      <c r="O629" s="148"/>
      <c r="P629" s="148"/>
      <c r="Q629" s="64"/>
      <c r="R629" s="64"/>
      <c r="U629" s="79"/>
      <c r="W629" s="282"/>
      <c r="X629" s="282"/>
      <c r="Y629" s="311"/>
      <c r="Z629" s="192"/>
    </row>
    <row r="630" spans="1:42" s="57" customFormat="1" ht="11.25">
      <c r="C630" s="148"/>
      <c r="E630" s="149"/>
      <c r="F630" s="298"/>
      <c r="G630" s="69"/>
      <c r="H630" s="148"/>
      <c r="J630" s="149"/>
      <c r="N630" s="148"/>
      <c r="O630" s="148"/>
      <c r="P630" s="148"/>
      <c r="Q630" s="64"/>
      <c r="R630" s="64"/>
      <c r="U630" s="79"/>
      <c r="W630" s="282"/>
      <c r="X630" s="282"/>
      <c r="Y630" s="311"/>
      <c r="Z630" s="192"/>
    </row>
    <row r="631" spans="1:42" s="57" customFormat="1" ht="11.25">
      <c r="C631" s="148"/>
      <c r="E631" s="149"/>
      <c r="F631" s="298"/>
      <c r="G631" s="69"/>
      <c r="H631" s="148"/>
      <c r="J631" s="149"/>
      <c r="N631" s="148"/>
      <c r="O631" s="148"/>
      <c r="P631" s="148"/>
      <c r="Q631" s="64"/>
      <c r="R631" s="64"/>
      <c r="U631" s="79"/>
      <c r="W631" s="282"/>
      <c r="X631" s="282"/>
      <c r="Y631" s="311"/>
      <c r="Z631" s="192"/>
    </row>
    <row r="632" spans="1:42" s="57" customFormat="1" ht="11.25">
      <c r="C632" s="148"/>
      <c r="E632" s="149"/>
      <c r="F632" s="298"/>
      <c r="G632" s="69"/>
      <c r="H632" s="148"/>
      <c r="J632" s="149"/>
      <c r="N632" s="148"/>
      <c r="O632" s="148"/>
      <c r="P632" s="148"/>
      <c r="Q632" s="64"/>
      <c r="R632" s="64"/>
      <c r="U632" s="79"/>
      <c r="W632" s="282"/>
      <c r="X632" s="282"/>
      <c r="Y632" s="311"/>
      <c r="Z632" s="192"/>
    </row>
    <row r="633" spans="1:42" s="57" customFormat="1" ht="11.25">
      <c r="C633" s="148"/>
      <c r="E633" s="149"/>
      <c r="F633" s="298"/>
      <c r="G633" s="69"/>
      <c r="H633" s="148"/>
      <c r="J633" s="149"/>
      <c r="N633" s="148"/>
      <c r="O633" s="148"/>
      <c r="P633" s="148"/>
      <c r="Q633" s="64"/>
      <c r="R633" s="64"/>
      <c r="U633" s="79"/>
      <c r="W633" s="282"/>
      <c r="X633" s="282"/>
      <c r="Y633" s="311"/>
      <c r="Z633" s="192"/>
    </row>
    <row r="634" spans="1:42" s="57" customFormat="1" ht="11.25">
      <c r="C634" s="148"/>
      <c r="E634" s="149"/>
      <c r="F634" s="298"/>
      <c r="G634" s="69"/>
      <c r="H634" s="148"/>
      <c r="J634" s="149"/>
      <c r="N634" s="148"/>
      <c r="O634" s="148"/>
      <c r="P634" s="148"/>
      <c r="Q634" s="64"/>
      <c r="R634" s="64"/>
      <c r="U634" s="79"/>
      <c r="W634" s="282"/>
      <c r="X634" s="282"/>
      <c r="Y634" s="311"/>
      <c r="Z634" s="192"/>
    </row>
    <row r="635" spans="1:42" s="57" customFormat="1" ht="11.25">
      <c r="C635" s="148"/>
      <c r="E635" s="149"/>
      <c r="F635" s="298"/>
      <c r="G635" s="69"/>
      <c r="H635" s="148"/>
      <c r="J635" s="149"/>
      <c r="N635" s="148"/>
      <c r="O635" s="148"/>
      <c r="P635" s="148"/>
      <c r="Q635" s="64"/>
      <c r="R635" s="64"/>
      <c r="U635" s="79"/>
      <c r="W635" s="282"/>
      <c r="X635" s="282"/>
      <c r="Y635" s="311"/>
      <c r="Z635" s="192"/>
    </row>
    <row r="636" spans="1:42" s="57" customFormat="1" ht="11.25">
      <c r="C636" s="148"/>
      <c r="E636" s="149"/>
      <c r="F636" s="298"/>
      <c r="G636" s="69"/>
      <c r="H636" s="148"/>
      <c r="J636" s="149"/>
      <c r="N636" s="148"/>
      <c r="O636" s="148"/>
      <c r="P636" s="148"/>
      <c r="Q636" s="64"/>
      <c r="R636" s="64"/>
      <c r="U636" s="79"/>
      <c r="W636" s="282"/>
      <c r="X636" s="282"/>
      <c r="Y636" s="311"/>
      <c r="Z636" s="192"/>
    </row>
    <row r="637" spans="1:42">
      <c r="A637" s="57"/>
      <c r="B637" s="57"/>
      <c r="C637" s="148"/>
      <c r="D637" s="57"/>
      <c r="E637" s="149"/>
      <c r="F637" s="298"/>
      <c r="G637" s="69"/>
      <c r="H637" s="148"/>
      <c r="I637" s="57"/>
      <c r="J637" s="149"/>
      <c r="K637" s="57"/>
      <c r="L637" s="57"/>
      <c r="M637" s="57"/>
      <c r="N637" s="148"/>
      <c r="O637" s="148"/>
      <c r="P637" s="148"/>
      <c r="Q637" s="64"/>
      <c r="R637" s="64"/>
      <c r="S637" s="57"/>
      <c r="T637" s="57"/>
      <c r="U637" s="79"/>
      <c r="V637" s="57"/>
      <c r="X637" s="282"/>
      <c r="AA637" s="57"/>
      <c r="AB637" s="57"/>
      <c r="AC637" s="57"/>
      <c r="AD637" s="57"/>
      <c r="AE637" s="57"/>
      <c r="AF637" s="57"/>
      <c r="AG637" s="57"/>
      <c r="AH637" s="57"/>
      <c r="AI637" s="57"/>
      <c r="AJ637" s="57"/>
      <c r="AK637" s="57"/>
      <c r="AL637" s="57"/>
      <c r="AM637" s="57"/>
      <c r="AN637" s="57"/>
      <c r="AO637" s="57"/>
      <c r="AP637" s="57"/>
    </row>
    <row r="638" spans="1:42">
      <c r="A638" s="57"/>
      <c r="B638" s="57"/>
      <c r="C638" s="148"/>
      <c r="D638" s="57"/>
      <c r="E638" s="149"/>
      <c r="F638" s="298"/>
      <c r="G638" s="69"/>
      <c r="H638" s="148"/>
      <c r="I638" s="57"/>
      <c r="J638" s="149"/>
      <c r="K638" s="57"/>
      <c r="L638" s="57"/>
      <c r="M638" s="57"/>
      <c r="N638" s="148"/>
      <c r="O638" s="148"/>
      <c r="P638" s="148"/>
      <c r="Q638" s="64"/>
      <c r="R638" s="64"/>
      <c r="S638" s="57"/>
      <c r="T638" s="57"/>
      <c r="U638" s="79"/>
      <c r="V638" s="57"/>
      <c r="X638" s="282"/>
      <c r="AA638" s="57"/>
      <c r="AB638" s="57"/>
      <c r="AC638" s="57"/>
      <c r="AD638" s="57"/>
      <c r="AE638" s="57"/>
      <c r="AF638" s="57"/>
      <c r="AG638" s="57"/>
      <c r="AH638" s="57"/>
      <c r="AI638" s="57"/>
      <c r="AJ638" s="57"/>
      <c r="AK638" s="57"/>
      <c r="AL638" s="57"/>
      <c r="AM638" s="57"/>
      <c r="AN638" s="57"/>
      <c r="AO638" s="57"/>
      <c r="AP638" s="57"/>
    </row>
    <row r="639" spans="1:42">
      <c r="A639" s="57"/>
      <c r="B639" s="57"/>
      <c r="C639" s="148"/>
      <c r="D639" s="57"/>
      <c r="E639" s="149"/>
      <c r="F639" s="298"/>
      <c r="G639" s="69"/>
      <c r="H639" s="148"/>
      <c r="I639" s="57"/>
      <c r="J639" s="149"/>
      <c r="K639" s="57"/>
      <c r="L639" s="57"/>
      <c r="M639" s="57"/>
      <c r="N639" s="148"/>
      <c r="O639" s="148"/>
      <c r="P639" s="148"/>
      <c r="Q639" s="64"/>
      <c r="R639" s="64"/>
      <c r="S639" s="57"/>
      <c r="T639" s="57"/>
      <c r="U639" s="79"/>
      <c r="V639" s="57"/>
      <c r="X639" s="282"/>
      <c r="AA639" s="57"/>
      <c r="AB639" s="57"/>
      <c r="AC639" s="57"/>
      <c r="AD639" s="57"/>
      <c r="AE639" s="57"/>
      <c r="AF639" s="57"/>
      <c r="AG639" s="57"/>
      <c r="AH639" s="57"/>
      <c r="AI639" s="57"/>
      <c r="AJ639" s="57"/>
      <c r="AK639" s="57"/>
      <c r="AL639" s="57"/>
      <c r="AM639" s="57"/>
      <c r="AN639" s="57"/>
      <c r="AO639" s="57"/>
      <c r="AP639" s="57"/>
    </row>
    <row r="640" spans="1:42">
      <c r="A640" s="57"/>
      <c r="B640" s="57"/>
      <c r="C640" s="148"/>
      <c r="D640" s="57"/>
      <c r="E640" s="149"/>
      <c r="F640" s="298"/>
      <c r="G640" s="69"/>
      <c r="H640" s="148"/>
      <c r="I640" s="57"/>
      <c r="J640" s="149"/>
      <c r="K640" s="57"/>
      <c r="L640" s="57"/>
      <c r="M640" s="57"/>
      <c r="N640" s="148"/>
      <c r="O640" s="148"/>
      <c r="P640" s="148"/>
      <c r="Q640" s="64"/>
      <c r="R640" s="64"/>
      <c r="S640" s="57"/>
      <c r="T640" s="57"/>
      <c r="U640" s="79"/>
      <c r="V640" s="57"/>
      <c r="X640" s="282"/>
      <c r="AA640" s="57"/>
      <c r="AB640" s="57"/>
      <c r="AC640" s="57"/>
      <c r="AD640" s="57"/>
      <c r="AE640" s="57"/>
      <c r="AF640" s="57"/>
      <c r="AG640" s="57"/>
      <c r="AH640" s="57"/>
      <c r="AI640" s="57"/>
      <c r="AJ640" s="57"/>
      <c r="AK640" s="57"/>
      <c r="AL640" s="57"/>
      <c r="AM640" s="57"/>
      <c r="AN640" s="57"/>
      <c r="AO640" s="57"/>
      <c r="AP640" s="57"/>
    </row>
    <row r="641" spans="3:19">
      <c r="C641" s="150"/>
      <c r="D641"/>
      <c r="G641" s="42"/>
      <c r="H641" s="150"/>
      <c r="I641"/>
      <c r="K641"/>
      <c r="L641"/>
      <c r="M641"/>
      <c r="N641" s="150"/>
      <c r="O641" s="150"/>
      <c r="P641" s="150"/>
      <c r="S641"/>
    </row>
    <row r="642" spans="3:19">
      <c r="C642" s="150"/>
      <c r="D642"/>
      <c r="G642" s="42"/>
      <c r="H642" s="150"/>
      <c r="I642"/>
      <c r="K642"/>
      <c r="L642"/>
      <c r="M642"/>
      <c r="N642" s="150"/>
      <c r="O642" s="150"/>
      <c r="P642" s="150"/>
      <c r="S642"/>
    </row>
    <row r="643" spans="3:19">
      <c r="C643" s="150"/>
      <c r="D643"/>
      <c r="G643" s="42"/>
      <c r="H643" s="150"/>
      <c r="I643"/>
      <c r="K643"/>
      <c r="L643"/>
      <c r="M643"/>
      <c r="N643" s="150"/>
      <c r="O643" s="150"/>
      <c r="P643" s="150"/>
      <c r="S643"/>
    </row>
    <row r="644" spans="3:19">
      <c r="C644" s="150"/>
      <c r="D644"/>
      <c r="G644" s="42"/>
      <c r="H644" s="150"/>
      <c r="I644"/>
      <c r="K644"/>
      <c r="L644"/>
      <c r="M644"/>
      <c r="N644" s="150"/>
      <c r="O644" s="150"/>
      <c r="P644" s="150"/>
      <c r="S644"/>
    </row>
    <row r="645" spans="3:19">
      <c r="C645" s="150"/>
      <c r="D645"/>
      <c r="G645" s="42"/>
      <c r="H645" s="150"/>
      <c r="I645"/>
      <c r="K645"/>
      <c r="L645"/>
      <c r="M645"/>
      <c r="N645" s="150"/>
      <c r="O645" s="150"/>
      <c r="P645" s="150"/>
      <c r="S645"/>
    </row>
    <row r="646" spans="3:19">
      <c r="C646" s="150"/>
      <c r="D646"/>
      <c r="G646" s="42"/>
      <c r="H646" s="150"/>
      <c r="I646"/>
      <c r="K646"/>
      <c r="L646"/>
      <c r="M646"/>
      <c r="N646" s="150"/>
      <c r="O646" s="150"/>
      <c r="P646" s="150"/>
      <c r="S646"/>
    </row>
    <row r="647" spans="3:19">
      <c r="C647" s="150"/>
      <c r="D647"/>
      <c r="G647" s="42"/>
      <c r="H647" s="150"/>
      <c r="I647"/>
      <c r="K647"/>
      <c r="L647"/>
      <c r="M647"/>
      <c r="N647" s="150"/>
      <c r="O647" s="150"/>
      <c r="P647" s="150"/>
      <c r="S647"/>
    </row>
    <row r="648" spans="3:19">
      <c r="C648" s="150"/>
      <c r="D648"/>
      <c r="G648" s="42"/>
      <c r="H648" s="150"/>
      <c r="I648"/>
      <c r="K648"/>
      <c r="L648"/>
      <c r="M648"/>
      <c r="N648" s="150"/>
      <c r="O648" s="150"/>
      <c r="P648" s="150"/>
      <c r="S648"/>
    </row>
    <row r="649" spans="3:19">
      <c r="C649" s="150"/>
      <c r="D649"/>
      <c r="G649" s="42"/>
      <c r="H649" s="150"/>
      <c r="I649"/>
      <c r="K649"/>
      <c r="L649"/>
      <c r="M649"/>
      <c r="N649" s="150"/>
      <c r="O649" s="150"/>
      <c r="P649" s="150"/>
      <c r="S649"/>
    </row>
    <row r="650" spans="3:19">
      <c r="C650" s="150"/>
      <c r="D650"/>
      <c r="G650" s="42"/>
      <c r="H650" s="150"/>
      <c r="I650"/>
      <c r="K650"/>
      <c r="L650"/>
      <c r="M650"/>
      <c r="N650" s="150"/>
      <c r="O650" s="150"/>
      <c r="P650" s="150"/>
      <c r="S650"/>
    </row>
    <row r="651" spans="3:19">
      <c r="C651" s="150"/>
      <c r="D651"/>
      <c r="G651" s="42"/>
      <c r="H651" s="150"/>
      <c r="I651"/>
      <c r="K651"/>
      <c r="L651"/>
      <c r="M651"/>
      <c r="N651" s="150"/>
      <c r="O651" s="150"/>
      <c r="P651" s="150"/>
      <c r="S651"/>
    </row>
    <row r="652" spans="3:19">
      <c r="C652" s="150"/>
      <c r="D652"/>
      <c r="G652" s="42"/>
      <c r="H652" s="150"/>
      <c r="I652"/>
      <c r="K652"/>
      <c r="L652"/>
      <c r="M652"/>
      <c r="N652" s="150"/>
      <c r="O652" s="150"/>
      <c r="P652" s="150"/>
      <c r="S652"/>
    </row>
    <row r="653" spans="3:19">
      <c r="C653" s="150"/>
      <c r="D653"/>
      <c r="G653" s="42"/>
      <c r="H653" s="150"/>
      <c r="I653"/>
      <c r="K653"/>
      <c r="L653"/>
      <c r="M653"/>
      <c r="N653" s="150"/>
      <c r="O653" s="150"/>
      <c r="P653" s="150"/>
      <c r="S653"/>
    </row>
    <row r="654" spans="3:19">
      <c r="C654" s="150"/>
      <c r="D654"/>
      <c r="G654" s="42"/>
      <c r="H654" s="150"/>
      <c r="I654"/>
      <c r="K654"/>
      <c r="L654"/>
      <c r="M654"/>
      <c r="N654" s="150"/>
      <c r="O654" s="150"/>
      <c r="P654" s="150"/>
      <c r="S654"/>
    </row>
    <row r="655" spans="3:19">
      <c r="C655" s="150"/>
      <c r="D655"/>
      <c r="G655" s="42"/>
      <c r="H655" s="150"/>
      <c r="I655"/>
      <c r="K655"/>
      <c r="L655"/>
      <c r="M655"/>
      <c r="N655" s="150"/>
      <c r="O655" s="150"/>
      <c r="P655" s="150"/>
      <c r="S655"/>
    </row>
    <row r="656" spans="3:19">
      <c r="C656" s="150"/>
      <c r="D656"/>
      <c r="G656" s="42"/>
      <c r="H656" s="150"/>
      <c r="I656"/>
      <c r="K656"/>
      <c r="L656"/>
      <c r="M656"/>
      <c r="N656" s="150"/>
      <c r="O656" s="150"/>
      <c r="P656" s="150"/>
      <c r="S656"/>
    </row>
    <row r="657" spans="3:19">
      <c r="C657" s="150"/>
      <c r="D657"/>
      <c r="G657" s="42"/>
      <c r="H657" s="150"/>
      <c r="I657"/>
      <c r="K657"/>
      <c r="L657"/>
      <c r="M657"/>
      <c r="N657" s="150"/>
      <c r="O657" s="150"/>
      <c r="P657" s="150"/>
      <c r="S657"/>
    </row>
    <row r="658" spans="3:19">
      <c r="C658" s="150"/>
      <c r="D658"/>
      <c r="G658" s="42"/>
      <c r="H658" s="150"/>
      <c r="I658"/>
      <c r="K658"/>
      <c r="L658"/>
      <c r="M658"/>
      <c r="N658" s="150"/>
      <c r="O658" s="150"/>
      <c r="P658" s="150"/>
      <c r="S658"/>
    </row>
    <row r="659" spans="3:19">
      <c r="C659" s="150"/>
      <c r="D659"/>
      <c r="G659" s="42"/>
      <c r="H659" s="150"/>
      <c r="I659"/>
      <c r="K659"/>
      <c r="L659"/>
      <c r="M659"/>
      <c r="N659" s="150"/>
      <c r="O659" s="150"/>
      <c r="P659" s="150"/>
      <c r="S659"/>
    </row>
    <row r="660" spans="3:19">
      <c r="C660" s="150"/>
      <c r="D660"/>
      <c r="G660" s="42"/>
      <c r="H660" s="150"/>
      <c r="I660"/>
      <c r="K660"/>
      <c r="L660"/>
      <c r="M660"/>
      <c r="N660" s="150"/>
      <c r="O660" s="150"/>
      <c r="P660" s="150"/>
      <c r="S660"/>
    </row>
    <row r="661" spans="3:19">
      <c r="C661" s="150"/>
      <c r="D661"/>
      <c r="G661" s="42"/>
      <c r="H661" s="150"/>
      <c r="I661"/>
      <c r="K661"/>
      <c r="L661"/>
      <c r="M661"/>
      <c r="N661" s="150"/>
      <c r="O661" s="150"/>
      <c r="P661" s="150"/>
      <c r="S661"/>
    </row>
  </sheetData>
  <mergeCells count="13">
    <mergeCell ref="A451:K451"/>
    <mergeCell ref="A453:K453"/>
    <mergeCell ref="A455:K455"/>
    <mergeCell ref="A457:K457"/>
    <mergeCell ref="A459:K459"/>
    <mergeCell ref="A447:K447"/>
    <mergeCell ref="A449:K449"/>
    <mergeCell ref="A435:K435"/>
    <mergeCell ref="A437:K437"/>
    <mergeCell ref="A445:K445"/>
    <mergeCell ref="A439:K439"/>
    <mergeCell ref="A441:K441"/>
    <mergeCell ref="A443:K443"/>
  </mergeCells>
  <phoneticPr fontId="2" type="noConversion"/>
  <conditionalFormatting sqref="G9:G280 G282:G400">
    <cfRule type="cellIs" dxfId="3" priority="37" operator="greaterThan">
      <formula>1</formula>
    </cfRule>
  </conditionalFormatting>
  <conditionalFormatting sqref="L9:M25 L27:M39 L41:M41 L43:M64 L66:M102 L106:M108 L110:M115 L118:M153 L221:M236 L238:M247 L249:M256 L258:M262 L265:M268 L270:M274 L282:M316 L318:M383">
    <cfRule type="cellIs" dxfId="2" priority="108" operator="lessThan">
      <formula>0</formula>
    </cfRule>
  </conditionalFormatting>
  <conditionalFormatting sqref="L157:M214">
    <cfRule type="cellIs" dxfId="1" priority="1" operator="lessThan">
      <formula>0</formula>
    </cfRule>
  </conditionalFormatting>
  <conditionalFormatting sqref="L217:M217 L277:M277 L386:M397 L401:M401">
    <cfRule type="cellIs" dxfId="0" priority="163" operator="lessThan">
      <formula>0</formula>
    </cfRule>
  </conditionalFormatting>
  <pageMargins left="0.24" right="0.27" top="0.32" bottom="0.38" header="0.19" footer="0.17"/>
  <pageSetup paperSize="5" scale="76" fitToHeight="0" orientation="landscape" blackAndWhite="1" r:id="rId1"/>
  <headerFooter alignWithMargins="0">
    <oddFooter>&amp;L&amp;"Arial Narrow,Regular"&amp;8&amp;Z&amp;F&amp;R&amp;"Arial Narrow,Regular"&amp;8&amp;P/&amp;N</oddFooter>
  </headerFooter>
  <ignoredErrors>
    <ignoredError sqref="T393:U393 T388:U391" numberStoredAsText="1"/>
  </ignoredError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83"/>
  <sheetViews>
    <sheetView tabSelected="1" zoomScaleNormal="100" zoomScaleSheetLayoutView="100" workbookViewId="0">
      <pane ySplit="4" topLeftCell="A5" activePane="bottomLeft" state="frozen"/>
      <selection activeCell="A3" sqref="A3"/>
      <selection pane="bottomLeft" activeCell="Y153" sqref="Y153"/>
    </sheetView>
  </sheetViews>
  <sheetFormatPr defaultRowHeight="12.75"/>
  <cols>
    <col min="1" max="1" width="10.42578125" customWidth="1"/>
    <col min="2" max="2" width="58.85546875" customWidth="1"/>
    <col min="3" max="3" width="12.140625" customWidth="1"/>
    <col min="4" max="4" width="14.5703125" style="100" customWidth="1"/>
    <col min="5" max="5" width="14.85546875" style="100" customWidth="1"/>
    <col min="6" max="6" width="16" style="100" bestFit="1" customWidth="1"/>
    <col min="7" max="9" width="13.5703125" style="100" customWidth="1"/>
    <col min="10" max="11" width="11.140625" customWidth="1"/>
  </cols>
  <sheetData>
    <row r="1" spans="1:11">
      <c r="A1" s="228" t="s">
        <v>94</v>
      </c>
    </row>
    <row r="2" spans="1:11">
      <c r="A2" s="229" t="s">
        <v>140</v>
      </c>
    </row>
    <row r="3" spans="1:11">
      <c r="A3" s="230">
        <v>46022</v>
      </c>
    </row>
    <row r="4" spans="1:11" ht="38.25">
      <c r="A4" s="231" t="s">
        <v>141</v>
      </c>
      <c r="B4" s="231" t="s">
        <v>142</v>
      </c>
      <c r="C4" s="231"/>
      <c r="D4" s="232" t="s">
        <v>143</v>
      </c>
      <c r="E4" s="232" t="s">
        <v>144</v>
      </c>
      <c r="F4" s="232" t="s">
        <v>145</v>
      </c>
      <c r="G4" s="232" t="s">
        <v>146</v>
      </c>
      <c r="H4" s="232" t="s">
        <v>147</v>
      </c>
      <c r="I4" s="232" t="s">
        <v>148</v>
      </c>
      <c r="J4" s="232" t="s">
        <v>730</v>
      </c>
      <c r="K4" s="232" t="s">
        <v>731</v>
      </c>
    </row>
    <row r="5" spans="1:11">
      <c r="A5" s="512">
        <f>Bonus!A9</f>
        <v>51.110799999999998</v>
      </c>
      <c r="B5" t="str">
        <f>Bonus!B9</f>
        <v>City of Stockton - RWCF Phase 2A/2B</v>
      </c>
      <c r="D5" s="100">
        <f>Bonus!C9</f>
        <v>94196098</v>
      </c>
      <c r="E5" s="100">
        <f>Bonus!I9</f>
        <v>94126376.709999993</v>
      </c>
      <c r="F5" s="100">
        <f t="shared" ref="F5" si="0">D5-E5</f>
        <v>69721.290000006557</v>
      </c>
      <c r="G5" s="233">
        <f>Bonus!E9</f>
        <v>4388269</v>
      </c>
      <c r="H5" s="100">
        <f>Bonus!H9</f>
        <v>4320758.91</v>
      </c>
      <c r="I5" s="100">
        <f t="shared" ref="I5" si="1">+G5-H5</f>
        <v>67510.089999999851</v>
      </c>
      <c r="J5" s="646">
        <f>G5/D5</f>
        <v>4.6586526333606729E-2</v>
      </c>
      <c r="K5" s="646">
        <f>E5/D5</f>
        <v>0.99925982825742943</v>
      </c>
    </row>
    <row r="6" spans="1:11">
      <c r="A6" s="512">
        <f>Bonus!A10</f>
        <v>51.112900000000003</v>
      </c>
      <c r="B6" t="str">
        <f>Bonus!B10</f>
        <v>Union Sanit. Dist - Enhanced Trtmnt &amp; Site Upgrd Ph. 1A Aeration Basin</v>
      </c>
      <c r="D6" s="100">
        <f>Bonus!C10</f>
        <v>126483580.84</v>
      </c>
      <c r="E6" s="100">
        <f>Bonus!I10</f>
        <v>96373952.37605378</v>
      </c>
      <c r="F6" s="100">
        <f t="shared" ref="F6:F20" si="2">D6-E6</f>
        <v>30109628.463946223</v>
      </c>
      <c r="G6" s="233">
        <f>Bonus!E10</f>
        <v>11250000</v>
      </c>
      <c r="H6" s="100">
        <f>Bonus!H10</f>
        <v>9058793.1560537815</v>
      </c>
      <c r="I6" s="100">
        <f t="shared" ref="I6:I20" si="3">+G6-H6</f>
        <v>2191206.8439462185</v>
      </c>
      <c r="J6" s="646">
        <f t="shared" ref="J6:J20" si="4">G6/D6</f>
        <v>8.8944350921176848E-2</v>
      </c>
      <c r="K6" s="646">
        <f t="shared" ref="K6:K21" si="5">E6/D6</f>
        <v>0.76194832353746778</v>
      </c>
    </row>
    <row r="7" spans="1:11">
      <c r="A7" s="512">
        <f>Bonus!A11</f>
        <v>51.113700000000001</v>
      </c>
      <c r="B7" t="str">
        <f>Bonus!B11</f>
        <v>CA Water Service Co. - Bear Gulch Pump Station 18</v>
      </c>
      <c r="D7" s="100">
        <f>Bonus!C11</f>
        <v>1312151.46</v>
      </c>
      <c r="E7" s="100">
        <f>Bonus!I11</f>
        <v>1141050.9871372138</v>
      </c>
      <c r="F7" s="100">
        <f t="shared" si="2"/>
        <v>171100.47286278615</v>
      </c>
      <c r="G7" s="233">
        <f>Bonus!E11</f>
        <v>113640</v>
      </c>
      <c r="H7" s="100">
        <f>Bonus!H11</f>
        <v>98821.697137213865</v>
      </c>
      <c r="I7" s="100">
        <f t="shared" si="3"/>
        <v>14818.302862786135</v>
      </c>
      <c r="J7" s="646">
        <f t="shared" si="4"/>
        <v>8.6605855699005974E-2</v>
      </c>
      <c r="K7" s="646">
        <f t="shared" si="5"/>
        <v>0.86960310750804171</v>
      </c>
    </row>
    <row r="8" spans="1:11">
      <c r="A8" s="512">
        <f>Bonus!A12</f>
        <v>51.114400000000003</v>
      </c>
      <c r="B8" t="str">
        <f>Bonus!B12</f>
        <v>Silicon Valley Clean Water - FEP Improvements Project</v>
      </c>
      <c r="D8" s="100">
        <f>Bonus!C12</f>
        <v>14969566</v>
      </c>
      <c r="E8" s="100">
        <f>Bonus!I12</f>
        <v>9093138.9677772745</v>
      </c>
      <c r="F8" s="100">
        <f t="shared" si="2"/>
        <v>5876427.0322227255</v>
      </c>
      <c r="G8" s="233">
        <f>Bonus!E12</f>
        <v>1129949</v>
      </c>
      <c r="H8" s="100">
        <f>Bonus!H12</f>
        <v>686378.16777727299</v>
      </c>
      <c r="I8" s="100">
        <f t="shared" si="3"/>
        <v>443570.83222272701</v>
      </c>
      <c r="J8" s="646">
        <f t="shared" si="4"/>
        <v>7.5483083477503626E-2</v>
      </c>
      <c r="K8" s="646">
        <f t="shared" si="5"/>
        <v>0.607441723278903</v>
      </c>
    </row>
    <row r="9" spans="1:11">
      <c r="A9" s="512">
        <f>Bonus!A13</f>
        <v>51.114600000000003</v>
      </c>
      <c r="B9" t="str">
        <f>Bonus!B13</f>
        <v>National Carbon Technologies, LLC - Aymium Williams Production Facility</v>
      </c>
      <c r="D9" s="100">
        <f>Bonus!C13</f>
        <v>60980234</v>
      </c>
      <c r="E9" s="100">
        <f>Bonus!I13</f>
        <v>56675078.537272215</v>
      </c>
      <c r="F9" s="100">
        <f t="shared" si="2"/>
        <v>4305155.4627277851</v>
      </c>
      <c r="G9" s="233">
        <f>Bonus!E13</f>
        <v>16783379.969999999</v>
      </c>
      <c r="H9" s="100">
        <f>Bonus!H13</f>
        <v>15724392.037272211</v>
      </c>
      <c r="I9" s="100">
        <f t="shared" si="3"/>
        <v>1058987.9327277876</v>
      </c>
      <c r="J9" s="646">
        <f t="shared" si="4"/>
        <v>0.27522655898631021</v>
      </c>
      <c r="K9" s="646">
        <f t="shared" si="5"/>
        <v>0.9294008044848141</v>
      </c>
    </row>
    <row r="10" spans="1:11">
      <c r="A10" s="512">
        <f>Bonus!A14</f>
        <v>51.115099999999998</v>
      </c>
      <c r="B10" t="str">
        <f>Bonus!B14</f>
        <v>Sonoma Valley County Sanitation Dist. - Sonoma Valley Influent Effluent Upgrade</v>
      </c>
      <c r="D10" s="100">
        <f>Bonus!C14</f>
        <v>10658200</v>
      </c>
      <c r="E10" s="100">
        <f>Bonus!I14</f>
        <v>5206183.5756381955</v>
      </c>
      <c r="F10" s="100">
        <f t="shared" si="2"/>
        <v>5452016.4243618045</v>
      </c>
      <c r="G10" s="233">
        <f>Bonus!E14</f>
        <v>578848</v>
      </c>
      <c r="H10" s="100">
        <f>Bonus!H14</f>
        <v>282748.39563819574</v>
      </c>
      <c r="I10" s="100">
        <f t="shared" si="3"/>
        <v>296099.60436180426</v>
      </c>
      <c r="J10" s="646">
        <f t="shared" si="4"/>
        <v>5.431010864873994E-2</v>
      </c>
      <c r="K10" s="646">
        <f t="shared" si="5"/>
        <v>0.48846743123962727</v>
      </c>
    </row>
    <row r="11" spans="1:11">
      <c r="A11" s="512">
        <f>Bonus!A15</f>
        <v>51.115200000000002</v>
      </c>
      <c r="B11" t="str">
        <f>Bonus!B15</f>
        <v>Mozingo Construction Inc - ElD Sly Park Intertie Project</v>
      </c>
      <c r="D11" s="100">
        <f>Bonus!C15</f>
        <v>19974489.34</v>
      </c>
      <c r="E11" s="100">
        <f>Bonus!I15</f>
        <v>14448073.75212094</v>
      </c>
      <c r="F11" s="100">
        <f t="shared" si="2"/>
        <v>5526415.5878790598</v>
      </c>
      <c r="G11" s="233">
        <f>Bonus!E15</f>
        <v>1345541</v>
      </c>
      <c r="H11" s="100">
        <f>Bonus!H15</f>
        <v>973265.21212094033</v>
      </c>
      <c r="I11" s="100">
        <f t="shared" si="3"/>
        <v>372275.78787905967</v>
      </c>
      <c r="J11" s="646">
        <f t="shared" si="4"/>
        <v>6.7362973695927295E-2</v>
      </c>
      <c r="K11" s="646">
        <f t="shared" si="5"/>
        <v>0.72332631418956417</v>
      </c>
    </row>
    <row r="12" spans="1:11">
      <c r="A12" s="512">
        <f>Bonus!A16</f>
        <v>51.115299999999998</v>
      </c>
      <c r="B12" t="str">
        <f>Bonus!B16</f>
        <v>Linda County Water Dist. - Aeration Blower Replacement</v>
      </c>
      <c r="D12" s="100">
        <f>Bonus!C16</f>
        <v>562824.68000000005</v>
      </c>
      <c r="E12" s="100">
        <f>Bonus!I16</f>
        <v>414268.17495298735</v>
      </c>
      <c r="F12" s="100">
        <f t="shared" si="2"/>
        <v>148556.5050470127</v>
      </c>
      <c r="G12" s="233">
        <f>Bonus!E16</f>
        <v>108304</v>
      </c>
      <c r="H12" s="100">
        <f>Bonus!H16</f>
        <v>79717.36495298738</v>
      </c>
      <c r="I12" s="100">
        <f t="shared" si="3"/>
        <v>28586.63504701262</v>
      </c>
      <c r="J12" s="646">
        <f t="shared" si="4"/>
        <v>0.19242937250015402</v>
      </c>
      <c r="K12" s="646">
        <f t="shared" si="5"/>
        <v>0.7360518997727451</v>
      </c>
    </row>
    <row r="13" spans="1:11">
      <c r="A13" s="512">
        <f>Bonus!A17</f>
        <v>51.115400000000001</v>
      </c>
      <c r="B13" t="str">
        <f>Bonus!B17</f>
        <v>Keyes Community Services Dist. - TCP Treatment Impvmts Wells 7,8,9,10</v>
      </c>
      <c r="D13" s="100">
        <f>Bonus!C17</f>
        <v>13363835</v>
      </c>
      <c r="E13" s="100">
        <f>Bonus!I17</f>
        <v>12704149.551969498</v>
      </c>
      <c r="F13" s="100">
        <f t="shared" si="2"/>
        <v>659685.4480305016</v>
      </c>
      <c r="G13" s="233">
        <f>Bonus!E17</f>
        <v>875000</v>
      </c>
      <c r="H13" s="100">
        <f>Bonus!H17</f>
        <v>831806.95196949912</v>
      </c>
      <c r="I13" s="100">
        <f t="shared" si="3"/>
        <v>43193.048030500882</v>
      </c>
      <c r="J13" s="646">
        <f t="shared" si="4"/>
        <v>6.5475217256124457E-2</v>
      </c>
      <c r="K13" s="646">
        <f t="shared" si="5"/>
        <v>0.95063651653657044</v>
      </c>
    </row>
    <row r="14" spans="1:11">
      <c r="A14" s="512">
        <f>Bonus!A18</f>
        <v>51.1158</v>
      </c>
      <c r="B14" t="str">
        <f>Bonus!B18</f>
        <v>Schneider Electric - City of Ceres WWTP Phase 1- Schneider Electric</v>
      </c>
      <c r="D14" s="100">
        <f>Bonus!C18</f>
        <v>104446</v>
      </c>
      <c r="E14" s="100">
        <f>Bonus!I18</f>
        <v>56960.69</v>
      </c>
      <c r="F14" s="100">
        <f t="shared" si="2"/>
        <v>47485.31</v>
      </c>
      <c r="G14" s="233">
        <f>Bonus!E18</f>
        <v>0</v>
      </c>
      <c r="H14" s="100">
        <f>Bonus!H18</f>
        <v>0</v>
      </c>
      <c r="I14" s="100">
        <f t="shared" si="3"/>
        <v>0</v>
      </c>
      <c r="J14" s="646">
        <f t="shared" si="4"/>
        <v>0</v>
      </c>
      <c r="K14" s="646">
        <f t="shared" si="5"/>
        <v>0.54536018612488757</v>
      </c>
    </row>
    <row r="15" spans="1:11">
      <c r="A15" s="512">
        <f>Bonus!A19</f>
        <v>51.115900000000003</v>
      </c>
      <c r="B15" t="str">
        <f>Bonus!B19</f>
        <v>El Dorado Irrigation Dist. - EID Reservoir A WTP Backwash-to-waste Valve Repalcement</v>
      </c>
      <c r="D15" s="100">
        <f>Bonus!C19</f>
        <v>1199000</v>
      </c>
      <c r="E15" s="100">
        <f>Bonus!I19</f>
        <v>877720.70427337755</v>
      </c>
      <c r="F15" s="100">
        <f t="shared" si="2"/>
        <v>321279.29572662245</v>
      </c>
      <c r="G15" s="233">
        <f>Bonus!E19</f>
        <v>119760</v>
      </c>
      <c r="H15" s="100">
        <f>Bonus!H19</f>
        <v>87669.584273377564</v>
      </c>
      <c r="I15" s="100">
        <f t="shared" si="3"/>
        <v>32090.415726622436</v>
      </c>
      <c r="J15" s="646">
        <f t="shared" si="4"/>
        <v>9.9883236030025024E-2</v>
      </c>
      <c r="K15" s="646">
        <f t="shared" si="5"/>
        <v>0.73204395685853008</v>
      </c>
    </row>
    <row r="16" spans="1:11">
      <c r="A16" s="512">
        <f>Bonus!A20</f>
        <v>51.116</v>
      </c>
      <c r="B16" t="str">
        <f>Bonus!B20</f>
        <v>City of Galt Public Works - Industrial WWTP Expansion</v>
      </c>
      <c r="D16" s="100">
        <f>Bonus!C20</f>
        <v>1757000</v>
      </c>
      <c r="E16" s="100">
        <f>Bonus!I20</f>
        <v>250518.05</v>
      </c>
      <c r="F16" s="100">
        <f t="shared" si="2"/>
        <v>1506481.95</v>
      </c>
      <c r="G16" s="233">
        <f>Bonus!E20</f>
        <v>67000</v>
      </c>
      <c r="H16" s="100">
        <f>Bonus!H20</f>
        <v>0</v>
      </c>
      <c r="I16" s="100">
        <f t="shared" si="3"/>
        <v>67000</v>
      </c>
      <c r="J16" s="646">
        <f t="shared" si="4"/>
        <v>3.8133181559476377E-2</v>
      </c>
      <c r="K16" s="646">
        <f t="shared" si="5"/>
        <v>0.14258284006829822</v>
      </c>
    </row>
    <row r="17" spans="1:11">
      <c r="A17" s="512">
        <f>Bonus!A21</f>
        <v>51.116100000000003</v>
      </c>
      <c r="B17" t="str">
        <f>Bonus!B21</f>
        <v>Sacramento Area Sewer Dist. - SASD Influent Pump Nos. 2 and 5 Installation Project</v>
      </c>
      <c r="D17" s="100">
        <f>Bonus!C21</f>
        <v>10848599.449999999</v>
      </c>
      <c r="E17" s="100">
        <f>Bonus!I21</f>
        <v>601852.17000000004</v>
      </c>
      <c r="F17" s="100">
        <f t="shared" si="2"/>
        <v>10246747.279999999</v>
      </c>
      <c r="G17" s="233">
        <f>Bonus!E21</f>
        <v>587347</v>
      </c>
      <c r="H17" s="100">
        <f>Bonus!H21</f>
        <v>0</v>
      </c>
      <c r="I17" s="100">
        <f t="shared" si="3"/>
        <v>587347</v>
      </c>
      <c r="J17" s="646">
        <f t="shared" si="4"/>
        <v>5.4140352651696443E-2</v>
      </c>
      <c r="K17" s="646">
        <f t="shared" si="5"/>
        <v>5.5477407270299768E-2</v>
      </c>
    </row>
    <row r="18" spans="1:11">
      <c r="A18" s="512">
        <f>Bonus!A22</f>
        <v>51.116199999999999</v>
      </c>
      <c r="B18" t="str">
        <f>Bonus!B22</f>
        <v>City of Chico - Chico Primary Clarifiers No. 1-3 Rehabilitation Project</v>
      </c>
      <c r="D18" s="100">
        <f>Bonus!C22</f>
        <v>6029750</v>
      </c>
      <c r="E18" s="100">
        <f>Bonus!I22</f>
        <v>85941.38</v>
      </c>
      <c r="F18" s="100">
        <f t="shared" si="2"/>
        <v>5943808.6200000001</v>
      </c>
      <c r="G18" s="233">
        <f>Bonus!E22</f>
        <v>184487</v>
      </c>
      <c r="H18" s="100">
        <f>Bonus!H22</f>
        <v>0</v>
      </c>
      <c r="I18" s="100">
        <f t="shared" si="3"/>
        <v>184487</v>
      </c>
      <c r="J18" s="646">
        <f t="shared" si="4"/>
        <v>3.0596127534309053E-2</v>
      </c>
      <c r="K18" s="646">
        <f t="shared" si="5"/>
        <v>1.4252892740163357E-2</v>
      </c>
    </row>
    <row r="19" spans="1:11">
      <c r="A19" s="512">
        <f>Bonus!A23</f>
        <v>51.116399999999999</v>
      </c>
      <c r="B19" t="str">
        <f>Bonus!B23</f>
        <v>CA Water Service Co. - Stockton Roofing</v>
      </c>
      <c r="D19" s="100">
        <f>Bonus!C23</f>
        <v>387260</v>
      </c>
      <c r="E19" s="100">
        <f>Bonus!I23</f>
        <v>4363.25</v>
      </c>
      <c r="F19" s="100">
        <f t="shared" si="2"/>
        <v>382896.75</v>
      </c>
      <c r="G19" s="233">
        <f>Bonus!E23</f>
        <v>3873</v>
      </c>
      <c r="H19" s="100">
        <f>Bonus!H23</f>
        <v>0</v>
      </c>
      <c r="I19" s="100">
        <f t="shared" si="3"/>
        <v>3873</v>
      </c>
      <c r="J19" s="646">
        <f t="shared" si="4"/>
        <v>1.0001032897794764E-2</v>
      </c>
      <c r="K19" s="646">
        <f t="shared" si="5"/>
        <v>1.126697825750142E-2</v>
      </c>
    </row>
    <row r="20" spans="1:11">
      <c r="A20" s="512">
        <f>Bonus!A24</f>
        <v>51.116500000000002</v>
      </c>
      <c r="B20" t="str">
        <f>Bonus!B24</f>
        <v>City of Yuba City - WTP Aquifer Storage and Recovery Well No. 3</v>
      </c>
      <c r="D20" s="100">
        <f>Bonus!C24</f>
        <v>5304500</v>
      </c>
      <c r="E20" s="100">
        <f>Bonus!I24</f>
        <v>23330.33</v>
      </c>
      <c r="F20" s="100">
        <f t="shared" si="2"/>
        <v>5281169.67</v>
      </c>
      <c r="G20" s="233">
        <f>Bonus!E24</f>
        <v>418057</v>
      </c>
      <c r="H20" s="100">
        <f>Bonus!H24</f>
        <v>0</v>
      </c>
      <c r="I20" s="100">
        <f t="shared" si="3"/>
        <v>418057</v>
      </c>
      <c r="J20" s="647">
        <f t="shared" si="4"/>
        <v>7.8811763596945986E-2</v>
      </c>
      <c r="K20" s="647">
        <f t="shared" si="5"/>
        <v>4.3982147233481012E-3</v>
      </c>
    </row>
    <row r="21" spans="1:11">
      <c r="A21" s="513"/>
      <c r="B21" s="514" t="s">
        <v>557</v>
      </c>
      <c r="C21" s="514"/>
      <c r="D21" s="234">
        <f t="shared" ref="D21:I21" si="6">SUM(D5:D20)</f>
        <v>368131534.76999998</v>
      </c>
      <c r="E21" s="234">
        <f t="shared" si="6"/>
        <v>292082959.20719558</v>
      </c>
      <c r="F21" s="234">
        <f t="shared" si="6"/>
        <v>76048575.562804535</v>
      </c>
      <c r="G21" s="234">
        <f t="shared" si="6"/>
        <v>37953454.969999999</v>
      </c>
      <c r="H21" s="234">
        <f t="shared" si="6"/>
        <v>32144351.477195483</v>
      </c>
      <c r="I21" s="234">
        <f t="shared" si="6"/>
        <v>5809103.4928045198</v>
      </c>
      <c r="J21" s="646">
        <f>G21/D21</f>
        <v>0.10309753820387171</v>
      </c>
      <c r="K21" s="646">
        <f>E21/D21</f>
        <v>0.79342010020869913</v>
      </c>
    </row>
    <row r="22" spans="1:11" ht="11.25" customHeight="1">
      <c r="A22" s="512"/>
      <c r="G22" s="233"/>
    </row>
    <row r="23" spans="1:11">
      <c r="A23" s="512">
        <f>Bonus!A44</f>
        <v>52.856299999999997</v>
      </c>
      <c r="B23" t="str">
        <f>Bonus!B44</f>
        <v>City of Santa Cruz - Graham Hill WTP Facility Improvements - Phase 1</v>
      </c>
      <c r="D23" s="100">
        <f>Bonus!C44</f>
        <v>1174182.73</v>
      </c>
      <c r="E23" s="100">
        <f>Bonus!I44</f>
        <v>1152462.29</v>
      </c>
      <c r="F23" s="100">
        <f t="shared" ref="F23" si="7">D23-E23</f>
        <v>21720.439999999944</v>
      </c>
      <c r="G23" s="233">
        <f>Bonus!E44</f>
        <v>293392.63</v>
      </c>
      <c r="H23" s="100">
        <f>Bonus!H44</f>
        <v>293385.24</v>
      </c>
      <c r="I23" s="100">
        <f>+G23-H23</f>
        <v>7.3900000000139698</v>
      </c>
      <c r="J23" s="646">
        <f t="shared" ref="J23:J42" si="8">G23/D23</f>
        <v>0.24986965188970206</v>
      </c>
      <c r="K23" s="646">
        <f>E23/D23</f>
        <v>0.98150165264311118</v>
      </c>
    </row>
    <row r="24" spans="1:11">
      <c r="A24" s="512">
        <f>Bonus!A45</f>
        <v>52.8566</v>
      </c>
      <c r="B24" t="str">
        <f>Bonus!B45</f>
        <v>City of Visalia - Water Reclamation Facility RPGS SCR System</v>
      </c>
      <c r="D24" s="100">
        <f>Bonus!C45</f>
        <v>1259398</v>
      </c>
      <c r="E24" s="100">
        <f>Bonus!I45</f>
        <v>1252574.9833668806</v>
      </c>
      <c r="F24" s="100">
        <f t="shared" ref="F24:F42" si="9">D24-E24</f>
        <v>6823.0166331194341</v>
      </c>
      <c r="G24" s="233">
        <f>Bonus!E45</f>
        <v>230000</v>
      </c>
      <c r="H24" s="100">
        <f>Bonus!H45</f>
        <v>228753.93336688046</v>
      </c>
      <c r="I24" s="100">
        <f t="shared" ref="I24:I42" si="10">+G24-H24</f>
        <v>1246.0666331195389</v>
      </c>
      <c r="J24" s="646">
        <f t="shared" si="8"/>
        <v>0.18262693763210677</v>
      </c>
      <c r="K24" s="646">
        <f t="shared" ref="K23:K43" si="11">E24/D24</f>
        <v>0.99458231898643679</v>
      </c>
    </row>
    <row r="25" spans="1:11">
      <c r="A25" s="512">
        <f>Bonus!A46</f>
        <v>52.858600000000003</v>
      </c>
      <c r="B25" t="str">
        <f>Bonus!B46</f>
        <v>Tesoro Viejo MMWC- WTP/WWTP/RWSP Phase B Expansion - Phase 1</v>
      </c>
      <c r="D25" s="100">
        <f>Bonus!C46</f>
        <v>12611349</v>
      </c>
      <c r="E25" s="100">
        <f>Bonus!I46</f>
        <v>12497922.424070187</v>
      </c>
      <c r="F25" s="100">
        <f t="shared" si="9"/>
        <v>113426.57592981309</v>
      </c>
      <c r="G25" s="233">
        <f>Bonus!E46</f>
        <v>1950000</v>
      </c>
      <c r="H25" s="100">
        <f>Bonus!H46</f>
        <v>1932461.6840701865</v>
      </c>
      <c r="I25" s="100">
        <f t="shared" si="10"/>
        <v>17538.315929813543</v>
      </c>
      <c r="J25" s="646">
        <f t="shared" si="8"/>
        <v>0.15462263394661427</v>
      </c>
      <c r="K25" s="646">
        <f t="shared" si="11"/>
        <v>0.99100599183086491</v>
      </c>
    </row>
    <row r="26" spans="1:11">
      <c r="A26" s="512">
        <f>Bonus!A47</f>
        <v>52.863399999999999</v>
      </c>
      <c r="B26" t="str">
        <f>Bonus!B47</f>
        <v>City of Huron - Water Treatment Plant Imp. Phase 2</v>
      </c>
      <c r="D26" s="100">
        <f>Bonus!C47</f>
        <v>13892722.74</v>
      </c>
      <c r="E26" s="100">
        <f>Bonus!I47</f>
        <v>12330098.769807998</v>
      </c>
      <c r="F26" s="100">
        <f t="shared" si="9"/>
        <v>1562623.9701920021</v>
      </c>
      <c r="G26" s="233">
        <f>Bonus!E47</f>
        <v>702000</v>
      </c>
      <c r="H26" s="100">
        <f>Bonus!H47</f>
        <v>623040.5298079974</v>
      </c>
      <c r="I26" s="100">
        <f t="shared" si="10"/>
        <v>78959.470192002598</v>
      </c>
      <c r="J26" s="646">
        <f t="shared" si="8"/>
        <v>5.053005182193681E-2</v>
      </c>
      <c r="K26" s="646">
        <f t="shared" si="11"/>
        <v>0.88752212223361471</v>
      </c>
    </row>
    <row r="27" spans="1:11">
      <c r="A27" s="512">
        <f>Bonus!A48</f>
        <v>52.863599999999998</v>
      </c>
      <c r="B27" t="str">
        <f>Bonus!B48</f>
        <v>Anaergia Technologies, LLC - Anaergia M1W Digester Mixing Project</v>
      </c>
      <c r="D27" s="100">
        <f>Bonus!C48</f>
        <v>3642197</v>
      </c>
      <c r="E27" s="100">
        <f>Bonus!I48</f>
        <v>3642035.1388558256</v>
      </c>
      <c r="F27" s="100">
        <f t="shared" si="9"/>
        <v>161.86114417435601</v>
      </c>
      <c r="G27" s="233">
        <f>Bonus!E48</f>
        <v>275000</v>
      </c>
      <c r="H27" s="100">
        <f>Bonus!H48</f>
        <v>274987.77885582577</v>
      </c>
      <c r="I27" s="100">
        <f t="shared" si="10"/>
        <v>12.221144174225628</v>
      </c>
      <c r="J27" s="646">
        <f t="shared" si="8"/>
        <v>7.550387856560202E-2</v>
      </c>
      <c r="K27" s="646">
        <f t="shared" si="11"/>
        <v>0.99995555947573012</v>
      </c>
    </row>
    <row r="28" spans="1:11">
      <c r="A28" s="512">
        <f>Bonus!A49</f>
        <v>52.863700000000001</v>
      </c>
      <c r="B28" t="str">
        <f>Bonus!B49</f>
        <v>Root Creek Water Dist. - Groundwater Blending &amp; Arsenic</v>
      </c>
      <c r="D28" s="100">
        <f>Bonus!C49</f>
        <v>26264577.649999999</v>
      </c>
      <c r="E28" s="100">
        <f>Bonus!I49</f>
        <v>26008192.325727545</v>
      </c>
      <c r="F28" s="100">
        <f t="shared" si="9"/>
        <v>256385.32427245378</v>
      </c>
      <c r="G28" s="233">
        <f>Bonus!E49</f>
        <v>1650000</v>
      </c>
      <c r="H28" s="100">
        <f>Bonus!H49</f>
        <v>1633893.2957275424</v>
      </c>
      <c r="I28" s="100">
        <f t="shared" si="10"/>
        <v>16106.704272457631</v>
      </c>
      <c r="J28" s="646">
        <f t="shared" si="8"/>
        <v>6.2822255205767605E-2</v>
      </c>
      <c r="K28" s="646">
        <f t="shared" si="11"/>
        <v>0.99023836104699536</v>
      </c>
    </row>
    <row r="29" spans="1:11">
      <c r="A29" s="512">
        <f>Bonus!A50</f>
        <v>52.863999999999997</v>
      </c>
      <c r="B29" t="str">
        <f>Bonus!B50</f>
        <v>City of Dos Palos - WTP Replacement Project</v>
      </c>
      <c r="D29" s="100">
        <f>Bonus!C50</f>
        <v>38646363.159999996</v>
      </c>
      <c r="E29" s="100">
        <f>Bonus!I50</f>
        <v>33797041.051042713</v>
      </c>
      <c r="F29" s="100">
        <f t="shared" si="9"/>
        <v>4849322.1089572832</v>
      </c>
      <c r="G29" s="233">
        <f>Bonus!E50</f>
        <v>1873323</v>
      </c>
      <c r="H29" s="100">
        <f>Bonus!H50</f>
        <v>1638259.5710427128</v>
      </c>
      <c r="I29" s="100">
        <f t="shared" si="10"/>
        <v>235063.42895728722</v>
      </c>
      <c r="J29" s="646">
        <f t="shared" si="8"/>
        <v>4.8473461584062807E-2</v>
      </c>
      <c r="K29" s="646">
        <f t="shared" si="11"/>
        <v>0.87452060912224572</v>
      </c>
    </row>
    <row r="30" spans="1:11">
      <c r="A30" s="512">
        <f>Bonus!A51</f>
        <v>52.866799999999998</v>
      </c>
      <c r="B30" t="str">
        <f>Bonus!B51</f>
        <v>California Water Service Co. - Cal Water - Salinas Station 57</v>
      </c>
      <c r="D30" s="100">
        <f>Bonus!C51</f>
        <v>411851</v>
      </c>
      <c r="E30" s="100">
        <f>Bonus!I51</f>
        <v>390782.65326467651</v>
      </c>
      <c r="F30" s="100">
        <f t="shared" si="9"/>
        <v>21068.346735323488</v>
      </c>
      <c r="G30" s="233">
        <f>Bonus!E51</f>
        <v>34855</v>
      </c>
      <c r="H30" s="100">
        <f>Bonus!H51</f>
        <v>33071.983264676543</v>
      </c>
      <c r="I30" s="100">
        <f t="shared" si="10"/>
        <v>1783.0167353234574</v>
      </c>
      <c r="J30" s="646">
        <f t="shared" si="8"/>
        <v>8.4630121087480664E-2</v>
      </c>
      <c r="K30" s="646">
        <f t="shared" si="11"/>
        <v>0.94884473575316441</v>
      </c>
    </row>
    <row r="31" spans="1:11">
      <c r="A31" s="512">
        <f>Bonus!A52</f>
        <v>52.867800000000003</v>
      </c>
      <c r="B31" t="str">
        <f>Bonus!B52</f>
        <v>City of Chowcilla - Well 15 &amp; Generator Improvement Projects</v>
      </c>
      <c r="D31" s="100">
        <f>Bonus!C52</f>
        <v>1240321</v>
      </c>
      <c r="E31" s="100">
        <f>Bonus!I52</f>
        <v>988148.98186173185</v>
      </c>
      <c r="F31" s="100">
        <f t="shared" si="9"/>
        <v>252172.01813826815</v>
      </c>
      <c r="G31" s="233">
        <f>Bonus!E52</f>
        <v>78000</v>
      </c>
      <c r="H31" s="100">
        <f>Bonus!H52</f>
        <v>62141.671861731826</v>
      </c>
      <c r="I31" s="100">
        <f t="shared" si="10"/>
        <v>15858.328138268174</v>
      </c>
      <c r="J31" s="646">
        <f t="shared" si="8"/>
        <v>6.288694620183001E-2</v>
      </c>
      <c r="K31" s="646">
        <f t="shared" si="11"/>
        <v>0.79668810079143371</v>
      </c>
    </row>
    <row r="32" spans="1:11">
      <c r="A32" s="512">
        <f>Bonus!A53</f>
        <v>52.868699999999997</v>
      </c>
      <c r="B32" t="str">
        <f>Bonus!B53</f>
        <v>California Water Service Co. - Salinas Station 205</v>
      </c>
      <c r="D32" s="100">
        <f>Bonus!C53</f>
        <v>877954</v>
      </c>
      <c r="E32" s="100">
        <f>Bonus!I53</f>
        <v>822283.79124929989</v>
      </c>
      <c r="F32" s="100">
        <f t="shared" si="9"/>
        <v>55670.208750700112</v>
      </c>
      <c r="G32" s="233">
        <f>Bonus!E53</f>
        <v>87182.519999999902</v>
      </c>
      <c r="H32" s="100">
        <f>Bonus!H53</f>
        <v>81654.361249299895</v>
      </c>
      <c r="I32" s="100">
        <f t="shared" si="10"/>
        <v>5528.1587507000077</v>
      </c>
      <c r="J32" s="646">
        <f t="shared" si="8"/>
        <v>9.9301922424181566E-2</v>
      </c>
      <c r="K32" s="646">
        <f t="shared" si="11"/>
        <v>0.93659097315952755</v>
      </c>
    </row>
    <row r="33" spans="1:11">
      <c r="A33" s="512">
        <f>Bonus!A54</f>
        <v>52.869199999999999</v>
      </c>
      <c r="B33" t="str">
        <f>Bonus!B54</f>
        <v>New England Sheet Metal and Mechanical Co. - Clovis South T&amp;M</v>
      </c>
      <c r="D33" s="100">
        <f>Bonus!C54</f>
        <v>55135.37</v>
      </c>
      <c r="E33" s="100">
        <f>Bonus!I54</f>
        <v>55135.37</v>
      </c>
      <c r="F33" s="100">
        <f t="shared" si="9"/>
        <v>0</v>
      </c>
      <c r="G33" s="233">
        <f>Bonus!E54</f>
        <v>5452.8800000000047</v>
      </c>
      <c r="H33" s="100">
        <f>Bonus!H54</f>
        <v>5452.8800000000047</v>
      </c>
      <c r="I33" s="100">
        <f t="shared" si="10"/>
        <v>0</v>
      </c>
      <c r="J33" s="646">
        <f t="shared" si="8"/>
        <v>9.8899853215821426E-2</v>
      </c>
      <c r="K33" s="646">
        <f t="shared" si="11"/>
        <v>1</v>
      </c>
    </row>
    <row r="34" spans="1:11">
      <c r="A34" s="512">
        <f>Bonus!A55</f>
        <v>52.869700000000002</v>
      </c>
      <c r="B34" t="str">
        <f>Bonus!B55</f>
        <v>City of Tulare - Industrial WWTP Dewatering Improvements Pro</v>
      </c>
      <c r="D34" s="100">
        <f>Bonus!C55</f>
        <v>1388000</v>
      </c>
      <c r="E34" s="100">
        <f>Bonus!I55</f>
        <v>808608.92055870988</v>
      </c>
      <c r="F34" s="100">
        <f t="shared" si="9"/>
        <v>579391.07944129012</v>
      </c>
      <c r="G34" s="233">
        <f>Bonus!E55</f>
        <v>62518</v>
      </c>
      <c r="H34" s="100">
        <f>Bonus!H55</f>
        <v>36421.190558709961</v>
      </c>
      <c r="I34" s="100">
        <f t="shared" si="10"/>
        <v>26096.809441290039</v>
      </c>
      <c r="J34" s="646">
        <f t="shared" si="8"/>
        <v>4.5041786743515853E-2</v>
      </c>
      <c r="K34" s="646">
        <f t="shared" si="11"/>
        <v>0.58257126841405615</v>
      </c>
    </row>
    <row r="35" spans="1:11">
      <c r="A35" s="512">
        <f>Bonus!A56</f>
        <v>52.869799999999998</v>
      </c>
      <c r="B35" t="str">
        <f>Bonus!B56</f>
        <v>California Water Service Co. - Tesoro Viejo RWSP Liner Repair</v>
      </c>
      <c r="D35" s="100">
        <f>Bonus!C56</f>
        <v>22713</v>
      </c>
      <c r="E35" s="100">
        <f>Bonus!I56</f>
        <v>21496.232142857141</v>
      </c>
      <c r="F35" s="100">
        <f t="shared" si="9"/>
        <v>1216.7678571428587</v>
      </c>
      <c r="G35" s="233">
        <f>Bonus!E56</f>
        <v>6585</v>
      </c>
      <c r="H35" s="100">
        <f>Bonus!H56</f>
        <v>6232.2321428571422</v>
      </c>
      <c r="I35" s="100">
        <f t="shared" si="10"/>
        <v>352.76785714285779</v>
      </c>
      <c r="J35" s="646">
        <f t="shared" si="8"/>
        <v>0.28992207106062606</v>
      </c>
      <c r="K35" s="646">
        <f t="shared" si="11"/>
        <v>0.9464285714285714</v>
      </c>
    </row>
    <row r="36" spans="1:11">
      <c r="A36" s="512">
        <f>Bonus!A57</f>
        <v>52.870399999999997</v>
      </c>
      <c r="B36" t="str">
        <f>Bonus!B57</f>
        <v>City of Visalia - Solids Handling Improvements Project</v>
      </c>
      <c r="D36" s="100">
        <f>Bonus!C57</f>
        <v>13744000</v>
      </c>
      <c r="E36" s="100">
        <f>Bonus!I57</f>
        <v>820988.3</v>
      </c>
      <c r="F36" s="100">
        <f t="shared" si="9"/>
        <v>12923011.699999999</v>
      </c>
      <c r="G36" s="233">
        <f>Bonus!E57</f>
        <v>252873</v>
      </c>
      <c r="H36" s="100">
        <f>Bonus!H57</f>
        <v>0</v>
      </c>
      <c r="I36" s="100">
        <f t="shared" si="10"/>
        <v>252873</v>
      </c>
      <c r="J36" s="646">
        <f t="shared" si="8"/>
        <v>1.8398792200232827E-2</v>
      </c>
      <c r="K36" s="646">
        <f t="shared" si="11"/>
        <v>5.9734305878928994E-2</v>
      </c>
    </row>
    <row r="37" spans="1:11">
      <c r="A37" s="512">
        <f>Bonus!A58</f>
        <v>52.8705</v>
      </c>
      <c r="B37" t="str">
        <f>Bonus!B58</f>
        <v>California Water Service Co. - Visalia Station 200 - New Storage Tank &amp; Booster</v>
      </c>
      <c r="D37" s="100">
        <f>Bonus!C58</f>
        <v>775000</v>
      </c>
      <c r="E37" s="100">
        <f>Bonus!I58</f>
        <v>307545.16169396322</v>
      </c>
      <c r="F37" s="100">
        <f t="shared" si="9"/>
        <v>467454.83830603678</v>
      </c>
      <c r="G37" s="233">
        <f>Bonus!E58</f>
        <v>55740</v>
      </c>
      <c r="H37" s="100">
        <f>Bonus!H58</f>
        <v>22119.441693963236</v>
      </c>
      <c r="I37" s="100">
        <f t="shared" si="10"/>
        <v>33620.558306036764</v>
      </c>
      <c r="J37" s="646">
        <f t="shared" si="8"/>
        <v>7.1922580645161285E-2</v>
      </c>
      <c r="K37" s="646">
        <f t="shared" si="11"/>
        <v>0.39683246670188804</v>
      </c>
    </row>
    <row r="38" spans="1:11">
      <c r="A38" s="512">
        <f>Bonus!A59</f>
        <v>52.870699999999999</v>
      </c>
      <c r="B38" t="str">
        <f>Bonus!B59</f>
        <v>County of Fresno - Westside Water Tank and Pump Station</v>
      </c>
      <c r="D38" s="100">
        <f>Bonus!C59</f>
        <v>3693200</v>
      </c>
      <c r="E38" s="100">
        <f>Bonus!I59</f>
        <v>1079776.4803290523</v>
      </c>
      <c r="F38" s="100">
        <f t="shared" si="9"/>
        <v>2613423.5196709475</v>
      </c>
      <c r="G38" s="233">
        <f>Bonus!E59</f>
        <v>231623</v>
      </c>
      <c r="H38" s="100">
        <f>Bonus!H59</f>
        <v>67719.340329052327</v>
      </c>
      <c r="I38" s="100">
        <f t="shared" si="10"/>
        <v>163903.65967094767</v>
      </c>
      <c r="J38" s="646">
        <f t="shared" si="8"/>
        <v>6.2716072782410912E-2</v>
      </c>
      <c r="K38" s="646">
        <f t="shared" si="11"/>
        <v>0.29236880762727507</v>
      </c>
    </row>
    <row r="39" spans="1:11">
      <c r="A39" s="512">
        <f>Bonus!A60</f>
        <v>52.870800000000003</v>
      </c>
      <c r="B39" t="str">
        <f>Bonus!B60</f>
        <v>County of Fresno - CSA 44A Wastewater Improvements</v>
      </c>
      <c r="D39" s="100">
        <f>Bonus!C60</f>
        <v>363833</v>
      </c>
      <c r="E39" s="100">
        <f>Bonus!I60</f>
        <v>7682.19</v>
      </c>
      <c r="F39" s="100">
        <f t="shared" si="9"/>
        <v>356150.81</v>
      </c>
      <c r="G39" s="233">
        <f>Bonus!E60</f>
        <v>30076</v>
      </c>
      <c r="H39" s="100">
        <f>Bonus!H60</f>
        <v>0</v>
      </c>
      <c r="I39" s="100">
        <f t="shared" si="10"/>
        <v>30076</v>
      </c>
      <c r="J39" s="646">
        <f t="shared" si="8"/>
        <v>8.266429928016425E-2</v>
      </c>
      <c r="K39" s="646">
        <f t="shared" si="11"/>
        <v>2.1114604777466583E-2</v>
      </c>
    </row>
    <row r="40" spans="1:11">
      <c r="A40" s="512">
        <f>Bonus!A61</f>
        <v>52.871099999999998</v>
      </c>
      <c r="B40" t="str">
        <f>Bonus!B61</f>
        <v>California Water Service Co. - Tesoro Viejo ARV Replacement</v>
      </c>
      <c r="D40" s="100">
        <f>Bonus!C61</f>
        <v>6860</v>
      </c>
      <c r="E40" s="100">
        <f>Bonus!I61</f>
        <v>4963.1095170229619</v>
      </c>
      <c r="F40" s="100">
        <f t="shared" si="9"/>
        <v>1896.8904829770381</v>
      </c>
      <c r="G40" s="233">
        <f>Bonus!E61</f>
        <v>545</v>
      </c>
      <c r="H40" s="100">
        <f>Bonus!H61</f>
        <v>394.2995170229612</v>
      </c>
      <c r="I40" s="100">
        <f t="shared" si="10"/>
        <v>150.7004829770388</v>
      </c>
      <c r="J40" s="646">
        <f t="shared" si="8"/>
        <v>7.9446064139941694E-2</v>
      </c>
      <c r="K40" s="646">
        <f t="shared" si="11"/>
        <v>0.72348535233570876</v>
      </c>
    </row>
    <row r="41" spans="1:11">
      <c r="A41" s="512">
        <f>Bonus!A62</f>
        <v>52.871299999999998</v>
      </c>
      <c r="B41" t="str">
        <f>Bonus!B62</f>
        <v>City of Visalia - Remove &amp; Replace Chain and Flight Mechanic</v>
      </c>
      <c r="D41" s="100">
        <f>Bonus!C62</f>
        <v>218842</v>
      </c>
      <c r="E41" s="100">
        <f>Bonus!I62</f>
        <v>927.5</v>
      </c>
      <c r="F41" s="100">
        <f t="shared" si="9"/>
        <v>217914.5</v>
      </c>
      <c r="G41" s="233">
        <f>Bonus!E62</f>
        <v>28403</v>
      </c>
      <c r="H41" s="100">
        <f>Bonus!H62</f>
        <v>0</v>
      </c>
      <c r="I41" s="100">
        <f t="shared" si="10"/>
        <v>28403</v>
      </c>
      <c r="J41" s="646">
        <f t="shared" si="8"/>
        <v>0.12978770071558476</v>
      </c>
      <c r="K41" s="646">
        <f t="shared" si="11"/>
        <v>4.2382175268001572E-3</v>
      </c>
    </row>
    <row r="42" spans="1:11">
      <c r="A42" s="512">
        <f>Bonus!A63</f>
        <v>52.871400000000001</v>
      </c>
      <c r="B42" t="str">
        <f>Bonus!B63</f>
        <v>New England Sheet Metal and Mechanical Co. - VCH Digging Water Line T&amp;M</v>
      </c>
      <c r="D42" s="100">
        <f>Bonus!C63</f>
        <v>5084.9399999999996</v>
      </c>
      <c r="E42" s="100">
        <f>Bonus!I63</f>
        <v>5084.9399999999996</v>
      </c>
      <c r="F42" s="100">
        <f t="shared" si="9"/>
        <v>0</v>
      </c>
      <c r="G42" s="233">
        <f>Bonus!E63</f>
        <v>619.32999999999993</v>
      </c>
      <c r="H42" s="100">
        <f>Bonus!H63</f>
        <v>619.32999999999993</v>
      </c>
      <c r="I42" s="100">
        <f t="shared" si="10"/>
        <v>0</v>
      </c>
      <c r="J42" s="647">
        <f t="shared" si="8"/>
        <v>0.12179691402455092</v>
      </c>
      <c r="K42" s="647">
        <f t="shared" si="11"/>
        <v>1</v>
      </c>
    </row>
    <row r="43" spans="1:11">
      <c r="A43" s="513"/>
      <c r="B43" s="514" t="s">
        <v>558</v>
      </c>
      <c r="C43" s="514"/>
      <c r="D43" s="234">
        <f t="shared" ref="D43:I43" si="12">SUM(D23:D42)</f>
        <v>120293584.59</v>
      </c>
      <c r="E43" s="234">
        <f t="shared" si="12"/>
        <v>95993750.613488436</v>
      </c>
      <c r="F43" s="234">
        <f t="shared" si="12"/>
        <v>24299833.976511531</v>
      </c>
      <c r="G43" s="234">
        <f t="shared" si="12"/>
        <v>7848188.3599999994</v>
      </c>
      <c r="H43" s="234">
        <f t="shared" si="12"/>
        <v>6940608.7634884585</v>
      </c>
      <c r="I43" s="234">
        <f t="shared" si="12"/>
        <v>907579.59651154082</v>
      </c>
      <c r="J43" s="646">
        <f>G43/D43</f>
        <v>6.5241952733798736E-2</v>
      </c>
      <c r="K43" s="646">
        <f t="shared" si="11"/>
        <v>0.79799559503249173</v>
      </c>
    </row>
    <row r="44" spans="1:11" ht="11.25" customHeight="1">
      <c r="A44" s="512"/>
      <c r="G44" s="233"/>
    </row>
    <row r="45" spans="1:11">
      <c r="A45" s="512">
        <f>Bonus!A107</f>
        <v>53.200699999999998</v>
      </c>
      <c r="B45" t="str">
        <f>Bonus!B107</f>
        <v>Union Sanitary Dist. - Phase 1B Secondary Clarifiers</v>
      </c>
      <c r="D45" s="515">
        <f>Bonus!C107</f>
        <v>324530134</v>
      </c>
      <c r="E45" s="515">
        <f>Bonus!I107</f>
        <v>404852.16</v>
      </c>
      <c r="F45" s="515">
        <f t="shared" ref="F45" si="13">D45-E45</f>
        <v>324125281.83999997</v>
      </c>
      <c r="G45" s="516">
        <f>Bonus!E107</f>
        <v>33000000</v>
      </c>
      <c r="H45" s="515">
        <f>Bonus!H107</f>
        <v>0</v>
      </c>
      <c r="I45" s="515">
        <f t="shared" ref="I45" si="14">+G45-H45</f>
        <v>33000000</v>
      </c>
      <c r="J45" s="647">
        <f>G45/D45</f>
        <v>0.10168547244984036</v>
      </c>
      <c r="K45" s="647">
        <f>E45/D45</f>
        <v>1.2475025200587382E-3</v>
      </c>
    </row>
    <row r="46" spans="1:11">
      <c r="A46" s="513"/>
      <c r="B46" s="514" t="s">
        <v>559</v>
      </c>
      <c r="C46" s="514"/>
      <c r="D46" s="234">
        <f t="shared" ref="D46:I46" si="15">SUM(D45:D45)</f>
        <v>324530134</v>
      </c>
      <c r="E46" s="234">
        <f t="shared" si="15"/>
        <v>404852.16</v>
      </c>
      <c r="F46" s="234">
        <f t="shared" si="15"/>
        <v>324125281.83999997</v>
      </c>
      <c r="G46" s="234">
        <f t="shared" si="15"/>
        <v>33000000</v>
      </c>
      <c r="H46" s="234">
        <f t="shared" si="15"/>
        <v>0</v>
      </c>
      <c r="I46" s="234">
        <f t="shared" si="15"/>
        <v>33000000</v>
      </c>
      <c r="J46" s="646">
        <f>G46/D46</f>
        <v>0.10168547244984036</v>
      </c>
      <c r="K46" s="646">
        <f>E46/D46</f>
        <v>1.2475025200587382E-3</v>
      </c>
    </row>
    <row r="47" spans="1:11" ht="11.25" customHeight="1">
      <c r="A47" s="512"/>
      <c r="G47" s="233"/>
    </row>
    <row r="48" spans="1:11">
      <c r="A48" s="512">
        <f>Bonus!A120</f>
        <v>54.903300000000002</v>
      </c>
      <c r="B48" t="str">
        <f>Bonus!B120</f>
        <v>Semitropic WSD - Stored Water Recovery Unit Phase 2A, Amendment 8</v>
      </c>
      <c r="D48" s="100">
        <f>Bonus!C120</f>
        <v>118278.58</v>
      </c>
      <c r="E48" s="100">
        <f>Bonus!I120</f>
        <v>118278.58</v>
      </c>
      <c r="F48" s="100">
        <f t="shared" ref="F48" si="16">D48-E48</f>
        <v>0</v>
      </c>
      <c r="G48" s="233">
        <f>Bonus!E120</f>
        <v>13728.309999999998</v>
      </c>
      <c r="H48" s="100">
        <f>Bonus!H120</f>
        <v>13728.309999999998</v>
      </c>
      <c r="I48" s="100">
        <f t="shared" ref="I48" si="17">+G48-H48</f>
        <v>0</v>
      </c>
      <c r="J48" s="646">
        <f t="shared" ref="J48:J79" si="18">G48/D48</f>
        <v>0.11606759228932235</v>
      </c>
      <c r="K48" s="646">
        <f t="shared" ref="K48:K79" si="19">E48/D48</f>
        <v>1</v>
      </c>
    </row>
    <row r="49" spans="1:11">
      <c r="A49" s="512">
        <f>Bonus!A121</f>
        <v>54.913499999999999</v>
      </c>
      <c r="B49" t="str">
        <f>Bonus!B121</f>
        <v>Calif. Rail Bldrs LLC - North Kern WSD Canal 9-22 Relocation Project</v>
      </c>
      <c r="D49" s="100">
        <f>Bonus!C121</f>
        <v>9470658.6199999992</v>
      </c>
      <c r="E49" s="100">
        <f>Bonus!I121</f>
        <v>9470658.6199999992</v>
      </c>
      <c r="F49" s="100">
        <f t="shared" ref="F49:F80" si="20">D49-E49</f>
        <v>0</v>
      </c>
      <c r="G49" s="233">
        <f>Bonus!E121</f>
        <v>419706.75999999978</v>
      </c>
      <c r="H49" s="100">
        <f>Bonus!H121</f>
        <v>419706.75999999978</v>
      </c>
      <c r="I49" s="100">
        <f t="shared" ref="I49:I80" si="21">+G49-H49</f>
        <v>0</v>
      </c>
      <c r="J49" s="646">
        <f t="shared" si="18"/>
        <v>4.431653349996896E-2</v>
      </c>
      <c r="K49" s="646">
        <f t="shared" si="19"/>
        <v>1</v>
      </c>
    </row>
    <row r="50" spans="1:11">
      <c r="A50" s="512">
        <f>Bonus!A122</f>
        <v>54.925699999999999</v>
      </c>
      <c r="B50" t="str">
        <f>Bonus!B122</f>
        <v>City of Guadalupe - Highway 1 Lift Station</v>
      </c>
      <c r="D50" s="100">
        <f>Bonus!C122</f>
        <v>1471328</v>
      </c>
      <c r="E50" s="100">
        <f>Bonus!I122</f>
        <v>786258.4621310106</v>
      </c>
      <c r="F50" s="100">
        <f t="shared" si="20"/>
        <v>685069.5378689894</v>
      </c>
      <c r="G50" s="233">
        <f>Bonus!E122</f>
        <v>45000</v>
      </c>
      <c r="H50" s="100">
        <f>Bonus!H122</f>
        <v>24047.41213101054</v>
      </c>
      <c r="I50" s="100">
        <f t="shared" si="21"/>
        <v>20952.58786898946</v>
      </c>
      <c r="J50" s="646">
        <f t="shared" si="18"/>
        <v>3.0584614715413558E-2</v>
      </c>
      <c r="K50" s="646">
        <f t="shared" si="19"/>
        <v>0.5343869362446787</v>
      </c>
    </row>
    <row r="51" spans="1:11">
      <c r="A51" s="512">
        <f>Bonus!A123</f>
        <v>54.9268</v>
      </c>
      <c r="B51" t="str">
        <f>Bonus!B123</f>
        <v>Semitropic Water Storage Dist. - Amendment No. 23 Raw Water Processing Plant Pipeline Replacement</v>
      </c>
      <c r="D51" s="100">
        <f>Bonus!C123</f>
        <v>949567.99</v>
      </c>
      <c r="E51" s="100">
        <f>Bonus!I123</f>
        <v>909648.28</v>
      </c>
      <c r="F51" s="100">
        <f t="shared" si="20"/>
        <v>39919.709999999963</v>
      </c>
      <c r="G51" s="233">
        <f>Bonus!E123</f>
        <v>65000</v>
      </c>
      <c r="H51" s="100">
        <f>Bonus!H123</f>
        <v>65000</v>
      </c>
      <c r="I51" s="100">
        <f t="shared" si="21"/>
        <v>0</v>
      </c>
      <c r="J51" s="646">
        <f t="shared" si="18"/>
        <v>6.8452181080788113E-2</v>
      </c>
      <c r="K51" s="646">
        <f t="shared" si="19"/>
        <v>0.95796013511365319</v>
      </c>
    </row>
    <row r="52" spans="1:11">
      <c r="A52" s="512">
        <f>Bonus!A124</f>
        <v>54.926900000000003</v>
      </c>
      <c r="B52" t="str">
        <f>Bonus!B124</f>
        <v>Semitropic Water Storage Dist. - Design &amp; Construction of the Central TCP Facility-Phase 1</v>
      </c>
      <c r="D52" s="100">
        <f>Bonus!C124</f>
        <v>625819.17000000004</v>
      </c>
      <c r="E52" s="100">
        <f>Bonus!I124</f>
        <v>584066.79</v>
      </c>
      <c r="F52" s="100">
        <f t="shared" si="20"/>
        <v>41752.380000000005</v>
      </c>
      <c r="G52" s="233">
        <f>Bonus!E124</f>
        <v>34249.050000000003</v>
      </c>
      <c r="H52" s="100">
        <f>Bonus!H124</f>
        <v>34249.050000000047</v>
      </c>
      <c r="I52" s="100">
        <f t="shared" si="21"/>
        <v>0</v>
      </c>
      <c r="J52" s="646">
        <f t="shared" si="18"/>
        <v>5.4726751179577961E-2</v>
      </c>
      <c r="K52" s="646">
        <f t="shared" si="19"/>
        <v>0.93328363527119185</v>
      </c>
    </row>
    <row r="53" spans="1:11">
      <c r="A53" s="512">
        <f>Bonus!A125</f>
        <v>54.9285</v>
      </c>
      <c r="B53" t="str">
        <f>Bonus!B125</f>
        <v>Semitropic Water Storage Dist. - Emergency Radial Arm Gate Removal and Replacement</v>
      </c>
      <c r="D53" s="100">
        <f>Bonus!C125</f>
        <v>462022</v>
      </c>
      <c r="E53" s="100">
        <f>Bonus!I125</f>
        <v>373583.56479719502</v>
      </c>
      <c r="F53" s="100">
        <f t="shared" si="20"/>
        <v>88438.435202804976</v>
      </c>
      <c r="G53" s="233">
        <f>Bonus!E125</f>
        <v>75000</v>
      </c>
      <c r="H53" s="100">
        <f>Bonus!H125</f>
        <v>60643.794797194991</v>
      </c>
      <c r="I53" s="100">
        <f t="shared" si="21"/>
        <v>14356.205202805009</v>
      </c>
      <c r="J53" s="646">
        <f t="shared" si="18"/>
        <v>0.16232993234088419</v>
      </c>
      <c r="K53" s="646">
        <f t="shared" si="19"/>
        <v>0.80858393062926659</v>
      </c>
    </row>
    <row r="54" spans="1:11">
      <c r="A54" s="512">
        <f>Bonus!A126</f>
        <v>54.9313</v>
      </c>
      <c r="B54" t="str">
        <f>Bonus!B126</f>
        <v>Granite Construction Co. - Granite Chumash Camp 4 Infrastructure Project</v>
      </c>
      <c r="D54" s="100">
        <f>Bonus!C126</f>
        <v>7886885.04</v>
      </c>
      <c r="E54" s="100">
        <f>Bonus!I126</f>
        <v>7396392.388945316</v>
      </c>
      <c r="F54" s="100">
        <f t="shared" si="20"/>
        <v>490492.65105468407</v>
      </c>
      <c r="G54" s="233">
        <f>Bonus!E126</f>
        <v>1010000</v>
      </c>
      <c r="H54" s="100">
        <f>Bonus!H126</f>
        <v>947187.16894531657</v>
      </c>
      <c r="I54" s="100">
        <f t="shared" si="21"/>
        <v>62812.831054683425</v>
      </c>
      <c r="J54" s="646">
        <f t="shared" si="18"/>
        <v>0.12806069758562119</v>
      </c>
      <c r="K54" s="646">
        <f t="shared" si="19"/>
        <v>0.93780907816367964</v>
      </c>
    </row>
    <row r="55" spans="1:11">
      <c r="A55" s="512">
        <f>Bonus!A127</f>
        <v>54.933</v>
      </c>
      <c r="B55" t="str">
        <f>Bonus!B127</f>
        <v>City of Bakersfield Public Works - Wastewater Treatment Plant No. 3 Septage Processing Unit Rep</v>
      </c>
      <c r="D55" s="100">
        <f>Bonus!C127</f>
        <v>324900</v>
      </c>
      <c r="E55" s="100">
        <f>Bonus!I127</f>
        <v>323400.76943255286</v>
      </c>
      <c r="F55" s="100">
        <f t="shared" si="20"/>
        <v>1499.2305674471427</v>
      </c>
      <c r="G55" s="233">
        <f>Bonus!E127</f>
        <v>17259</v>
      </c>
      <c r="H55" s="100">
        <f>Bonus!H127</f>
        <v>17179.359432552876</v>
      </c>
      <c r="I55" s="100">
        <f t="shared" si="21"/>
        <v>79.64056744712434</v>
      </c>
      <c r="J55" s="646">
        <f t="shared" si="18"/>
        <v>5.3120960295475528E-2</v>
      </c>
      <c r="K55" s="646">
        <f t="shared" si="19"/>
        <v>0.99538556304263726</v>
      </c>
    </row>
    <row r="56" spans="1:11">
      <c r="A56" s="512">
        <f>Bonus!A128</f>
        <v>54.933599999999998</v>
      </c>
      <c r="B56" t="str">
        <f>Bonus!B128</f>
        <v>Palmdale Water Dist. - Pure Water AV - Demonstration Facility</v>
      </c>
      <c r="D56" s="100">
        <f>Bonus!C128</f>
        <v>25191176.640000001</v>
      </c>
      <c r="E56" s="100">
        <f>Bonus!I128</f>
        <v>13359053.412944857</v>
      </c>
      <c r="F56" s="100">
        <f t="shared" si="20"/>
        <v>11832123.227055144</v>
      </c>
      <c r="G56" s="233">
        <f>Bonus!E128</f>
        <v>1920000</v>
      </c>
      <c r="H56" s="100">
        <f>Bonus!H128</f>
        <v>1018189.1429448578</v>
      </c>
      <c r="I56" s="100">
        <f t="shared" si="21"/>
        <v>901810.85705514217</v>
      </c>
      <c r="J56" s="646">
        <f t="shared" si="18"/>
        <v>7.6217162359590362E-2</v>
      </c>
      <c r="K56" s="646">
        <f t="shared" si="19"/>
        <v>0.53030684528378014</v>
      </c>
    </row>
    <row r="57" spans="1:11">
      <c r="A57" s="512">
        <f>Bonus!A129</f>
        <v>54.933700000000002</v>
      </c>
      <c r="B57" t="str">
        <f>Bonus!B129</f>
        <v>City of Bakersfield Public Works - WWTP 3 Digester Gas Booster Blower Replacement Project</v>
      </c>
      <c r="D57" s="100">
        <f>Bonus!C129</f>
        <v>4104848</v>
      </c>
      <c r="E57" s="100">
        <f>Bonus!I129</f>
        <v>1570273.3156022844</v>
      </c>
      <c r="F57" s="100">
        <f t="shared" si="20"/>
        <v>2534574.6843977156</v>
      </c>
      <c r="G57" s="233">
        <f>Bonus!E129</f>
        <v>160000</v>
      </c>
      <c r="H57" s="100">
        <f>Bonus!H129</f>
        <v>61206.585602284293</v>
      </c>
      <c r="I57" s="100">
        <f t="shared" si="21"/>
        <v>98793.414397715707</v>
      </c>
      <c r="J57" s="646">
        <f t="shared" si="18"/>
        <v>3.8978300779955802E-2</v>
      </c>
      <c r="K57" s="646">
        <f t="shared" si="19"/>
        <v>0.38254116001427685</v>
      </c>
    </row>
    <row r="58" spans="1:11">
      <c r="A58" s="512">
        <f>Bonus!A130</f>
        <v>54.9343</v>
      </c>
      <c r="B58" t="str">
        <f>Bonus!B130</f>
        <v>Tehachapi-Cummings County  Water District - DB – Replace Diesel Engines PP2 and PP3</v>
      </c>
      <c r="D58" s="100">
        <f>Bonus!C130</f>
        <v>6881300</v>
      </c>
      <c r="E58" s="100">
        <f>Bonus!I130</f>
        <v>3929247.3572139838</v>
      </c>
      <c r="F58" s="100">
        <f t="shared" si="20"/>
        <v>2952052.6427860162</v>
      </c>
      <c r="G58" s="233">
        <f>Bonus!E130</f>
        <v>900000</v>
      </c>
      <c r="H58" s="100">
        <f>Bonus!H130</f>
        <v>513903.27721398353</v>
      </c>
      <c r="I58" s="100">
        <f t="shared" si="21"/>
        <v>386096.72278601647</v>
      </c>
      <c r="J58" s="646">
        <f t="shared" si="18"/>
        <v>0.13078924040515599</v>
      </c>
      <c r="K58" s="646">
        <f t="shared" si="19"/>
        <v>0.57100364134887072</v>
      </c>
    </row>
    <row r="59" spans="1:11">
      <c r="A59" s="512">
        <f>Bonus!A131</f>
        <v>54.935600000000001</v>
      </c>
      <c r="B59" t="str">
        <f>Bonus!B131</f>
        <v>North of River Sanitary Dist. No. 1 - WWTP Digester Gas Scrubber Vessel and Effluent Storage Pond</v>
      </c>
      <c r="D59" s="100">
        <f>Bonus!C131</f>
        <v>1298330</v>
      </c>
      <c r="E59" s="100">
        <f>Bonus!I131</f>
        <v>1102799.0114717572</v>
      </c>
      <c r="F59" s="100">
        <f t="shared" si="20"/>
        <v>195530.9885282428</v>
      </c>
      <c r="G59" s="233">
        <f>Bonus!E131</f>
        <v>385000</v>
      </c>
      <c r="H59" s="100">
        <f>Bonus!H131</f>
        <v>327018.2614717572</v>
      </c>
      <c r="I59" s="100">
        <f t="shared" si="21"/>
        <v>57981.7385282428</v>
      </c>
      <c r="J59" s="646">
        <f t="shared" si="18"/>
        <v>0.2965347792934</v>
      </c>
      <c r="K59" s="646">
        <f t="shared" si="19"/>
        <v>0.8493980817448239</v>
      </c>
    </row>
    <row r="60" spans="1:11">
      <c r="A60" s="512">
        <f>Bonus!A132</f>
        <v>54.936599999999999</v>
      </c>
      <c r="B60" t="str">
        <f>Bonus!B132</f>
        <v>City of Pismo Beach Community Development Dept. - WWTP Clarifier Equipment Replacement</v>
      </c>
      <c r="D60" s="100">
        <f>Bonus!C132</f>
        <v>1230131</v>
      </c>
      <c r="E60" s="100">
        <f>Bonus!I132</f>
        <v>1051430.0181047483</v>
      </c>
      <c r="F60" s="100">
        <f t="shared" si="20"/>
        <v>178700.98189525167</v>
      </c>
      <c r="G60" s="233">
        <f>Bonus!E132</f>
        <v>150000</v>
      </c>
      <c r="H60" s="100">
        <f>Bonus!H132</f>
        <v>128209.51810474839</v>
      </c>
      <c r="I60" s="100">
        <f t="shared" si="21"/>
        <v>21790.481895251607</v>
      </c>
      <c r="J60" s="646">
        <f t="shared" si="18"/>
        <v>0.1219382325947399</v>
      </c>
      <c r="K60" s="646">
        <f t="shared" si="19"/>
        <v>0.85473012069832266</v>
      </c>
    </row>
    <row r="61" spans="1:11">
      <c r="A61" s="512">
        <f>Bonus!A133</f>
        <v>54.936900000000001</v>
      </c>
      <c r="B61" t="str">
        <f>Bonus!B133</f>
        <v>California Water Service Co. - PFAS Treatment Program Project</v>
      </c>
      <c r="D61" s="100">
        <f>Bonus!C133</f>
        <v>28550624.699999999</v>
      </c>
      <c r="E61" s="100">
        <f>Bonus!I133</f>
        <v>2787466.66</v>
      </c>
      <c r="F61" s="100">
        <f t="shared" si="20"/>
        <v>25763158.039999999</v>
      </c>
      <c r="G61" s="233">
        <f>Bonus!E133</f>
        <v>2370843</v>
      </c>
      <c r="H61" s="100">
        <f>Bonus!H133</f>
        <v>0</v>
      </c>
      <c r="I61" s="100">
        <f t="shared" si="21"/>
        <v>2370843</v>
      </c>
      <c r="J61" s="646">
        <f t="shared" si="18"/>
        <v>8.3039969349602366E-2</v>
      </c>
      <c r="K61" s="646">
        <f t="shared" si="19"/>
        <v>9.763242273294287E-2</v>
      </c>
    </row>
    <row r="62" spans="1:11">
      <c r="A62" s="512">
        <f>Bonus!A134</f>
        <v>54.9373</v>
      </c>
      <c r="B62" t="str">
        <f>Bonus!B134</f>
        <v>City of Guadalupe - Guadalupe Pioneer Lift Station Replacement</v>
      </c>
      <c r="D62" s="100">
        <f>Bonus!C134</f>
        <v>1524766</v>
      </c>
      <c r="E62" s="100">
        <f>Bonus!I134</f>
        <v>50303.97</v>
      </c>
      <c r="F62" s="100">
        <f t="shared" si="20"/>
        <v>1474462.03</v>
      </c>
      <c r="G62" s="233">
        <f>Bonus!E134</f>
        <v>131440</v>
      </c>
      <c r="H62" s="100">
        <f>Bonus!H134</f>
        <v>0</v>
      </c>
      <c r="I62" s="100">
        <f t="shared" si="21"/>
        <v>131440</v>
      </c>
      <c r="J62" s="646">
        <f t="shared" si="18"/>
        <v>8.620339120888057E-2</v>
      </c>
      <c r="K62" s="646">
        <f t="shared" si="19"/>
        <v>3.2991272103391603E-2</v>
      </c>
    </row>
    <row r="63" spans="1:11">
      <c r="A63" s="512">
        <f>Bonus!A135</f>
        <v>54.938899999999997</v>
      </c>
      <c r="B63" t="str">
        <f>Bonus!B135</f>
        <v>City of Atascadero - Atascadero Lift Stations 4 &amp; 11 Rehab Project</v>
      </c>
      <c r="D63" s="100">
        <f>Bonus!C135</f>
        <v>299780</v>
      </c>
      <c r="E63" s="100">
        <f>Bonus!I135</f>
        <v>296891.84999999998</v>
      </c>
      <c r="F63" s="100">
        <f t="shared" si="20"/>
        <v>2888.1500000000233</v>
      </c>
      <c r="G63" s="233">
        <f>Bonus!E135</f>
        <v>-15000</v>
      </c>
      <c r="H63" s="100">
        <f>Bonus!H135</f>
        <v>-15000</v>
      </c>
      <c r="I63" s="100">
        <f t="shared" si="21"/>
        <v>0</v>
      </c>
      <c r="J63" s="646">
        <f t="shared" si="18"/>
        <v>-5.0036693575288546E-2</v>
      </c>
      <c r="K63" s="646">
        <f t="shared" si="19"/>
        <v>0.9903657682300353</v>
      </c>
    </row>
    <row r="64" spans="1:11">
      <c r="A64" s="512">
        <f>Bonus!A136</f>
        <v>54.939100000000003</v>
      </c>
      <c r="B64" t="str">
        <f>Bonus!B136</f>
        <v>Arvin Edison Water Storage Dist. - HQ Concrete R&amp;R</v>
      </c>
      <c r="D64" s="100">
        <f>Bonus!C136</f>
        <v>532604.56999999995</v>
      </c>
      <c r="E64" s="100">
        <f>Bonus!I136</f>
        <v>532604.56999999995</v>
      </c>
      <c r="F64" s="100">
        <f t="shared" si="20"/>
        <v>0</v>
      </c>
      <c r="G64" s="233">
        <f>Bonus!E136</f>
        <v>20547.229999999923</v>
      </c>
      <c r="H64" s="100">
        <f>Bonus!H136</f>
        <v>20547.229999999923</v>
      </c>
      <c r="I64" s="100">
        <f t="shared" si="21"/>
        <v>0</v>
      </c>
      <c r="J64" s="646">
        <f t="shared" si="18"/>
        <v>3.8578771488948969E-2</v>
      </c>
      <c r="K64" s="646">
        <f t="shared" si="19"/>
        <v>1</v>
      </c>
    </row>
    <row r="65" spans="1:11">
      <c r="A65" s="512">
        <f>Bonus!A137</f>
        <v>54.939500000000002</v>
      </c>
      <c r="B65" t="str">
        <f>Bonus!B137</f>
        <v>Semitropic Water Storage Dist. - Pond Poso Pumping Plant Siphon Pipe Replacement Project</v>
      </c>
      <c r="D65" s="100">
        <f>Bonus!C137</f>
        <v>1795652.66</v>
      </c>
      <c r="E65" s="100">
        <f>Bonus!I137</f>
        <v>1430881.5112002406</v>
      </c>
      <c r="F65" s="100">
        <f t="shared" si="20"/>
        <v>364771.14879975934</v>
      </c>
      <c r="G65" s="233">
        <f>Bonus!E137</f>
        <v>102000</v>
      </c>
      <c r="H65" s="100">
        <f>Bonus!H137</f>
        <v>81279.591200240553</v>
      </c>
      <c r="I65" s="100">
        <f t="shared" si="21"/>
        <v>20720.408799759447</v>
      </c>
      <c r="J65" s="646">
        <f t="shared" si="18"/>
        <v>5.6803858715081347E-2</v>
      </c>
      <c r="K65" s="646">
        <f t="shared" si="19"/>
        <v>0.79685873725726031</v>
      </c>
    </row>
    <row r="66" spans="1:11">
      <c r="A66" s="512">
        <f>Bonus!A138</f>
        <v>54.939599999999999</v>
      </c>
      <c r="B66" t="str">
        <f>Bonus!B138</f>
        <v>Mojave Groundwater Storage LLC - Mojave Water Bank Northern Pipeline Facilities Construction</v>
      </c>
      <c r="D66" s="100">
        <f>Bonus!C138</f>
        <v>157746.09</v>
      </c>
      <c r="E66" s="100">
        <f>Bonus!I138</f>
        <v>157746.09</v>
      </c>
      <c r="F66" s="100">
        <f t="shared" si="20"/>
        <v>0</v>
      </c>
      <c r="G66" s="233">
        <f>Bonus!E138</f>
        <v>0</v>
      </c>
      <c r="H66" s="100">
        <f>Bonus!H138</f>
        <v>0</v>
      </c>
      <c r="I66" s="100">
        <f t="shared" si="21"/>
        <v>0</v>
      </c>
      <c r="J66" s="646">
        <f t="shared" si="18"/>
        <v>0</v>
      </c>
      <c r="K66" s="646">
        <f t="shared" si="19"/>
        <v>1</v>
      </c>
    </row>
    <row r="67" spans="1:11">
      <c r="A67" s="512">
        <f>Bonus!A139</f>
        <v>54.939700000000002</v>
      </c>
      <c r="B67" t="str">
        <f>Bonus!B139</f>
        <v>Cawelo Water Dist. - Friant-Kern Canal Pump Station</v>
      </c>
      <c r="D67" s="100">
        <f>Bonus!C139</f>
        <v>3690645</v>
      </c>
      <c r="E67" s="100">
        <f>Bonus!I139</f>
        <v>1126646.6940919647</v>
      </c>
      <c r="F67" s="100">
        <f t="shared" si="20"/>
        <v>2563998.3059080355</v>
      </c>
      <c r="G67" s="233">
        <f>Bonus!E139</f>
        <v>300000</v>
      </c>
      <c r="H67" s="100">
        <f>Bonus!H139</f>
        <v>91581.284091964801</v>
      </c>
      <c r="I67" s="100">
        <f t="shared" si="21"/>
        <v>208418.7159080352</v>
      </c>
      <c r="J67" s="646">
        <f t="shared" si="18"/>
        <v>8.1286604374032179E-2</v>
      </c>
      <c r="K67" s="646">
        <f t="shared" si="19"/>
        <v>0.305270946973216</v>
      </c>
    </row>
    <row r="68" spans="1:11">
      <c r="A68" s="512">
        <f>Bonus!A140</f>
        <v>54.940300000000001</v>
      </c>
      <c r="B68" t="str">
        <f>Bonus!B140</f>
        <v>Lost Hills Utility Dist. - WTP Improvements</v>
      </c>
      <c r="D68" s="100">
        <f>Bonus!C140</f>
        <v>381600</v>
      </c>
      <c r="E68" s="100">
        <f>Bonus!I140</f>
        <v>145602.24910307868</v>
      </c>
      <c r="F68" s="100">
        <f t="shared" si="20"/>
        <v>235997.75089692132</v>
      </c>
      <c r="G68" s="233">
        <f>Bonus!E140</f>
        <v>43499</v>
      </c>
      <c r="H68" s="100">
        <f>Bonus!H140</f>
        <v>16597.359103078667</v>
      </c>
      <c r="I68" s="100">
        <f t="shared" si="21"/>
        <v>26901.640896921333</v>
      </c>
      <c r="J68" s="646">
        <f t="shared" si="18"/>
        <v>0.11399109014675052</v>
      </c>
      <c r="K68" s="646">
        <f t="shared" si="19"/>
        <v>0.38155725655943051</v>
      </c>
    </row>
    <row r="69" spans="1:11">
      <c r="A69" s="512">
        <f>Bonus!A141</f>
        <v>54.940399999999997</v>
      </c>
      <c r="B69" t="str">
        <f>Bonus!B141</f>
        <v>Cawelo Water Dist. - Reuse of Produced Water</v>
      </c>
      <c r="D69" s="100">
        <f>Bonus!C141</f>
        <v>3720000</v>
      </c>
      <c r="E69" s="100">
        <f>Bonus!I141</f>
        <v>2011822.3122046348</v>
      </c>
      <c r="F69" s="100">
        <f t="shared" si="20"/>
        <v>1708177.6877953652</v>
      </c>
      <c r="G69" s="233">
        <f>Bonus!E141</f>
        <v>134608</v>
      </c>
      <c r="H69" s="100">
        <f>Bonus!H141</f>
        <v>72797.68220463481</v>
      </c>
      <c r="I69" s="100">
        <f t="shared" si="21"/>
        <v>61810.31779536519</v>
      </c>
      <c r="J69" s="646">
        <f t="shared" si="18"/>
        <v>3.6184946236559143E-2</v>
      </c>
      <c r="K69" s="646">
        <f t="shared" si="19"/>
        <v>0.54081244951737495</v>
      </c>
    </row>
    <row r="70" spans="1:11">
      <c r="A70" s="512">
        <f>Bonus!A142</f>
        <v>54.9405</v>
      </c>
      <c r="B70" t="str">
        <f>Bonus!B142</f>
        <v>Semitropic Water Storage Dist. - Pump Platform Replacement Project</v>
      </c>
      <c r="D70" s="100">
        <f>Bonus!C142</f>
        <v>942000</v>
      </c>
      <c r="E70" s="100">
        <f>Bonus!I142</f>
        <v>670300.47133004933</v>
      </c>
      <c r="F70" s="100">
        <f t="shared" si="20"/>
        <v>271699.52866995067</v>
      </c>
      <c r="G70" s="233">
        <f>Bonus!E142</f>
        <v>130000</v>
      </c>
      <c r="H70" s="100">
        <f>Bonus!H142</f>
        <v>92504.31133004927</v>
      </c>
      <c r="I70" s="100">
        <f t="shared" si="21"/>
        <v>37495.68866995073</v>
      </c>
      <c r="J70" s="646">
        <f t="shared" si="18"/>
        <v>0.13800424628450106</v>
      </c>
      <c r="K70" s="646">
        <f t="shared" si="19"/>
        <v>0.71157162561576359</v>
      </c>
    </row>
    <row r="71" spans="1:11">
      <c r="A71" s="512">
        <f>Bonus!A143</f>
        <v>54.940600000000003</v>
      </c>
      <c r="B71" t="str">
        <f>Bonus!B143</f>
        <v>California Water Service Co. - Emergency PACL leak repair</v>
      </c>
      <c r="D71" s="100">
        <f>Bonus!C143</f>
        <v>1120.6500000000001</v>
      </c>
      <c r="E71" s="100">
        <f>Bonus!I143</f>
        <v>1120.6500000000001</v>
      </c>
      <c r="F71" s="100">
        <f t="shared" si="20"/>
        <v>0</v>
      </c>
      <c r="G71" s="233">
        <f>Bonus!E143</f>
        <v>0</v>
      </c>
      <c r="H71" s="100">
        <f>Bonus!H143</f>
        <v>0</v>
      </c>
      <c r="I71" s="100">
        <f t="shared" si="21"/>
        <v>0</v>
      </c>
      <c r="J71" s="646">
        <f t="shared" si="18"/>
        <v>0</v>
      </c>
      <c r="K71" s="646">
        <f t="shared" si="19"/>
        <v>1</v>
      </c>
    </row>
    <row r="72" spans="1:11">
      <c r="A72" s="512">
        <f>Bonus!A144</f>
        <v>54.940800000000003</v>
      </c>
      <c r="B72" t="str">
        <f>Bonus!B144</f>
        <v>Nipomo Community Service Dist. - Frontage Road Sewer Trunk Line</v>
      </c>
      <c r="D72" s="100">
        <f>Bonus!C144</f>
        <v>3777777</v>
      </c>
      <c r="E72" s="100">
        <f>Bonus!I144</f>
        <v>41652.43</v>
      </c>
      <c r="F72" s="100">
        <f t="shared" si="20"/>
        <v>3736124.57</v>
      </c>
      <c r="G72" s="233">
        <f>Bonus!E144</f>
        <v>240592</v>
      </c>
      <c r="H72" s="100">
        <f>Bonus!H144</f>
        <v>0</v>
      </c>
      <c r="I72" s="100">
        <f t="shared" si="21"/>
        <v>240592</v>
      </c>
      <c r="J72" s="646">
        <f t="shared" si="18"/>
        <v>6.3686130758909276E-2</v>
      </c>
      <c r="K72" s="646">
        <f t="shared" si="19"/>
        <v>1.1025645505279957E-2</v>
      </c>
    </row>
    <row r="73" spans="1:11">
      <c r="A73" s="512">
        <f>Bonus!A145</f>
        <v>54.941099999999999</v>
      </c>
      <c r="B73" t="str">
        <f>Bonus!B145</f>
        <v>Moorefield Construction Inc. - Hard Rock Tejon AEWSD Line Relocation</v>
      </c>
      <c r="D73" s="100">
        <f>Bonus!C145</f>
        <v>103300</v>
      </c>
      <c r="E73" s="100">
        <f>Bonus!I145</f>
        <v>94158.477713920816</v>
      </c>
      <c r="F73" s="100">
        <f t="shared" si="20"/>
        <v>9141.5222860791837</v>
      </c>
      <c r="G73" s="233">
        <f>Bonus!E145</f>
        <v>25000</v>
      </c>
      <c r="H73" s="100">
        <f>Bonus!H145</f>
        <v>22787.627713920818</v>
      </c>
      <c r="I73" s="100">
        <f t="shared" si="21"/>
        <v>2212.3722860791822</v>
      </c>
      <c r="J73" s="646">
        <f t="shared" si="18"/>
        <v>0.2420135527589545</v>
      </c>
      <c r="K73" s="646">
        <f t="shared" si="19"/>
        <v>0.91150510855683264</v>
      </c>
    </row>
    <row r="74" spans="1:11">
      <c r="A74" s="512">
        <f>Bonus!A146</f>
        <v>54.941200000000002</v>
      </c>
      <c r="B74" t="str">
        <f>Bonus!B146</f>
        <v>Arvin Edison Water Storage Dist. - Sycamore Well 39 Earthwork</v>
      </c>
      <c r="D74" s="100">
        <f>Bonus!C146</f>
        <v>116752.04</v>
      </c>
      <c r="E74" s="100">
        <f>Bonus!I146</f>
        <v>116752.04</v>
      </c>
      <c r="F74" s="100">
        <f t="shared" si="20"/>
        <v>0</v>
      </c>
      <c r="G74" s="233">
        <f>Bonus!E146</f>
        <v>1043.1599999999889</v>
      </c>
      <c r="H74" s="100">
        <f>Bonus!H146</f>
        <v>1043.1599999999889</v>
      </c>
      <c r="I74" s="100">
        <f t="shared" si="21"/>
        <v>0</v>
      </c>
      <c r="J74" s="646">
        <f t="shared" si="18"/>
        <v>8.9348331729363281E-3</v>
      </c>
      <c r="K74" s="646">
        <f t="shared" si="19"/>
        <v>1</v>
      </c>
    </row>
    <row r="75" spans="1:11">
      <c r="A75" s="512">
        <f>Bonus!A147</f>
        <v>54.941299999999998</v>
      </c>
      <c r="B75" t="str">
        <f>Bonus!B147</f>
        <v>Arvin Edison Water Storage Dist. - Tejon Well 102 Earthwork</v>
      </c>
      <c r="D75" s="100">
        <f>Bonus!C147</f>
        <v>149366.82999999999</v>
      </c>
      <c r="E75" s="100">
        <f>Bonus!I147</f>
        <v>149366.82999999999</v>
      </c>
      <c r="F75" s="100">
        <f t="shared" si="20"/>
        <v>0</v>
      </c>
      <c r="G75" s="233">
        <f>Bonus!E147</f>
        <v>17228.089999999997</v>
      </c>
      <c r="H75" s="100">
        <f>Bonus!H147</f>
        <v>17228.089999999997</v>
      </c>
      <c r="I75" s="100">
        <f t="shared" si="21"/>
        <v>0</v>
      </c>
      <c r="J75" s="646">
        <f t="shared" si="18"/>
        <v>0.11534080223835505</v>
      </c>
      <c r="K75" s="646">
        <f t="shared" si="19"/>
        <v>1</v>
      </c>
    </row>
    <row r="76" spans="1:11">
      <c r="A76" s="512">
        <f>Bonus!A148</f>
        <v>54.941400000000002</v>
      </c>
      <c r="B76" t="str">
        <f>Bonus!B148</f>
        <v>Cawelo Water Dist. - Cawelo Diversion Structure Rehab</v>
      </c>
      <c r="D76" s="100">
        <f>Bonus!C148</f>
        <v>358674.83</v>
      </c>
      <c r="E76" s="100">
        <f>Bonus!I148</f>
        <v>357415.45629899454</v>
      </c>
      <c r="F76" s="100">
        <f t="shared" si="20"/>
        <v>1259.3737010054756</v>
      </c>
      <c r="G76" s="233">
        <f>Bonus!E148</f>
        <v>20000</v>
      </c>
      <c r="H76" s="100">
        <f>Bonus!H148</f>
        <v>19929.776298994522</v>
      </c>
      <c r="I76" s="100">
        <f t="shared" si="21"/>
        <v>70.223701005477778</v>
      </c>
      <c r="J76" s="646">
        <f t="shared" si="18"/>
        <v>5.5760812655853212E-2</v>
      </c>
      <c r="K76" s="646">
        <f t="shared" si="19"/>
        <v>0.9964888149497263</v>
      </c>
    </row>
    <row r="77" spans="1:11">
      <c r="A77" s="512">
        <f>Bonus!A149</f>
        <v>54.941600000000001</v>
      </c>
      <c r="B77" t="str">
        <f>Bonus!B149</f>
        <v>California Water Service Co. - BK 147 Station Improvements</v>
      </c>
      <c r="D77" s="100">
        <f>Bonus!C149</f>
        <v>1260000</v>
      </c>
      <c r="E77" s="100">
        <f>Bonus!I149</f>
        <v>7257.82</v>
      </c>
      <c r="F77" s="100">
        <f t="shared" si="20"/>
        <v>1252742.18</v>
      </c>
      <c r="G77" s="233">
        <f>Bonus!E149</f>
        <v>127602</v>
      </c>
      <c r="H77" s="100">
        <f>Bonus!H149</f>
        <v>0</v>
      </c>
      <c r="I77" s="100">
        <f t="shared" si="21"/>
        <v>127602</v>
      </c>
      <c r="J77" s="646">
        <f t="shared" si="18"/>
        <v>0.10127142857142857</v>
      </c>
      <c r="K77" s="646">
        <f t="shared" si="19"/>
        <v>5.760174603174603E-3</v>
      </c>
    </row>
    <row r="78" spans="1:11">
      <c r="A78" s="512">
        <f>Bonus!A150</f>
        <v>54.941699999999997</v>
      </c>
      <c r="B78" t="str">
        <f>Bonus!B150</f>
        <v>County of Santa Barbara-Public Works - Laguna WWTP WAS Pipe Modifications</v>
      </c>
      <c r="D78" s="100">
        <f>Bonus!C150</f>
        <v>48439</v>
      </c>
      <c r="E78" s="100">
        <f>Bonus!I150</f>
        <v>2299.41</v>
      </c>
      <c r="F78" s="100">
        <f t="shared" si="20"/>
        <v>46139.59</v>
      </c>
      <c r="G78" s="233">
        <f>Bonus!E150</f>
        <v>5546</v>
      </c>
      <c r="H78" s="100">
        <f>Bonus!H150</f>
        <v>0</v>
      </c>
      <c r="I78" s="100">
        <f t="shared" si="21"/>
        <v>5546</v>
      </c>
      <c r="J78" s="646">
        <f t="shared" si="18"/>
        <v>0.11449451887941535</v>
      </c>
      <c r="K78" s="646">
        <f t="shared" si="19"/>
        <v>4.7470220277049481E-2</v>
      </c>
    </row>
    <row r="79" spans="1:11">
      <c r="A79" s="512">
        <f>Bonus!A151</f>
        <v>54.941800000000001</v>
      </c>
      <c r="B79" t="str">
        <f>Bonus!B151</f>
        <v>GenerateUpcycle - Organics Waste Processing Facility</v>
      </c>
      <c r="D79" s="100">
        <f>Bonus!C151</f>
        <v>15739</v>
      </c>
      <c r="E79" s="100">
        <f>Bonus!I151</f>
        <v>15739</v>
      </c>
      <c r="F79" s="100">
        <f t="shared" si="20"/>
        <v>0</v>
      </c>
      <c r="G79" s="233">
        <f>Bonus!E151</f>
        <v>0</v>
      </c>
      <c r="H79" s="100">
        <f>Bonus!H151</f>
        <v>0</v>
      </c>
      <c r="I79" s="100">
        <f t="shared" si="21"/>
        <v>0</v>
      </c>
      <c r="J79" s="646">
        <f t="shared" si="18"/>
        <v>0</v>
      </c>
      <c r="K79" s="646">
        <f t="shared" si="19"/>
        <v>1</v>
      </c>
    </row>
    <row r="80" spans="1:11">
      <c r="A80" s="512">
        <f>Bonus!A152</f>
        <v>54.942100000000003</v>
      </c>
      <c r="B80" t="str">
        <f>Bonus!B152</f>
        <v>Nipomo Community Service Dist. - Tefft Emergency Pipe Repair</v>
      </c>
      <c r="D80" s="100">
        <f>Bonus!C152</f>
        <v>3703.18</v>
      </c>
      <c r="E80" s="100">
        <f>Bonus!I152</f>
        <v>3703.18</v>
      </c>
      <c r="F80" s="100">
        <f t="shared" si="20"/>
        <v>0</v>
      </c>
      <c r="G80" s="233">
        <f>Bonus!E152</f>
        <v>0</v>
      </c>
      <c r="H80" s="100">
        <f>Bonus!H152</f>
        <v>0</v>
      </c>
      <c r="I80" s="100">
        <f t="shared" si="21"/>
        <v>0</v>
      </c>
      <c r="J80" s="647">
        <f>G80/D80</f>
        <v>0</v>
      </c>
      <c r="K80" s="647">
        <f>E80/D80</f>
        <v>1</v>
      </c>
    </row>
    <row r="81" spans="1:11">
      <c r="A81" s="513"/>
      <c r="B81" s="514" t="s">
        <v>560</v>
      </c>
      <c r="C81" s="514"/>
      <c r="D81" s="234">
        <f t="shared" ref="D81:I81" si="22">SUM(D48:D80)</f>
        <v>107445536.59</v>
      </c>
      <c r="E81" s="234">
        <f t="shared" si="22"/>
        <v>50974822.242586583</v>
      </c>
      <c r="F81" s="234">
        <f t="shared" si="22"/>
        <v>56470714.347413428</v>
      </c>
      <c r="G81" s="234">
        <f t="shared" si="22"/>
        <v>8849891.5999999996</v>
      </c>
      <c r="H81" s="234">
        <f t="shared" si="22"/>
        <v>4051564.7525865901</v>
      </c>
      <c r="I81" s="234">
        <f t="shared" si="22"/>
        <v>4798326.8474134104</v>
      </c>
      <c r="J81" s="646">
        <f>G81/D81</f>
        <v>8.2366302788083073E-2</v>
      </c>
      <c r="K81" s="646">
        <f>E81/D81</f>
        <v>0.47442475379038529</v>
      </c>
    </row>
    <row r="82" spans="1:11">
      <c r="A82" s="512"/>
    </row>
    <row r="83" spans="1:11">
      <c r="A83" s="504" t="s">
        <v>561</v>
      </c>
      <c r="B83" s="505"/>
      <c r="C83" s="505"/>
      <c r="D83" s="506">
        <f t="shared" ref="D83:I83" si="23">D21+D43+D46+D81</f>
        <v>920400789.95000005</v>
      </c>
      <c r="E83" s="506">
        <f t="shared" si="23"/>
        <v>439456384.22327065</v>
      </c>
      <c r="F83" s="506">
        <f t="shared" si="23"/>
        <v>480944405.72672945</v>
      </c>
      <c r="G83" s="506">
        <f t="shared" si="23"/>
        <v>87651534.929999992</v>
      </c>
      <c r="H83" s="506">
        <f t="shared" si="23"/>
        <v>43136524.993270531</v>
      </c>
      <c r="I83" s="506">
        <f t="shared" si="23"/>
        <v>44515009.936729476</v>
      </c>
      <c r="J83" s="648">
        <f>G83/D83</f>
        <v>9.5231920579687449E-2</v>
      </c>
      <c r="K83" s="648">
        <f t="shared" ref="K83" si="24">E83/D83</f>
        <v>0.47746198071727397</v>
      </c>
    </row>
    <row r="84" spans="1:11">
      <c r="A84" s="512"/>
    </row>
    <row r="85" spans="1:11" ht="11.25" customHeight="1">
      <c r="A85" s="512"/>
      <c r="G85" s="233"/>
    </row>
    <row r="86" spans="1:11" ht="12" customHeight="1">
      <c r="A86" s="512">
        <f>Bonus!A223</f>
        <v>55.109000000000002</v>
      </c>
      <c r="B86" t="str">
        <f>Bonus!B223</f>
        <v>LA Dept of Water and Power - Silverlake</v>
      </c>
      <c r="D86" s="100">
        <f>Bonus!C223</f>
        <v>5400000</v>
      </c>
      <c r="E86" s="100">
        <f>Bonus!I223</f>
        <v>5308704.0692307688</v>
      </c>
      <c r="F86" s="100">
        <f>D86-E86</f>
        <v>91295.93076923117</v>
      </c>
      <c r="G86" s="233">
        <f>Bonus!E223</f>
        <v>1500000</v>
      </c>
      <c r="H86" s="100">
        <f>Bonus!H223</f>
        <v>1474640.0192307692</v>
      </c>
      <c r="I86" s="100">
        <f>+G86-H86</f>
        <v>25359.980769230751</v>
      </c>
      <c r="J86" s="646">
        <f t="shared" ref="J86:J97" si="25">G86/D86</f>
        <v>0.27777777777777779</v>
      </c>
      <c r="K86" s="646">
        <f t="shared" ref="K86:K97" si="26">E86/D86</f>
        <v>0.98309334615384603</v>
      </c>
    </row>
    <row r="87" spans="1:11" ht="12.75" customHeight="1">
      <c r="A87" s="512">
        <f>Bonus!A224</f>
        <v>55.119100000000003</v>
      </c>
      <c r="B87" t="str">
        <f>Bonus!B224</f>
        <v>Inland Empire Utilities - IEUA RP-5 Liquids Exp. &amp; Solids Treat. Facility</v>
      </c>
      <c r="D87" s="100">
        <f>Bonus!C224</f>
        <v>341443133.70999998</v>
      </c>
      <c r="E87" s="100">
        <f>Bonus!I224</f>
        <v>302890122.83999997</v>
      </c>
      <c r="F87" s="100">
        <f t="shared" ref="F87:F98" si="27">D87-E87</f>
        <v>38553010.870000005</v>
      </c>
      <c r="G87" s="233">
        <f>Bonus!E224</f>
        <v>3710498</v>
      </c>
      <c r="H87" s="100">
        <f>Bonus!H224</f>
        <v>3710498</v>
      </c>
      <c r="I87" s="100">
        <f t="shared" ref="I87:I98" si="28">+G87-H87</f>
        <v>0</v>
      </c>
      <c r="J87" s="646">
        <f t="shared" si="25"/>
        <v>1.0867103870805792E-2</v>
      </c>
      <c r="K87" s="646">
        <f t="shared" si="26"/>
        <v>0.88708804757296866</v>
      </c>
    </row>
    <row r="88" spans="1:11" ht="12.75" customHeight="1">
      <c r="A88" s="512">
        <f>Bonus!A225</f>
        <v>55.119199999999999</v>
      </c>
      <c r="B88" t="str">
        <f>Bonus!B225</f>
        <v>Inland Empire Utilities - IEUA RP-1 Flare Improvements</v>
      </c>
      <c r="D88" s="100">
        <f>Bonus!C225</f>
        <v>6651803.5300000003</v>
      </c>
      <c r="E88" s="100">
        <f>Bonus!I225</f>
        <v>6643992.6900000004</v>
      </c>
      <c r="F88" s="100">
        <f t="shared" si="27"/>
        <v>7810.839999999851</v>
      </c>
      <c r="G88" s="233">
        <f>Bonus!E225</f>
        <v>250000</v>
      </c>
      <c r="H88" s="100">
        <f>Bonus!H225</f>
        <v>250000</v>
      </c>
      <c r="I88" s="100">
        <f t="shared" si="28"/>
        <v>0</v>
      </c>
      <c r="J88" s="646">
        <f t="shared" si="25"/>
        <v>3.7583791955442793E-2</v>
      </c>
      <c r="K88" s="646">
        <f t="shared" si="26"/>
        <v>0.99882575605777102</v>
      </c>
    </row>
    <row r="89" spans="1:11" ht="12.75" customHeight="1">
      <c r="A89" s="512">
        <f>Bonus!A226</f>
        <v>55.12</v>
      </c>
      <c r="B89" t="str">
        <f>Bonus!B226</f>
        <v>East County Advanced Water Purification Project - Package 1</v>
      </c>
      <c r="D89" s="100">
        <f>Bonus!C226</f>
        <v>198075877</v>
      </c>
      <c r="E89" s="100">
        <f>Bonus!I226</f>
        <v>197751131.77000001</v>
      </c>
      <c r="F89" s="100">
        <f t="shared" si="27"/>
        <v>324745.22999998927</v>
      </c>
      <c r="G89" s="233">
        <f>Bonus!E226</f>
        <v>8100000</v>
      </c>
      <c r="H89" s="100">
        <f>Bonus!H226</f>
        <v>7779994.2800000003</v>
      </c>
      <c r="I89" s="100">
        <f t="shared" si="28"/>
        <v>320005.71999999974</v>
      </c>
      <c r="J89" s="646">
        <f t="shared" si="25"/>
        <v>4.0893419848394764E-2</v>
      </c>
      <c r="K89" s="646">
        <f t="shared" si="26"/>
        <v>0.99836050085998107</v>
      </c>
    </row>
    <row r="90" spans="1:11" ht="12.75" customHeight="1">
      <c r="A90" s="512">
        <f>Bonus!A227</f>
        <v>55.120199999999997</v>
      </c>
      <c r="B90" t="str">
        <f>Bonus!B227</f>
        <v>LA County Sanitation District - Oxygen Generation Project</v>
      </c>
      <c r="D90" s="100">
        <f>Bonus!C227</f>
        <v>16396051.58</v>
      </c>
      <c r="E90" s="100">
        <f>Bonus!I227</f>
        <v>10330718.474910405</v>
      </c>
      <c r="F90" s="100">
        <f t="shared" si="27"/>
        <v>6065333.1050895955</v>
      </c>
      <c r="G90" s="233">
        <f>Bonus!E227</f>
        <v>1175409</v>
      </c>
      <c r="H90" s="100">
        <f>Bonus!H227</f>
        <v>740594.12491040502</v>
      </c>
      <c r="I90" s="100">
        <f t="shared" si="28"/>
        <v>434814.87508959498</v>
      </c>
      <c r="J90" s="646">
        <f>G90/D90</f>
        <v>7.1688540028366998E-2</v>
      </c>
      <c r="K90" s="646">
        <f>E90/D90</f>
        <v>0.63007355304443391</v>
      </c>
    </row>
    <row r="91" spans="1:11" ht="12.75" customHeight="1">
      <c r="A91" s="512">
        <f>Bonus!A228</f>
        <v>55.120399999999997</v>
      </c>
      <c r="B91" t="str">
        <f>Bonus!B228</f>
        <v xml:space="preserve">East County Advanced Water Purification Project - Package 3 </v>
      </c>
      <c r="D91" s="100">
        <f>Bonus!C228</f>
        <v>57722227</v>
      </c>
      <c r="E91" s="100">
        <f>Bonus!I228</f>
        <v>57575368.219999999</v>
      </c>
      <c r="F91" s="100">
        <f t="shared" si="27"/>
        <v>146858.78000000119</v>
      </c>
      <c r="G91" s="233">
        <f>Bonus!E228</f>
        <v>2500000</v>
      </c>
      <c r="H91" s="100">
        <f>Bonus!H228</f>
        <v>2362039.0099999998</v>
      </c>
      <c r="I91" s="100">
        <f t="shared" si="28"/>
        <v>137960.99000000022</v>
      </c>
      <c r="J91" s="646">
        <f t="shared" si="25"/>
        <v>4.3310872257232902E-2</v>
      </c>
      <c r="K91" s="646">
        <f t="shared" si="26"/>
        <v>0.99745576725582674</v>
      </c>
    </row>
    <row r="92" spans="1:11" ht="12.75" customHeight="1">
      <c r="A92" s="512">
        <f>Bonus!A229</f>
        <v>55.122700000000002</v>
      </c>
      <c r="B92" t="str">
        <f>Bonus!B229</f>
        <v>Eastern Municipal Water District - MVRWRF Plant 2B Equipping and Flow Diversion Project</v>
      </c>
      <c r="D92" s="100">
        <f>Bonus!C229</f>
        <v>41504206.390000001</v>
      </c>
      <c r="E92" s="100">
        <f>Bonus!I229</f>
        <v>41279468.482444651</v>
      </c>
      <c r="F92" s="100">
        <f t="shared" si="27"/>
        <v>224737.90755534917</v>
      </c>
      <c r="G92" s="233">
        <f>Bonus!E229</f>
        <v>4350000</v>
      </c>
      <c r="H92" s="100">
        <f>Bonus!H229</f>
        <v>4326445.5224446524</v>
      </c>
      <c r="I92" s="100">
        <f t="shared" si="28"/>
        <v>23554.477555347607</v>
      </c>
      <c r="J92" s="646">
        <f t="shared" si="25"/>
        <v>0.10480865382955705</v>
      </c>
      <c r="K92" s="646">
        <f t="shared" si="26"/>
        <v>0.9945851775734833</v>
      </c>
    </row>
    <row r="93" spans="1:11" ht="12.75" customHeight="1">
      <c r="A93" s="512">
        <f>Bonus!A230</f>
        <v>55.1233</v>
      </c>
      <c r="B93" t="str">
        <f>Bonus!B230</f>
        <v>Veolia Water West Operating Services, Inc. - Rialto Solids Handling Design-Build Project (Design Phase)</v>
      </c>
      <c r="D93" s="100">
        <f>Bonus!C230</f>
        <v>9838187</v>
      </c>
      <c r="E93" s="100">
        <f>Bonus!I230</f>
        <v>134506.16</v>
      </c>
      <c r="F93" s="100">
        <f t="shared" si="27"/>
        <v>9703680.8399999999</v>
      </c>
      <c r="G93" s="233">
        <f>Bonus!E230</f>
        <v>0</v>
      </c>
      <c r="H93" s="100">
        <f>Bonus!H230</f>
        <v>8429</v>
      </c>
      <c r="I93" s="100">
        <f t="shared" si="28"/>
        <v>-8429</v>
      </c>
      <c r="J93" s="646">
        <f>G93/D93</f>
        <v>0</v>
      </c>
      <c r="K93" s="646">
        <f t="shared" si="26"/>
        <v>1.3671844212759932E-2</v>
      </c>
    </row>
    <row r="94" spans="1:11" ht="12.75" customHeight="1">
      <c r="A94" s="512">
        <f>Bonus!A231</f>
        <v>55.1248</v>
      </c>
      <c r="B94" t="str">
        <f>Bonus!B231</f>
        <v>Anaergia Technologies LLC - City of Riverside - Digester 5 Rehabilitation</v>
      </c>
      <c r="D94" s="100">
        <f>Bonus!C231</f>
        <v>5759301.8099999996</v>
      </c>
      <c r="E94" s="100">
        <f>Bonus!I231</f>
        <v>4227318.9980347194</v>
      </c>
      <c r="F94" s="100">
        <f t="shared" si="27"/>
        <v>1531982.8119652802</v>
      </c>
      <c r="G94" s="233">
        <f>Bonus!E231</f>
        <v>825000</v>
      </c>
      <c r="H94" s="100">
        <f>Bonus!H231</f>
        <v>605548.77803471871</v>
      </c>
      <c r="I94" s="100">
        <f t="shared" si="28"/>
        <v>219451.22196528129</v>
      </c>
      <c r="J94" s="646">
        <f>G94/D94</f>
        <v>0.14324653008590985</v>
      </c>
      <c r="K94" s="646">
        <f>E94/D94</f>
        <v>0.73399851882996203</v>
      </c>
    </row>
    <row r="95" spans="1:11" ht="12.75" customHeight="1">
      <c r="A95" s="512">
        <f>Bonus!A232</f>
        <v>55.124899999999997</v>
      </c>
      <c r="B95" t="str">
        <f>Bonus!B232</f>
        <v>Inland Empire Utilities - IEUA - RP-1 Solids Thickening Project - EN22044</v>
      </c>
      <c r="D95" s="100">
        <f>Bonus!C232</f>
        <v>147525113</v>
      </c>
      <c r="E95" s="100">
        <f>Bonus!I232</f>
        <v>15046313.77</v>
      </c>
      <c r="F95" s="100">
        <f t="shared" si="27"/>
        <v>132478799.23</v>
      </c>
      <c r="G95" s="233">
        <f>Bonus!E232</f>
        <v>7821208</v>
      </c>
      <c r="H95" s="100">
        <f>Bonus!H232</f>
        <v>0</v>
      </c>
      <c r="I95" s="100">
        <f t="shared" si="28"/>
        <v>7821208</v>
      </c>
      <c r="J95" s="646">
        <f t="shared" si="25"/>
        <v>5.3016112585522981E-2</v>
      </c>
      <c r="K95" s="646">
        <f>E95/D95</f>
        <v>0.10199154207731398</v>
      </c>
    </row>
    <row r="96" spans="1:11" ht="12.75" customHeight="1">
      <c r="A96" s="512">
        <f>Bonus!A233</f>
        <v>55.125399999999999</v>
      </c>
      <c r="B96" t="str">
        <f>Bonus!B233</f>
        <v>JV w/City of Banning - Wastewater Treatment Plant Recycled Water</v>
      </c>
      <c r="D96" s="100">
        <f>Bonus!C233</f>
        <v>471896.25</v>
      </c>
      <c r="E96" s="100">
        <f>Bonus!I233</f>
        <v>156561.66</v>
      </c>
      <c r="F96" s="100">
        <f t="shared" si="27"/>
        <v>315334.58999999997</v>
      </c>
      <c r="G96" s="233">
        <f>Bonus!E233</f>
        <v>0</v>
      </c>
      <c r="H96" s="100">
        <f>Bonus!H233</f>
        <v>0</v>
      </c>
      <c r="I96" s="100">
        <f t="shared" si="28"/>
        <v>0</v>
      </c>
      <c r="J96" s="646">
        <f>G96/D96</f>
        <v>0</v>
      </c>
      <c r="K96" s="646">
        <f t="shared" si="26"/>
        <v>0.33177135864080293</v>
      </c>
    </row>
    <row r="97" spans="1:11" ht="12.75" customHeight="1">
      <c r="A97" s="512">
        <f>Bonus!A234</f>
        <v>55.125500000000002</v>
      </c>
      <c r="B97" t="str">
        <f>Bonus!B234</f>
        <v>City of Riverside - RWQCP Emergency Repair</v>
      </c>
      <c r="D97" s="100">
        <f>Bonus!C234</f>
        <v>14160.81</v>
      </c>
      <c r="E97" s="100">
        <f>Bonus!I234</f>
        <v>14160.81</v>
      </c>
      <c r="F97" s="100">
        <f t="shared" si="27"/>
        <v>0</v>
      </c>
      <c r="G97" s="233">
        <f>Bonus!E234</f>
        <v>0</v>
      </c>
      <c r="H97" s="100">
        <f>Bonus!H234</f>
        <v>0</v>
      </c>
      <c r="I97" s="100">
        <f t="shared" si="28"/>
        <v>0</v>
      </c>
      <c r="J97" s="646">
        <f t="shared" si="25"/>
        <v>0</v>
      </c>
      <c r="K97" s="646">
        <f t="shared" si="26"/>
        <v>1</v>
      </c>
    </row>
    <row r="98" spans="1:11" ht="12.75" customHeight="1">
      <c r="A98" s="512">
        <f>Bonus!A235</f>
        <v>55.125599999999999</v>
      </c>
      <c r="B98" t="str">
        <f>Bonus!B235</f>
        <v>Anaergia Technologies LLC - City of Riverside - OPS</v>
      </c>
      <c r="D98" s="100">
        <f>Bonus!C235</f>
        <v>2888100</v>
      </c>
      <c r="E98" s="100">
        <f>Bonus!I235</f>
        <v>94989.88</v>
      </c>
      <c r="F98" s="100">
        <f t="shared" si="27"/>
        <v>2793110.12</v>
      </c>
      <c r="G98" s="233">
        <f>Bonus!E235</f>
        <v>175000</v>
      </c>
      <c r="H98" s="100">
        <f>Bonus!H235</f>
        <v>0</v>
      </c>
      <c r="I98" s="100">
        <f t="shared" si="28"/>
        <v>175000</v>
      </c>
      <c r="J98" s="647">
        <f>G98/D98</f>
        <v>6.0593469755202384E-2</v>
      </c>
      <c r="K98" s="647">
        <f>E98/D98</f>
        <v>3.2890093833316023E-2</v>
      </c>
    </row>
    <row r="99" spans="1:11" ht="12.75" customHeight="1">
      <c r="A99" s="513"/>
      <c r="B99" s="517" t="s">
        <v>562</v>
      </c>
      <c r="C99" s="517"/>
      <c r="D99" s="234">
        <f t="shared" ref="D99:I99" si="29">SUM(D86:D98)</f>
        <v>833690058.07999992</v>
      </c>
      <c r="E99" s="234">
        <f t="shared" si="29"/>
        <v>641453357.82462037</v>
      </c>
      <c r="F99" s="234">
        <f t="shared" si="29"/>
        <v>192236700.25537947</v>
      </c>
      <c r="G99" s="234">
        <f t="shared" si="29"/>
        <v>30407115</v>
      </c>
      <c r="H99" s="234">
        <f t="shared" si="29"/>
        <v>21258188.734620541</v>
      </c>
      <c r="I99" s="234">
        <f t="shared" si="29"/>
        <v>9148926.2653794549</v>
      </c>
      <c r="J99" s="646">
        <f>G99/D99</f>
        <v>3.6472925046063302E-2</v>
      </c>
      <c r="K99" s="646">
        <f>E99/D99</f>
        <v>0.76941466628724897</v>
      </c>
    </row>
    <row r="100" spans="1:11" ht="11.25" customHeight="1"/>
    <row r="101" spans="1:11" ht="12.75" customHeight="1">
      <c r="A101" s="512">
        <f>Bonus!A252</f>
        <v>57.000300000000003</v>
      </c>
      <c r="B101" t="str">
        <f>Bonus!B252</f>
        <v>Moulton Niguel Water Dist. - Advanced Water Treatment Facility Salinity Management System - Ph 1</v>
      </c>
      <c r="D101" s="100">
        <f>Bonus!C252</f>
        <v>38165419.5</v>
      </c>
      <c r="E101" s="100">
        <f>Bonus!I252</f>
        <v>6440831.3024788899</v>
      </c>
      <c r="F101" s="100">
        <f t="shared" ref="F101" si="30">D101-E101</f>
        <v>31724588.197521109</v>
      </c>
      <c r="G101" s="233">
        <f>Bonus!E252</f>
        <v>2407086</v>
      </c>
      <c r="H101" s="100">
        <f>Bonus!H252</f>
        <v>123922.17247889005</v>
      </c>
      <c r="I101" s="100">
        <f t="shared" ref="I101" si="31">+G101-H101</f>
        <v>2283163.82752111</v>
      </c>
      <c r="J101" s="646">
        <f t="shared" ref="J101" si="32">G101/D101</f>
        <v>6.3069816381816524E-2</v>
      </c>
      <c r="K101" s="646">
        <f>E101/D101</f>
        <v>0.16876091988138345</v>
      </c>
    </row>
    <row r="102" spans="1:11" ht="12.75" customHeight="1">
      <c r="A102" s="512">
        <f>Bonus!A253</f>
        <v>57.000399999999999</v>
      </c>
      <c r="B102" t="str">
        <f>Bonus!B253</f>
        <v>Santa Margarita Water Dist. - Oso Creek Water Reclamation Plant Optimization Project</v>
      </c>
      <c r="D102" s="100">
        <f>Bonus!C253</f>
        <v>40106224.630000003</v>
      </c>
      <c r="E102" s="100">
        <f>Bonus!I253</f>
        <v>750298.86</v>
      </c>
      <c r="F102" s="100">
        <f t="shared" ref="F102:F104" si="33">D102-E102</f>
        <v>39355925.770000003</v>
      </c>
      <c r="G102" s="233">
        <f>Bonus!E253</f>
        <v>2209857</v>
      </c>
      <c r="H102" s="100">
        <f>Bonus!H253</f>
        <v>0</v>
      </c>
      <c r="I102" s="100">
        <f t="shared" ref="I102:I104" si="34">+G102-H102</f>
        <v>2209857</v>
      </c>
      <c r="J102" s="646">
        <f>G102/D102</f>
        <v>5.5100100305801328E-2</v>
      </c>
      <c r="K102" s="646">
        <f>E102/D102</f>
        <v>1.8707790796114131E-2</v>
      </c>
    </row>
    <row r="103" spans="1:11" ht="12.75" customHeight="1">
      <c r="A103" s="512">
        <f>Bonus!A254</f>
        <v>57.000700000000002</v>
      </c>
      <c r="B103" t="str">
        <f>Bonus!B254</f>
        <v>Anaergia Technologies, LLC - East County Package 5 - Phase 1B</v>
      </c>
      <c r="D103" s="100">
        <f>Bonus!C254</f>
        <v>162630</v>
      </c>
      <c r="E103" s="100">
        <f>Bonus!I254</f>
        <v>162630</v>
      </c>
      <c r="F103" s="100">
        <f t="shared" si="33"/>
        <v>0</v>
      </c>
      <c r="G103" s="233">
        <f>Bonus!E254</f>
        <v>-33618.399999999994</v>
      </c>
      <c r="H103" s="100">
        <f>Bonus!H254</f>
        <v>-33618.399999999994</v>
      </c>
      <c r="I103" s="100">
        <f t="shared" si="34"/>
        <v>0</v>
      </c>
      <c r="J103" s="646">
        <f t="shared" ref="J103" si="35">G103/D103</f>
        <v>-0.20671708786816698</v>
      </c>
      <c r="K103" s="646">
        <f t="shared" ref="K103" si="36">E103/D103</f>
        <v>1</v>
      </c>
    </row>
    <row r="104" spans="1:11" ht="12.75" customHeight="1">
      <c r="A104" s="512">
        <f>Bonus!A255</f>
        <v>57.000799999999998</v>
      </c>
      <c r="B104" t="str">
        <f>Bonus!B255</f>
        <v>Imperial Irrigation Dist. - El Centro Generating Station WWTP</v>
      </c>
      <c r="D104" s="100">
        <f>Bonus!C255</f>
        <v>2876047</v>
      </c>
      <c r="E104" s="100">
        <f>Bonus!I255</f>
        <v>262382.86</v>
      </c>
      <c r="F104" s="100">
        <f t="shared" si="33"/>
        <v>2613664.14</v>
      </c>
      <c r="G104" s="233">
        <f>Bonus!E255</f>
        <v>132065</v>
      </c>
      <c r="H104" s="100">
        <f>Bonus!H255</f>
        <v>0</v>
      </c>
      <c r="I104" s="100">
        <f t="shared" si="34"/>
        <v>132065</v>
      </c>
      <c r="J104" s="647">
        <f>G104/D104</f>
        <v>4.59189296976023E-2</v>
      </c>
      <c r="K104" s="647">
        <f>E104/D104</f>
        <v>9.1230379753877447E-2</v>
      </c>
    </row>
    <row r="105" spans="1:11" ht="12.75" customHeight="1">
      <c r="A105" s="513"/>
      <c r="B105" s="517" t="s">
        <v>563</v>
      </c>
      <c r="C105" s="517"/>
      <c r="D105" s="234">
        <f t="shared" ref="D105:I105" si="37">SUM(D101:D104)</f>
        <v>81310321.129999995</v>
      </c>
      <c r="E105" s="234">
        <f t="shared" si="37"/>
        <v>7616143.0224788906</v>
      </c>
      <c r="F105" s="234">
        <f t="shared" si="37"/>
        <v>73694178.107521117</v>
      </c>
      <c r="G105" s="234">
        <f t="shared" si="37"/>
        <v>4715389.5999999996</v>
      </c>
      <c r="H105" s="234">
        <f t="shared" si="37"/>
        <v>90303.772478890052</v>
      </c>
      <c r="I105" s="234">
        <f t="shared" si="37"/>
        <v>4625085.82752111</v>
      </c>
      <c r="J105" s="646">
        <f>G105/D105</f>
        <v>5.7992509861828904E-2</v>
      </c>
      <c r="K105" s="646">
        <f>E105/D105</f>
        <v>9.3667604759574155E-2</v>
      </c>
    </row>
    <row r="106" spans="1:11" ht="11.25" customHeight="1">
      <c r="A106" s="512"/>
      <c r="G106" s="233"/>
    </row>
    <row r="107" spans="1:11" ht="12.75" customHeight="1">
      <c r="A107" s="512">
        <f>Bonus!A267</f>
        <v>58.000300000000003</v>
      </c>
      <c r="B107" t="str">
        <f>Bonus!B267</f>
        <v>Los Angeles County Sanitation Dist. - Los Coyotes WRP Process Air Compressor Replacement</v>
      </c>
      <c r="D107" s="100">
        <f>Bonus!C267</f>
        <v>22525189</v>
      </c>
      <c r="E107" s="100">
        <f>Bonus!I267</f>
        <v>11715063.721186822</v>
      </c>
      <c r="F107" s="100">
        <f t="shared" ref="F107" si="38">D107-E107</f>
        <v>10810125.278813178</v>
      </c>
      <c r="G107" s="233">
        <f>Bonus!E267</f>
        <v>1308015</v>
      </c>
      <c r="H107" s="100">
        <f>Bonus!H267</f>
        <v>680281.93118682294</v>
      </c>
      <c r="I107" s="100">
        <f t="shared" ref="I107" si="39">+G107-H107</f>
        <v>627733.06881317706</v>
      </c>
      <c r="J107" s="647">
        <f>G107/D107</f>
        <v>5.8068991119231007E-2</v>
      </c>
      <c r="K107" s="647">
        <f>E107/D107</f>
        <v>0.52008725525840527</v>
      </c>
    </row>
    <row r="108" spans="1:11" ht="12.75" customHeight="1">
      <c r="A108" s="513"/>
      <c r="B108" s="517" t="s">
        <v>564</v>
      </c>
      <c r="C108" s="517"/>
      <c r="D108" s="234">
        <f t="shared" ref="D108:I108" si="40">SUM(D107:D107)</f>
        <v>22525189</v>
      </c>
      <c r="E108" s="234">
        <f t="shared" si="40"/>
        <v>11715063.721186822</v>
      </c>
      <c r="F108" s="234">
        <f t="shared" si="40"/>
        <v>10810125.278813178</v>
      </c>
      <c r="G108" s="234">
        <f t="shared" si="40"/>
        <v>1308015</v>
      </c>
      <c r="H108" s="234">
        <f t="shared" si="40"/>
        <v>680281.93118682294</v>
      </c>
      <c r="I108" s="234">
        <f t="shared" si="40"/>
        <v>627733.06881317706</v>
      </c>
      <c r="J108" s="646">
        <f>G108/D108</f>
        <v>5.8068991119231007E-2</v>
      </c>
      <c r="K108" s="646">
        <f>E108/D108</f>
        <v>0.52008725525840527</v>
      </c>
    </row>
    <row r="109" spans="1:11" ht="12.75" customHeight="1">
      <c r="A109" s="512"/>
      <c r="B109" s="45"/>
      <c r="C109" s="45"/>
    </row>
    <row r="110" spans="1:11">
      <c r="A110" s="504" t="s">
        <v>565</v>
      </c>
      <c r="B110" s="505"/>
      <c r="C110" s="505"/>
      <c r="D110" s="506">
        <f t="shared" ref="D110:I110" si="41">D99+D105+D108</f>
        <v>937525568.20999992</v>
      </c>
      <c r="E110" s="506">
        <f t="shared" si="41"/>
        <v>660784564.56828618</v>
      </c>
      <c r="F110" s="506">
        <f t="shared" si="41"/>
        <v>276741003.64171374</v>
      </c>
      <c r="G110" s="506">
        <f t="shared" si="41"/>
        <v>36430519.600000001</v>
      </c>
      <c r="H110" s="506">
        <f t="shared" si="41"/>
        <v>22028774.438286252</v>
      </c>
      <c r="I110" s="506">
        <f t="shared" si="41"/>
        <v>14401745.161713742</v>
      </c>
      <c r="J110" s="648">
        <f t="shared" ref="J110" si="42">G110/D110</f>
        <v>3.8858161137467546E-2</v>
      </c>
      <c r="K110" s="648">
        <f t="shared" ref="K110" si="43">E110/D110</f>
        <v>0.70481764655220003</v>
      </c>
    </row>
    <row r="111" spans="1:11">
      <c r="A111" s="507"/>
      <c r="B111" s="228"/>
      <c r="C111" s="228"/>
      <c r="D111" s="508"/>
      <c r="E111" s="508"/>
      <c r="F111" s="508"/>
      <c r="G111" s="508"/>
      <c r="H111" s="508"/>
      <c r="I111" s="508"/>
    </row>
    <row r="112" spans="1:11">
      <c r="A112" s="504" t="s">
        <v>625</v>
      </c>
      <c r="B112" s="505"/>
      <c r="C112" s="505"/>
      <c r="D112" s="506">
        <f t="shared" ref="D112:I112" si="44">D83+D110</f>
        <v>1857926358.1599998</v>
      </c>
      <c r="E112" s="506">
        <f t="shared" si="44"/>
        <v>1100240948.7915568</v>
      </c>
      <c r="F112" s="506">
        <f t="shared" si="44"/>
        <v>757685409.36844325</v>
      </c>
      <c r="G112" s="506">
        <f t="shared" si="44"/>
        <v>124082054.53</v>
      </c>
      <c r="H112" s="506">
        <f t="shared" si="44"/>
        <v>65165299.431556784</v>
      </c>
      <c r="I112" s="506">
        <f t="shared" si="44"/>
        <v>58916755.098443218</v>
      </c>
      <c r="J112" s="648">
        <f t="shared" ref="J112" si="45">G112/D112</f>
        <v>6.6785238276550876E-2</v>
      </c>
      <c r="K112" s="648">
        <f t="shared" ref="K112" si="46">E112/D112</f>
        <v>0.59218759880299132</v>
      </c>
    </row>
    <row r="113" spans="1:11" ht="11.25" customHeight="1">
      <c r="A113" s="512"/>
      <c r="G113" s="233"/>
      <c r="J113" s="646"/>
      <c r="K113" s="646"/>
    </row>
    <row r="114" spans="1:11" ht="12.75" customHeight="1">
      <c r="A114" s="512">
        <f>Bonus!A283</f>
        <v>56.1004</v>
      </c>
      <c r="B114" t="str">
        <f>Bonus!B283</f>
        <v>San Joaquin Electric - Liberty Ranch Sewer Pump Station</v>
      </c>
      <c r="D114" s="100">
        <f>Bonus!C283</f>
        <v>373425</v>
      </c>
      <c r="E114" s="100">
        <f>Bonus!I283</f>
        <v>327111.84451990068</v>
      </c>
      <c r="F114" s="100">
        <f t="shared" ref="F114" si="47">D114-E114</f>
        <v>46313.155480099318</v>
      </c>
      <c r="G114" s="233">
        <f>Bonus!E283</f>
        <v>103585</v>
      </c>
      <c r="H114" s="100">
        <f>Bonus!H283</f>
        <v>90738.114519900686</v>
      </c>
      <c r="I114" s="100">
        <f t="shared" ref="I114" si="48">+G114-H114</f>
        <v>12846.885480099314</v>
      </c>
      <c r="J114" s="646">
        <f t="shared" ref="J114:J146" si="49">G114/D114</f>
        <v>0.27739171185646383</v>
      </c>
      <c r="K114" s="646">
        <f t="shared" ref="K114:K147" si="50">E114/D114</f>
        <v>0.87597735695226797</v>
      </c>
    </row>
    <row r="115" spans="1:11" ht="12.75" customHeight="1">
      <c r="A115" s="512">
        <f>Bonus!A284</f>
        <v>56.100499999999997</v>
      </c>
      <c r="B115" t="str">
        <f>Bonus!B284</f>
        <v>SD Electric, Inc. - Stormwater Evacuation Lines &amp; Outfall Manifold</v>
      </c>
      <c r="D115" s="100">
        <f>Bonus!C284</f>
        <v>135000</v>
      </c>
      <c r="E115" s="100">
        <f>Bonus!I284</f>
        <v>101287.05181918413</v>
      </c>
      <c r="F115" s="100">
        <f t="shared" ref="F115:F146" si="51">D115-E115</f>
        <v>33712.948180815874</v>
      </c>
      <c r="G115" s="233">
        <f>Bonus!E284</f>
        <v>66975</v>
      </c>
      <c r="H115" s="100">
        <f>Bonus!H284</f>
        <v>50249.63181918412</v>
      </c>
      <c r="I115" s="100">
        <f t="shared" ref="I115:I146" si="52">+G115-H115</f>
        <v>16725.36818081588</v>
      </c>
      <c r="J115" s="646">
        <f t="shared" si="49"/>
        <v>0.49611111111111111</v>
      </c>
      <c r="K115" s="646">
        <f t="shared" si="50"/>
        <v>0.75027445791988245</v>
      </c>
    </row>
    <row r="116" spans="1:11" ht="12.75" customHeight="1">
      <c r="A116" s="512">
        <f>Bonus!A285</f>
        <v>56.100999999999999</v>
      </c>
      <c r="B116" t="str">
        <f>Bonus!B285</f>
        <v>Placer County Water Agency -PCWA Time &amp; Material Contract</v>
      </c>
      <c r="D116" s="100">
        <f>Bonus!C285</f>
        <v>49250</v>
      </c>
      <c r="E116" s="100">
        <f>Bonus!I285</f>
        <v>49250</v>
      </c>
      <c r="F116" s="100">
        <f t="shared" si="51"/>
        <v>0</v>
      </c>
      <c r="G116" s="233">
        <f>Bonus!E285</f>
        <v>12788.059999999998</v>
      </c>
      <c r="H116" s="100">
        <f>Bonus!H285</f>
        <v>12788.059999999998</v>
      </c>
      <c r="I116" s="100">
        <f t="shared" si="52"/>
        <v>0</v>
      </c>
      <c r="J116" s="646">
        <f t="shared" si="49"/>
        <v>0.259656040609137</v>
      </c>
      <c r="K116" s="646">
        <f t="shared" si="50"/>
        <v>1</v>
      </c>
    </row>
    <row r="117" spans="1:11" ht="12.75" customHeight="1">
      <c r="A117" s="512">
        <f>Bonus!A286</f>
        <v>56.101500000000001</v>
      </c>
      <c r="B117" t="str">
        <f>Bonus!B286</f>
        <v>Mike Brown Electric Co. - Riverside Ponds &amp; Headworks Mitigation – City of Calistoga</v>
      </c>
      <c r="D117" s="100">
        <f>Bonus!C286</f>
        <v>230000</v>
      </c>
      <c r="E117" s="100">
        <f>Bonus!I286</f>
        <v>160881.2819378931</v>
      </c>
      <c r="F117" s="100">
        <f t="shared" si="51"/>
        <v>69118.718062106898</v>
      </c>
      <c r="G117" s="233">
        <f>Bonus!E286</f>
        <v>26480</v>
      </c>
      <c r="H117" s="100">
        <f>Bonus!H286</f>
        <v>18522.331937893083</v>
      </c>
      <c r="I117" s="100">
        <f t="shared" si="52"/>
        <v>7957.6680621069172</v>
      </c>
      <c r="J117" s="646">
        <f t="shared" si="49"/>
        <v>0.11513043478260869</v>
      </c>
      <c r="K117" s="646">
        <f t="shared" si="50"/>
        <v>0.69948383451257867</v>
      </c>
    </row>
    <row r="118" spans="1:11" ht="12.75" customHeight="1">
      <c r="A118" s="512">
        <f>Bonus!A287</f>
        <v>56.101700000000001</v>
      </c>
      <c r="B118" t="str">
        <f>Bonus!B287</f>
        <v>Bay Tech Engineering - SDDS Gate Valves Replacement – SF International Airport</v>
      </c>
      <c r="D118" s="100">
        <f>Bonus!C287</f>
        <v>102868</v>
      </c>
      <c r="E118" s="100">
        <f>Bonus!I287</f>
        <v>83423.460000000006</v>
      </c>
      <c r="F118" s="100">
        <f t="shared" si="51"/>
        <v>19444.539999999994</v>
      </c>
      <c r="G118" s="233">
        <f>Bonus!E287</f>
        <v>-12027</v>
      </c>
      <c r="H118" s="100">
        <f>Bonus!H287</f>
        <v>-12027</v>
      </c>
      <c r="I118" s="100">
        <f t="shared" si="52"/>
        <v>0</v>
      </c>
      <c r="J118" s="646">
        <f t="shared" si="49"/>
        <v>-0.1169168254462029</v>
      </c>
      <c r="K118" s="646">
        <f t="shared" si="50"/>
        <v>0.81097581366411331</v>
      </c>
    </row>
    <row r="119" spans="1:11" ht="12.75" customHeight="1">
      <c r="A119" s="512">
        <f>Bonus!A288</f>
        <v>56.101799999999997</v>
      </c>
      <c r="B119" t="str">
        <f>Bonus!B288</f>
        <v>CM Controls - Salinas AG Industrial Phase 1 – City of Salinas</v>
      </c>
      <c r="D119" s="100">
        <f>Bonus!C288</f>
        <v>153913</v>
      </c>
      <c r="E119" s="100">
        <f>Bonus!I288</f>
        <v>90970.284607643043</v>
      </c>
      <c r="F119" s="100">
        <f t="shared" si="51"/>
        <v>62942.715392356957</v>
      </c>
      <c r="G119" s="233">
        <f>Bonus!E288</f>
        <v>82868</v>
      </c>
      <c r="H119" s="100">
        <f>Bonus!H288</f>
        <v>48979.134607643042</v>
      </c>
      <c r="I119" s="100">
        <f t="shared" si="52"/>
        <v>33888.865392356958</v>
      </c>
      <c r="J119" s="646">
        <f t="shared" si="49"/>
        <v>0.53840806169719257</v>
      </c>
      <c r="K119" s="646">
        <f t="shared" si="50"/>
        <v>0.59105003870786121</v>
      </c>
    </row>
    <row r="120" spans="1:11" ht="12.75" customHeight="1">
      <c r="A120" s="512">
        <f>Bonus!A289</f>
        <v>56.103200000000001</v>
      </c>
      <c r="B120" t="str">
        <f>Bonus!B289</f>
        <v>Newtron - Watsonville, City of - Zone 2 Water Res &amp; AirportBPS Mods</v>
      </c>
      <c r="D120" s="100">
        <f>Bonus!C289</f>
        <v>85000</v>
      </c>
      <c r="E120" s="100">
        <f>Bonus!I289</f>
        <v>35879.106959927689</v>
      </c>
      <c r="F120" s="100">
        <f t="shared" si="51"/>
        <v>49120.893040072311</v>
      </c>
      <c r="G120" s="233">
        <f>Bonus!E289</f>
        <v>2025</v>
      </c>
      <c r="H120" s="100">
        <f>Bonus!H289</f>
        <v>854.76695992768896</v>
      </c>
      <c r="I120" s="100">
        <f t="shared" si="52"/>
        <v>1170.233040072311</v>
      </c>
      <c r="J120" s="646">
        <f t="shared" si="49"/>
        <v>2.3823529411764705E-2</v>
      </c>
      <c r="K120" s="646">
        <f t="shared" si="50"/>
        <v>0.42210714070503164</v>
      </c>
    </row>
    <row r="121" spans="1:11" ht="12.75" customHeight="1">
      <c r="A121" s="512">
        <f>Bonus!A290</f>
        <v>56.1036</v>
      </c>
      <c r="B121" t="str">
        <f>Bonus!B290</f>
        <v>Darrel Varni Electric, Inc. - GSW, San Benito Co. Sewer Pump Station No. 2</v>
      </c>
      <c r="D121" s="100">
        <f>Bonus!C290</f>
        <v>276000</v>
      </c>
      <c r="E121" s="100">
        <f>Bonus!I290</f>
        <v>141353.80721830984</v>
      </c>
      <c r="F121" s="100">
        <f t="shared" si="51"/>
        <v>134646.19278169016</v>
      </c>
      <c r="G121" s="233">
        <f>Bonus!E290</f>
        <v>66976</v>
      </c>
      <c r="H121" s="100">
        <f>Bonus!H290</f>
        <v>34301.857218309859</v>
      </c>
      <c r="I121" s="100">
        <f t="shared" si="52"/>
        <v>32674.142781690141</v>
      </c>
      <c r="J121" s="646">
        <f t="shared" si="49"/>
        <v>0.24266666666666667</v>
      </c>
      <c r="K121" s="646">
        <f t="shared" si="50"/>
        <v>0.5121514754286588</v>
      </c>
    </row>
    <row r="122" spans="1:11" ht="12.75" customHeight="1">
      <c r="A122" s="512">
        <f>Bonus!A291</f>
        <v>56.103700000000003</v>
      </c>
      <c r="B122" t="str">
        <f>Bonus!B291</f>
        <v>East Orange County Water District - EOCWD - On-Call SCADA Integration Services</v>
      </c>
      <c r="D122" s="100">
        <f>Bonus!C291</f>
        <v>36491</v>
      </c>
      <c r="E122" s="100">
        <f>Bonus!I291</f>
        <v>36491</v>
      </c>
      <c r="F122" s="100">
        <f t="shared" si="51"/>
        <v>0</v>
      </c>
      <c r="G122" s="233">
        <f>Bonus!E291</f>
        <v>14816.8</v>
      </c>
      <c r="H122" s="100">
        <f>Bonus!H291</f>
        <v>14816.8</v>
      </c>
      <c r="I122" s="100">
        <f t="shared" si="52"/>
        <v>0</v>
      </c>
      <c r="J122" s="646">
        <f t="shared" si="49"/>
        <v>0.4060398454413417</v>
      </c>
      <c r="K122" s="646">
        <f t="shared" si="50"/>
        <v>1</v>
      </c>
    </row>
    <row r="123" spans="1:11" ht="12.75" customHeight="1">
      <c r="A123" s="512">
        <f>Bonus!A292</f>
        <v>56.1038</v>
      </c>
      <c r="B123" t="str">
        <f>Bonus!B292</f>
        <v>Troxell JH Electrical Inc - Keyes CSD TCP Treatment Impvmts Wells 7,8,9,10</v>
      </c>
      <c r="D123" s="100">
        <f>Bonus!C292</f>
        <v>95000</v>
      </c>
      <c r="E123" s="100">
        <f>Bonus!I292</f>
        <v>77673.89</v>
      </c>
      <c r="F123" s="100">
        <f t="shared" si="51"/>
        <v>17326.11</v>
      </c>
      <c r="G123" s="233">
        <f>Bonus!E292</f>
        <v>-22376</v>
      </c>
      <c r="H123" s="100">
        <f>Bonus!H292</f>
        <v>-22376</v>
      </c>
      <c r="I123" s="100">
        <f t="shared" si="52"/>
        <v>0</v>
      </c>
      <c r="J123" s="646">
        <f t="shared" si="49"/>
        <v>-0.23553684210526316</v>
      </c>
      <c r="K123" s="646">
        <f t="shared" si="50"/>
        <v>0.81761989473684205</v>
      </c>
    </row>
    <row r="124" spans="1:11" ht="12.75" customHeight="1">
      <c r="A124" s="512">
        <f>Bonus!A293</f>
        <v>56.103900000000003</v>
      </c>
      <c r="B124" t="str">
        <f>Bonus!B293</f>
        <v>Sac Valley Electrica Inc -  Placer County - Creekview Ranch Sewer Lift Station</v>
      </c>
      <c r="D124" s="100">
        <f>Bonus!C293</f>
        <v>375000</v>
      </c>
      <c r="E124" s="100">
        <f>Bonus!I293</f>
        <v>365706.62821562274</v>
      </c>
      <c r="F124" s="100">
        <f t="shared" si="51"/>
        <v>9293.3717843772611</v>
      </c>
      <c r="G124" s="233">
        <f>Bonus!E293</f>
        <v>42716</v>
      </c>
      <c r="H124" s="100">
        <f>Bonus!H293</f>
        <v>41657.398215622779</v>
      </c>
      <c r="I124" s="100">
        <f t="shared" si="52"/>
        <v>1058.6017843772206</v>
      </c>
      <c r="J124" s="646">
        <f t="shared" si="49"/>
        <v>0.11390933333333333</v>
      </c>
      <c r="K124" s="646">
        <f t="shared" si="50"/>
        <v>0.97521767524166059</v>
      </c>
    </row>
    <row r="125" spans="1:11" ht="12.75" customHeight="1">
      <c r="A125" s="512">
        <f>Bonus!A294</f>
        <v>56.104199999999999</v>
      </c>
      <c r="B125" t="str">
        <f>Bonus!B294</f>
        <v>Trabuco Canyon Water Dist.  - SCADA Integration Services</v>
      </c>
      <c r="D125" s="100">
        <f>Bonus!C294</f>
        <v>277565</v>
      </c>
      <c r="E125" s="100">
        <f>Bonus!I294</f>
        <v>219576.11887758374</v>
      </c>
      <c r="F125" s="100">
        <f t="shared" si="51"/>
        <v>57988.881122416264</v>
      </c>
      <c r="G125" s="233">
        <f>Bonus!E294</f>
        <v>59277</v>
      </c>
      <c r="H125" s="100">
        <f>Bonus!H294</f>
        <v>46892.84887758374</v>
      </c>
      <c r="I125" s="100">
        <f t="shared" si="52"/>
        <v>12384.15112241626</v>
      </c>
      <c r="J125" s="646">
        <f t="shared" si="49"/>
        <v>0.21356078756327346</v>
      </c>
      <c r="K125" s="646">
        <f t="shared" si="50"/>
        <v>0.79107999523565198</v>
      </c>
    </row>
    <row r="126" spans="1:11" ht="12.75" customHeight="1">
      <c r="A126" s="512">
        <f>Bonus!A295</f>
        <v>56.104300000000002</v>
      </c>
      <c r="B126" t="str">
        <f>Bonus!B295</f>
        <v>SD Electirc, Inc - Morgan Hill, City of - Sanitary Sewer Lift Station K &amp; F Reh</v>
      </c>
      <c r="D126" s="100">
        <f>Bonus!C295</f>
        <v>336610</v>
      </c>
      <c r="E126" s="100">
        <f>Bonus!I295</f>
        <v>232406.30372425664</v>
      </c>
      <c r="F126" s="100">
        <f t="shared" si="51"/>
        <v>104203.69627574336</v>
      </c>
      <c r="G126" s="233">
        <f>Bonus!E295</f>
        <v>25219</v>
      </c>
      <c r="H126" s="100">
        <f>Bonus!H295</f>
        <v>17412.003724256643</v>
      </c>
      <c r="I126" s="100">
        <f t="shared" si="52"/>
        <v>7806.9962757433568</v>
      </c>
      <c r="J126" s="646">
        <f t="shared" si="49"/>
        <v>7.4920531178515201E-2</v>
      </c>
      <c r="K126" s="646">
        <f t="shared" si="50"/>
        <v>0.69043196495724024</v>
      </c>
    </row>
    <row r="127" spans="1:11" ht="12.75" customHeight="1">
      <c r="A127" s="512">
        <f>Bonus!A296</f>
        <v>56.104599999999998</v>
      </c>
      <c r="B127" t="str">
        <f>Bonus!B296</f>
        <v>California Water Service Co. - SSF-1 - Visalia St. 97 Panelboard Mods</v>
      </c>
      <c r="D127" s="100">
        <f>Bonus!C296</f>
        <v>77120</v>
      </c>
      <c r="E127" s="100">
        <f>Bonus!I296</f>
        <v>74929.8</v>
      </c>
      <c r="F127" s="100">
        <f t="shared" si="51"/>
        <v>2190.1999999999971</v>
      </c>
      <c r="G127" s="233">
        <f>Bonus!E296</f>
        <v>-2836</v>
      </c>
      <c r="H127" s="100">
        <f>Bonus!H296</f>
        <v>-2836</v>
      </c>
      <c r="I127" s="100">
        <f t="shared" si="52"/>
        <v>0</v>
      </c>
      <c r="J127" s="646">
        <f t="shared" si="49"/>
        <v>-3.6773858921161827E-2</v>
      </c>
      <c r="K127" s="646">
        <f t="shared" si="50"/>
        <v>0.97160010373443984</v>
      </c>
    </row>
    <row r="128" spans="1:11" ht="12.75" customHeight="1">
      <c r="A128" s="512">
        <f>Bonus!A297</f>
        <v>56.104700000000001</v>
      </c>
      <c r="B128" t="str">
        <f>Bonus!B297</f>
        <v>SD Electric, Inc - Lathrop, City of - Consolidated Treatment Facility Ph. 3</v>
      </c>
      <c r="D128" s="100">
        <f>Bonus!C297</f>
        <v>2394758</v>
      </c>
      <c r="E128" s="100">
        <f>Bonus!I297</f>
        <v>1881098.4606636623</v>
      </c>
      <c r="F128" s="100">
        <f t="shared" si="51"/>
        <v>513659.53933633771</v>
      </c>
      <c r="G128" s="233">
        <f>Bonus!E297</f>
        <v>354203</v>
      </c>
      <c r="H128" s="100">
        <f>Bonus!H297</f>
        <v>278228.83066366252</v>
      </c>
      <c r="I128" s="100">
        <f t="shared" si="52"/>
        <v>75974.16933633748</v>
      </c>
      <c r="J128" s="646">
        <f t="shared" si="49"/>
        <v>0.1479076382665806</v>
      </c>
      <c r="K128" s="646">
        <f t="shared" si="50"/>
        <v>0.78550670283329771</v>
      </c>
    </row>
    <row r="129" spans="1:11" ht="12.75" customHeight="1">
      <c r="A129" s="512">
        <f>Bonus!A298</f>
        <v>56.104799999999997</v>
      </c>
      <c r="B129" t="str">
        <f>Bonus!B298</f>
        <v>Blocka Construction, Inc - West Bay Sanitary District - Telemetry Panel Replacement</v>
      </c>
      <c r="D129" s="100">
        <f>Bonus!C298</f>
        <v>200000</v>
      </c>
      <c r="E129" s="100">
        <f>Bonus!I298</f>
        <v>196024.24295086239</v>
      </c>
      <c r="F129" s="100">
        <f t="shared" si="51"/>
        <v>3975.75704913761</v>
      </c>
      <c r="G129" s="233">
        <f>Bonus!E298</f>
        <v>38881</v>
      </c>
      <c r="H129" s="100">
        <f>Bonus!H298</f>
        <v>38108.092950862403</v>
      </c>
      <c r="I129" s="100">
        <f t="shared" si="52"/>
        <v>772.90704913759691</v>
      </c>
      <c r="J129" s="646">
        <f t="shared" si="49"/>
        <v>0.19440499999999999</v>
      </c>
      <c r="K129" s="646">
        <f t="shared" si="50"/>
        <v>0.98012121475431191</v>
      </c>
    </row>
    <row r="130" spans="1:11" ht="12.75" customHeight="1">
      <c r="A130" s="512">
        <f>Bonus!A299</f>
        <v>56.104900000000001</v>
      </c>
      <c r="B130" t="str">
        <f>Bonus!B299</f>
        <v>East Orange County Water District - SCADA Field Site RTU Prog Ph.1</v>
      </c>
      <c r="D130" s="100">
        <f>Bonus!C299</f>
        <v>308725</v>
      </c>
      <c r="E130" s="100">
        <f>Bonus!I299</f>
        <v>265990.12025611458</v>
      </c>
      <c r="F130" s="100">
        <f t="shared" si="51"/>
        <v>42734.879743885424</v>
      </c>
      <c r="G130" s="233">
        <f>Bonus!E299</f>
        <v>59852</v>
      </c>
      <c r="H130" s="100">
        <f>Bonus!H299</f>
        <v>51567.060256114564</v>
      </c>
      <c r="I130" s="100">
        <f t="shared" si="52"/>
        <v>8284.9397438854357</v>
      </c>
      <c r="J130" s="646">
        <f t="shared" si="49"/>
        <v>0.1938683294193862</v>
      </c>
      <c r="K130" s="646">
        <f t="shared" si="50"/>
        <v>0.86157622562511804</v>
      </c>
    </row>
    <row r="131" spans="1:11" ht="12.75" customHeight="1">
      <c r="A131" s="512">
        <f>Bonus!A300</f>
        <v>56.104999999999997</v>
      </c>
      <c r="B131" t="str">
        <f>Bonus!B300</f>
        <v>Collins Electric - Watsonville, City of - WWTF Electrical System Hazard Mitigat</v>
      </c>
      <c r="D131" s="100">
        <f>Bonus!C300</f>
        <v>3792559</v>
      </c>
      <c r="E131" s="100">
        <f>Bonus!I300</f>
        <v>1043310.4979129133</v>
      </c>
      <c r="F131" s="100">
        <f t="shared" si="51"/>
        <v>2749248.5020870864</v>
      </c>
      <c r="G131" s="233">
        <f>Bonus!E300</f>
        <v>426992</v>
      </c>
      <c r="H131" s="100">
        <f>Bonus!H300</f>
        <v>117462.96791291333</v>
      </c>
      <c r="I131" s="100">
        <f t="shared" si="52"/>
        <v>309529.0320870867</v>
      </c>
      <c r="J131" s="646">
        <f t="shared" si="49"/>
        <v>0.11258677847859454</v>
      </c>
      <c r="K131" s="646">
        <f t="shared" si="50"/>
        <v>0.27509407181613083</v>
      </c>
    </row>
    <row r="132" spans="1:11" ht="12.75" customHeight="1">
      <c r="A132" s="512">
        <f>Bonus!A301</f>
        <v>56.105499999999999</v>
      </c>
      <c r="B132" t="str">
        <f>Bonus!B301</f>
        <v>Strategic Mechanical, Inc - Tranquility Irrigation District - Tranquility Well 8 Project</v>
      </c>
      <c r="D132" s="100">
        <f>Bonus!C301</f>
        <v>120891</v>
      </c>
      <c r="E132" s="100">
        <f>Bonus!I301</f>
        <v>102517.30751378599</v>
      </c>
      <c r="F132" s="100">
        <f t="shared" si="51"/>
        <v>18373.692486214015</v>
      </c>
      <c r="G132" s="233">
        <f>Bonus!E301</f>
        <v>28043</v>
      </c>
      <c r="H132" s="100">
        <f>Bonus!H301</f>
        <v>23780.867513785975</v>
      </c>
      <c r="I132" s="100">
        <f t="shared" si="52"/>
        <v>4262.1324862140245</v>
      </c>
      <c r="J132" s="646">
        <f t="shared" si="49"/>
        <v>0.23196929465386174</v>
      </c>
      <c r="K132" s="646">
        <f t="shared" si="50"/>
        <v>0.84801438910908156</v>
      </c>
    </row>
    <row r="133" spans="1:11" ht="12.75" customHeight="1">
      <c r="A133" s="512">
        <f>Bonus!A302</f>
        <v>56.105899999999998</v>
      </c>
      <c r="B133" t="str">
        <f>Bonus!B302</f>
        <v>Fusion Electric, Inc - San Francisco Utilities Commission (SFPUC) - Moccasin Compou</v>
      </c>
      <c r="D133" s="100">
        <f>Bonus!C302</f>
        <v>399389</v>
      </c>
      <c r="E133" s="100">
        <f>Bonus!I302</f>
        <v>286120.75292333675</v>
      </c>
      <c r="F133" s="100">
        <f t="shared" si="51"/>
        <v>113268.24707666325</v>
      </c>
      <c r="G133" s="233">
        <f>Bonus!E302</f>
        <v>70183</v>
      </c>
      <c r="H133" s="100">
        <f>Bonus!H302</f>
        <v>50278.832923336762</v>
      </c>
      <c r="I133" s="100">
        <f t="shared" si="52"/>
        <v>19904.167076663238</v>
      </c>
      <c r="J133" s="646">
        <f t="shared" si="49"/>
        <v>0.17572592134485426</v>
      </c>
      <c r="K133" s="646">
        <f t="shared" si="50"/>
        <v>0.71639617746942641</v>
      </c>
    </row>
    <row r="134" spans="1:11" ht="12.75" customHeight="1">
      <c r="A134" s="512">
        <f>Bonus!A303</f>
        <v>56.106000000000002</v>
      </c>
      <c r="B134" t="str">
        <f>Bonus!B303</f>
        <v>Fusion Electric, Inc - Stockton, City of - N4 Pump Station Improvement Plans of Mar</v>
      </c>
      <c r="D134" s="100">
        <f>Bonus!C303</f>
        <v>404663</v>
      </c>
      <c r="E134" s="100">
        <f>Bonus!I303</f>
        <v>182653.48784207931</v>
      </c>
      <c r="F134" s="100">
        <f t="shared" si="51"/>
        <v>222009.51215792069</v>
      </c>
      <c r="G134" s="233">
        <f>Bonus!E303</f>
        <v>82172</v>
      </c>
      <c r="H134" s="100">
        <f>Bonus!H303</f>
        <v>37090.12784207931</v>
      </c>
      <c r="I134" s="100">
        <f t="shared" si="52"/>
        <v>45081.87215792069</v>
      </c>
      <c r="J134" s="646">
        <f t="shared" si="49"/>
        <v>0.20306279546190287</v>
      </c>
      <c r="K134" s="646">
        <f t="shared" si="50"/>
        <v>0.45137185223773685</v>
      </c>
    </row>
    <row r="135" spans="1:11" ht="12.75" customHeight="1">
      <c r="A135" s="512">
        <f>Bonus!A304</f>
        <v>56.106299999999997</v>
      </c>
      <c r="B135" t="str">
        <f>Bonus!B304</f>
        <v>Bay Tech Engineering - West Bay Sanitary District - Stowe Lane Pump Station Project</v>
      </c>
      <c r="D135" s="100">
        <f>Bonus!C304</f>
        <v>108000</v>
      </c>
      <c r="E135" s="100">
        <f>Bonus!I304</f>
        <v>81661.382951562991</v>
      </c>
      <c r="F135" s="100">
        <f t="shared" si="51"/>
        <v>26338.617048437009</v>
      </c>
      <c r="G135" s="233">
        <f>Bonus!E304</f>
        <v>10079</v>
      </c>
      <c r="H135" s="100">
        <f>Bonus!H304</f>
        <v>7620.9729515629942</v>
      </c>
      <c r="I135" s="100">
        <f t="shared" si="52"/>
        <v>2458.0270484370058</v>
      </c>
      <c r="J135" s="646">
        <f t="shared" si="49"/>
        <v>9.3324074074074073E-2</v>
      </c>
      <c r="K135" s="646">
        <f t="shared" si="50"/>
        <v>0.75612391621817587</v>
      </c>
    </row>
    <row r="136" spans="1:11" ht="12.75" customHeight="1">
      <c r="A136" s="512">
        <f>Bonus!A305</f>
        <v>56.1066</v>
      </c>
      <c r="B136" t="str">
        <f>Bonus!B305</f>
        <v>CM Controls - City of Larkspur and Ross Valley Sanitary District – Heather</v>
      </c>
      <c r="D136" s="100">
        <f>Bonus!C305</f>
        <v>595000</v>
      </c>
      <c r="E136" s="100">
        <f>Bonus!I305</f>
        <v>532912.91595326341</v>
      </c>
      <c r="F136" s="100">
        <f t="shared" si="51"/>
        <v>62087.084046736592</v>
      </c>
      <c r="G136" s="233">
        <f>Bonus!E305</f>
        <v>63510</v>
      </c>
      <c r="H136" s="100">
        <f>Bonus!H305</f>
        <v>56882.855953263468</v>
      </c>
      <c r="I136" s="100">
        <f t="shared" si="52"/>
        <v>6627.1440467365319</v>
      </c>
      <c r="J136" s="646">
        <f t="shared" si="49"/>
        <v>0.10673949579831933</v>
      </c>
      <c r="K136" s="646">
        <f t="shared" si="50"/>
        <v>0.89565195958531663</v>
      </c>
    </row>
    <row r="137" spans="1:11" ht="12.75" customHeight="1">
      <c r="A137" s="512">
        <f>Bonus!A306</f>
        <v>56.106699999999996</v>
      </c>
      <c r="B137" t="str">
        <f>Bonus!B306</f>
        <v>Fusion Electric - Woodland Lift Station Rehabilitation - City of Modesto</v>
      </c>
      <c r="D137" s="100">
        <f>Bonus!C306</f>
        <v>478000</v>
      </c>
      <c r="E137" s="100">
        <f>Bonus!I306</f>
        <v>120399.37486474399</v>
      </c>
      <c r="F137" s="100">
        <f t="shared" si="51"/>
        <v>357600.62513525598</v>
      </c>
      <c r="G137" s="233">
        <f>Bonus!E306</f>
        <v>62122</v>
      </c>
      <c r="H137" s="100">
        <f>Bonus!H306</f>
        <v>15647.384864743988</v>
      </c>
      <c r="I137" s="100">
        <f t="shared" si="52"/>
        <v>46474.615135256012</v>
      </c>
      <c r="J137" s="646">
        <f t="shared" si="49"/>
        <v>0.12996234309623431</v>
      </c>
      <c r="K137" s="646">
        <f t="shared" si="50"/>
        <v>0.25188153737394142</v>
      </c>
    </row>
    <row r="138" spans="1:11" ht="12.75" customHeight="1">
      <c r="A138" s="512">
        <f>Bonus!A307</f>
        <v>56.107300000000002</v>
      </c>
      <c r="B138" t="str">
        <f>Bonus!B307</f>
        <v>California Water Service Co. - Stockton Station 66-02 Panelboard Replacement - California W</v>
      </c>
      <c r="D138" s="100">
        <f>Bonus!C307</f>
        <v>122210</v>
      </c>
      <c r="E138" s="100">
        <f>Bonus!I307</f>
        <v>116647.24666234096</v>
      </c>
      <c r="F138" s="100">
        <f t="shared" si="51"/>
        <v>5562.7533376590436</v>
      </c>
      <c r="G138" s="233">
        <f>Bonus!E307</f>
        <v>8163</v>
      </c>
      <c r="H138" s="100">
        <f>Bonus!H307</f>
        <v>7791.4366623409651</v>
      </c>
      <c r="I138" s="100">
        <f t="shared" si="52"/>
        <v>371.56333765903491</v>
      </c>
      <c r="J138" s="646">
        <f t="shared" si="49"/>
        <v>6.6794861304312253E-2</v>
      </c>
      <c r="K138" s="646">
        <f t="shared" si="50"/>
        <v>0.95448201180215164</v>
      </c>
    </row>
    <row r="139" spans="1:11" ht="12.75" customHeight="1">
      <c r="A139" s="512">
        <f>Bonus!A308</f>
        <v>56.107500000000002</v>
      </c>
      <c r="B139" t="str">
        <f>Bonus!B308</f>
        <v>California Water Service Co. -Pkg 1 Bakersfield &amp; Arden PFAS RF</v>
      </c>
      <c r="D139" s="100">
        <f>Bonus!C308</f>
        <v>950000</v>
      </c>
      <c r="E139" s="100">
        <f>Bonus!I308</f>
        <v>27665.919999999998</v>
      </c>
      <c r="F139" s="100">
        <f t="shared" si="51"/>
        <v>922334.08</v>
      </c>
      <c r="G139" s="233">
        <f>Bonus!E308</f>
        <v>170952</v>
      </c>
      <c r="H139" s="100">
        <f>Bonus!H308</f>
        <v>0</v>
      </c>
      <c r="I139" s="100">
        <f t="shared" si="52"/>
        <v>170952</v>
      </c>
      <c r="J139" s="646">
        <f t="shared" si="49"/>
        <v>0.17994947368421052</v>
      </c>
      <c r="K139" s="646">
        <f t="shared" si="50"/>
        <v>2.9122021052631578E-2</v>
      </c>
    </row>
    <row r="140" spans="1:11" ht="12.75" customHeight="1">
      <c r="A140" s="512">
        <f>Bonus!A309</f>
        <v>56.107799999999997</v>
      </c>
      <c r="B140" t="str">
        <f>Bonus!B309</f>
        <v>City of Napa - On-Call Control Systems Integrator Services</v>
      </c>
      <c r="D140" s="100">
        <f>Bonus!C309</f>
        <v>25356.25</v>
      </c>
      <c r="E140" s="100">
        <f>Bonus!I309</f>
        <v>25356.25</v>
      </c>
      <c r="F140" s="100">
        <f t="shared" si="51"/>
        <v>0</v>
      </c>
      <c r="G140" s="233">
        <f>Bonus!E309</f>
        <v>0</v>
      </c>
      <c r="H140" s="100">
        <f>Bonus!H309</f>
        <v>0</v>
      </c>
      <c r="I140" s="100">
        <f t="shared" si="52"/>
        <v>0</v>
      </c>
      <c r="J140" s="646">
        <f t="shared" si="49"/>
        <v>0</v>
      </c>
      <c r="K140" s="646">
        <f t="shared" si="50"/>
        <v>1</v>
      </c>
    </row>
    <row r="141" spans="1:11" ht="12.75" customHeight="1">
      <c r="A141" s="512">
        <f>Bonus!A310</f>
        <v>56.1081</v>
      </c>
      <c r="B141" t="str">
        <f>Bonus!B310</f>
        <v>Rancho Murieta Community Service District - RFP for Replacement of WTP SCADA</v>
      </c>
      <c r="D141" s="100">
        <f>Bonus!C310</f>
        <v>179690</v>
      </c>
      <c r="E141" s="100">
        <f>Bonus!I310</f>
        <v>176270.58763525987</v>
      </c>
      <c r="F141" s="100">
        <f t="shared" si="51"/>
        <v>3419.4123647401284</v>
      </c>
      <c r="G141" s="233">
        <f>Bonus!E310</f>
        <v>19905</v>
      </c>
      <c r="H141" s="100">
        <f>Bonus!H310</f>
        <v>19526.21763525988</v>
      </c>
      <c r="I141" s="100">
        <f t="shared" si="52"/>
        <v>378.7823647401201</v>
      </c>
      <c r="J141" s="646">
        <f t="shared" si="49"/>
        <v>0.11077411096889087</v>
      </c>
      <c r="K141" s="646">
        <f t="shared" si="50"/>
        <v>0.98097049159808491</v>
      </c>
    </row>
    <row r="142" spans="1:11" ht="12.75" customHeight="1">
      <c r="A142" s="512">
        <f>Bonus!A311</f>
        <v>56.1083</v>
      </c>
      <c r="B142" t="str">
        <f>Bonus!B311</f>
        <v>West Valley Water District - Furnish Planning Services for SCADA, Instrumentation, and SM</v>
      </c>
      <c r="D142" s="100">
        <f>Bonus!C311</f>
        <v>717010</v>
      </c>
      <c r="E142" s="100">
        <f>Bonus!I311</f>
        <v>380119.03416783089</v>
      </c>
      <c r="F142" s="100">
        <f t="shared" si="51"/>
        <v>336890.96583216911</v>
      </c>
      <c r="G142" s="233">
        <f>Bonus!E311</f>
        <v>60647</v>
      </c>
      <c r="H142" s="100">
        <f>Bonus!H311</f>
        <v>32151.68416783091</v>
      </c>
      <c r="I142" s="100">
        <f t="shared" si="52"/>
        <v>28495.31583216909</v>
      </c>
      <c r="J142" s="646">
        <f t="shared" si="49"/>
        <v>8.4583199676434087E-2</v>
      </c>
      <c r="K142" s="646">
        <f t="shared" si="50"/>
        <v>0.5301446760405446</v>
      </c>
    </row>
    <row r="143" spans="1:11" ht="12.75" customHeight="1">
      <c r="A143" s="512">
        <f>Bonus!A312</f>
        <v>56.108499999999999</v>
      </c>
      <c r="B143" t="str">
        <f>Bonus!B312</f>
        <v>Bullert Industrial Electric, Inc - Pkg 3 Chico PFAS RFP (CTS) - California Water Service</v>
      </c>
      <c r="D143" s="100">
        <f>Bonus!C312</f>
        <v>80000</v>
      </c>
      <c r="E143" s="100">
        <f>Bonus!I312</f>
        <v>1090.31</v>
      </c>
      <c r="F143" s="100">
        <f t="shared" si="51"/>
        <v>78909.69</v>
      </c>
      <c r="G143" s="233">
        <f>Bonus!E312</f>
        <v>13045</v>
      </c>
      <c r="H143" s="100">
        <f>Bonus!H312</f>
        <v>0</v>
      </c>
      <c r="I143" s="100">
        <f t="shared" si="52"/>
        <v>13045</v>
      </c>
      <c r="J143" s="646">
        <f t="shared" si="49"/>
        <v>0.1630625</v>
      </c>
      <c r="K143" s="646">
        <f t="shared" si="50"/>
        <v>1.3628874999999999E-2</v>
      </c>
    </row>
    <row r="144" spans="1:11" ht="12.75" customHeight="1">
      <c r="A144" s="512">
        <f>Bonus!A313</f>
        <v>56.108600000000003</v>
      </c>
      <c r="B144" t="str">
        <f>Bonus!B313</f>
        <v>Bullert Industrial Electric, Inc - Pkg 3 Chico PFAS RFP (WVC) - California Water Service</v>
      </c>
      <c r="D144" s="100">
        <f>Bonus!C313</f>
        <v>376000</v>
      </c>
      <c r="E144" s="100">
        <f>Bonus!I313</f>
        <v>12732.69</v>
      </c>
      <c r="F144" s="100">
        <f t="shared" si="51"/>
        <v>363267.31</v>
      </c>
      <c r="G144" s="233">
        <f>Bonus!E313</f>
        <v>80898</v>
      </c>
      <c r="H144" s="100">
        <f>Bonus!H313</f>
        <v>0</v>
      </c>
      <c r="I144" s="100">
        <f t="shared" si="52"/>
        <v>80898</v>
      </c>
      <c r="J144" s="646">
        <f t="shared" si="49"/>
        <v>0.21515425531914895</v>
      </c>
      <c r="K144" s="646">
        <f t="shared" si="50"/>
        <v>3.3863537234042555E-2</v>
      </c>
    </row>
    <row r="145" spans="1:11" ht="12.75" customHeight="1">
      <c r="A145" s="512">
        <f>Bonus!A314</f>
        <v>56.108699999999999</v>
      </c>
      <c r="B145" t="str">
        <f>Bonus!B314</f>
        <v>San Gabrial Valley Water Companyy - WNOU Plant Replacement Flow Transmitters</v>
      </c>
      <c r="D145" s="100">
        <f>Bonus!C314</f>
        <v>49369</v>
      </c>
      <c r="E145" s="100">
        <f>Bonus!I314</f>
        <v>44888.934789662067</v>
      </c>
      <c r="F145" s="100">
        <f t="shared" si="51"/>
        <v>4480.0652103379325</v>
      </c>
      <c r="G145" s="233">
        <f>Bonus!E314</f>
        <v>6343</v>
      </c>
      <c r="H145" s="100">
        <f>Bonus!H314</f>
        <v>5767.3947896620648</v>
      </c>
      <c r="I145" s="100">
        <f t="shared" si="52"/>
        <v>575.6052103379352</v>
      </c>
      <c r="J145" s="646">
        <f t="shared" si="49"/>
        <v>0.12848143571877088</v>
      </c>
      <c r="K145" s="646">
        <f t="shared" si="50"/>
        <v>0.90925347464323902</v>
      </c>
    </row>
    <row r="146" spans="1:11" ht="12.75" customHeight="1">
      <c r="A146" s="512">
        <f>Bonus!A315</f>
        <v>56.108800000000002</v>
      </c>
      <c r="B146" t="str">
        <f>Bonus!B315</f>
        <v>California Water Service Company - Salinas District Station 304 Panelboard Replacement - Califo</v>
      </c>
      <c r="D146" s="100">
        <f>Bonus!C315</f>
        <v>117985</v>
      </c>
      <c r="E146" s="100">
        <f>Bonus!I315</f>
        <v>92320.606611439624</v>
      </c>
      <c r="F146" s="100">
        <f t="shared" si="51"/>
        <v>25664.393388560376</v>
      </c>
      <c r="G146" s="233">
        <f>Bonus!E315</f>
        <v>32580</v>
      </c>
      <c r="H146" s="100">
        <f>Bonus!H315</f>
        <v>25493.116611439615</v>
      </c>
      <c r="I146" s="100">
        <f t="shared" si="52"/>
        <v>7086.8833885603854</v>
      </c>
      <c r="J146" s="646">
        <f t="shared" si="49"/>
        <v>0.2761367970504725</v>
      </c>
      <c r="K146" s="646">
        <f t="shared" si="50"/>
        <v>0.78247748960833685</v>
      </c>
    </row>
    <row r="147" spans="1:11" ht="12.75" customHeight="1">
      <c r="A147" s="513"/>
      <c r="B147" s="517" t="s">
        <v>566</v>
      </c>
      <c r="C147" s="517"/>
      <c r="D147" s="234">
        <f t="shared" ref="D147:I147" si="53">SUM(D114:D146)</f>
        <v>14022847.25</v>
      </c>
      <c r="E147" s="234">
        <f t="shared" si="53"/>
        <v>7566720.7015791805</v>
      </c>
      <c r="F147" s="234">
        <f t="shared" si="53"/>
        <v>6456126.5484208176</v>
      </c>
      <c r="G147" s="234">
        <f t="shared" si="53"/>
        <v>2055056.8599999999</v>
      </c>
      <c r="H147" s="234">
        <f t="shared" si="53"/>
        <v>1107371.7915791802</v>
      </c>
      <c r="I147" s="234">
        <f t="shared" si="53"/>
        <v>947685.06842081971</v>
      </c>
      <c r="J147" s="654">
        <f>G147/D147</f>
        <v>0.14655061296485275</v>
      </c>
      <c r="K147" s="654">
        <f t="shared" si="50"/>
        <v>0.5395994527130844</v>
      </c>
    </row>
    <row r="148" spans="1:11" ht="11.25" customHeight="1">
      <c r="A148" s="512"/>
      <c r="G148" s="233"/>
    </row>
    <row r="149" spans="1:11" ht="13.9" customHeight="1" thickBot="1">
      <c r="A149" s="510" t="s">
        <v>567</v>
      </c>
      <c r="B149" s="510"/>
      <c r="C149" s="510"/>
      <c r="D149" s="511">
        <f t="shared" ref="D149:I149" si="54">D112+D147</f>
        <v>1871949205.4099998</v>
      </c>
      <c r="E149" s="511">
        <f t="shared" si="54"/>
        <v>1107807669.4931359</v>
      </c>
      <c r="F149" s="511">
        <f t="shared" si="54"/>
        <v>764141535.91686404</v>
      </c>
      <c r="G149" s="511">
        <f t="shared" si="54"/>
        <v>126137111.39</v>
      </c>
      <c r="H149" s="511">
        <f t="shared" si="54"/>
        <v>66272671.223135963</v>
      </c>
      <c r="I149" s="511">
        <f t="shared" si="54"/>
        <v>59864440.166864038</v>
      </c>
      <c r="J149" s="651">
        <f t="shared" ref="J149" si="55">G149/D149</f>
        <v>6.7382763926210842E-2</v>
      </c>
      <c r="K149" s="651">
        <f t="shared" ref="K149" si="56">E149/D149</f>
        <v>0.59179365887254431</v>
      </c>
    </row>
    <row r="150" spans="1:11" ht="13.9" customHeight="1" thickTop="1">
      <c r="A150" s="228"/>
      <c r="B150" s="228"/>
      <c r="C150" s="228"/>
      <c r="D150" s="508"/>
      <c r="E150" s="508"/>
      <c r="F150" s="508"/>
      <c r="G150" s="508"/>
      <c r="H150" s="508"/>
      <c r="I150" s="508"/>
    </row>
    <row r="151" spans="1:11" ht="13.9" customHeight="1">
      <c r="A151" s="228"/>
      <c r="B151" s="228"/>
      <c r="C151" s="228"/>
      <c r="D151" s="508"/>
      <c r="E151" s="508"/>
      <c r="F151" s="508"/>
      <c r="G151" s="508"/>
      <c r="H151" s="508"/>
      <c r="I151" s="508"/>
    </row>
    <row r="152" spans="1:11" ht="38.25">
      <c r="A152" s="494" t="s">
        <v>547</v>
      </c>
      <c r="B152" s="494" t="s">
        <v>548</v>
      </c>
      <c r="C152" s="494" t="s">
        <v>549</v>
      </c>
      <c r="D152" s="494" t="s">
        <v>550</v>
      </c>
      <c r="E152" s="494" t="s">
        <v>551</v>
      </c>
      <c r="F152" s="494" t="s">
        <v>552</v>
      </c>
      <c r="G152" s="494" t="s">
        <v>553</v>
      </c>
      <c r="H152" s="494" t="s">
        <v>554</v>
      </c>
      <c r="I152" s="494" t="s">
        <v>555</v>
      </c>
      <c r="J152" s="649" t="s">
        <v>730</v>
      </c>
      <c r="K152" s="649" t="s">
        <v>731</v>
      </c>
    </row>
    <row r="153" spans="1:11">
      <c r="A153" s="495" t="s">
        <v>556</v>
      </c>
      <c r="B153" s="496"/>
      <c r="C153" s="496"/>
      <c r="D153" s="496"/>
      <c r="E153" s="496"/>
      <c r="F153" s="496"/>
      <c r="G153" s="496"/>
      <c r="H153" s="496"/>
      <c r="I153" s="496"/>
    </row>
    <row r="154" spans="1:11">
      <c r="A154" s="497"/>
      <c r="B154" s="498"/>
      <c r="C154" s="498"/>
      <c r="D154" s="499"/>
      <c r="E154" s="499"/>
      <c r="F154" s="499"/>
      <c r="G154" s="499"/>
      <c r="H154" s="499"/>
      <c r="I154" s="499"/>
    </row>
    <row r="155" spans="1:11">
      <c r="A155" s="500" t="s">
        <v>394</v>
      </c>
      <c r="B155" s="45" t="s">
        <v>304</v>
      </c>
      <c r="C155" s="501">
        <v>0.5</v>
      </c>
      <c r="D155" s="612">
        <v>2754056</v>
      </c>
      <c r="E155" s="612">
        <v>2754056</v>
      </c>
      <c r="F155" s="499">
        <f>+D155-E155</f>
        <v>0</v>
      </c>
      <c r="G155" s="612">
        <v>284545</v>
      </c>
      <c r="H155" s="612">
        <v>284545</v>
      </c>
      <c r="I155" s="499">
        <f>+G155-H155</f>
        <v>0</v>
      </c>
      <c r="J155" s="646">
        <f>G155/D155</f>
        <v>0.10331852366110203</v>
      </c>
      <c r="K155" s="646">
        <f t="shared" ref="K155:K163" si="57">E155/D155</f>
        <v>1</v>
      </c>
    </row>
    <row r="156" spans="1:11">
      <c r="A156" s="500" t="s">
        <v>394</v>
      </c>
      <c r="B156" s="45" t="s">
        <v>305</v>
      </c>
      <c r="C156" s="501">
        <v>0.5</v>
      </c>
      <c r="D156" s="612">
        <v>112542778.5</v>
      </c>
      <c r="E156" s="612">
        <v>112438999.5</v>
      </c>
      <c r="F156" s="499">
        <f t="shared" ref="F156:F161" si="58">+D156-E156</f>
        <v>103779</v>
      </c>
      <c r="G156" s="612">
        <v>6418180.5</v>
      </c>
      <c r="H156" s="612">
        <v>6418180.5</v>
      </c>
      <c r="I156" s="499">
        <f>+G156-H156</f>
        <v>0</v>
      </c>
      <c r="J156" s="646">
        <f>G156/D156</f>
        <v>5.7028807939018496E-2</v>
      </c>
      <c r="K156" s="646">
        <f t="shared" si="57"/>
        <v>0.99907787064276188</v>
      </c>
    </row>
    <row r="157" spans="1:11">
      <c r="A157" s="500" t="s">
        <v>395</v>
      </c>
      <c r="B157" s="45" t="s">
        <v>306</v>
      </c>
      <c r="C157" s="501">
        <v>0.5</v>
      </c>
      <c r="D157" s="612">
        <v>5521233.5</v>
      </c>
      <c r="E157" s="612">
        <v>5490375</v>
      </c>
      <c r="F157" s="499">
        <f t="shared" si="58"/>
        <v>30858.5</v>
      </c>
      <c r="G157" s="612">
        <v>17258.5</v>
      </c>
      <c r="H157" s="612">
        <v>17162.5</v>
      </c>
      <c r="I157" s="499">
        <f>+G157-H157</f>
        <v>96</v>
      </c>
      <c r="J157" s="646">
        <f t="shared" ref="J157:J160" si="59">G157/D157</f>
        <v>3.1258413541104539E-3</v>
      </c>
      <c r="K157" s="646">
        <f t="shared" si="57"/>
        <v>0.99441094096092841</v>
      </c>
    </row>
    <row r="158" spans="1:11">
      <c r="A158" s="500" t="s">
        <v>396</v>
      </c>
      <c r="B158" s="45" t="s">
        <v>301</v>
      </c>
      <c r="C158" s="501">
        <v>0.25</v>
      </c>
      <c r="D158" s="612">
        <v>91586461.5</v>
      </c>
      <c r="E158" s="612">
        <v>90175346.75</v>
      </c>
      <c r="F158" s="499">
        <f t="shared" si="58"/>
        <v>1411114.75</v>
      </c>
      <c r="G158" s="612">
        <v>6346256.75</v>
      </c>
      <c r="H158" s="612">
        <v>6242676.75</v>
      </c>
      <c r="I158" s="499">
        <f t="shared" ref="I158:I161" si="60">+G158-H158</f>
        <v>103580</v>
      </c>
      <c r="J158" s="646">
        <f t="shared" si="59"/>
        <v>6.9292520379772501E-2</v>
      </c>
      <c r="K158" s="646">
        <f t="shared" si="57"/>
        <v>0.98459253991377316</v>
      </c>
    </row>
    <row r="159" spans="1:11">
      <c r="A159" s="500" t="s">
        <v>396</v>
      </c>
      <c r="B159" s="45" t="s">
        <v>302</v>
      </c>
      <c r="C159" s="501">
        <v>0.5</v>
      </c>
      <c r="D159" s="612">
        <v>239937310</v>
      </c>
      <c r="E159" s="612">
        <v>211769168.5</v>
      </c>
      <c r="F159" s="499">
        <f t="shared" si="58"/>
        <v>28168141.5</v>
      </c>
      <c r="G159" s="612">
        <v>8546652</v>
      </c>
      <c r="H159" s="612">
        <v>8546652</v>
      </c>
      <c r="I159" s="499">
        <f t="shared" si="60"/>
        <v>0</v>
      </c>
      <c r="J159" s="646">
        <f t="shared" si="59"/>
        <v>3.5620354333388164E-2</v>
      </c>
      <c r="K159" s="646">
        <f t="shared" si="57"/>
        <v>0.88260207843457106</v>
      </c>
    </row>
    <row r="160" spans="1:11">
      <c r="A160" s="500" t="s">
        <v>396</v>
      </c>
      <c r="B160" s="45" t="s">
        <v>303</v>
      </c>
      <c r="C160" s="501">
        <v>0.5</v>
      </c>
      <c r="D160" s="612">
        <v>45865869.5</v>
      </c>
      <c r="E160" s="612">
        <v>36465046</v>
      </c>
      <c r="F160" s="499">
        <f t="shared" si="58"/>
        <v>9400823.5</v>
      </c>
      <c r="G160" s="612">
        <v>-10262956</v>
      </c>
      <c r="H160" s="612">
        <v>-10262956</v>
      </c>
      <c r="I160" s="499">
        <f t="shared" si="60"/>
        <v>0</v>
      </c>
      <c r="J160" s="646">
        <f t="shared" si="59"/>
        <v>-0.22376019711127465</v>
      </c>
      <c r="K160" s="646">
        <f t="shared" si="57"/>
        <v>0.79503662303840117</v>
      </c>
    </row>
    <row r="161" spans="1:11">
      <c r="A161" s="500" t="s">
        <v>396</v>
      </c>
      <c r="B161" s="45" t="s">
        <v>671</v>
      </c>
      <c r="C161" s="501">
        <v>0.5</v>
      </c>
      <c r="D161" s="612">
        <v>1999314</v>
      </c>
      <c r="E161" s="612">
        <v>571506</v>
      </c>
      <c r="F161" s="499">
        <f t="shared" si="58"/>
        <v>1427808</v>
      </c>
      <c r="G161" s="612">
        <v>0</v>
      </c>
      <c r="H161" s="612">
        <v>0</v>
      </c>
      <c r="I161" s="499">
        <f t="shared" si="60"/>
        <v>0</v>
      </c>
      <c r="J161" s="646">
        <f>G161/D161</f>
        <v>0</v>
      </c>
      <c r="K161" s="646">
        <f t="shared" si="57"/>
        <v>0.2858510469090898</v>
      </c>
    </row>
    <row r="162" spans="1:11">
      <c r="B162" s="498"/>
      <c r="C162" s="498"/>
      <c r="D162" s="502"/>
      <c r="E162" s="502"/>
      <c r="F162" s="502"/>
      <c r="G162" s="499"/>
      <c r="H162" s="499"/>
      <c r="I162" s="499"/>
      <c r="J162" s="646"/>
      <c r="K162" s="647"/>
    </row>
    <row r="163" spans="1:11" ht="13.5" thickBot="1">
      <c r="A163" s="518" t="s">
        <v>568</v>
      </c>
      <c r="B163" s="509"/>
      <c r="C163" s="518"/>
      <c r="D163" s="503">
        <f>SUM(D154:D161)</f>
        <v>500207023</v>
      </c>
      <c r="E163" s="503">
        <f t="shared" ref="E163:I163" si="61">SUM(E154:E161)</f>
        <v>459664497.75</v>
      </c>
      <c r="F163" s="503">
        <f t="shared" si="61"/>
        <v>40542525.25</v>
      </c>
      <c r="G163" s="503">
        <f t="shared" si="61"/>
        <v>11349936.75</v>
      </c>
      <c r="H163" s="503">
        <f t="shared" si="61"/>
        <v>11246260.75</v>
      </c>
      <c r="I163" s="503">
        <f t="shared" si="61"/>
        <v>103676</v>
      </c>
      <c r="J163" s="650">
        <f>G163/D163</f>
        <v>2.2690478598098373E-2</v>
      </c>
      <c r="K163" s="651">
        <f t="shared" si="57"/>
        <v>0.91894850854583066</v>
      </c>
    </row>
    <row r="164" spans="1:11" ht="13.5" thickTop="1"/>
    <row r="168" spans="1:11">
      <c r="A168" s="228" t="s">
        <v>732</v>
      </c>
      <c r="D168" s="655">
        <f>D163+D149</f>
        <v>2372156228.4099998</v>
      </c>
      <c r="E168" s="655">
        <f>E163+E149</f>
        <v>1567472167.2431359</v>
      </c>
      <c r="F168" s="655">
        <f>F163+F149</f>
        <v>804684061.16686404</v>
      </c>
      <c r="G168" s="655">
        <f>G163+G149</f>
        <v>137487048.13999999</v>
      </c>
      <c r="H168" s="655">
        <f>H163+H149</f>
        <v>77518931.973135963</v>
      </c>
      <c r="I168" s="655">
        <f>I163+I149</f>
        <v>59968116.166864038</v>
      </c>
      <c r="J168" s="652">
        <f>G168/D168</f>
        <v>5.795868184961591E-2</v>
      </c>
      <c r="K168" s="653">
        <f>E168/D168</f>
        <v>0.66077948343805981</v>
      </c>
    </row>
    <row r="181" spans="2:11" ht="13.9" customHeight="1">
      <c r="B181" s="45" t="s">
        <v>149</v>
      </c>
      <c r="C181" s="45"/>
      <c r="D181" s="100">
        <f>'Job Summary'!D439</f>
        <v>1871949205.4099998</v>
      </c>
      <c r="E181" s="100">
        <f>'Job Summary'!H439</f>
        <v>1107807669.4931359</v>
      </c>
      <c r="F181" s="100">
        <f>+D181-E181</f>
        <v>764141535.91686392</v>
      </c>
      <c r="G181" s="100">
        <f>'Job Summary'!E439</f>
        <v>126137111.39</v>
      </c>
      <c r="H181" s="100">
        <f>'Job Summary'!J439</f>
        <v>66272671.223135963</v>
      </c>
      <c r="I181" s="100">
        <f>+G181-H181</f>
        <v>59864440.166864038</v>
      </c>
    </row>
    <row r="182" spans="2:11" ht="13.9" customHeight="1">
      <c r="B182" s="45" t="s">
        <v>53</v>
      </c>
      <c r="C182" s="45"/>
      <c r="D182" s="100">
        <f>+D149-D181</f>
        <v>0</v>
      </c>
      <c r="E182" s="100">
        <f t="shared" ref="E182:I182" si="62">+E149-E181</f>
        <v>0</v>
      </c>
      <c r="F182" s="100">
        <f t="shared" si="62"/>
        <v>0</v>
      </c>
      <c r="G182" s="100">
        <f>+G149-G181</f>
        <v>0</v>
      </c>
      <c r="H182" s="100">
        <f t="shared" si="62"/>
        <v>0</v>
      </c>
      <c r="I182" s="100">
        <f t="shared" si="62"/>
        <v>0</v>
      </c>
    </row>
    <row r="183" spans="2:11">
      <c r="J183" s="652"/>
      <c r="K183" s="653"/>
    </row>
  </sheetData>
  <sortState xmlns:xlrd2="http://schemas.microsoft.com/office/spreadsheetml/2017/richdata2" ref="A22:I47">
    <sortCondition ref="A22"/>
  </sortState>
  <printOptions horizontalCentered="1"/>
  <pageMargins left="0.2" right="0.2" top="0.75" bottom="0.45" header="0.3" footer="0.3"/>
  <pageSetup scale="55" fitToHeight="0" orientation="portrait" blackAndWhite="1"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757"/>
  <sheetViews>
    <sheetView view="pageBreakPreview" zoomScale="85" zoomScaleNormal="85" zoomScaleSheetLayoutView="85" workbookViewId="0">
      <pane ySplit="7" topLeftCell="A305" activePane="bottomLeft" state="frozen"/>
      <selection activeCell="A3" sqref="A3"/>
      <selection pane="bottomLeft" activeCell="N10" sqref="N10"/>
    </sheetView>
  </sheetViews>
  <sheetFormatPr defaultColWidth="9.140625" defaultRowHeight="12.75"/>
  <cols>
    <col min="1" max="1" width="21.28515625" style="235" customWidth="1"/>
    <col min="2" max="2" width="66.5703125" style="235" customWidth="1"/>
    <col min="3" max="3" width="11.85546875" style="236" customWidth="1"/>
    <col min="4" max="4" width="13.5703125" style="235" customWidth="1"/>
    <col min="5" max="5" width="12" style="235" customWidth="1"/>
    <col min="6" max="6" width="12.28515625" style="235" customWidth="1"/>
    <col min="7" max="7" width="3.42578125" style="235" customWidth="1"/>
    <col min="8" max="9" width="13.85546875" style="235" bestFit="1" customWidth="1"/>
    <col min="10" max="10" width="11.7109375" style="235" customWidth="1"/>
    <col min="11" max="11" width="13.85546875" style="235" bestFit="1" customWidth="1"/>
    <col min="12" max="12" width="3" style="235" customWidth="1"/>
    <col min="13" max="13" width="14.7109375" style="235" customWidth="1"/>
    <col min="14" max="14" width="13" style="235" customWidth="1"/>
    <col min="15" max="15" width="12.5703125" style="235" bestFit="1" customWidth="1"/>
    <col min="16" max="16" width="14.140625" style="235" bestFit="1" customWidth="1"/>
    <col min="17" max="17" width="3.85546875" style="235" customWidth="1"/>
    <col min="18" max="18" width="12.5703125" style="264" customWidth="1"/>
    <col min="19" max="19" width="9.140625" style="235"/>
    <col min="20" max="20" width="14.85546875" style="235" customWidth="1"/>
    <col min="21" max="16384" width="9.140625" style="235"/>
  </cols>
  <sheetData>
    <row r="1" spans="1:20" ht="21.75" customHeight="1">
      <c r="A1" s="328" t="s">
        <v>94</v>
      </c>
    </row>
    <row r="2" spans="1:20" ht="18.75">
      <c r="A2" s="328" t="s">
        <v>150</v>
      </c>
      <c r="D2" s="340"/>
      <c r="H2" s="340"/>
      <c r="I2" s="340"/>
    </row>
    <row r="3" spans="1:20" ht="18.75">
      <c r="A3" s="328" t="str">
        <f>'Bonus WIP'!A3</f>
        <v>For the Month Period Ended 12/31/2025</v>
      </c>
    </row>
    <row r="4" spans="1:20" ht="12.75" hidden="1" customHeight="1"/>
    <row r="5" spans="1:20">
      <c r="D5" s="643" t="s">
        <v>151</v>
      </c>
      <c r="E5" s="643"/>
      <c r="F5" s="643"/>
      <c r="H5" s="644" t="s">
        <v>152</v>
      </c>
      <c r="I5" s="644"/>
      <c r="J5" s="644"/>
      <c r="K5" s="644"/>
      <c r="L5" s="644"/>
      <c r="M5" s="644"/>
      <c r="N5" s="644"/>
      <c r="O5" s="644"/>
    </row>
    <row r="6" spans="1:20">
      <c r="C6" s="236" t="s">
        <v>153</v>
      </c>
      <c r="D6" s="237"/>
      <c r="E6" s="237"/>
      <c r="F6" s="237"/>
      <c r="H6" s="645" t="s">
        <v>154</v>
      </c>
      <c r="I6" s="645"/>
      <c r="J6" s="645"/>
      <c r="K6" s="236" t="s">
        <v>155</v>
      </c>
      <c r="L6" s="236"/>
      <c r="M6" s="645" t="s">
        <v>156</v>
      </c>
      <c r="N6" s="645"/>
      <c r="O6" s="645"/>
      <c r="P6" s="236" t="s">
        <v>157</v>
      </c>
      <c r="Q6" s="236"/>
      <c r="R6" s="265" t="s">
        <v>158</v>
      </c>
    </row>
    <row r="7" spans="1:20">
      <c r="A7" s="238" t="s">
        <v>141</v>
      </c>
      <c r="B7" s="238" t="s">
        <v>142</v>
      </c>
      <c r="C7" s="238" t="s">
        <v>88</v>
      </c>
      <c r="D7" s="238" t="s">
        <v>159</v>
      </c>
      <c r="E7" s="238" t="s">
        <v>92</v>
      </c>
      <c r="F7" s="238" t="s">
        <v>160</v>
      </c>
      <c r="G7" s="239"/>
      <c r="H7" s="238" t="s">
        <v>159</v>
      </c>
      <c r="I7" s="238" t="s">
        <v>69</v>
      </c>
      <c r="J7" s="238" t="s">
        <v>92</v>
      </c>
      <c r="K7" s="238" t="s">
        <v>92</v>
      </c>
      <c r="L7" s="238"/>
      <c r="M7" s="238" t="s">
        <v>159</v>
      </c>
      <c r="N7" s="238" t="s">
        <v>69</v>
      </c>
      <c r="O7" s="238" t="s">
        <v>92</v>
      </c>
      <c r="P7" s="238" t="s">
        <v>161</v>
      </c>
      <c r="Q7" s="236"/>
      <c r="R7" s="266" t="s">
        <v>92</v>
      </c>
    </row>
    <row r="8" spans="1:20" ht="15" customHeight="1">
      <c r="A8" s="330" t="s">
        <v>319</v>
      </c>
      <c r="C8" s="241"/>
      <c r="D8" s="242"/>
      <c r="E8" s="242"/>
      <c r="F8" s="242"/>
      <c r="G8" s="242"/>
      <c r="H8" s="242"/>
      <c r="I8" s="242"/>
      <c r="J8" s="242"/>
      <c r="K8" s="242"/>
      <c r="L8" s="242"/>
      <c r="M8" s="242"/>
      <c r="N8" s="242"/>
      <c r="O8" s="242"/>
      <c r="P8" s="242"/>
      <c r="Q8" s="242"/>
      <c r="R8" s="243"/>
    </row>
    <row r="9" spans="1:20" ht="15" customHeight="1">
      <c r="A9" s="329">
        <f>Bonus!A9</f>
        <v>51.110799999999998</v>
      </c>
      <c r="B9" s="235" t="str">
        <f>Bonus!B9</f>
        <v>City of Stockton - RWCF Phase 2A/2B</v>
      </c>
      <c r="C9" s="241">
        <f>Bonus!G9</f>
        <v>0.9999753785385459</v>
      </c>
      <c r="D9" s="242">
        <f>Bonus!C9</f>
        <v>94196098</v>
      </c>
      <c r="E9" s="243">
        <f>Bonus!E9</f>
        <v>4388269</v>
      </c>
      <c r="F9" s="242">
        <f t="shared" ref="F9" si="0">+E9-R9</f>
        <v>0</v>
      </c>
      <c r="G9" s="242"/>
      <c r="H9" s="242">
        <f>Bonus!I9</f>
        <v>94126376.709999993</v>
      </c>
      <c r="I9" s="242">
        <f>Bonus!F9</f>
        <v>89805617.799999997</v>
      </c>
      <c r="J9" s="242">
        <f>Bonus!H9</f>
        <v>4320758.91</v>
      </c>
      <c r="K9" s="242">
        <f>Bonus!P9</f>
        <v>4328399.75</v>
      </c>
      <c r="L9" s="242"/>
      <c r="M9" s="242">
        <f t="shared" ref="M9" si="1">+N9+O9</f>
        <v>1278781.9899999984</v>
      </c>
      <c r="N9" s="242">
        <f>Bonus!Q9</f>
        <v>1286422.8299999982</v>
      </c>
      <c r="O9" s="242">
        <f>Bonus!S9</f>
        <v>-7640.839999999851</v>
      </c>
      <c r="P9" s="242">
        <f>O9-Bonus!Y9</f>
        <v>-191.42999999970198</v>
      </c>
      <c r="Q9" s="242"/>
      <c r="R9" s="243">
        <v>4388269</v>
      </c>
      <c r="T9" s="521"/>
    </row>
    <row r="10" spans="1:20" ht="15" customHeight="1">
      <c r="A10" s="329">
        <f>Bonus!A10</f>
        <v>51.112900000000003</v>
      </c>
      <c r="B10" s="235" t="str">
        <f>Bonus!B10</f>
        <v>Union Sanit. Dist - Enhanced Trtmnt &amp; Site Upgrd Ph. 1A Aeration Basin</v>
      </c>
      <c r="C10" s="241">
        <f>Bonus!G10</f>
        <v>0.75772321387144703</v>
      </c>
      <c r="D10" s="242">
        <f>Bonus!C10</f>
        <v>126483580.84</v>
      </c>
      <c r="E10" s="243">
        <f>Bonus!E10</f>
        <v>11250000</v>
      </c>
      <c r="F10" s="242">
        <f t="shared" ref="F10:F17" si="2">+E10-R10</f>
        <v>0</v>
      </c>
      <c r="G10" s="242"/>
      <c r="H10" s="242">
        <f>Bonus!I10</f>
        <v>96373952.37605378</v>
      </c>
      <c r="I10" s="242">
        <f>Bonus!F10</f>
        <v>87315159.219999999</v>
      </c>
      <c r="J10" s="242">
        <f>Bonus!H10</f>
        <v>9058793.1560537815</v>
      </c>
      <c r="K10" s="242">
        <f>Bonus!P10</f>
        <v>7950623.3602031171</v>
      </c>
      <c r="L10" s="242"/>
      <c r="M10" s="242">
        <f t="shared" ref="M10:M17" si="3">+N10+O10</f>
        <v>24666258.345850661</v>
      </c>
      <c r="N10" s="242">
        <f>Bonus!Q10</f>
        <v>23558088.549999997</v>
      </c>
      <c r="O10" s="242">
        <f>Bonus!S10</f>
        <v>1108169.7958506644</v>
      </c>
      <c r="P10" s="242">
        <f>O10-Bonus!Y10</f>
        <v>61670.977810397744</v>
      </c>
      <c r="R10" s="243">
        <v>11250000</v>
      </c>
      <c r="T10" s="521"/>
    </row>
    <row r="11" spans="1:20" ht="15" customHeight="1">
      <c r="A11" s="329">
        <f>Bonus!A11</f>
        <v>51.113700000000001</v>
      </c>
      <c r="B11" s="235" t="str">
        <f>Bonus!B11</f>
        <v>CA Water Service Co. - Bear Gulch Pump Station 18</v>
      </c>
      <c r="C11" s="241">
        <f>Bonus!G11</f>
        <v>0.86960310750804171</v>
      </c>
      <c r="D11" s="242">
        <f>Bonus!C11</f>
        <v>1312151.46</v>
      </c>
      <c r="E11" s="243">
        <f>Bonus!E11</f>
        <v>113640</v>
      </c>
      <c r="F11" s="242">
        <f t="shared" si="2"/>
        <v>0</v>
      </c>
      <c r="G11" s="242"/>
      <c r="H11" s="242">
        <f>Bonus!I11</f>
        <v>1141050.9871372138</v>
      </c>
      <c r="I11" s="242">
        <f>Bonus!F11</f>
        <v>1042229.29</v>
      </c>
      <c r="J11" s="242">
        <f>Bonus!H11</f>
        <v>98821.697137213865</v>
      </c>
      <c r="K11" s="242">
        <f>Bonus!P11</f>
        <v>27243.588658981782</v>
      </c>
      <c r="L11" s="242"/>
      <c r="M11" s="242">
        <f t="shared" si="3"/>
        <v>842122.97847823217</v>
      </c>
      <c r="N11" s="242">
        <f>Bonus!Q11</f>
        <v>770544.87000000011</v>
      </c>
      <c r="O11" s="242">
        <f>Bonus!S11</f>
        <v>71578.108478232083</v>
      </c>
      <c r="P11" s="242">
        <f>O11-Bonus!Y11</f>
        <v>2043.5176925022097</v>
      </c>
      <c r="R11" s="243">
        <v>113640</v>
      </c>
      <c r="T11" s="521"/>
    </row>
    <row r="12" spans="1:20" ht="15" customHeight="1">
      <c r="A12" s="329">
        <f>Bonus!A12</f>
        <v>51.114400000000003</v>
      </c>
      <c r="B12" s="235" t="str">
        <f>Bonus!B12</f>
        <v>Silicon Valley Clean Water - FEP Improvements Project</v>
      </c>
      <c r="C12" s="241">
        <f>Bonus!G12</f>
        <v>0.60744172327890289</v>
      </c>
      <c r="D12" s="242">
        <f>Bonus!C12</f>
        <v>14969566</v>
      </c>
      <c r="E12" s="243">
        <f>Bonus!E12</f>
        <v>1129949</v>
      </c>
      <c r="F12" s="242">
        <f t="shared" si="2"/>
        <v>0</v>
      </c>
      <c r="G12" s="242"/>
      <c r="H12" s="242">
        <f>Bonus!I12</f>
        <v>9093138.9677772745</v>
      </c>
      <c r="I12" s="242">
        <f>Bonus!F12</f>
        <v>8406760.8000000007</v>
      </c>
      <c r="J12" s="242">
        <f>Bonus!H12</f>
        <v>686378.16777727299</v>
      </c>
      <c r="K12" s="242">
        <f>Bonus!P12</f>
        <v>90331.451153550006</v>
      </c>
      <c r="L12" s="242"/>
      <c r="M12" s="242">
        <f t="shared" si="3"/>
        <v>7649428.0966237243</v>
      </c>
      <c r="N12" s="242">
        <f>Bonus!Q12</f>
        <v>7053381.3800000008</v>
      </c>
      <c r="O12" s="242">
        <f>Bonus!S12</f>
        <v>596046.71662372304</v>
      </c>
      <c r="P12" s="242">
        <f>O12-Bonus!Y12</f>
        <v>12810.636628053384</v>
      </c>
      <c r="R12" s="243">
        <v>1129949</v>
      </c>
      <c r="T12" s="521"/>
    </row>
    <row r="13" spans="1:20" ht="15" customHeight="1">
      <c r="A13" s="329">
        <f>Bonus!A13</f>
        <v>51.114600000000003</v>
      </c>
      <c r="B13" s="235" t="str">
        <f>Bonus!B13</f>
        <v>National Carbon Technologies, LLC - Aymium Williams Production Facility</v>
      </c>
      <c r="C13" s="241">
        <f>Bonus!G13</f>
        <v>0.92655206798663625</v>
      </c>
      <c r="D13" s="242">
        <f>Bonus!C13</f>
        <v>60980234</v>
      </c>
      <c r="E13" s="243">
        <f>Bonus!E13</f>
        <v>16783379.969999999</v>
      </c>
      <c r="F13" s="242">
        <f t="shared" si="2"/>
        <v>1383379.9699999988</v>
      </c>
      <c r="G13" s="242"/>
      <c r="H13" s="242">
        <f>Bonus!I13</f>
        <v>56675078.537272215</v>
      </c>
      <c r="I13" s="242">
        <f>Bonus!F13</f>
        <v>40950686.5</v>
      </c>
      <c r="J13" s="242">
        <f>Bonus!H13</f>
        <v>15724392.037272211</v>
      </c>
      <c r="K13" s="242">
        <f>Bonus!P13</f>
        <v>1082047.42</v>
      </c>
      <c r="L13" s="242"/>
      <c r="M13" s="242">
        <f t="shared" si="3"/>
        <v>51031949.907272212</v>
      </c>
      <c r="N13" s="242">
        <f>Bonus!Q13</f>
        <v>36389605.289999999</v>
      </c>
      <c r="O13" s="242">
        <f>Bonus!S13</f>
        <v>14642344.617272211</v>
      </c>
      <c r="P13" s="242">
        <f>O13-Bonus!Y13</f>
        <v>2075100.7452245522</v>
      </c>
      <c r="R13" s="243">
        <v>15400000</v>
      </c>
      <c r="T13" s="521"/>
    </row>
    <row r="14" spans="1:20" ht="15" customHeight="1">
      <c r="A14" s="329">
        <f>Bonus!A14</f>
        <v>51.115099999999998</v>
      </c>
      <c r="B14" s="235" t="str">
        <f>Bonus!B14</f>
        <v>Sonoma Valley County Sanitation Dist. - Sonoma Valley Influent Effluent Upgrade</v>
      </c>
      <c r="C14" s="241">
        <f>Bonus!G14</f>
        <v>0.48846743123962727</v>
      </c>
      <c r="D14" s="242">
        <f>Bonus!C14</f>
        <v>10658200</v>
      </c>
      <c r="E14" s="243">
        <f>Bonus!E14</f>
        <v>578848</v>
      </c>
      <c r="F14" s="242">
        <f t="shared" si="2"/>
        <v>0</v>
      </c>
      <c r="G14" s="242"/>
      <c r="H14" s="242">
        <f>Bonus!I14</f>
        <v>5206183.5756381955</v>
      </c>
      <c r="I14" s="242">
        <f>Bonus!F14</f>
        <v>4923435.18</v>
      </c>
      <c r="J14" s="242">
        <f>Bonus!H14</f>
        <v>282748.39563819574</v>
      </c>
      <c r="K14" s="242">
        <f>Bonus!P14</f>
        <v>0</v>
      </c>
      <c r="L14" s="242"/>
      <c r="M14" s="242">
        <f t="shared" si="3"/>
        <v>5019039.4956381954</v>
      </c>
      <c r="N14" s="242">
        <f>Bonus!Q14</f>
        <v>4736291.0999999996</v>
      </c>
      <c r="O14" s="242">
        <f>Bonus!S14</f>
        <v>282748.39563819574</v>
      </c>
      <c r="P14" s="242">
        <f>O14-Bonus!Y14</f>
        <v>45627.212263835943</v>
      </c>
      <c r="R14" s="243">
        <v>578848</v>
      </c>
      <c r="T14" s="521"/>
    </row>
    <row r="15" spans="1:20" ht="15" customHeight="1">
      <c r="A15" s="329">
        <f>Bonus!A15</f>
        <v>51.115200000000002</v>
      </c>
      <c r="B15" s="235" t="str">
        <f>Bonus!B15</f>
        <v>Mozingo Construction Inc - ElD Sly Park Intertie Project</v>
      </c>
      <c r="C15" s="241">
        <f>Bonus!G15</f>
        <v>0.72332631418956417</v>
      </c>
      <c r="D15" s="242">
        <f>Bonus!C15</f>
        <v>19974489.34</v>
      </c>
      <c r="E15" s="243">
        <f>Bonus!E15</f>
        <v>1345541</v>
      </c>
      <c r="F15" s="242">
        <f t="shared" si="2"/>
        <v>0</v>
      </c>
      <c r="G15" s="242"/>
      <c r="H15" s="242">
        <f>Bonus!I15</f>
        <v>14448073.75212094</v>
      </c>
      <c r="I15" s="242">
        <f>Bonus!F15</f>
        <v>13474808.539999999</v>
      </c>
      <c r="J15" s="242">
        <f>Bonus!H15</f>
        <v>973265.21212094033</v>
      </c>
      <c r="K15" s="242">
        <f>Bonus!P15</f>
        <v>0</v>
      </c>
      <c r="L15" s="242"/>
      <c r="M15" s="242">
        <f t="shared" si="3"/>
        <v>13001302.85212094</v>
      </c>
      <c r="N15" s="242">
        <f>Bonus!Q15</f>
        <v>12028037.639999999</v>
      </c>
      <c r="O15" s="242">
        <f>Bonus!S15</f>
        <v>973265.21212094033</v>
      </c>
      <c r="P15" s="242">
        <f>O15-Bonus!Y15</f>
        <v>87250.676530182944</v>
      </c>
      <c r="R15" s="243">
        <v>1345541</v>
      </c>
      <c r="T15" s="521"/>
    </row>
    <row r="16" spans="1:20" ht="15" customHeight="1">
      <c r="A16" s="329">
        <f>Bonus!A16</f>
        <v>51.115299999999998</v>
      </c>
      <c r="B16" s="235" t="str">
        <f>Bonus!B16</f>
        <v>Linda County Water Dist. - Aeration Blower Replacement</v>
      </c>
      <c r="C16" s="241">
        <f>Bonus!G16</f>
        <v>0.7360518997727451</v>
      </c>
      <c r="D16" s="242">
        <f>Bonus!C16</f>
        <v>562824.68000000005</v>
      </c>
      <c r="E16" s="243">
        <f>Bonus!E16</f>
        <v>108304</v>
      </c>
      <c r="F16" s="242">
        <f t="shared" si="2"/>
        <v>0</v>
      </c>
      <c r="G16" s="242"/>
      <c r="H16" s="242">
        <f>Bonus!I16</f>
        <v>414268.17495298735</v>
      </c>
      <c r="I16" s="242">
        <f>Bonus!F16</f>
        <v>334550.81</v>
      </c>
      <c r="J16" s="242">
        <f>Bonus!H16</f>
        <v>79717.36495298738</v>
      </c>
      <c r="K16" s="242">
        <f>Bonus!P16</f>
        <v>12859.389183176303</v>
      </c>
      <c r="L16" s="242"/>
      <c r="M16" s="242">
        <f t="shared" si="3"/>
        <v>302445.42576981109</v>
      </c>
      <c r="N16" s="242">
        <f>Bonus!Q16</f>
        <v>235587.45</v>
      </c>
      <c r="O16" s="242">
        <f>Bonus!S16</f>
        <v>66857.975769811077</v>
      </c>
      <c r="P16" s="242">
        <f>O16-Bonus!Y16</f>
        <v>-2355.4474400779436</v>
      </c>
      <c r="R16" s="243">
        <v>108304</v>
      </c>
      <c r="T16" s="521"/>
    </row>
    <row r="17" spans="1:20" ht="15" customHeight="1">
      <c r="A17" s="329">
        <f>Bonus!A17</f>
        <v>51.115400000000001</v>
      </c>
      <c r="B17" s="235" t="str">
        <f>Bonus!B17</f>
        <v>Keyes Community Services Dist. - TCP Treatment Impvmts Wells 7,8,9,10</v>
      </c>
      <c r="C17" s="241">
        <f>Bonus!G17</f>
        <v>0.95063651653657044</v>
      </c>
      <c r="D17" s="242">
        <f>Bonus!C17</f>
        <v>13363835</v>
      </c>
      <c r="E17" s="243">
        <f>Bonus!E17</f>
        <v>875000</v>
      </c>
      <c r="F17" s="242">
        <f t="shared" si="2"/>
        <v>0</v>
      </c>
      <c r="G17" s="242"/>
      <c r="H17" s="242">
        <f>Bonus!I17</f>
        <v>12704149.551969498</v>
      </c>
      <c r="I17" s="242">
        <f>Bonus!F17</f>
        <v>11872342.6</v>
      </c>
      <c r="J17" s="242">
        <f>Bonus!H17</f>
        <v>831806.95196949912</v>
      </c>
      <c r="K17" s="242">
        <f>Bonus!P17</f>
        <v>0</v>
      </c>
      <c r="L17" s="242"/>
      <c r="M17" s="242">
        <f t="shared" si="3"/>
        <v>10325590.391969498</v>
      </c>
      <c r="N17" s="242">
        <f>Bonus!Q17</f>
        <v>9493783.4399999995</v>
      </c>
      <c r="O17" s="242">
        <f>Bonus!S17</f>
        <v>831806.95196949912</v>
      </c>
      <c r="P17" s="242">
        <f>O17-Bonus!Y17</f>
        <v>23076.83913271327</v>
      </c>
      <c r="R17" s="243">
        <v>875000</v>
      </c>
      <c r="T17" s="521"/>
    </row>
    <row r="18" spans="1:20" ht="15" customHeight="1">
      <c r="A18" s="329">
        <f>Bonus!A18</f>
        <v>51.1158</v>
      </c>
      <c r="B18" s="235" t="str">
        <f>Bonus!B18</f>
        <v>Schneider Electric - City of Ceres WWTP Phase 1- Schneider Electric</v>
      </c>
      <c r="C18" s="241">
        <f>Bonus!G18</f>
        <v>0.54536018612488757</v>
      </c>
      <c r="D18" s="242">
        <f>Bonus!C18</f>
        <v>104446</v>
      </c>
      <c r="E18" s="243">
        <f>Bonus!E18</f>
        <v>0</v>
      </c>
      <c r="F18" s="242">
        <f t="shared" ref="F18" si="4">+E18-R18</f>
        <v>0</v>
      </c>
      <c r="G18" s="242"/>
      <c r="H18" s="242">
        <f>Bonus!I18</f>
        <v>56960.69</v>
      </c>
      <c r="I18" s="242">
        <f>Bonus!F18</f>
        <v>56960.69</v>
      </c>
      <c r="J18" s="242">
        <f>Bonus!H18</f>
        <v>0</v>
      </c>
      <c r="K18" s="242">
        <f>Bonus!P18</f>
        <v>0</v>
      </c>
      <c r="L18" s="242"/>
      <c r="M18" s="242">
        <f t="shared" ref="M18" si="5">+N18+O18</f>
        <v>56960.69</v>
      </c>
      <c r="N18" s="242">
        <f>Bonus!Q18</f>
        <v>56960.69</v>
      </c>
      <c r="O18" s="242">
        <f>Bonus!S18</f>
        <v>0</v>
      </c>
      <c r="P18" s="242">
        <f>O18-Bonus!Y18</f>
        <v>0</v>
      </c>
      <c r="R18" s="243">
        <v>0</v>
      </c>
      <c r="T18" s="521"/>
    </row>
    <row r="19" spans="1:20" ht="15" customHeight="1">
      <c r="A19" s="329">
        <f>Bonus!A19</f>
        <v>51.115900000000003</v>
      </c>
      <c r="B19" s="235" t="str">
        <f>Bonus!B19</f>
        <v>El Dorado Irrigation Dist. - EID Reservoir A WTP Backwash-to-waste Valve Repalcement</v>
      </c>
      <c r="C19" s="241">
        <f>Bonus!G19</f>
        <v>0.73204395685853008</v>
      </c>
      <c r="D19" s="242">
        <f>Bonus!C19</f>
        <v>1199000</v>
      </c>
      <c r="E19" s="243">
        <f>Bonus!E19</f>
        <v>119760</v>
      </c>
      <c r="F19" s="242">
        <f t="shared" ref="F19" si="6">+E19-R19</f>
        <v>0</v>
      </c>
      <c r="G19" s="242"/>
      <c r="H19" s="242">
        <f>Bonus!I19</f>
        <v>877720.70427337755</v>
      </c>
      <c r="I19" s="242">
        <f>Bonus!F19</f>
        <v>790051.12</v>
      </c>
      <c r="J19" s="242">
        <f>Bonus!H19</f>
        <v>87669.584273377564</v>
      </c>
      <c r="K19" s="242">
        <f>Bonus!P19</f>
        <v>0</v>
      </c>
      <c r="L19" s="242"/>
      <c r="M19" s="242">
        <f t="shared" ref="M19" si="7">+N19+O19</f>
        <v>877720.70427337755</v>
      </c>
      <c r="N19" s="242">
        <f>Bonus!Q19</f>
        <v>790051.12</v>
      </c>
      <c r="O19" s="242">
        <f>Bonus!S19</f>
        <v>87669.584273377564</v>
      </c>
      <c r="P19" s="242">
        <f>O19-Bonus!Y19</f>
        <v>8772.7129528186488</v>
      </c>
      <c r="R19" s="243">
        <v>119760</v>
      </c>
      <c r="T19" s="521"/>
    </row>
    <row r="20" spans="1:20" ht="15" customHeight="1">
      <c r="A20" s="329">
        <f>Bonus!A20</f>
        <v>51.116</v>
      </c>
      <c r="B20" s="235" t="str">
        <f>Bonus!B20</f>
        <v>City of Galt Public Works - Industrial WWTP Expansion</v>
      </c>
      <c r="C20" s="241">
        <f>Bonus!G20</f>
        <v>0.14823553254437868</v>
      </c>
      <c r="D20" s="242">
        <f>Bonus!C20</f>
        <v>1757000</v>
      </c>
      <c r="E20" s="243">
        <f>Bonus!E20</f>
        <v>67000</v>
      </c>
      <c r="F20" s="242">
        <f t="shared" ref="F20" si="8">+E20-R20</f>
        <v>0</v>
      </c>
      <c r="G20" s="242"/>
      <c r="H20" s="242">
        <f>Bonus!I20</f>
        <v>250518.05</v>
      </c>
      <c r="I20" s="242">
        <f>Bonus!F20</f>
        <v>250518.05</v>
      </c>
      <c r="J20" s="242">
        <f>Bonus!H20</f>
        <v>0</v>
      </c>
      <c r="K20" s="242">
        <f>Bonus!P20</f>
        <v>0</v>
      </c>
      <c r="L20" s="242"/>
      <c r="M20" s="242">
        <f t="shared" ref="M20" si="9">+N20+O20</f>
        <v>250518.05</v>
      </c>
      <c r="N20" s="242">
        <f>Bonus!Q20</f>
        <v>250518.05</v>
      </c>
      <c r="O20" s="242">
        <f>Bonus!S20</f>
        <v>0</v>
      </c>
      <c r="P20" s="242">
        <f>O20-Bonus!Y20</f>
        <v>0</v>
      </c>
      <c r="R20" s="243">
        <v>67000</v>
      </c>
      <c r="T20" s="521"/>
    </row>
    <row r="21" spans="1:20" ht="15" customHeight="1">
      <c r="A21" s="329">
        <f>Bonus!A21</f>
        <v>51.116100000000003</v>
      </c>
      <c r="B21" s="235" t="str">
        <f>Bonus!B21</f>
        <v>Sacramento Area Sewer Dist. - SASD Influent Pump Nos. 2 and 5 Installation Project</v>
      </c>
      <c r="C21" s="241">
        <f>Bonus!G21</f>
        <v>5.8652895729117367E-2</v>
      </c>
      <c r="D21" s="242">
        <f>Bonus!C21</f>
        <v>10848599.449999999</v>
      </c>
      <c r="E21" s="243">
        <f>Bonus!E21</f>
        <v>587347</v>
      </c>
      <c r="F21" s="242">
        <f t="shared" ref="F21" si="10">+E21-R21</f>
        <v>0</v>
      </c>
      <c r="G21" s="242"/>
      <c r="H21" s="242">
        <f>Bonus!I21</f>
        <v>601852.17000000004</v>
      </c>
      <c r="I21" s="242">
        <f>Bonus!F21</f>
        <v>601852.17000000004</v>
      </c>
      <c r="J21" s="242">
        <f>Bonus!H21</f>
        <v>0</v>
      </c>
      <c r="K21" s="242">
        <f>Bonus!P21</f>
        <v>0</v>
      </c>
      <c r="L21" s="242"/>
      <c r="M21" s="242">
        <f t="shared" ref="M21" si="11">+N21+O21</f>
        <v>601852.17000000004</v>
      </c>
      <c r="N21" s="242">
        <f>Bonus!Q21</f>
        <v>601852.17000000004</v>
      </c>
      <c r="O21" s="242">
        <f>Bonus!S21</f>
        <v>0</v>
      </c>
      <c r="P21" s="242">
        <f>O21-Bonus!Y21</f>
        <v>0</v>
      </c>
      <c r="R21" s="243">
        <v>587347</v>
      </c>
      <c r="T21" s="521"/>
    </row>
    <row r="22" spans="1:20" ht="15" customHeight="1">
      <c r="A22" s="329">
        <f>Bonus!A22</f>
        <v>51.116199999999999</v>
      </c>
      <c r="B22" s="235" t="str">
        <f>Bonus!B22</f>
        <v>City of Chico - Chico Primary Clarifiers No. 1-3 Rehabilitation Project</v>
      </c>
      <c r="C22" s="241">
        <f>Bonus!G22</f>
        <v>1.4702739637207087E-2</v>
      </c>
      <c r="D22" s="242">
        <f>Bonus!C22</f>
        <v>6029750</v>
      </c>
      <c r="E22" s="243">
        <f>Bonus!E22</f>
        <v>184487</v>
      </c>
      <c r="F22" s="242">
        <f t="shared" ref="F22" si="12">+E22-R22</f>
        <v>0</v>
      </c>
      <c r="G22" s="242"/>
      <c r="H22" s="242">
        <f>Bonus!I22</f>
        <v>85941.38</v>
      </c>
      <c r="I22" s="242">
        <f>Bonus!F22</f>
        <v>85941.38</v>
      </c>
      <c r="J22" s="242">
        <f>Bonus!H22</f>
        <v>0</v>
      </c>
      <c r="K22" s="242">
        <f>Bonus!P22</f>
        <v>0</v>
      </c>
      <c r="L22" s="242"/>
      <c r="M22" s="242">
        <f t="shared" ref="M22" si="13">+N22+O22</f>
        <v>85941.38</v>
      </c>
      <c r="N22" s="242">
        <f>Bonus!Q22</f>
        <v>85941.38</v>
      </c>
      <c r="O22" s="242">
        <f>Bonus!S22</f>
        <v>0</v>
      </c>
      <c r="P22" s="242">
        <f>O22-Bonus!Y22</f>
        <v>0</v>
      </c>
      <c r="R22" s="243">
        <v>184487</v>
      </c>
      <c r="T22" s="521"/>
    </row>
    <row r="23" spans="1:20" ht="15" customHeight="1">
      <c r="A23" s="329">
        <f>Bonus!A23</f>
        <v>51.116399999999999</v>
      </c>
      <c r="B23" s="235" t="str">
        <f>Bonus!B23</f>
        <v>CA Water Service Co. - Stockton Roofing</v>
      </c>
      <c r="C23" s="241">
        <f>Bonus!G23</f>
        <v>1.1380797992628857E-2</v>
      </c>
      <c r="D23" s="242">
        <f>Bonus!C23</f>
        <v>387260</v>
      </c>
      <c r="E23" s="243">
        <f>Bonus!E23</f>
        <v>3873</v>
      </c>
      <c r="F23" s="242">
        <f t="shared" ref="F23:F24" si="14">+E23-R23</f>
        <v>3873</v>
      </c>
      <c r="G23" s="242"/>
      <c r="H23" s="242">
        <f>Bonus!I23</f>
        <v>4363.25</v>
      </c>
      <c r="I23" s="242">
        <f>Bonus!F23</f>
        <v>4363.25</v>
      </c>
      <c r="J23" s="242">
        <f>Bonus!H23</f>
        <v>0</v>
      </c>
      <c r="K23" s="242">
        <f>Bonus!P23</f>
        <v>0</v>
      </c>
      <c r="L23" s="242"/>
      <c r="M23" s="242">
        <f t="shared" ref="M23:M24" si="15">+N23+O23</f>
        <v>4363.25</v>
      </c>
      <c r="N23" s="242">
        <f>Bonus!Q23</f>
        <v>4363.25</v>
      </c>
      <c r="O23" s="242">
        <f>Bonus!S23</f>
        <v>0</v>
      </c>
      <c r="P23" s="242">
        <f>O23-Bonus!Y23</f>
        <v>0</v>
      </c>
      <c r="R23" s="243"/>
      <c r="T23" s="521"/>
    </row>
    <row r="24" spans="1:20" ht="15" customHeight="1">
      <c r="A24" s="329">
        <f>Bonus!A24</f>
        <v>51.116500000000002</v>
      </c>
      <c r="B24" s="235" t="str">
        <f>Bonus!B24</f>
        <v>City of Yuba City - WTP Aquifer Storage and Recovery Well No. 3</v>
      </c>
      <c r="C24" s="241">
        <f>Bonus!G24</f>
        <v>4.7745016160016607E-3</v>
      </c>
      <c r="D24" s="242">
        <f>Bonus!C24</f>
        <v>5304500</v>
      </c>
      <c r="E24" s="243">
        <f>Bonus!E24</f>
        <v>418057</v>
      </c>
      <c r="F24" s="242">
        <f t="shared" si="14"/>
        <v>418057</v>
      </c>
      <c r="G24" s="242"/>
      <c r="H24" s="242">
        <f>Bonus!I24</f>
        <v>23330.33</v>
      </c>
      <c r="I24" s="242">
        <f>Bonus!F24</f>
        <v>23330.33</v>
      </c>
      <c r="J24" s="242">
        <f>Bonus!H24</f>
        <v>0</v>
      </c>
      <c r="K24" s="242">
        <f>Bonus!P24</f>
        <v>0</v>
      </c>
      <c r="L24" s="242"/>
      <c r="M24" s="242">
        <f t="shared" si="15"/>
        <v>23330.33</v>
      </c>
      <c r="N24" s="242">
        <f>Bonus!Q24</f>
        <v>23330.33</v>
      </c>
      <c r="O24" s="242">
        <f>Bonus!S24</f>
        <v>0</v>
      </c>
      <c r="P24" s="242">
        <f>O24-Bonus!Y24</f>
        <v>0</v>
      </c>
      <c r="R24" s="243"/>
      <c r="T24" s="521"/>
    </row>
    <row r="25" spans="1:20" ht="15" hidden="1" customHeight="1">
      <c r="A25" s="329"/>
      <c r="C25" s="241"/>
      <c r="D25" s="242"/>
      <c r="E25" s="242"/>
      <c r="F25" s="242"/>
      <c r="G25" s="242"/>
      <c r="H25" s="242"/>
      <c r="I25" s="242"/>
      <c r="J25" s="242"/>
      <c r="K25" s="242"/>
      <c r="L25" s="242"/>
      <c r="M25" s="242"/>
      <c r="N25" s="242"/>
      <c r="O25" s="242"/>
      <c r="P25" s="242"/>
    </row>
    <row r="26" spans="1:20" ht="15" customHeight="1">
      <c r="A26" s="330" t="s">
        <v>320</v>
      </c>
      <c r="B26" s="240"/>
      <c r="C26" s="244"/>
      <c r="D26" s="245">
        <f>SUM(D9:D25)</f>
        <v>368131534.76999998</v>
      </c>
      <c r="E26" s="245">
        <f>SUM(E9:E25)</f>
        <v>37953454.969999999</v>
      </c>
      <c r="F26" s="245">
        <f>SUM(F9:F25)</f>
        <v>1805309.9699999988</v>
      </c>
      <c r="G26" s="245"/>
      <c r="H26" s="245">
        <f>SUM(H9:H25)</f>
        <v>292082959.20719558</v>
      </c>
      <c r="I26" s="245">
        <f>SUM(I9:I25)</f>
        <v>259938607.72999999</v>
      </c>
      <c r="J26" s="245">
        <f>SUM(J9:J25)</f>
        <v>32144351.477195483</v>
      </c>
      <c r="K26" s="245">
        <f>SUM(K9:K25)</f>
        <v>13491504.959198825</v>
      </c>
      <c r="L26" s="245"/>
      <c r="M26" s="245">
        <f>SUM(M9:M25)</f>
        <v>116017606.05799662</v>
      </c>
      <c r="N26" s="245">
        <f>SUM(N9:N25)</f>
        <v>97364759.539999977</v>
      </c>
      <c r="O26" s="245">
        <f>SUM(O9:O25)</f>
        <v>18652846.517996658</v>
      </c>
      <c r="P26" s="245">
        <f>SUM(P9:P25)</f>
        <v>2313806.4407949788</v>
      </c>
      <c r="Q26" s="245"/>
      <c r="R26" s="261">
        <v>35590246.95000001</v>
      </c>
    </row>
    <row r="27" spans="1:20" ht="15" customHeight="1">
      <c r="A27" s="330"/>
      <c r="B27" s="240"/>
      <c r="C27" s="244"/>
      <c r="D27" s="245"/>
      <c r="E27" s="245"/>
      <c r="F27" s="245"/>
      <c r="G27" s="245"/>
      <c r="H27" s="245"/>
      <c r="I27" s="245"/>
      <c r="J27" s="245"/>
      <c r="K27" s="245"/>
      <c r="L27" s="245"/>
      <c r="M27" s="245"/>
      <c r="N27" s="245"/>
      <c r="O27" s="245"/>
      <c r="P27" s="245"/>
      <c r="Q27" s="245"/>
      <c r="R27" s="261"/>
    </row>
    <row r="28" spans="1:20" ht="15" customHeight="1">
      <c r="A28" s="331" t="s">
        <v>321</v>
      </c>
      <c r="C28" s="241"/>
      <c r="D28" s="242"/>
      <c r="E28" s="242"/>
      <c r="F28" s="242"/>
      <c r="G28" s="242"/>
      <c r="H28" s="242"/>
      <c r="I28" s="242"/>
      <c r="J28" s="242"/>
      <c r="K28" s="242"/>
      <c r="L28" s="242"/>
      <c r="M28" s="242"/>
      <c r="N28" s="242"/>
      <c r="O28" s="242"/>
      <c r="P28" s="242"/>
      <c r="Q28" s="242"/>
      <c r="R28" s="243"/>
    </row>
    <row r="29" spans="1:20" ht="15" customHeight="1">
      <c r="A29" s="329">
        <f>Bonus!A29</f>
        <v>51.113300000000002</v>
      </c>
      <c r="B29" s="235" t="str">
        <f>Bonus!B29</f>
        <v>CA Water Service Co. - S. San Francisco St 1-A Pump Replacement</v>
      </c>
      <c r="C29" s="241">
        <f>Bonus!G29</f>
        <v>1</v>
      </c>
      <c r="D29" s="242">
        <f>Bonus!C29</f>
        <v>372738</v>
      </c>
      <c r="E29" s="243">
        <f>Bonus!E29</f>
        <v>40882.719999999972</v>
      </c>
      <c r="F29" s="242">
        <f t="shared" ref="F29:F33" si="16">+E29-R29</f>
        <v>0</v>
      </c>
      <c r="G29" s="242"/>
      <c r="H29" s="242">
        <f>Bonus!I29</f>
        <v>372738</v>
      </c>
      <c r="I29" s="242">
        <f>Bonus!F29</f>
        <v>331855.28000000003</v>
      </c>
      <c r="J29" s="242">
        <f>Bonus!H29</f>
        <v>40882.719999999972</v>
      </c>
      <c r="K29" s="242">
        <f>Bonus!P29</f>
        <v>17359.580582792041</v>
      </c>
      <c r="L29" s="242"/>
      <c r="M29" s="242">
        <f t="shared" ref="M29:M33" si="17">+N29+O29</f>
        <v>52253.009417207984</v>
      </c>
      <c r="N29" s="242">
        <f>Bonus!Q29</f>
        <v>28729.870000000054</v>
      </c>
      <c r="O29" s="242">
        <f>Bonus!S29</f>
        <v>23523.139417207931</v>
      </c>
      <c r="P29" s="242">
        <f>O29-Bonus!Y29</f>
        <v>0</v>
      </c>
      <c r="Q29" s="242"/>
      <c r="R29" s="243">
        <v>40882.719999999972</v>
      </c>
    </row>
    <row r="30" spans="1:20" ht="15" customHeight="1">
      <c r="A30" s="329">
        <f>Bonus!A30</f>
        <v>51.113599999999998</v>
      </c>
      <c r="B30" s="235" t="str">
        <f>Bonus!B30</f>
        <v>Union Sanitary Dist - USD Plant Misc. Improvements</v>
      </c>
      <c r="C30" s="241">
        <f>Bonus!G30</f>
        <v>1</v>
      </c>
      <c r="D30" s="242">
        <f>Bonus!C30</f>
        <v>5483550</v>
      </c>
      <c r="E30" s="243">
        <f>Bonus!E30</f>
        <v>951732.13999999966</v>
      </c>
      <c r="F30" s="242">
        <f t="shared" ref="F30" si="18">+E30-R30</f>
        <v>-281873.86000000034</v>
      </c>
      <c r="G30" s="242"/>
      <c r="H30" s="242">
        <f>Bonus!I30</f>
        <v>5483550</v>
      </c>
      <c r="I30" s="242">
        <f>Bonus!F30</f>
        <v>4531817.8600000003</v>
      </c>
      <c r="J30" s="242">
        <f>Bonus!H30</f>
        <v>951732.13999999966</v>
      </c>
      <c r="K30" s="242">
        <f>Bonus!P30</f>
        <v>758905.78605212795</v>
      </c>
      <c r="L30" s="242"/>
      <c r="M30" s="242">
        <f t="shared" ref="M30" si="19">+N30+O30</f>
        <v>495311.3739478722</v>
      </c>
      <c r="N30" s="242">
        <f>Bonus!Q30</f>
        <v>302485.02000000048</v>
      </c>
      <c r="O30" s="242">
        <f>Bonus!S30</f>
        <v>192826.35394787171</v>
      </c>
      <c r="P30" s="242">
        <f>O30-Bonus!Y30</f>
        <v>-268283.8073717982</v>
      </c>
      <c r="Q30" s="242"/>
      <c r="R30" s="243">
        <v>1233606</v>
      </c>
    </row>
    <row r="31" spans="1:20" ht="15" customHeight="1">
      <c r="A31" s="329">
        <f>Bonus!A31</f>
        <v>51.113799999999998</v>
      </c>
      <c r="B31" s="235" t="str">
        <f>Bonus!B31</f>
        <v>CA Water Service Co. - Bear Gulch Pump Station 21</v>
      </c>
      <c r="C31" s="241">
        <f>Bonus!G31</f>
        <v>1</v>
      </c>
      <c r="D31" s="242">
        <f>Bonus!C31</f>
        <v>1120182.07</v>
      </c>
      <c r="E31" s="243">
        <f>Bonus!E31</f>
        <v>-47522.079999999842</v>
      </c>
      <c r="F31" s="242">
        <f t="shared" ref="F31" si="20">+E31-R31</f>
        <v>0</v>
      </c>
      <c r="G31" s="242"/>
      <c r="H31" s="242">
        <f>Bonus!I31</f>
        <v>1120182.07</v>
      </c>
      <c r="I31" s="242">
        <f>Bonus!F31</f>
        <v>1167704.1499999999</v>
      </c>
      <c r="J31" s="242">
        <f>Bonus!H31</f>
        <v>-47522.079999999842</v>
      </c>
      <c r="K31" s="242">
        <f>Bonus!P31</f>
        <v>77778.099073409947</v>
      </c>
      <c r="L31" s="242"/>
      <c r="M31" s="242">
        <f t="shared" ref="M31" si="21">+N31+O31</f>
        <v>255501.92092659007</v>
      </c>
      <c r="N31" s="242">
        <f>Bonus!Q31</f>
        <v>380802.09999999986</v>
      </c>
      <c r="O31" s="242">
        <f>Bonus!S31</f>
        <v>-125300.17907340979</v>
      </c>
      <c r="P31" s="242">
        <f>O31-Bonus!Y31</f>
        <v>0</v>
      </c>
      <c r="Q31" s="242"/>
      <c r="R31" s="243">
        <v>-47522.079999999842</v>
      </c>
    </row>
    <row r="32" spans="1:20" ht="15" customHeight="1">
      <c r="A32" s="329">
        <f>Bonus!A32</f>
        <v>51.113900000000001</v>
      </c>
      <c r="B32" s="235" t="str">
        <f>Bonus!B32</f>
        <v>CA Water Service Co. - Bear Gulch Pump Station 14/29</v>
      </c>
      <c r="C32" s="241">
        <f>Bonus!G32</f>
        <v>1</v>
      </c>
      <c r="D32" s="242">
        <f>Bonus!C32</f>
        <v>61902</v>
      </c>
      <c r="E32" s="243">
        <f>Bonus!E32</f>
        <v>4907.5599999999977</v>
      </c>
      <c r="F32" s="242">
        <f t="shared" ref="F32" si="22">+E32-R32</f>
        <v>-5300.1699999999983</v>
      </c>
      <c r="G32" s="242"/>
      <c r="H32" s="242">
        <f>Bonus!I32</f>
        <v>61902</v>
      </c>
      <c r="I32" s="242">
        <f>Bonus!F32</f>
        <v>56994.44</v>
      </c>
      <c r="J32" s="242">
        <f>Bonus!H32</f>
        <v>4907.5599999999977</v>
      </c>
      <c r="K32" s="242">
        <f>Bonus!P32</f>
        <v>4426.3589929115478</v>
      </c>
      <c r="L32" s="242"/>
      <c r="M32" s="242">
        <f t="shared" ref="M32" si="23">+N32+O32</f>
        <v>481.20100708844984</v>
      </c>
      <c r="N32" s="242">
        <f>Bonus!Q32</f>
        <v>0</v>
      </c>
      <c r="O32" s="242">
        <f>Bonus!S32</f>
        <v>481.20100708844984</v>
      </c>
      <c r="P32" s="242">
        <f>O32-Bonus!Y32</f>
        <v>-5300.1699999999983</v>
      </c>
      <c r="Q32" s="242"/>
      <c r="R32" s="243">
        <v>10207.729999999996</v>
      </c>
    </row>
    <row r="33" spans="1:21" ht="15" customHeight="1">
      <c r="A33" s="329">
        <f>Bonus!A33</f>
        <v>51.114100000000001</v>
      </c>
      <c r="B33" s="235" t="str">
        <f>Bonus!B33</f>
        <v>City of Colfax - WWTP Algae Reduction Project</v>
      </c>
      <c r="C33" s="241">
        <f>Bonus!G33</f>
        <v>1</v>
      </c>
      <c r="D33" s="242">
        <f>Bonus!C33</f>
        <v>3967189.79</v>
      </c>
      <c r="E33" s="243">
        <f>Bonus!E33</f>
        <v>132095.06000000006</v>
      </c>
      <c r="F33" s="242">
        <f t="shared" si="16"/>
        <v>0</v>
      </c>
      <c r="G33" s="242"/>
      <c r="H33" s="242">
        <f>Bonus!I33</f>
        <v>3967189.79</v>
      </c>
      <c r="I33" s="242">
        <f>Bonus!F33</f>
        <v>3835094.73</v>
      </c>
      <c r="J33" s="242">
        <f>Bonus!H33</f>
        <v>132095.06000000006</v>
      </c>
      <c r="K33" s="242">
        <f>Bonus!P33</f>
        <v>79920.298670616976</v>
      </c>
      <c r="L33" s="242"/>
      <c r="M33" s="242">
        <f t="shared" si="17"/>
        <v>777363.73132938333</v>
      </c>
      <c r="N33" s="242">
        <f>Bonus!Q33</f>
        <v>725188.9700000002</v>
      </c>
      <c r="O33" s="242">
        <f>Bonus!S33</f>
        <v>52174.76132938308</v>
      </c>
      <c r="P33" s="242">
        <f>O33-Bonus!Y33</f>
        <v>0</v>
      </c>
      <c r="Q33" s="242"/>
      <c r="R33" s="243">
        <v>132095.06000000006</v>
      </c>
    </row>
    <row r="34" spans="1:21" ht="15" customHeight="1">
      <c r="A34" s="329">
        <f>Bonus!A34</f>
        <v>51.1143</v>
      </c>
      <c r="B34" s="235" t="str">
        <f>Bonus!B34</f>
        <v>Olivehurst Plumas Lake Manganese Filter Expansion</v>
      </c>
      <c r="C34" s="241">
        <f>Bonus!G34</f>
        <v>1</v>
      </c>
      <c r="D34" s="242">
        <f>Bonus!C34</f>
        <v>1991231.37</v>
      </c>
      <c r="E34" s="243">
        <f>Bonus!E34</f>
        <v>233098.80000000005</v>
      </c>
      <c r="F34" s="242">
        <f t="shared" ref="F34" si="24">+E34-R34</f>
        <v>0</v>
      </c>
      <c r="G34" s="242"/>
      <c r="H34" s="242">
        <f>Bonus!I34</f>
        <v>1991231.37</v>
      </c>
      <c r="I34" s="242">
        <f>Bonus!F34</f>
        <v>1758132.57</v>
      </c>
      <c r="J34" s="242">
        <f>Bonus!H34</f>
        <v>233098.80000000005</v>
      </c>
      <c r="K34" s="242">
        <f>Bonus!P34</f>
        <v>226011.76285223232</v>
      </c>
      <c r="L34" s="242"/>
      <c r="M34" s="242">
        <f t="shared" ref="M34" si="25">+N34+O34</f>
        <v>34528.637147767819</v>
      </c>
      <c r="N34" s="242">
        <f>Bonus!Q34</f>
        <v>27441.600000000093</v>
      </c>
      <c r="O34" s="242">
        <f>Bonus!S34</f>
        <v>7087.0371477677254</v>
      </c>
      <c r="P34" s="242">
        <f>O34-Bonus!Y34</f>
        <v>0</v>
      </c>
      <c r="R34" s="243">
        <v>233098.80000000005</v>
      </c>
      <c r="T34" s="521"/>
    </row>
    <row r="35" spans="1:21" ht="15" customHeight="1">
      <c r="A35" s="329">
        <f>Bonus!A35</f>
        <v>51.114699999999999</v>
      </c>
      <c r="B35" s="235" t="str">
        <f>Bonus!B35</f>
        <v>City of Lodi-Public Works Dept. - Aeration Diffusers Replacement Project</v>
      </c>
      <c r="C35" s="241">
        <f>Bonus!G35</f>
        <v>1</v>
      </c>
      <c r="D35" s="242">
        <f>Bonus!C35</f>
        <v>2742860.08</v>
      </c>
      <c r="E35" s="243">
        <f>Bonus!E35</f>
        <v>194135.15999999968</v>
      </c>
      <c r="F35" s="242">
        <f t="shared" ref="F35" si="26">+E35-R35</f>
        <v>-111.5</v>
      </c>
      <c r="G35" s="242"/>
      <c r="H35" s="242">
        <f>Bonus!I35</f>
        <v>2742860.08</v>
      </c>
      <c r="I35" s="242">
        <f>Bonus!F35</f>
        <v>2548724.9200000004</v>
      </c>
      <c r="J35" s="242">
        <f>Bonus!H35</f>
        <v>194135.15999999968</v>
      </c>
      <c r="K35" s="242">
        <f>Bonus!P35</f>
        <v>128284.53515962398</v>
      </c>
      <c r="L35" s="242"/>
      <c r="M35" s="242">
        <f t="shared" ref="M35" si="27">+N35+O35</f>
        <v>864663.22484037606</v>
      </c>
      <c r="N35" s="242">
        <f>Bonus!Q35</f>
        <v>798812.60000000033</v>
      </c>
      <c r="O35" s="242">
        <f>Bonus!S35</f>
        <v>65850.624840375705</v>
      </c>
      <c r="P35" s="242">
        <f>O35-Bonus!Y35</f>
        <v>-111.5</v>
      </c>
      <c r="R35" s="243">
        <v>194246.65999999968</v>
      </c>
      <c r="T35" s="521"/>
    </row>
    <row r="36" spans="1:21" ht="15" customHeight="1">
      <c r="A36" s="329">
        <f>Bonus!A36</f>
        <v>51.115000000000002</v>
      </c>
      <c r="B36" s="235" t="str">
        <f>Bonus!B36</f>
        <v>Sacramento Co. Dept. of Water Resources - D49 Metro Air Park Storm Drain Pump Station Phase 2</v>
      </c>
      <c r="C36" s="241">
        <f>Bonus!G36</f>
        <v>1</v>
      </c>
      <c r="D36" s="242">
        <f>Bonus!C36</f>
        <v>2486231.58</v>
      </c>
      <c r="E36" s="243">
        <f>Bonus!E36</f>
        <v>246796.43999999994</v>
      </c>
      <c r="F36" s="242">
        <f t="shared" ref="F36" si="28">+E36-R36</f>
        <v>0</v>
      </c>
      <c r="G36" s="242"/>
      <c r="H36" s="242">
        <f>Bonus!I36</f>
        <v>2486231.58</v>
      </c>
      <c r="I36" s="242">
        <f>Bonus!F36</f>
        <v>2239435.14</v>
      </c>
      <c r="J36" s="242">
        <f>Bonus!H36</f>
        <v>246796.43999999994</v>
      </c>
      <c r="K36" s="242">
        <f>Bonus!P36</f>
        <v>166471.82949694013</v>
      </c>
      <c r="L36" s="242"/>
      <c r="M36" s="242">
        <f t="shared" ref="M36" si="29">+N36+O36</f>
        <v>248682.9505030599</v>
      </c>
      <c r="N36" s="242">
        <f>Bonus!Q36</f>
        <v>168358.34000000008</v>
      </c>
      <c r="O36" s="242">
        <f>Bonus!S36</f>
        <v>80324.610503059812</v>
      </c>
      <c r="P36" s="242">
        <f>O36-Bonus!Y36</f>
        <v>0</v>
      </c>
      <c r="R36" s="243">
        <v>246796.43999999994</v>
      </c>
      <c r="T36" s="521"/>
    </row>
    <row r="37" spans="1:21" ht="15" customHeight="1">
      <c r="A37" s="329">
        <f>Bonus!A37</f>
        <v>51.115600000000001</v>
      </c>
      <c r="B37" s="235" t="str">
        <f>Bonus!B37</f>
        <v>Rocklin Overhead 2025</v>
      </c>
      <c r="C37" s="241">
        <f>Bonus!G37</f>
        <v>1</v>
      </c>
      <c r="D37" s="242">
        <f>Bonus!C37</f>
        <v>0</v>
      </c>
      <c r="E37" s="243">
        <f>Bonus!E37</f>
        <v>-1426058.69</v>
      </c>
      <c r="F37" s="242">
        <f t="shared" ref="F37:F38" si="30">+E37-R37</f>
        <v>-176737.45999999996</v>
      </c>
      <c r="G37" s="242"/>
      <c r="H37" s="242">
        <f>Bonus!I37</f>
        <v>0</v>
      </c>
      <c r="I37" s="242">
        <f>Bonus!F37</f>
        <v>1426058.69</v>
      </c>
      <c r="J37" s="242">
        <f>Bonus!H37</f>
        <v>-1426058.69</v>
      </c>
      <c r="K37" s="242">
        <f>Bonus!P37</f>
        <v>0</v>
      </c>
      <c r="L37" s="242"/>
      <c r="M37" s="242">
        <f t="shared" ref="M37:M38" si="31">+N37+O37</f>
        <v>0</v>
      </c>
      <c r="N37" s="242">
        <f>Bonus!Q37</f>
        <v>1426058.69</v>
      </c>
      <c r="O37" s="242">
        <f>Bonus!S37</f>
        <v>-1426058.69</v>
      </c>
      <c r="P37" s="242">
        <f>O37-Bonus!Y37</f>
        <v>-176737.45999999996</v>
      </c>
      <c r="R37" s="243">
        <v>-1249321.23</v>
      </c>
      <c r="T37" s="521"/>
    </row>
    <row r="38" spans="1:21" ht="15" customHeight="1">
      <c r="A38" s="329">
        <f>Bonus!A38</f>
        <v>51.115699999999997</v>
      </c>
      <c r="B38" s="235" t="str">
        <f>Bonus!B38</f>
        <v>Rocklin Estimating 2025</v>
      </c>
      <c r="C38" s="241">
        <f>Bonus!G38</f>
        <v>1</v>
      </c>
      <c r="D38" s="242">
        <f>Bonus!C38</f>
        <v>0</v>
      </c>
      <c r="E38" s="243">
        <f>Bonus!E38</f>
        <v>-613546.52</v>
      </c>
      <c r="F38" s="242">
        <f t="shared" si="30"/>
        <v>-61155.969999999972</v>
      </c>
      <c r="G38" s="242"/>
      <c r="H38" s="242">
        <f>Bonus!I38</f>
        <v>0</v>
      </c>
      <c r="I38" s="242">
        <f>Bonus!F38</f>
        <v>613546.52</v>
      </c>
      <c r="J38" s="242">
        <f>Bonus!H38</f>
        <v>-613546.52</v>
      </c>
      <c r="K38" s="242">
        <f>Bonus!P38</f>
        <v>0</v>
      </c>
      <c r="L38" s="242"/>
      <c r="M38" s="242">
        <f t="shared" si="31"/>
        <v>0</v>
      </c>
      <c r="N38" s="242">
        <f>Bonus!Q38</f>
        <v>613546.52</v>
      </c>
      <c r="O38" s="242">
        <f>Bonus!S38</f>
        <v>-613546.52</v>
      </c>
      <c r="P38" s="242">
        <f>O38-Bonus!Y38</f>
        <v>-61155.969999999972</v>
      </c>
      <c r="R38" s="243">
        <v>-552390.55000000005</v>
      </c>
      <c r="T38" s="521"/>
    </row>
    <row r="39" spans="1:21" ht="15" hidden="1" customHeight="1">
      <c r="A39" s="329"/>
      <c r="C39" s="241"/>
      <c r="D39" s="242"/>
      <c r="E39" s="242"/>
      <c r="F39" s="242"/>
      <c r="G39" s="242"/>
      <c r="H39" s="242"/>
      <c r="I39" s="242"/>
      <c r="J39" s="242"/>
      <c r="K39" s="242"/>
      <c r="L39" s="242"/>
      <c r="M39" s="242"/>
      <c r="N39" s="242"/>
      <c r="O39" s="242"/>
      <c r="P39" s="242"/>
    </row>
    <row r="40" spans="1:21" ht="15" customHeight="1">
      <c r="A40" s="330" t="s">
        <v>322</v>
      </c>
      <c r="B40" s="240"/>
      <c r="C40" s="244"/>
      <c r="D40" s="245">
        <f>SUM(D29:D39)</f>
        <v>18225884.890000001</v>
      </c>
      <c r="E40" s="245">
        <f t="shared" ref="E40:F40" si="32">SUM(E29:E39)</f>
        <v>-283479.41000000038</v>
      </c>
      <c r="F40" s="245">
        <f t="shared" si="32"/>
        <v>-525178.9600000002</v>
      </c>
      <c r="G40" s="245"/>
      <c r="H40" s="245">
        <f t="shared" ref="H40:K40" si="33">SUM(H29:H39)</f>
        <v>18225884.890000001</v>
      </c>
      <c r="I40" s="245">
        <f t="shared" si="33"/>
        <v>18509364.300000001</v>
      </c>
      <c r="J40" s="245">
        <f t="shared" si="33"/>
        <v>-283479.41000000038</v>
      </c>
      <c r="K40" s="245">
        <f t="shared" si="33"/>
        <v>1459158.2508806547</v>
      </c>
      <c r="L40" s="245"/>
      <c r="M40" s="245">
        <f t="shared" ref="M40:P40" si="34">SUM(M29:M39)</f>
        <v>2728786.0491193458</v>
      </c>
      <c r="N40" s="245">
        <f t="shared" si="34"/>
        <v>4471423.7100000009</v>
      </c>
      <c r="O40" s="245">
        <f t="shared" si="34"/>
        <v>-1742637.6608806555</v>
      </c>
      <c r="P40" s="245">
        <f t="shared" si="34"/>
        <v>-511588.90737179812</v>
      </c>
      <c r="Q40" s="245"/>
      <c r="R40" s="261">
        <v>799597.59999999986</v>
      </c>
    </row>
    <row r="41" spans="1:21" ht="15" customHeight="1">
      <c r="A41" s="330"/>
      <c r="B41" s="240"/>
      <c r="C41" s="244"/>
      <c r="D41" s="245"/>
      <c r="E41" s="245"/>
      <c r="F41" s="245"/>
      <c r="G41" s="245"/>
      <c r="H41" s="245"/>
      <c r="I41" s="245"/>
      <c r="J41" s="245"/>
      <c r="K41" s="245"/>
      <c r="L41" s="245"/>
      <c r="M41" s="245"/>
      <c r="N41" s="245"/>
      <c r="O41" s="245"/>
      <c r="P41" s="245"/>
      <c r="Q41" s="245"/>
      <c r="R41" s="261"/>
    </row>
    <row r="42" spans="1:21" ht="15" customHeight="1">
      <c r="A42" s="429" t="s">
        <v>323</v>
      </c>
      <c r="B42" s="252"/>
      <c r="C42" s="253"/>
      <c r="D42" s="299">
        <f>D26+D40</f>
        <v>386357419.65999997</v>
      </c>
      <c r="E42" s="299">
        <f>E26+E40</f>
        <v>37669975.559999995</v>
      </c>
      <c r="F42" s="299">
        <f>F26+F40</f>
        <v>1280131.0099999986</v>
      </c>
      <c r="G42" s="254"/>
      <c r="H42" s="254">
        <f>H26+H40</f>
        <v>310308844.09719557</v>
      </c>
      <c r="I42" s="254">
        <f>I26+I40</f>
        <v>278447972.02999997</v>
      </c>
      <c r="J42" s="254">
        <f>J26+J40</f>
        <v>31860872.067195483</v>
      </c>
      <c r="K42" s="254">
        <f>K26+K40</f>
        <v>14950663.21007948</v>
      </c>
      <c r="L42" s="254"/>
      <c r="M42" s="254">
        <f>M26+M40</f>
        <v>118746392.10711595</v>
      </c>
      <c r="N42" s="254">
        <f>N26+N40</f>
        <v>101836183.24999997</v>
      </c>
      <c r="O42" s="254">
        <f>O26+O40</f>
        <v>16910208.857116003</v>
      </c>
      <c r="P42" s="254">
        <f>P26+P40</f>
        <v>1802217.5334231807</v>
      </c>
      <c r="Q42" s="245"/>
      <c r="R42" s="261">
        <v>36389844.550000012</v>
      </c>
    </row>
    <row r="43" spans="1:21" ht="15" customHeight="1">
      <c r="A43" s="330"/>
      <c r="B43" s="240"/>
      <c r="C43" s="244"/>
      <c r="D43" s="245"/>
      <c r="E43" s="245"/>
      <c r="F43" s="245"/>
      <c r="G43" s="245"/>
      <c r="H43" s="245"/>
      <c r="I43" s="245"/>
      <c r="J43" s="245"/>
      <c r="K43" s="245"/>
      <c r="L43" s="245"/>
      <c r="M43" s="245"/>
      <c r="N43" s="245"/>
      <c r="O43" s="245"/>
      <c r="P43" s="245"/>
      <c r="Q43" s="245"/>
      <c r="R43" s="261"/>
    </row>
    <row r="44" spans="1:21" ht="15" customHeight="1">
      <c r="A44" s="330"/>
      <c r="B44" s="246" t="s">
        <v>162</v>
      </c>
      <c r="C44" s="247">
        <f>D42-Bonus!J41</f>
        <v>69153639.980000019</v>
      </c>
      <c r="D44" s="245"/>
      <c r="E44" s="245"/>
      <c r="F44" s="245" t="s">
        <v>145</v>
      </c>
      <c r="G44" s="245"/>
      <c r="H44" s="245"/>
      <c r="I44" s="245">
        <f>D42-H42</f>
        <v>76048575.562804401</v>
      </c>
      <c r="J44" s="245"/>
      <c r="K44" s="245"/>
      <c r="L44" s="245"/>
      <c r="M44" s="245" t="s">
        <v>30</v>
      </c>
      <c r="N44" s="245">
        <f>H42-Bonus!J41+958433.3</f>
        <v>-5936502.282804382</v>
      </c>
      <c r="O44" s="245"/>
      <c r="P44" s="245"/>
      <c r="Q44" s="245"/>
      <c r="R44" s="261"/>
    </row>
    <row r="45" spans="1:21" ht="15" customHeight="1">
      <c r="A45" s="330"/>
      <c r="B45" s="246"/>
      <c r="C45" s="247"/>
      <c r="D45" s="245"/>
      <c r="E45" s="245"/>
      <c r="F45" s="245"/>
      <c r="G45" s="245"/>
      <c r="H45" s="245"/>
      <c r="I45" s="245"/>
      <c r="J45" s="245"/>
      <c r="K45" s="245"/>
      <c r="L45" s="245"/>
      <c r="M45" s="245"/>
      <c r="N45" s="245"/>
      <c r="O45" s="245"/>
      <c r="P45" s="245"/>
      <c r="Q45" s="245"/>
      <c r="R45" s="261"/>
    </row>
    <row r="46" spans="1:21" ht="15" customHeight="1">
      <c r="A46" s="236"/>
      <c r="B46" s="236"/>
      <c r="D46" s="236"/>
      <c r="E46" s="236"/>
      <c r="F46" s="236"/>
      <c r="H46" s="236"/>
      <c r="I46" s="236"/>
      <c r="J46" s="236"/>
      <c r="K46" s="236"/>
      <c r="L46" s="236"/>
      <c r="M46" s="236"/>
      <c r="N46" s="236"/>
      <c r="O46" s="236"/>
      <c r="P46" s="236"/>
      <c r="Q46" s="236"/>
      <c r="R46" s="265"/>
    </row>
    <row r="47" spans="1:21" ht="15" customHeight="1">
      <c r="A47" s="240" t="s">
        <v>359</v>
      </c>
      <c r="C47" s="241"/>
      <c r="D47" s="242"/>
      <c r="E47" s="242"/>
      <c r="F47" s="242"/>
      <c r="G47" s="242"/>
      <c r="H47" s="242"/>
      <c r="I47" s="242"/>
      <c r="J47" s="242"/>
      <c r="K47" s="242"/>
      <c r="L47" s="242"/>
      <c r="M47" s="242"/>
      <c r="N47" s="242"/>
      <c r="O47" s="242"/>
      <c r="P47" s="242"/>
      <c r="Q47" s="242"/>
      <c r="R47" s="243"/>
      <c r="S47" s="242"/>
    </row>
    <row r="48" spans="1:21" ht="15" customHeight="1">
      <c r="A48" s="329">
        <f>Bonus!A44</f>
        <v>52.856299999999997</v>
      </c>
      <c r="B48" s="235" t="str">
        <f>Bonus!B44</f>
        <v>City of Santa Cruz - Graham Hill WTP Facility Improvements - Phase 1</v>
      </c>
      <c r="C48" s="241">
        <f>Bonus!G44</f>
        <v>0.97534821292836971</v>
      </c>
      <c r="D48" s="242">
        <f>Bonus!C44</f>
        <v>1174182.73</v>
      </c>
      <c r="E48" s="243">
        <f>Bonus!E44</f>
        <v>293392.63</v>
      </c>
      <c r="F48" s="242">
        <f t="shared" ref="F48" si="35">+E48-R48</f>
        <v>0</v>
      </c>
      <c r="G48" s="242"/>
      <c r="H48" s="242">
        <f>Bonus!I44</f>
        <v>1152462.29</v>
      </c>
      <c r="I48" s="242">
        <f>Bonus!F44</f>
        <v>859077.05</v>
      </c>
      <c r="J48" s="242">
        <f>Bonus!H44</f>
        <v>293385.24</v>
      </c>
      <c r="K48" s="242">
        <f>Bonus!P44</f>
        <v>264189.76</v>
      </c>
      <c r="L48" s="242"/>
      <c r="M48" s="242">
        <f t="shared" ref="M48" si="36">+N48+O48</f>
        <v>167405.78000000003</v>
      </c>
      <c r="N48" s="242">
        <f>Bonus!Q44</f>
        <v>138210.30000000005</v>
      </c>
      <c r="O48" s="242">
        <f>Bonus!S44</f>
        <v>29195.479999999981</v>
      </c>
      <c r="P48" s="242">
        <f>O48-Bonus!Y44</f>
        <v>31.549999999988358</v>
      </c>
      <c r="Q48" s="242"/>
      <c r="R48" s="243">
        <v>293392.63</v>
      </c>
      <c r="S48" s="242"/>
      <c r="U48" s="340"/>
    </row>
    <row r="49" spans="1:21" ht="15" customHeight="1">
      <c r="A49" s="329">
        <f>Bonus!A45</f>
        <v>52.8566</v>
      </c>
      <c r="B49" s="235" t="str">
        <f>Bonus!B45</f>
        <v>City of Visalia - Water Reclamation Facility RPGS SCR System</v>
      </c>
      <c r="C49" s="241">
        <f>Bonus!G45</f>
        <v>0.99458231898643679</v>
      </c>
      <c r="D49" s="242">
        <f>Bonus!C45</f>
        <v>1259398</v>
      </c>
      <c r="E49" s="243">
        <f>Bonus!E45</f>
        <v>230000</v>
      </c>
      <c r="F49" s="242">
        <f t="shared" ref="F49:F55" si="37">+E49-R49</f>
        <v>0</v>
      </c>
      <c r="G49" s="242"/>
      <c r="H49" s="242">
        <f>Bonus!I45</f>
        <v>1252574.9833668806</v>
      </c>
      <c r="I49" s="242">
        <f>Bonus!F45</f>
        <v>1023821.05</v>
      </c>
      <c r="J49" s="242">
        <f>Bonus!H45</f>
        <v>228753.93336688046</v>
      </c>
      <c r="K49" s="242">
        <f>Bonus!P45</f>
        <v>223974.50626643945</v>
      </c>
      <c r="L49" s="242"/>
      <c r="M49" s="242">
        <f t="shared" ref="M49:M55" si="38">+N49+O49</f>
        <v>33809.917100441002</v>
      </c>
      <c r="N49" s="242">
        <f>Bonus!Q45</f>
        <v>29030.489999999991</v>
      </c>
      <c r="O49" s="242">
        <f>Bonus!S45</f>
        <v>4779.4271004410111</v>
      </c>
      <c r="P49" s="242">
        <f>O49-Bonus!Y45</f>
        <v>0</v>
      </c>
      <c r="Q49" s="242"/>
      <c r="R49" s="243">
        <v>230000</v>
      </c>
      <c r="S49" s="242"/>
      <c r="U49" s="340"/>
    </row>
    <row r="50" spans="1:21" ht="15" customHeight="1">
      <c r="A50" s="329">
        <f>Bonus!A46</f>
        <v>52.858600000000003</v>
      </c>
      <c r="B50" s="235" t="str">
        <f>Bonus!B46</f>
        <v>Tesoro Viejo MMWC- WTP/WWTP/RWSP Phase B Expansion - Phase 1</v>
      </c>
      <c r="C50" s="241">
        <f>Bonus!G46</f>
        <v>0.99100599183086491</v>
      </c>
      <c r="D50" s="242">
        <f>Bonus!C46</f>
        <v>12611349</v>
      </c>
      <c r="E50" s="243">
        <f>Bonus!E46</f>
        <v>1950000</v>
      </c>
      <c r="F50" s="242">
        <f t="shared" si="37"/>
        <v>0</v>
      </c>
      <c r="G50" s="242"/>
      <c r="H50" s="242">
        <f>Bonus!I46</f>
        <v>12497922.424070187</v>
      </c>
      <c r="I50" s="242">
        <f>Bonus!F46</f>
        <v>10565460.74</v>
      </c>
      <c r="J50" s="242">
        <f>Bonus!H46</f>
        <v>1932461.6840701865</v>
      </c>
      <c r="K50" s="242">
        <f>Bonus!P46</f>
        <v>1757780.0078678457</v>
      </c>
      <c r="L50" s="242"/>
      <c r="M50" s="242">
        <f t="shared" si="38"/>
        <v>506849.70620234008</v>
      </c>
      <c r="N50" s="242">
        <f>Bonus!Q46</f>
        <v>332168.02999999933</v>
      </c>
      <c r="O50" s="242">
        <f>Bonus!S46</f>
        <v>174681.67620234075</v>
      </c>
      <c r="P50" s="242">
        <f>O50-Bonus!Y46</f>
        <v>31439.828064909903</v>
      </c>
      <c r="Q50" s="242"/>
      <c r="R50" s="243">
        <v>1950000</v>
      </c>
      <c r="S50" s="242"/>
      <c r="U50" s="340"/>
    </row>
    <row r="51" spans="1:21" ht="15" customHeight="1">
      <c r="A51" s="329">
        <f>Bonus!A47</f>
        <v>52.863399999999999</v>
      </c>
      <c r="B51" s="235" t="str">
        <f>Bonus!B47</f>
        <v>City of Huron - Water Treatment Plant Imp. Phase 2</v>
      </c>
      <c r="C51" s="241">
        <f>Bonus!G47</f>
        <v>0.8875221222336146</v>
      </c>
      <c r="D51" s="242">
        <f>Bonus!C47</f>
        <v>13892722.74</v>
      </c>
      <c r="E51" s="243">
        <f>Bonus!E47</f>
        <v>702000</v>
      </c>
      <c r="F51" s="242">
        <f t="shared" si="37"/>
        <v>0</v>
      </c>
      <c r="G51" s="242"/>
      <c r="H51" s="242">
        <f>Bonus!I47</f>
        <v>12330098.769807998</v>
      </c>
      <c r="I51" s="242">
        <f>Bonus!F47</f>
        <v>11707058.24</v>
      </c>
      <c r="J51" s="242">
        <f>Bonus!H47</f>
        <v>623040.5298079974</v>
      </c>
      <c r="K51" s="242">
        <f>Bonus!P47</f>
        <v>277972.01148414961</v>
      </c>
      <c r="L51" s="242"/>
      <c r="M51" s="242">
        <f t="shared" si="38"/>
        <v>6838700.1383238481</v>
      </c>
      <c r="N51" s="242">
        <f>Bonus!Q47</f>
        <v>6493631.6200000001</v>
      </c>
      <c r="O51" s="242">
        <f>Bonus!S47</f>
        <v>345068.51832384779</v>
      </c>
      <c r="P51" s="242">
        <f>O51-Bonus!Y47</f>
        <v>50436.164814560558</v>
      </c>
      <c r="Q51" s="242"/>
      <c r="R51" s="243">
        <v>702000</v>
      </c>
      <c r="S51" s="242"/>
      <c r="U51" s="340"/>
    </row>
    <row r="52" spans="1:21" ht="15" customHeight="1">
      <c r="A52" s="329">
        <f>Bonus!A48</f>
        <v>52.863599999999998</v>
      </c>
      <c r="B52" s="235" t="str">
        <f>Bonus!B48</f>
        <v>Anaergia Technologies, LLC - Anaergia M1W Digester Mixing Project</v>
      </c>
      <c r="C52" s="241">
        <f>Bonus!G48</f>
        <v>0.99995555947573012</v>
      </c>
      <c r="D52" s="242">
        <f>Bonus!C48</f>
        <v>3642197</v>
      </c>
      <c r="E52" s="243">
        <f>Bonus!E48</f>
        <v>275000</v>
      </c>
      <c r="F52" s="242">
        <f t="shared" si="37"/>
        <v>-35000</v>
      </c>
      <c r="G52" s="242"/>
      <c r="H52" s="242">
        <f>Bonus!I48</f>
        <v>3642035.1388558256</v>
      </c>
      <c r="I52" s="242">
        <f>Bonus!F48</f>
        <v>3367047.36</v>
      </c>
      <c r="J52" s="242">
        <f>Bonus!H48</f>
        <v>274987.77885582577</v>
      </c>
      <c r="K52" s="242">
        <f>Bonus!P48</f>
        <v>204319.7110799439</v>
      </c>
      <c r="L52" s="242"/>
      <c r="M52" s="242">
        <f t="shared" si="38"/>
        <v>1980915.8877758817</v>
      </c>
      <c r="N52" s="242">
        <f>Bonus!Q48</f>
        <v>1910247.8199999998</v>
      </c>
      <c r="O52" s="242">
        <f>Bonus!S48</f>
        <v>70668.067775881878</v>
      </c>
      <c r="P52" s="242">
        <f>O52-Bonus!Y48</f>
        <v>-23707.688188889762</v>
      </c>
      <c r="Q52" s="242"/>
      <c r="R52" s="243">
        <v>310000</v>
      </c>
      <c r="S52" s="242"/>
      <c r="U52" s="340"/>
    </row>
    <row r="53" spans="1:21" ht="15" customHeight="1">
      <c r="A53" s="329">
        <f>Bonus!A49</f>
        <v>52.863700000000001</v>
      </c>
      <c r="B53" s="235" t="str">
        <f>Bonus!B49</f>
        <v>Root Creek Water Dist. - Groundwater Blending &amp; Arsenic</v>
      </c>
      <c r="C53" s="241">
        <f>Bonus!G49</f>
        <v>0.99023836104699536</v>
      </c>
      <c r="D53" s="242">
        <f>Bonus!C49</f>
        <v>26264577.649999999</v>
      </c>
      <c r="E53" s="243">
        <f>Bonus!E49</f>
        <v>1650000</v>
      </c>
      <c r="F53" s="242">
        <f t="shared" si="37"/>
        <v>0</v>
      </c>
      <c r="G53" s="242"/>
      <c r="H53" s="242">
        <f>Bonus!I49</f>
        <v>26008192.325727545</v>
      </c>
      <c r="I53" s="242">
        <f>Bonus!F49</f>
        <v>24374299.030000001</v>
      </c>
      <c r="J53" s="242">
        <f>Bonus!H49</f>
        <v>1633893.2957275424</v>
      </c>
      <c r="K53" s="242">
        <f>Bonus!P49</f>
        <v>1208391.7577226674</v>
      </c>
      <c r="L53" s="242"/>
      <c r="M53" s="242">
        <f t="shared" si="38"/>
        <v>5357985.578004878</v>
      </c>
      <c r="N53" s="242">
        <f>Bonus!Q49</f>
        <v>4932484.0400000028</v>
      </c>
      <c r="O53" s="242">
        <f>Bonus!S49</f>
        <v>425501.53800487495</v>
      </c>
      <c r="P53" s="242">
        <f>O53-Bonus!Y49</f>
        <v>27575.074834563769</v>
      </c>
      <c r="Q53" s="242"/>
      <c r="R53" s="243">
        <v>1650000</v>
      </c>
      <c r="S53" s="242"/>
      <c r="U53" s="340"/>
    </row>
    <row r="54" spans="1:21" ht="15" customHeight="1">
      <c r="A54" s="329">
        <f>Bonus!A50</f>
        <v>52.863999999999997</v>
      </c>
      <c r="B54" s="235" t="str">
        <f>Bonus!B50</f>
        <v>City of Dos Palos - WTP Replacement Project</v>
      </c>
      <c r="C54" s="241">
        <f>Bonus!G50</f>
        <v>0.87452060912224572</v>
      </c>
      <c r="D54" s="242">
        <f>Bonus!C50</f>
        <v>38646363.159999996</v>
      </c>
      <c r="E54" s="243">
        <f>Bonus!E50</f>
        <v>1873323</v>
      </c>
      <c r="F54" s="242">
        <f t="shared" si="37"/>
        <v>0</v>
      </c>
      <c r="G54" s="242"/>
      <c r="H54" s="242">
        <f>Bonus!I50</f>
        <v>33797041.051042713</v>
      </c>
      <c r="I54" s="242">
        <f>Bonus!F50</f>
        <v>32158781.48</v>
      </c>
      <c r="J54" s="242">
        <f>Bonus!H50</f>
        <v>1638259.5710427128</v>
      </c>
      <c r="K54" s="242">
        <f>Bonus!P50</f>
        <v>703966.83888736507</v>
      </c>
      <c r="L54" s="242"/>
      <c r="M54" s="242">
        <f t="shared" si="38"/>
        <v>20058621.472155351</v>
      </c>
      <c r="N54" s="242">
        <f>Bonus!Q50</f>
        <v>19124328.740000002</v>
      </c>
      <c r="O54" s="242">
        <f>Bonus!S50</f>
        <v>934292.73215534771</v>
      </c>
      <c r="P54" s="242">
        <f>O54-Bonus!Y50</f>
        <v>108677.9765857968</v>
      </c>
      <c r="Q54" s="242"/>
      <c r="R54" s="243">
        <v>1873323</v>
      </c>
      <c r="S54" s="242"/>
      <c r="U54" s="340"/>
    </row>
    <row r="55" spans="1:21" ht="15" customHeight="1">
      <c r="A55" s="329">
        <f>Bonus!A51</f>
        <v>52.866799999999998</v>
      </c>
      <c r="B55" s="235" t="str">
        <f>Bonus!B51</f>
        <v>California Water Service Co. - Cal Water - Salinas Station 57</v>
      </c>
      <c r="C55" s="241">
        <f>Bonus!G51</f>
        <v>0.94884473575316441</v>
      </c>
      <c r="D55" s="242">
        <f>Bonus!C51</f>
        <v>411851</v>
      </c>
      <c r="E55" s="243">
        <f>Bonus!E51</f>
        <v>34855</v>
      </c>
      <c r="F55" s="242">
        <f t="shared" si="37"/>
        <v>-1145</v>
      </c>
      <c r="G55" s="242"/>
      <c r="H55" s="242">
        <f>Bonus!I51</f>
        <v>390782.65326467651</v>
      </c>
      <c r="I55" s="242">
        <f>Bonus!F51</f>
        <v>357710.67</v>
      </c>
      <c r="J55" s="242">
        <f>Bonus!H51</f>
        <v>33071.983264676543</v>
      </c>
      <c r="K55" s="242">
        <f>Bonus!P51</f>
        <v>0</v>
      </c>
      <c r="L55" s="242"/>
      <c r="M55" s="242">
        <f t="shared" si="38"/>
        <v>341717.65326467651</v>
      </c>
      <c r="N55" s="242">
        <f>Bonus!Q51</f>
        <v>308645.67</v>
      </c>
      <c r="O55" s="242">
        <f>Bonus!S51</f>
        <v>33071.983264676543</v>
      </c>
      <c r="P55" s="242">
        <f>O55-Bonus!Y51</f>
        <v>3243.2499634481283</v>
      </c>
      <c r="Q55" s="242"/>
      <c r="R55" s="243">
        <v>36000</v>
      </c>
      <c r="S55" s="242"/>
      <c r="U55" s="340"/>
    </row>
    <row r="56" spans="1:21" ht="15" customHeight="1">
      <c r="A56" s="329">
        <f>Bonus!A52</f>
        <v>52.867800000000003</v>
      </c>
      <c r="B56" s="235" t="str">
        <f>Bonus!B52</f>
        <v>City of Chowcilla - Well 15 &amp; Generator Improvement Projects</v>
      </c>
      <c r="C56" s="241">
        <f>Bonus!G52</f>
        <v>0.79668810079143371</v>
      </c>
      <c r="D56" s="242">
        <f>Bonus!C52</f>
        <v>1240321</v>
      </c>
      <c r="E56" s="243">
        <f>Bonus!E52</f>
        <v>78000</v>
      </c>
      <c r="F56" s="242">
        <f>+E56-R56</f>
        <v>0</v>
      </c>
      <c r="G56" s="242"/>
      <c r="H56" s="242">
        <f>Bonus!I52</f>
        <v>988148.98186173185</v>
      </c>
      <c r="I56" s="242">
        <f>Bonus!F52</f>
        <v>926007.31</v>
      </c>
      <c r="J56" s="242">
        <f>Bonus!H52</f>
        <v>62141.671861731826</v>
      </c>
      <c r="K56" s="242">
        <f>Bonus!P52</f>
        <v>0</v>
      </c>
      <c r="L56" s="242"/>
      <c r="M56" s="242">
        <f t="shared" ref="M56" si="39">+N56+O56</f>
        <v>982585.35186173185</v>
      </c>
      <c r="N56" s="242">
        <f>Bonus!Q52</f>
        <v>920443.68</v>
      </c>
      <c r="O56" s="242">
        <f>Bonus!S52</f>
        <v>62141.671861731826</v>
      </c>
      <c r="P56" s="242">
        <f>O56-Bonus!Y52</f>
        <v>31619.08120046011</v>
      </c>
      <c r="Q56" s="242"/>
      <c r="R56" s="243">
        <v>78000</v>
      </c>
      <c r="S56" s="242"/>
      <c r="U56" s="340"/>
    </row>
    <row r="57" spans="1:21" ht="15" customHeight="1">
      <c r="A57" s="329">
        <f>Bonus!A53</f>
        <v>52.868699999999997</v>
      </c>
      <c r="B57" s="235" t="str">
        <f>Bonus!B53</f>
        <v>California Water Service Co. - Salinas Station 205</v>
      </c>
      <c r="C57" s="241">
        <f>Bonus!G53</f>
        <v>0.93659097315952766</v>
      </c>
      <c r="D57" s="242">
        <f>Bonus!C53</f>
        <v>877954</v>
      </c>
      <c r="E57" s="243">
        <f>Bonus!E53</f>
        <v>87182.519999999902</v>
      </c>
      <c r="F57" s="242">
        <f t="shared" ref="F57" si="40">+E57-R57</f>
        <v>5760.5199999999022</v>
      </c>
      <c r="G57" s="242"/>
      <c r="H57" s="242">
        <f>Bonus!I53</f>
        <v>822283.79124929989</v>
      </c>
      <c r="I57" s="242">
        <f>Bonus!F53</f>
        <v>740629.43</v>
      </c>
      <c r="J57" s="242">
        <f>Bonus!H53</f>
        <v>81654.361249299895</v>
      </c>
      <c r="K57" s="242">
        <f>Bonus!P53</f>
        <v>0</v>
      </c>
      <c r="L57" s="242"/>
      <c r="M57" s="242">
        <f t="shared" ref="M57" si="41">+N57+O57</f>
        <v>822283.79124929989</v>
      </c>
      <c r="N57" s="242">
        <f>Bonus!Q53</f>
        <v>740629.43</v>
      </c>
      <c r="O57" s="242">
        <f>Bonus!S53</f>
        <v>81654.361249299895</v>
      </c>
      <c r="P57" s="242">
        <f>O57-Bonus!Y53</f>
        <v>6435.8143196955352</v>
      </c>
      <c r="Q57" s="242"/>
      <c r="R57" s="243">
        <v>81422</v>
      </c>
      <c r="S57" s="242"/>
      <c r="U57" s="340"/>
    </row>
    <row r="58" spans="1:21" ht="15" customHeight="1">
      <c r="A58" s="329">
        <f>Bonus!A54</f>
        <v>52.869199999999999</v>
      </c>
      <c r="B58" s="235" t="str">
        <f>Bonus!B54</f>
        <v>New England Sheet Metal and Mechanical Co. - Clovis South T&amp;M</v>
      </c>
      <c r="C58" s="241">
        <f>Bonus!G54</f>
        <v>1</v>
      </c>
      <c r="D58" s="242">
        <f>Bonus!C54</f>
        <v>55135.37</v>
      </c>
      <c r="E58" s="243">
        <f>Bonus!E54</f>
        <v>5452.8800000000047</v>
      </c>
      <c r="F58" s="242">
        <f t="shared" ref="F58" si="42">+E58-R58</f>
        <v>0</v>
      </c>
      <c r="G58" s="242"/>
      <c r="H58" s="242">
        <f>Bonus!I54</f>
        <v>55135.37</v>
      </c>
      <c r="I58" s="242">
        <f>Bonus!F54</f>
        <v>49682.49</v>
      </c>
      <c r="J58" s="242">
        <f>Bonus!H54</f>
        <v>5452.8800000000047</v>
      </c>
      <c r="K58" s="242">
        <f>Bonus!P54</f>
        <v>0</v>
      </c>
      <c r="L58" s="242"/>
      <c r="M58" s="242">
        <f t="shared" ref="M58" si="43">+N58+O58</f>
        <v>55135.37</v>
      </c>
      <c r="N58" s="242">
        <f>Bonus!Q54</f>
        <v>49682.49</v>
      </c>
      <c r="O58" s="242">
        <f>Bonus!S54</f>
        <v>5452.8800000000047</v>
      </c>
      <c r="P58" s="242">
        <f>O58-Bonus!Y54</f>
        <v>0</v>
      </c>
      <c r="Q58" s="242"/>
      <c r="R58" s="243">
        <v>5452.8800000000047</v>
      </c>
      <c r="S58" s="242"/>
      <c r="U58" s="340"/>
    </row>
    <row r="59" spans="1:21" ht="15" customHeight="1">
      <c r="A59" s="329">
        <f>Bonus!A55</f>
        <v>52.869700000000002</v>
      </c>
      <c r="B59" s="235" t="str">
        <f>Bonus!B55</f>
        <v>City of Tulare - Industrial WWTP Dewatering Improvements Pro</v>
      </c>
      <c r="C59" s="241">
        <f>Bonus!G55</f>
        <v>0.58257126841405615</v>
      </c>
      <c r="D59" s="242">
        <f>Bonus!C55</f>
        <v>1388000</v>
      </c>
      <c r="E59" s="243">
        <f>Bonus!E55</f>
        <v>62518</v>
      </c>
      <c r="F59" s="242">
        <f t="shared" ref="F59" si="44">+E59-R59</f>
        <v>0</v>
      </c>
      <c r="G59" s="242"/>
      <c r="H59" s="242">
        <f>Bonus!I55</f>
        <v>808608.92055870988</v>
      </c>
      <c r="I59" s="242">
        <f>Bonus!F55</f>
        <v>772187.73</v>
      </c>
      <c r="J59" s="242">
        <f>Bonus!H55</f>
        <v>36421.190558709961</v>
      </c>
      <c r="K59" s="242">
        <f>Bonus!P55</f>
        <v>0</v>
      </c>
      <c r="L59" s="242"/>
      <c r="M59" s="242">
        <f t="shared" ref="M59" si="45">+N59+O59</f>
        <v>808608.92055870988</v>
      </c>
      <c r="N59" s="242">
        <f>Bonus!Q55</f>
        <v>772187.73</v>
      </c>
      <c r="O59" s="242">
        <f>Bonus!S55</f>
        <v>36421.190558709961</v>
      </c>
      <c r="P59" s="242">
        <f>O59-Bonus!Y55</f>
        <v>9721.8663816181543</v>
      </c>
      <c r="Q59" s="242"/>
      <c r="R59" s="243">
        <v>62518</v>
      </c>
      <c r="S59" s="242"/>
      <c r="U59" s="340"/>
    </row>
    <row r="60" spans="1:21" ht="15" customHeight="1">
      <c r="A60" s="329">
        <f>Bonus!A56</f>
        <v>52.869799999999998</v>
      </c>
      <c r="B60" s="235" t="str">
        <f>Bonus!B56</f>
        <v>California Water Service Co. - Tesoro Viejo RWSP Liner Repair</v>
      </c>
      <c r="C60" s="241">
        <f>Bonus!G56</f>
        <v>0.9464285714285714</v>
      </c>
      <c r="D60" s="242">
        <f>Bonus!C56</f>
        <v>22713</v>
      </c>
      <c r="E60" s="243">
        <f>Bonus!E56</f>
        <v>6585</v>
      </c>
      <c r="F60" s="242">
        <f t="shared" ref="F60" si="46">+E60-R60</f>
        <v>6585</v>
      </c>
      <c r="G60" s="242"/>
      <c r="H60" s="242">
        <f>Bonus!I56</f>
        <v>21496.232142857141</v>
      </c>
      <c r="I60" s="242">
        <f>Bonus!F56</f>
        <v>15264</v>
      </c>
      <c r="J60" s="242">
        <f>Bonus!H56</f>
        <v>6232.2321428571422</v>
      </c>
      <c r="K60" s="242">
        <f>Bonus!P56</f>
        <v>0</v>
      </c>
      <c r="L60" s="242"/>
      <c r="M60" s="242">
        <f t="shared" ref="M60" si="47">+N60+O60</f>
        <v>21496.232142857141</v>
      </c>
      <c r="N60" s="242">
        <f>Bonus!Q56</f>
        <v>15264</v>
      </c>
      <c r="O60" s="242">
        <f>Bonus!S56</f>
        <v>6232.2321428571422</v>
      </c>
      <c r="P60" s="242">
        <f>O60-Bonus!Y56</f>
        <v>6232.2321428571422</v>
      </c>
      <c r="Q60" s="242"/>
      <c r="R60" s="243"/>
      <c r="S60" s="242"/>
      <c r="U60" s="340"/>
    </row>
    <row r="61" spans="1:21" ht="15" customHeight="1">
      <c r="A61" s="329">
        <f>Bonus!A57</f>
        <v>52.870399999999997</v>
      </c>
      <c r="B61" s="235" t="str">
        <f>Bonus!B57</f>
        <v>City of Visalia - Solids Handling Improvements Project</v>
      </c>
      <c r="C61" s="241">
        <f>Bonus!G57</f>
        <v>6.0853944966940125E-2</v>
      </c>
      <c r="D61" s="242">
        <f>Bonus!C57</f>
        <v>13744000</v>
      </c>
      <c r="E61" s="243">
        <f>Bonus!E57</f>
        <v>252873</v>
      </c>
      <c r="F61" s="242">
        <f t="shared" ref="F61:F62" si="48">+E61-R61</f>
        <v>0</v>
      </c>
      <c r="G61" s="242"/>
      <c r="H61" s="242">
        <f>Bonus!I57</f>
        <v>820988.3</v>
      </c>
      <c r="I61" s="242">
        <f>Bonus!F57</f>
        <v>820988.3</v>
      </c>
      <c r="J61" s="242">
        <f>Bonus!H57</f>
        <v>0</v>
      </c>
      <c r="K61" s="242">
        <f>Bonus!P57</f>
        <v>0</v>
      </c>
      <c r="L61" s="242"/>
      <c r="M61" s="242">
        <f t="shared" ref="M61:M62" si="49">+N61+O61</f>
        <v>820988.3</v>
      </c>
      <c r="N61" s="242">
        <f>Bonus!Q57</f>
        <v>820988.3</v>
      </c>
      <c r="O61" s="242">
        <f>Bonus!S57</f>
        <v>0</v>
      </c>
      <c r="P61" s="242">
        <f>O61-Bonus!Y57</f>
        <v>0</v>
      </c>
      <c r="Q61" s="242"/>
      <c r="R61" s="243">
        <v>252873</v>
      </c>
      <c r="S61" s="242"/>
      <c r="U61" s="340"/>
    </row>
    <row r="62" spans="1:21" ht="15" customHeight="1">
      <c r="A62" s="329">
        <f>Bonus!A58</f>
        <v>52.8705</v>
      </c>
      <c r="B62" s="235" t="str">
        <f>Bonus!B58</f>
        <v>California Water Service Co. - Visalia Station 200 - New Storage Tank &amp; Booster</v>
      </c>
      <c r="C62" s="241">
        <f>Bonus!G58</f>
        <v>0.39683246670188799</v>
      </c>
      <c r="D62" s="242">
        <f>Bonus!C58</f>
        <v>775000</v>
      </c>
      <c r="E62" s="243">
        <f>Bonus!E58</f>
        <v>55740</v>
      </c>
      <c r="F62" s="242">
        <f t="shared" si="48"/>
        <v>0</v>
      </c>
      <c r="G62" s="242"/>
      <c r="H62" s="242">
        <f>Bonus!I58</f>
        <v>307545.16169396322</v>
      </c>
      <c r="I62" s="242">
        <f>Bonus!F58</f>
        <v>285425.71999999997</v>
      </c>
      <c r="J62" s="242">
        <f>Bonus!H58</f>
        <v>22119.441693963236</v>
      </c>
      <c r="K62" s="242">
        <f>Bonus!P58</f>
        <v>0</v>
      </c>
      <c r="L62" s="242"/>
      <c r="M62" s="242">
        <f t="shared" si="49"/>
        <v>307545.16169396322</v>
      </c>
      <c r="N62" s="242">
        <f>Bonus!Q58</f>
        <v>285425.71999999997</v>
      </c>
      <c r="O62" s="242">
        <f>Bonus!S58</f>
        <v>22119.441693963236</v>
      </c>
      <c r="P62" s="242">
        <f>O62-Bonus!Y58</f>
        <v>22119.441693963236</v>
      </c>
      <c r="Q62" s="242"/>
      <c r="R62" s="243">
        <v>55740</v>
      </c>
      <c r="S62" s="242"/>
      <c r="U62" s="340"/>
    </row>
    <row r="63" spans="1:21" ht="15" customHeight="1">
      <c r="A63" s="329">
        <f>Bonus!A59</f>
        <v>52.870699999999999</v>
      </c>
      <c r="B63" s="235" t="str">
        <f>Bonus!B59</f>
        <v>County of Fresno - Westside Water Tank and Pump Station</v>
      </c>
      <c r="C63" s="241">
        <f>Bonus!G59</f>
        <v>0.29236880762727507</v>
      </c>
      <c r="D63" s="242">
        <f>Bonus!C59</f>
        <v>3693200</v>
      </c>
      <c r="E63" s="243">
        <f>Bonus!E59</f>
        <v>231623</v>
      </c>
      <c r="F63" s="242">
        <f t="shared" ref="F63" si="50">+E63-R63</f>
        <v>0</v>
      </c>
      <c r="G63" s="242"/>
      <c r="H63" s="242">
        <f>Bonus!I59</f>
        <v>1079776.4803290523</v>
      </c>
      <c r="I63" s="242">
        <f>Bonus!F59</f>
        <v>1012057.14</v>
      </c>
      <c r="J63" s="242">
        <f>Bonus!H59</f>
        <v>67719.340329052327</v>
      </c>
      <c r="K63" s="242">
        <f>Bonus!P59</f>
        <v>0</v>
      </c>
      <c r="L63" s="242"/>
      <c r="M63" s="242">
        <f t="shared" ref="M63" si="51">+N63+O63</f>
        <v>1079776.4803290523</v>
      </c>
      <c r="N63" s="242">
        <f>Bonus!Q59</f>
        <v>1012057.14</v>
      </c>
      <c r="O63" s="242">
        <f>Bonus!S59</f>
        <v>67719.340329052327</v>
      </c>
      <c r="P63" s="242">
        <f>O63-Bonus!Y59</f>
        <v>67719.340329052327</v>
      </c>
      <c r="Q63" s="242"/>
      <c r="R63" s="243">
        <v>231623</v>
      </c>
      <c r="S63" s="242"/>
      <c r="U63" s="340"/>
    </row>
    <row r="64" spans="1:21" ht="15" customHeight="1">
      <c r="A64" s="329">
        <f>Bonus!A60</f>
        <v>52.870800000000003</v>
      </c>
      <c r="B64" s="235" t="str">
        <f>Bonus!B60</f>
        <v>County of Fresno - CSA 44A Wastewater Improvements</v>
      </c>
      <c r="C64" s="241">
        <f>Bonus!G60</f>
        <v>2.3017314992644349E-2</v>
      </c>
      <c r="D64" s="242">
        <f>Bonus!C60</f>
        <v>363833</v>
      </c>
      <c r="E64" s="243">
        <f>Bonus!E60</f>
        <v>30076</v>
      </c>
      <c r="F64" s="242">
        <f t="shared" ref="F64" si="52">+E64-R64</f>
        <v>0</v>
      </c>
      <c r="G64" s="242"/>
      <c r="H64" s="242">
        <f>Bonus!I60</f>
        <v>7682.19</v>
      </c>
      <c r="I64" s="242">
        <f>Bonus!F60</f>
        <v>7682.19</v>
      </c>
      <c r="J64" s="242">
        <f>Bonus!H60</f>
        <v>0</v>
      </c>
      <c r="K64" s="242">
        <f>Bonus!P60</f>
        <v>0</v>
      </c>
      <c r="L64" s="242"/>
      <c r="M64" s="242">
        <f t="shared" ref="M64" si="53">+N64+O64</f>
        <v>7682.19</v>
      </c>
      <c r="N64" s="242">
        <f>Bonus!Q60</f>
        <v>7682.19</v>
      </c>
      <c r="O64" s="242">
        <f>Bonus!S60</f>
        <v>0</v>
      </c>
      <c r="P64" s="242">
        <f>O64-Bonus!Y60</f>
        <v>0</v>
      </c>
      <c r="Q64" s="242"/>
      <c r="R64" s="243">
        <v>30076</v>
      </c>
      <c r="S64" s="242"/>
      <c r="U64" s="340"/>
    </row>
    <row r="65" spans="1:21" ht="15" customHeight="1">
      <c r="A65" s="329">
        <f>Bonus!A61</f>
        <v>52.871099999999998</v>
      </c>
      <c r="B65" s="235" t="str">
        <f>Bonus!B61</f>
        <v>California Water Service Co. - Tesoro Viejo ARV Replacement</v>
      </c>
      <c r="C65" s="241">
        <f>Bonus!G61</f>
        <v>0.72348535233570865</v>
      </c>
      <c r="D65" s="242">
        <f>Bonus!C61</f>
        <v>6860</v>
      </c>
      <c r="E65" s="243">
        <f>Bonus!E61</f>
        <v>545</v>
      </c>
      <c r="F65" s="242">
        <f t="shared" ref="F65:F67" si="54">+E65-R65</f>
        <v>545</v>
      </c>
      <c r="G65" s="242"/>
      <c r="H65" s="242">
        <f>Bonus!I61</f>
        <v>4963.1095170229619</v>
      </c>
      <c r="I65" s="242">
        <f>Bonus!F61</f>
        <v>4568.8100000000004</v>
      </c>
      <c r="J65" s="242">
        <f>Bonus!H61</f>
        <v>394.2995170229612</v>
      </c>
      <c r="K65" s="242">
        <f>Bonus!P61</f>
        <v>0</v>
      </c>
      <c r="L65" s="242"/>
      <c r="M65" s="242">
        <f t="shared" ref="M65:M67" si="55">+N65+O65</f>
        <v>4963.1095170229619</v>
      </c>
      <c r="N65" s="242">
        <f>Bonus!Q61</f>
        <v>4568.8100000000004</v>
      </c>
      <c r="O65" s="242">
        <f>Bonus!S61</f>
        <v>394.2995170229612</v>
      </c>
      <c r="P65" s="242">
        <f>O65-Bonus!Y61</f>
        <v>394.2995170229612</v>
      </c>
      <c r="Q65" s="242"/>
      <c r="R65" s="243"/>
      <c r="S65" s="242"/>
      <c r="U65" s="340"/>
    </row>
    <row r="66" spans="1:21" ht="15" customHeight="1">
      <c r="A66" s="329">
        <f>Bonus!A62</f>
        <v>52.871299999999998</v>
      </c>
      <c r="B66" s="235" t="str">
        <f>Bonus!B62</f>
        <v>City of Visalia - Remove &amp; Replace Chain and Flight Mechanic</v>
      </c>
      <c r="C66" s="241">
        <f>Bonus!G62</f>
        <v>4.8703259311380547E-3</v>
      </c>
      <c r="D66" s="242">
        <f>Bonus!C62</f>
        <v>218842</v>
      </c>
      <c r="E66" s="243">
        <f>Bonus!E62</f>
        <v>28403</v>
      </c>
      <c r="F66" s="242">
        <f t="shared" si="54"/>
        <v>28403</v>
      </c>
      <c r="G66" s="242"/>
      <c r="H66" s="242">
        <f>Bonus!I62</f>
        <v>927.5</v>
      </c>
      <c r="I66" s="242">
        <f>Bonus!F62</f>
        <v>927.5</v>
      </c>
      <c r="J66" s="242">
        <f>Bonus!H62</f>
        <v>0</v>
      </c>
      <c r="K66" s="242">
        <f>Bonus!P62</f>
        <v>0</v>
      </c>
      <c r="L66" s="242"/>
      <c r="M66" s="242">
        <f t="shared" si="55"/>
        <v>927.5</v>
      </c>
      <c r="N66" s="242">
        <f>Bonus!Q62</f>
        <v>927.5</v>
      </c>
      <c r="O66" s="242">
        <f>Bonus!S62</f>
        <v>0</v>
      </c>
      <c r="P66" s="242">
        <f>O66-Bonus!Y62</f>
        <v>0</v>
      </c>
      <c r="Q66" s="242"/>
      <c r="R66" s="243"/>
      <c r="S66" s="242"/>
      <c r="U66" s="340"/>
    </row>
    <row r="67" spans="1:21" ht="15" customHeight="1">
      <c r="A67" s="329">
        <f>Bonus!A63</f>
        <v>52.871400000000001</v>
      </c>
      <c r="B67" s="235" t="str">
        <f>Bonus!B63</f>
        <v>New England Sheet Metal and Mechanical Co. - VCH Digging Water Line T&amp;M</v>
      </c>
      <c r="C67" s="241">
        <f>Bonus!G63</f>
        <v>1</v>
      </c>
      <c r="D67" s="242">
        <f>Bonus!C63</f>
        <v>5084.9399999999996</v>
      </c>
      <c r="E67" s="243">
        <f>Bonus!E63</f>
        <v>619.32999999999993</v>
      </c>
      <c r="F67" s="242">
        <f t="shared" si="54"/>
        <v>619.32999999999993</v>
      </c>
      <c r="G67" s="242"/>
      <c r="H67" s="242">
        <f>Bonus!I63</f>
        <v>5084.9399999999996</v>
      </c>
      <c r="I67" s="242">
        <f>Bonus!F63</f>
        <v>4465.6099999999997</v>
      </c>
      <c r="J67" s="242">
        <f>Bonus!H63</f>
        <v>619.32999999999993</v>
      </c>
      <c r="K67" s="242">
        <f>Bonus!P63</f>
        <v>0</v>
      </c>
      <c r="L67" s="242"/>
      <c r="M67" s="242">
        <f t="shared" si="55"/>
        <v>5084.9399999999996</v>
      </c>
      <c r="N67" s="242">
        <f>Bonus!Q63</f>
        <v>4465.6099999999997</v>
      </c>
      <c r="O67" s="242">
        <f>Bonus!S63</f>
        <v>619.32999999999993</v>
      </c>
      <c r="P67" s="242">
        <f>O67-Bonus!Y63</f>
        <v>619.32999999999993</v>
      </c>
      <c r="Q67" s="242"/>
      <c r="R67" s="243"/>
      <c r="S67" s="242"/>
      <c r="U67" s="340"/>
    </row>
    <row r="68" spans="1:21" ht="15" hidden="1" customHeight="1">
      <c r="A68" s="329"/>
      <c r="C68" s="241"/>
      <c r="D68" s="242"/>
      <c r="E68" s="242"/>
      <c r="F68" s="242"/>
      <c r="G68" s="242"/>
      <c r="H68" s="242"/>
      <c r="I68" s="242"/>
      <c r="J68" s="242"/>
      <c r="K68" s="242"/>
      <c r="L68" s="242"/>
      <c r="M68" s="242"/>
      <c r="N68" s="242"/>
      <c r="O68" s="242"/>
      <c r="P68" s="242"/>
      <c r="Q68" s="242"/>
      <c r="R68" s="243"/>
      <c r="S68" s="242"/>
      <c r="U68" s="340"/>
    </row>
    <row r="69" spans="1:21" ht="15" customHeight="1">
      <c r="A69" s="240" t="s">
        <v>353</v>
      </c>
      <c r="C69" s="241"/>
      <c r="D69" s="245">
        <f>SUM(D48:D68)</f>
        <v>120293584.59</v>
      </c>
      <c r="E69" s="245">
        <f>SUM(E48:E68)</f>
        <v>7848188.3599999994</v>
      </c>
      <c r="F69" s="245">
        <f>SUM(F48:F68)</f>
        <v>5767.8499999999021</v>
      </c>
      <c r="G69" s="242"/>
      <c r="H69" s="245">
        <f>SUM(H48:H68)</f>
        <v>95993750.613488436</v>
      </c>
      <c r="I69" s="245">
        <f>SUM(I48:I68)</f>
        <v>89053141.850000009</v>
      </c>
      <c r="J69" s="245">
        <f>SUM(J48:J68)</f>
        <v>6940608.7634884585</v>
      </c>
      <c r="K69" s="245">
        <f>SUM(K48:K68)</f>
        <v>4640594.5933084115</v>
      </c>
      <c r="L69" s="242"/>
      <c r="M69" s="245">
        <f>SUM(M48:M68)</f>
        <v>40203083.480180047</v>
      </c>
      <c r="N69" s="245">
        <f>SUM(N48:N68)</f>
        <v>37903069.310000002</v>
      </c>
      <c r="O69" s="245">
        <f>SUM(O48:O68)</f>
        <v>2300014.1701800479</v>
      </c>
      <c r="P69" s="245">
        <f>SUM(P48:P68)</f>
        <v>342557.56165905891</v>
      </c>
      <c r="Q69" s="242"/>
      <c r="R69" s="243">
        <v>7876251.8799999999</v>
      </c>
      <c r="S69" s="242"/>
      <c r="U69" s="340"/>
    </row>
    <row r="70" spans="1:21" ht="15" customHeight="1">
      <c r="A70" s="329"/>
      <c r="C70" s="241"/>
      <c r="D70" s="242"/>
      <c r="E70" s="242"/>
      <c r="F70" s="242"/>
      <c r="G70" s="242"/>
      <c r="H70" s="242"/>
      <c r="I70" s="242"/>
      <c r="J70" s="242"/>
      <c r="K70" s="242"/>
      <c r="L70" s="242"/>
      <c r="M70" s="242"/>
      <c r="N70" s="242"/>
      <c r="O70" s="242"/>
      <c r="P70" s="242"/>
      <c r="Q70" s="242"/>
      <c r="R70" s="243"/>
      <c r="S70" s="242"/>
      <c r="U70" s="340"/>
    </row>
    <row r="71" spans="1:21" ht="15" customHeight="1">
      <c r="A71" s="240" t="s">
        <v>354</v>
      </c>
      <c r="C71" s="241"/>
      <c r="D71" s="242"/>
      <c r="E71" s="242"/>
      <c r="F71" s="242"/>
      <c r="G71" s="242"/>
      <c r="H71" s="242"/>
      <c r="I71" s="242"/>
      <c r="J71" s="242"/>
      <c r="K71" s="242"/>
      <c r="L71" s="242"/>
      <c r="M71" s="242"/>
      <c r="N71" s="242"/>
      <c r="O71" s="242"/>
      <c r="P71" s="242"/>
      <c r="Q71" s="242"/>
      <c r="R71" s="243"/>
      <c r="S71" s="242"/>
      <c r="U71" s="340"/>
    </row>
    <row r="72" spans="1:21" ht="15" customHeight="1">
      <c r="A72" s="329">
        <f>Bonus!A68</f>
        <v>52.856699999999996</v>
      </c>
      <c r="B72" s="235" t="str">
        <f>Bonus!B68</f>
        <v>City of Modesto - Grayson Well 69</v>
      </c>
      <c r="C72" s="241">
        <f>Bonus!G68</f>
        <v>1</v>
      </c>
      <c r="D72" s="242">
        <f>Bonus!C68</f>
        <v>3059858.99</v>
      </c>
      <c r="E72" s="243">
        <f>Bonus!E68</f>
        <v>-68164.939999999944</v>
      </c>
      <c r="F72" s="242">
        <f t="shared" ref="F72:F73" si="56">+E72-R72</f>
        <v>0</v>
      </c>
      <c r="G72" s="242"/>
      <c r="H72" s="242">
        <f>Bonus!I68</f>
        <v>3059858.99</v>
      </c>
      <c r="I72" s="242">
        <f>Bonus!F68</f>
        <v>3128023.93</v>
      </c>
      <c r="J72" s="242">
        <f>Bonus!H68</f>
        <v>-68164.939999999944</v>
      </c>
      <c r="K72" s="242">
        <f>Bonus!P68</f>
        <v>-83000</v>
      </c>
      <c r="L72" s="242"/>
      <c r="M72" s="242">
        <f t="shared" ref="M72:M73" si="57">+N72+O72</f>
        <v>49233.730000000447</v>
      </c>
      <c r="N72" s="242">
        <f>Bonus!Q68</f>
        <v>34398.670000000391</v>
      </c>
      <c r="O72" s="242">
        <f>Bonus!S68</f>
        <v>14835.060000000056</v>
      </c>
      <c r="P72" s="242">
        <f>O72-Bonus!Y68</f>
        <v>0</v>
      </c>
      <c r="Q72" s="242"/>
      <c r="R72" s="243">
        <v>-68164.939999999944</v>
      </c>
      <c r="S72" s="242"/>
      <c r="U72" s="340"/>
    </row>
    <row r="73" spans="1:21" ht="15" customHeight="1">
      <c r="A73" s="329">
        <f>Bonus!A69</f>
        <v>52.860399999999998</v>
      </c>
      <c r="B73" s="235" t="str">
        <f>Bonus!B69</f>
        <v>City of Atwater - Project No. 20-2, Well 20-A TCP Mitigation</v>
      </c>
      <c r="C73" s="241">
        <f>Bonus!G69</f>
        <v>1</v>
      </c>
      <c r="D73" s="242">
        <f>Bonus!C69</f>
        <v>5095690.97</v>
      </c>
      <c r="E73" s="243">
        <f>Bonus!E69</f>
        <v>523187.74000000022</v>
      </c>
      <c r="F73" s="242">
        <f t="shared" si="56"/>
        <v>0</v>
      </c>
      <c r="G73" s="242"/>
      <c r="H73" s="242">
        <f>Bonus!I69</f>
        <v>5095690.97</v>
      </c>
      <c r="I73" s="242">
        <f>Bonus!F69</f>
        <v>4572503.2299999995</v>
      </c>
      <c r="J73" s="242">
        <f>Bonus!H69</f>
        <v>523187.74000000022</v>
      </c>
      <c r="K73" s="242">
        <f>Bonus!P69</f>
        <v>329989.13269960659</v>
      </c>
      <c r="L73" s="242"/>
      <c r="M73" s="242">
        <f t="shared" si="57"/>
        <v>1102038.347300393</v>
      </c>
      <c r="N73" s="242">
        <f>Bonus!Q69</f>
        <v>908839.73999999929</v>
      </c>
      <c r="O73" s="242">
        <f>Bonus!S69</f>
        <v>193198.60730039363</v>
      </c>
      <c r="P73" s="242">
        <f>O73-Bonus!Y69</f>
        <v>0</v>
      </c>
      <c r="Q73" s="242"/>
      <c r="R73" s="243">
        <v>523187.74000000022</v>
      </c>
      <c r="S73" s="242"/>
      <c r="U73" s="340"/>
    </row>
    <row r="74" spans="1:21" ht="15" customHeight="1">
      <c r="A74" s="329">
        <f>Bonus!A70</f>
        <v>52.8628</v>
      </c>
      <c r="B74" s="235" t="str">
        <f>Bonus!B70</f>
        <v>City of Tulare - Well 4-3 Equipping &amp; I Drive Pipeline Proj.</v>
      </c>
      <c r="C74" s="241">
        <f>Bonus!G70</f>
        <v>1</v>
      </c>
      <c r="D74" s="242">
        <f>Bonus!C70</f>
        <v>5213345.5</v>
      </c>
      <c r="E74" s="243">
        <f>Bonus!E70</f>
        <v>467546.96999999974</v>
      </c>
      <c r="F74" s="242">
        <f t="shared" ref="F74:F75" si="58">+E74-R74</f>
        <v>42546.969999999739</v>
      </c>
      <c r="G74" s="242"/>
      <c r="H74" s="242">
        <f>Bonus!I70</f>
        <v>5213345.5</v>
      </c>
      <c r="I74" s="242">
        <f>Bonus!F70</f>
        <v>4745798.53</v>
      </c>
      <c r="J74" s="242">
        <f>Bonus!H70</f>
        <v>467546.96999999974</v>
      </c>
      <c r="K74" s="242">
        <f>Bonus!P70</f>
        <v>197224.75376923761</v>
      </c>
      <c r="L74" s="242"/>
      <c r="M74" s="242">
        <f t="shared" ref="M74:M75" si="59">+N74+O74</f>
        <v>1174192.7562307622</v>
      </c>
      <c r="N74" s="242">
        <f>Bonus!Q70</f>
        <v>903870.54</v>
      </c>
      <c r="O74" s="242">
        <f>Bonus!S70</f>
        <v>270322.21623076213</v>
      </c>
      <c r="P74" s="242">
        <f>O74-Bonus!Y70</f>
        <v>43216.644629785733</v>
      </c>
      <c r="Q74" s="242"/>
      <c r="R74" s="243">
        <v>425000</v>
      </c>
      <c r="S74" s="242"/>
      <c r="U74" s="340"/>
    </row>
    <row r="75" spans="1:21" ht="15" customHeight="1">
      <c r="A75" s="329">
        <f>Bonus!A71</f>
        <v>52.863100000000003</v>
      </c>
      <c r="B75" s="235" t="str">
        <f>Bonus!B71</f>
        <v>Gunner Ranch, Inc. - Well 1 Equipping and Site Improvements</v>
      </c>
      <c r="C75" s="241">
        <f>Bonus!G71</f>
        <v>1</v>
      </c>
      <c r="D75" s="242">
        <f>Bonus!C71</f>
        <v>2560650.14</v>
      </c>
      <c r="E75" s="243">
        <f>Bonus!E71</f>
        <v>111991.88000000035</v>
      </c>
      <c r="F75" s="242">
        <f t="shared" si="58"/>
        <v>-5008.1199999996461</v>
      </c>
      <c r="G75" s="242"/>
      <c r="H75" s="242">
        <f>Bonus!I71</f>
        <v>2560650.14</v>
      </c>
      <c r="I75" s="242">
        <f>Bonus!F71</f>
        <v>2448658.2599999998</v>
      </c>
      <c r="J75" s="242">
        <f>Bonus!H71</f>
        <v>111991.88000000035</v>
      </c>
      <c r="K75" s="242">
        <f>Bonus!P71</f>
        <v>73003.700537153374</v>
      </c>
      <c r="L75" s="242"/>
      <c r="M75" s="242">
        <f t="shared" si="59"/>
        <v>237953.29946284663</v>
      </c>
      <c r="N75" s="242">
        <f>Bonus!Q71</f>
        <v>198965.11999999965</v>
      </c>
      <c r="O75" s="242">
        <f>Bonus!S71</f>
        <v>38988.17946284698</v>
      </c>
      <c r="P75" s="242">
        <f>O75-Bonus!Y71</f>
        <v>-4745.9652850610437</v>
      </c>
      <c r="Q75" s="242"/>
      <c r="R75" s="243">
        <v>117000</v>
      </c>
      <c r="S75" s="242"/>
      <c r="U75" s="340"/>
    </row>
    <row r="76" spans="1:21" ht="15" customHeight="1">
      <c r="A76" s="329">
        <f>Bonus!A72</f>
        <v>52.865200000000002</v>
      </c>
      <c r="B76" s="235" t="str">
        <f>Bonus!B72</f>
        <v>California Water Service Co. - Salinas 77 Booster Station</v>
      </c>
      <c r="C76" s="241">
        <f>Bonus!G72</f>
        <v>1</v>
      </c>
      <c r="D76" s="242">
        <f>Bonus!C72</f>
        <v>1290184</v>
      </c>
      <c r="E76" s="243">
        <f>Bonus!E72</f>
        <v>250807.92000000004</v>
      </c>
      <c r="F76" s="242">
        <f t="shared" ref="F76" si="60">+E76-R76</f>
        <v>0</v>
      </c>
      <c r="G76" s="242"/>
      <c r="H76" s="242">
        <f>Bonus!I72</f>
        <v>1290184</v>
      </c>
      <c r="I76" s="242">
        <f>Bonus!F72</f>
        <v>1039376.08</v>
      </c>
      <c r="J76" s="242">
        <f>Bonus!H72</f>
        <v>250807.92000000004</v>
      </c>
      <c r="K76" s="242">
        <f>Bonus!P72</f>
        <v>170698.83744000029</v>
      </c>
      <c r="L76" s="242"/>
      <c r="M76" s="242">
        <f t="shared" ref="M76" si="61">+N76+O76</f>
        <v>133540.67255999972</v>
      </c>
      <c r="N76" s="242">
        <f>Bonus!Q72</f>
        <v>53431.589999999967</v>
      </c>
      <c r="O76" s="242">
        <f>Bonus!S72</f>
        <v>80109.082559999748</v>
      </c>
      <c r="P76" s="242">
        <f>O76-Bonus!Y72</f>
        <v>0</v>
      </c>
      <c r="Q76" s="242"/>
      <c r="R76" s="243">
        <v>250807.92000000004</v>
      </c>
      <c r="S76" s="242"/>
      <c r="U76" s="340"/>
    </row>
    <row r="77" spans="1:21" ht="15" customHeight="1">
      <c r="A77" s="329">
        <f>Bonus!A73</f>
        <v>52.8658</v>
      </c>
      <c r="B77" s="235" t="str">
        <f>Bonus!B73</f>
        <v>California Water Service Co. - Visalia Station 98 Water Storage Tank &amp; Booster Site</v>
      </c>
      <c r="C77" s="241">
        <f>Bonus!G73</f>
        <v>1</v>
      </c>
      <c r="D77" s="242">
        <f>Bonus!C73</f>
        <v>1870914.99</v>
      </c>
      <c r="E77" s="243">
        <f>Bonus!E73</f>
        <v>237384.78000000003</v>
      </c>
      <c r="F77" s="242">
        <f t="shared" ref="F77" si="62">+E77-R77</f>
        <v>0</v>
      </c>
      <c r="G77" s="242"/>
      <c r="H77" s="242">
        <f>Bonus!I73</f>
        <v>1870914.99</v>
      </c>
      <c r="I77" s="242">
        <f>Bonus!F73</f>
        <v>1633530.21</v>
      </c>
      <c r="J77" s="242">
        <f>Bonus!H73</f>
        <v>237384.78000000003</v>
      </c>
      <c r="K77" s="242">
        <f>Bonus!P73</f>
        <v>148751</v>
      </c>
      <c r="L77" s="242"/>
      <c r="M77" s="242">
        <f t="shared" ref="M77" si="63">+N77+O77</f>
        <v>200545.21999999997</v>
      </c>
      <c r="N77" s="242">
        <f>Bonus!Q73</f>
        <v>111911.43999999994</v>
      </c>
      <c r="O77" s="242">
        <f>Bonus!S73</f>
        <v>88633.780000000028</v>
      </c>
      <c r="P77" s="242">
        <f>O77-Bonus!Y73</f>
        <v>0</v>
      </c>
      <c r="Q77" s="242"/>
      <c r="R77" s="243">
        <v>237384.78000000003</v>
      </c>
      <c r="S77" s="242"/>
      <c r="U77" s="340"/>
    </row>
    <row r="78" spans="1:21" ht="15" customHeight="1">
      <c r="A78" s="329">
        <f>Bonus!A74</f>
        <v>52.866300000000003</v>
      </c>
      <c r="B78" s="235" t="str">
        <f>Bonus!B74</f>
        <v>Root Creek Water Dist. - Ag Well 277 Conversion Project</v>
      </c>
      <c r="C78" s="241">
        <f>Bonus!G74</f>
        <v>1</v>
      </c>
      <c r="D78" s="242">
        <f>Bonus!C74</f>
        <v>1641800</v>
      </c>
      <c r="E78" s="243">
        <f>Bonus!E74</f>
        <v>262111.71999999997</v>
      </c>
      <c r="F78" s="242">
        <f t="shared" ref="F78" si="64">+E78-R78</f>
        <v>2111.7199999999721</v>
      </c>
      <c r="G78" s="242"/>
      <c r="H78" s="242">
        <f>Bonus!I74</f>
        <v>1641800</v>
      </c>
      <c r="I78" s="242">
        <f>Bonus!F74</f>
        <v>1379688.28</v>
      </c>
      <c r="J78" s="242">
        <f>Bonus!H74</f>
        <v>262111.71999999997</v>
      </c>
      <c r="K78" s="242">
        <f>Bonus!P74</f>
        <v>42676.950827370209</v>
      </c>
      <c r="L78" s="242"/>
      <c r="M78" s="242">
        <f t="shared" ref="M78" si="65">+N78+O78</f>
        <v>1192257.6591726297</v>
      </c>
      <c r="N78" s="242">
        <f>Bonus!Q74</f>
        <v>972822.89</v>
      </c>
      <c r="O78" s="242">
        <f>Bonus!S74</f>
        <v>219434.76917262975</v>
      </c>
      <c r="P78" s="242">
        <f>O78-Bonus!Y74</f>
        <v>7703.0145433492144</v>
      </c>
      <c r="Q78" s="242"/>
      <c r="R78" s="243">
        <v>260000</v>
      </c>
      <c r="S78" s="242"/>
      <c r="U78" s="340"/>
    </row>
    <row r="79" spans="1:21" ht="15" customHeight="1">
      <c r="A79" s="329">
        <f>Bonus!A75</f>
        <v>52.866700000000002</v>
      </c>
      <c r="B79" s="235" t="str">
        <f>Bonus!B75</f>
        <v>California Water Service Co. - Cal Water Salinas Station 33</v>
      </c>
      <c r="C79" s="241">
        <f>Bonus!G75</f>
        <v>1</v>
      </c>
      <c r="D79" s="242">
        <f>Bonus!C75</f>
        <v>314085.77</v>
      </c>
      <c r="E79" s="243">
        <f>Bonus!E75</f>
        <v>23359.660000000033</v>
      </c>
      <c r="F79" s="242">
        <f t="shared" ref="F79" si="66">+E79-R79</f>
        <v>0</v>
      </c>
      <c r="G79" s="242"/>
      <c r="H79" s="242">
        <f>Bonus!I75</f>
        <v>314085.77</v>
      </c>
      <c r="I79" s="242">
        <f>Bonus!F75</f>
        <v>290726.11</v>
      </c>
      <c r="J79" s="242">
        <f>Bonus!H75</f>
        <v>23359.660000000033</v>
      </c>
      <c r="K79" s="242">
        <f>Bonus!P75</f>
        <v>26868.865348399246</v>
      </c>
      <c r="L79" s="242"/>
      <c r="M79" s="242">
        <f t="shared" ref="M79" si="67">+N79+O79</f>
        <v>1869.5546516007962</v>
      </c>
      <c r="N79" s="242">
        <f>Bonus!Q75</f>
        <v>5378.7600000000093</v>
      </c>
      <c r="O79" s="242">
        <f>Bonus!S75</f>
        <v>-3509.2053483992131</v>
      </c>
      <c r="P79" s="242">
        <f>O79-Bonus!Y75</f>
        <v>0</v>
      </c>
      <c r="Q79" s="242"/>
      <c r="R79" s="243">
        <v>23359.660000000033</v>
      </c>
      <c r="S79" s="242"/>
      <c r="U79" s="340"/>
    </row>
    <row r="80" spans="1:21" ht="15" customHeight="1">
      <c r="A80" s="329">
        <f>Bonus!A76</f>
        <v>52.866999999999997</v>
      </c>
      <c r="B80" s="235" t="str">
        <f>Bonus!B76</f>
        <v>California Water Service Co. - Cal Water - King City Station 10</v>
      </c>
      <c r="C80" s="241">
        <f>Bonus!G76</f>
        <v>1</v>
      </c>
      <c r="D80" s="242">
        <f>Bonus!C76</f>
        <v>274166.01</v>
      </c>
      <c r="E80" s="243">
        <f>Bonus!E76</f>
        <v>6883.960000000021</v>
      </c>
      <c r="F80" s="242">
        <f t="shared" ref="F80" si="68">+E80-R80</f>
        <v>0</v>
      </c>
      <c r="G80" s="242"/>
      <c r="H80" s="242">
        <f>Bonus!I76</f>
        <v>274166.01</v>
      </c>
      <c r="I80" s="242">
        <f>Bonus!F76</f>
        <v>267282.05</v>
      </c>
      <c r="J80" s="242">
        <f>Bonus!H76</f>
        <v>6883.960000000021</v>
      </c>
      <c r="K80" s="242">
        <f>Bonus!P76</f>
        <v>10404.4355848992</v>
      </c>
      <c r="L80" s="242"/>
      <c r="M80" s="242">
        <f t="shared" ref="M80" si="69">+N80+O80</f>
        <v>142646.06441510079</v>
      </c>
      <c r="N80" s="242">
        <f>Bonus!Q76</f>
        <v>146166.53999999998</v>
      </c>
      <c r="O80" s="242">
        <f>Bonus!S76</f>
        <v>-3520.475584899179</v>
      </c>
      <c r="P80" s="242">
        <f>O80-Bonus!Y76</f>
        <v>0</v>
      </c>
      <c r="Q80" s="242"/>
      <c r="R80" s="243">
        <v>6883.960000000021</v>
      </c>
      <c r="S80" s="242"/>
      <c r="U80" s="340"/>
    </row>
    <row r="81" spans="1:21" ht="15" customHeight="1">
      <c r="A81" s="329">
        <f>Bonus!A77</f>
        <v>52.867400000000004</v>
      </c>
      <c r="B81" s="235" t="str">
        <f>Bonus!B77</f>
        <v>City of Hanford - WWTP Standby Influent Pump Install</v>
      </c>
      <c r="C81" s="241">
        <f>Bonus!G77</f>
        <v>1</v>
      </c>
      <c r="D81" s="242">
        <f>Bonus!C77</f>
        <v>279244</v>
      </c>
      <c r="E81" s="243">
        <f>Bonus!E77</f>
        <v>28155.799999999988</v>
      </c>
      <c r="F81" s="242">
        <f t="shared" ref="F81" si="70">+E81-R81</f>
        <v>0</v>
      </c>
      <c r="G81" s="242"/>
      <c r="H81" s="242">
        <f>Bonus!I77</f>
        <v>279244</v>
      </c>
      <c r="I81" s="242">
        <f>Bonus!F77</f>
        <v>251088.2</v>
      </c>
      <c r="J81" s="242">
        <f>Bonus!H77</f>
        <v>28155.799999999988</v>
      </c>
      <c r="K81" s="242">
        <f>Bonus!P77</f>
        <v>15534.58355022051</v>
      </c>
      <c r="L81" s="242"/>
      <c r="M81" s="242">
        <f t="shared" ref="M81" si="71">+N81+O81</f>
        <v>78969.796449779489</v>
      </c>
      <c r="N81" s="242">
        <f>Bonus!Q77</f>
        <v>66348.580000000016</v>
      </c>
      <c r="O81" s="242">
        <f>Bonus!S77</f>
        <v>12621.216449779478</v>
      </c>
      <c r="P81" s="242">
        <f>O81-Bonus!Y77</f>
        <v>0</v>
      </c>
      <c r="Q81" s="242"/>
      <c r="R81" s="243">
        <v>28155.799999999988</v>
      </c>
      <c r="S81" s="242"/>
      <c r="U81" s="340"/>
    </row>
    <row r="82" spans="1:21" ht="15" customHeight="1">
      <c r="A82" s="329">
        <f>Bonus!A78</f>
        <v>52.867699999999999</v>
      </c>
      <c r="B82" s="235" t="str">
        <f>Bonus!B78</f>
        <v>Gunner Ranch, Inc. - CSA 22C Tank and PW2 Site Improvements</v>
      </c>
      <c r="C82" s="241">
        <f>Bonus!G78</f>
        <v>1</v>
      </c>
      <c r="D82" s="242">
        <f>Bonus!C78</f>
        <v>796055.3</v>
      </c>
      <c r="E82" s="243">
        <f>Bonus!E78</f>
        <v>106223.34000000008</v>
      </c>
      <c r="F82" s="242">
        <f t="shared" ref="F82" si="72">+E82-R82</f>
        <v>18223.340000000084</v>
      </c>
      <c r="G82" s="242"/>
      <c r="H82" s="242">
        <f>Bonus!I78</f>
        <v>796055.3</v>
      </c>
      <c r="I82" s="242">
        <f>Bonus!F78</f>
        <v>689831.96</v>
      </c>
      <c r="J82" s="242">
        <f>Bonus!H78</f>
        <v>106223.34000000008</v>
      </c>
      <c r="K82" s="242">
        <f>Bonus!P78</f>
        <v>0</v>
      </c>
      <c r="L82" s="242"/>
      <c r="M82" s="242">
        <f t="shared" ref="M82" si="73">+N82+O82</f>
        <v>762769.27</v>
      </c>
      <c r="N82" s="242">
        <f>Bonus!Q78</f>
        <v>656545.92999999993</v>
      </c>
      <c r="O82" s="242">
        <f>Bonus!S78</f>
        <v>106223.34000000008</v>
      </c>
      <c r="P82" s="242">
        <f>O82-Bonus!Y78</f>
        <v>23807.246148115373</v>
      </c>
      <c r="Q82" s="242"/>
      <c r="R82" s="243">
        <v>88000</v>
      </c>
      <c r="S82" s="242"/>
      <c r="U82" s="340"/>
    </row>
    <row r="83" spans="1:21" ht="15" customHeight="1">
      <c r="A83" s="329">
        <f>Bonus!A79</f>
        <v>52.868000000000002</v>
      </c>
      <c r="B83" s="235" t="str">
        <f>Bonus!B79</f>
        <v>City of Orange Cove - Orange Cove West Clarifier T&amp;M</v>
      </c>
      <c r="C83" s="241">
        <f>Bonus!G79</f>
        <v>1</v>
      </c>
      <c r="D83" s="242">
        <f>Bonus!C79</f>
        <v>29838.25</v>
      </c>
      <c r="E83" s="243">
        <f>Bonus!E79</f>
        <v>3749.9199999999983</v>
      </c>
      <c r="F83" s="242">
        <f t="shared" ref="F83" si="74">+E83-R83</f>
        <v>0</v>
      </c>
      <c r="G83" s="242"/>
      <c r="H83" s="242">
        <f>Bonus!I79</f>
        <v>29838.25</v>
      </c>
      <c r="I83" s="242">
        <f>Bonus!F79</f>
        <v>26088.33</v>
      </c>
      <c r="J83" s="242">
        <f>Bonus!H79</f>
        <v>3749.9199999999983</v>
      </c>
      <c r="K83" s="242">
        <f>Bonus!P79</f>
        <v>0</v>
      </c>
      <c r="L83" s="242"/>
      <c r="M83" s="242">
        <f t="shared" ref="M83" si="75">+N83+O83</f>
        <v>23324.04</v>
      </c>
      <c r="N83" s="242">
        <f>Bonus!Q79</f>
        <v>19574.120000000003</v>
      </c>
      <c r="O83" s="242">
        <f>Bonus!S79</f>
        <v>3749.9199999999983</v>
      </c>
      <c r="P83" s="242">
        <f>O83-Bonus!Y79</f>
        <v>0</v>
      </c>
      <c r="Q83" s="242"/>
      <c r="R83" s="243">
        <v>3749.9199999999983</v>
      </c>
      <c r="S83" s="242"/>
      <c r="U83" s="340"/>
    </row>
    <row r="84" spans="1:21" ht="15" customHeight="1">
      <c r="A84" s="329">
        <f>Bonus!A80</f>
        <v>52.868200000000002</v>
      </c>
      <c r="B84" s="235" t="str">
        <f>Bonus!B80</f>
        <v>Fresno Overhead 2025</v>
      </c>
      <c r="C84" s="241">
        <f>Bonus!G80</f>
        <v>1</v>
      </c>
      <c r="D84" s="242">
        <f>Bonus!C80</f>
        <v>0</v>
      </c>
      <c r="E84" s="243">
        <f>Bonus!E80</f>
        <v>-1121157.1000000001</v>
      </c>
      <c r="F84" s="242">
        <f t="shared" ref="F84:F85" si="76">+E84-R84</f>
        <v>-156002.7300000001</v>
      </c>
      <c r="G84" s="242"/>
      <c r="H84" s="242">
        <f>Bonus!I80</f>
        <v>0</v>
      </c>
      <c r="I84" s="242">
        <f>Bonus!F80</f>
        <v>1121157.1000000001</v>
      </c>
      <c r="J84" s="242">
        <f>Bonus!H80</f>
        <v>-1121157.1000000001</v>
      </c>
      <c r="K84" s="242">
        <f>Bonus!P80</f>
        <v>0</v>
      </c>
      <c r="L84" s="242"/>
      <c r="M84" s="242">
        <f t="shared" ref="M84:M85" si="77">+N84+O84</f>
        <v>0</v>
      </c>
      <c r="N84" s="242">
        <f>Bonus!Q80</f>
        <v>1121157.1000000001</v>
      </c>
      <c r="O84" s="242">
        <f>Bonus!S80</f>
        <v>-1121157.1000000001</v>
      </c>
      <c r="P84" s="242">
        <f>O84-Bonus!Y80</f>
        <v>-156002.7300000001</v>
      </c>
      <c r="Q84" s="242"/>
      <c r="R84" s="243">
        <v>-965154.37</v>
      </c>
      <c r="S84" s="242"/>
      <c r="U84" s="340"/>
    </row>
    <row r="85" spans="1:21" ht="15" customHeight="1">
      <c r="A85" s="329">
        <f>Bonus!A81</f>
        <v>52.868299999999998</v>
      </c>
      <c r="B85" s="235" t="str">
        <f>Bonus!B81</f>
        <v>Fresno Estimating 2025</v>
      </c>
      <c r="C85" s="241">
        <f>Bonus!G81</f>
        <v>1</v>
      </c>
      <c r="D85" s="242">
        <f>Bonus!C81</f>
        <v>0</v>
      </c>
      <c r="E85" s="243">
        <f>Bonus!E81</f>
        <v>-415452.52</v>
      </c>
      <c r="F85" s="242">
        <f t="shared" si="76"/>
        <v>-64541.140000000014</v>
      </c>
      <c r="G85" s="242"/>
      <c r="H85" s="242">
        <f>Bonus!I81</f>
        <v>0</v>
      </c>
      <c r="I85" s="242">
        <f>Bonus!F81</f>
        <v>415452.52</v>
      </c>
      <c r="J85" s="242">
        <f>Bonus!H81</f>
        <v>-415452.52</v>
      </c>
      <c r="K85" s="242">
        <f>Bonus!P81</f>
        <v>0</v>
      </c>
      <c r="L85" s="242"/>
      <c r="M85" s="242">
        <f t="shared" si="77"/>
        <v>0</v>
      </c>
      <c r="N85" s="242">
        <f>Bonus!Q81</f>
        <v>415452.52</v>
      </c>
      <c r="O85" s="242">
        <f>Bonus!S81</f>
        <v>-415452.52</v>
      </c>
      <c r="P85" s="242">
        <f>O85-Bonus!Y81</f>
        <v>-64541.140000000014</v>
      </c>
      <c r="Q85" s="242"/>
      <c r="R85" s="243">
        <v>-350911.38</v>
      </c>
      <c r="S85" s="242"/>
      <c r="U85" s="340"/>
    </row>
    <row r="86" spans="1:21" ht="15" customHeight="1">
      <c r="A86" s="329">
        <f>Bonus!A82</f>
        <v>52.868400000000001</v>
      </c>
      <c r="B86" s="235" t="str">
        <f>Bonus!B82</f>
        <v>Lakeside Ditch Co. - Lakeland Radial Gate Repair (T&amp;M)</v>
      </c>
      <c r="C86" s="241">
        <f>Bonus!G82</f>
        <v>1</v>
      </c>
      <c r="D86" s="242">
        <f>Bonus!C82</f>
        <v>50568.05</v>
      </c>
      <c r="E86" s="243">
        <f>Bonus!E82</f>
        <v>5276.6600000000035</v>
      </c>
      <c r="F86" s="242">
        <f t="shared" ref="F86" si="78">+E86-R86</f>
        <v>830.02999999999884</v>
      </c>
      <c r="G86" s="242"/>
      <c r="H86" s="242">
        <f>Bonus!I82</f>
        <v>50568.05</v>
      </c>
      <c r="I86" s="242">
        <f>Bonus!F82</f>
        <v>45291.39</v>
      </c>
      <c r="J86" s="242">
        <f>Bonus!H82</f>
        <v>5276.6600000000035</v>
      </c>
      <c r="K86" s="242">
        <f>Bonus!P82</f>
        <v>0</v>
      </c>
      <c r="L86" s="242"/>
      <c r="M86" s="242">
        <f t="shared" ref="M86" si="79">+N86+O86</f>
        <v>50568.05</v>
      </c>
      <c r="N86" s="242">
        <f>Bonus!Q82</f>
        <v>45291.39</v>
      </c>
      <c r="O86" s="242">
        <f>Bonus!S82</f>
        <v>5276.6600000000035</v>
      </c>
      <c r="P86" s="242">
        <f>O86-Bonus!Y82</f>
        <v>830.02999999999884</v>
      </c>
      <c r="Q86" s="242"/>
      <c r="R86" s="243">
        <v>4446.6300000000047</v>
      </c>
      <c r="S86" s="242"/>
      <c r="U86" s="340"/>
    </row>
    <row r="87" spans="1:21" ht="15" customHeight="1">
      <c r="A87" s="329">
        <f>Bonus!A83</f>
        <v>52.868499999999997</v>
      </c>
      <c r="B87" s="235" t="str">
        <f>Bonus!B83</f>
        <v>Malaga County Water Dist. - Malaga County Water District</v>
      </c>
      <c r="C87" s="241">
        <f>Bonus!G83</f>
        <v>1</v>
      </c>
      <c r="D87" s="242">
        <f>Bonus!C83</f>
        <v>451254</v>
      </c>
      <c r="E87" s="243">
        <f>Bonus!E83</f>
        <v>69186.679999999993</v>
      </c>
      <c r="F87" s="242">
        <f t="shared" ref="F87" si="80">+E87-R87</f>
        <v>34186.679999999993</v>
      </c>
      <c r="G87" s="242"/>
      <c r="H87" s="242">
        <f>Bonus!I83</f>
        <v>451254</v>
      </c>
      <c r="I87" s="242">
        <f>Bonus!F83</f>
        <v>382067.32</v>
      </c>
      <c r="J87" s="242">
        <f>Bonus!H83</f>
        <v>69186.679999999993</v>
      </c>
      <c r="K87" s="242">
        <f>Bonus!P83</f>
        <v>0</v>
      </c>
      <c r="L87" s="242"/>
      <c r="M87" s="242">
        <f t="shared" ref="M87" si="81">+N87+O87</f>
        <v>451254</v>
      </c>
      <c r="N87" s="242">
        <f>Bonus!Q83</f>
        <v>382067.32</v>
      </c>
      <c r="O87" s="242">
        <f>Bonus!S83</f>
        <v>69186.679999999993</v>
      </c>
      <c r="P87" s="242">
        <f>O87-Bonus!Y83</f>
        <v>42338.777277143272</v>
      </c>
      <c r="Q87" s="242"/>
      <c r="R87" s="243">
        <v>35000</v>
      </c>
      <c r="S87" s="242"/>
      <c r="U87" s="340"/>
    </row>
    <row r="88" spans="1:21" ht="15" customHeight="1">
      <c r="A88" s="329">
        <f>Bonus!A84</f>
        <v>52.868600000000001</v>
      </c>
      <c r="B88" s="235" t="str">
        <f>Bonus!B84</f>
        <v>Root Creek Water Dist. - Groundwater - 48-Inch RCP Repair</v>
      </c>
      <c r="C88" s="241">
        <f>Bonus!G84</f>
        <v>0.99999999999999978</v>
      </c>
      <c r="D88" s="242">
        <f>Bonus!C84</f>
        <v>23957</v>
      </c>
      <c r="E88" s="243">
        <f>Bonus!E84</f>
        <v>16451.739999999998</v>
      </c>
      <c r="F88" s="242">
        <f t="shared" ref="F88" si="82">+E88-R88</f>
        <v>0</v>
      </c>
      <c r="G88" s="242"/>
      <c r="H88" s="242">
        <f>Bonus!I84</f>
        <v>23956.999999999993</v>
      </c>
      <c r="I88" s="242">
        <f>Bonus!F84</f>
        <v>7505.26</v>
      </c>
      <c r="J88" s="242">
        <f>Bonus!H84</f>
        <v>16451.739999999994</v>
      </c>
      <c r="K88" s="242">
        <f>Bonus!P84</f>
        <v>15372.256719850511</v>
      </c>
      <c r="L88" s="242"/>
      <c r="M88" s="242">
        <f t="shared" ref="M88" si="83">+N88+O88</f>
        <v>2293.8732801494834</v>
      </c>
      <c r="N88" s="242">
        <f>Bonus!Q84</f>
        <v>1214.3900000000003</v>
      </c>
      <c r="O88" s="242">
        <f>Bonus!S84</f>
        <v>1079.4832801494831</v>
      </c>
      <c r="P88" s="242">
        <f>O88-Bonus!Y84</f>
        <v>0</v>
      </c>
      <c r="Q88" s="242"/>
      <c r="R88" s="243">
        <v>16451.739999999998</v>
      </c>
      <c r="S88" s="242"/>
      <c r="U88" s="340"/>
    </row>
    <row r="89" spans="1:21" ht="15" customHeight="1">
      <c r="A89" s="329">
        <f>Bonus!A85</f>
        <v>52.8688</v>
      </c>
      <c r="B89" s="235" t="str">
        <f>Bonus!B85</f>
        <v>New England Sheet Metal and Mechanical Co. - Valley Children's Hospital NESM Trench Limits</v>
      </c>
      <c r="C89" s="241">
        <f>Bonus!G85</f>
        <v>1</v>
      </c>
      <c r="D89" s="242">
        <f>Bonus!C85</f>
        <v>132492.20000000001</v>
      </c>
      <c r="E89" s="243">
        <f>Bonus!E85</f>
        <v>15519.450000000012</v>
      </c>
      <c r="F89" s="242">
        <f t="shared" ref="F89" si="84">+E89-R89</f>
        <v>0</v>
      </c>
      <c r="G89" s="242"/>
      <c r="H89" s="242">
        <f>Bonus!I85</f>
        <v>132492.20000000001</v>
      </c>
      <c r="I89" s="242">
        <f>Bonus!F85</f>
        <v>116972.75</v>
      </c>
      <c r="J89" s="242">
        <f>Bonus!H85</f>
        <v>15519.450000000012</v>
      </c>
      <c r="K89" s="242">
        <f>Bonus!P85</f>
        <v>0</v>
      </c>
      <c r="L89" s="242"/>
      <c r="M89" s="242">
        <f t="shared" ref="M89" si="85">+N89+O89</f>
        <v>132492.20000000001</v>
      </c>
      <c r="N89" s="242">
        <f>Bonus!Q85</f>
        <v>116972.75</v>
      </c>
      <c r="O89" s="242">
        <f>Bonus!S85</f>
        <v>15519.450000000012</v>
      </c>
      <c r="P89" s="242">
        <f>O89-Bonus!Y85</f>
        <v>0</v>
      </c>
      <c r="Q89" s="242"/>
      <c r="R89" s="243">
        <v>15519.450000000012</v>
      </c>
      <c r="S89" s="242"/>
      <c r="U89" s="340"/>
    </row>
    <row r="90" spans="1:21" ht="15" customHeight="1">
      <c r="A90" s="329">
        <f>Bonus!A86</f>
        <v>52.868899999999996</v>
      </c>
      <c r="B90" s="235" t="str">
        <f>Bonus!B86</f>
        <v>City of Sanger - Public Works Dept. - City of Sanger WWTP- Remove and Install Valves T&amp;M</v>
      </c>
      <c r="C90" s="241">
        <f>Bonus!G86</f>
        <v>1</v>
      </c>
      <c r="D90" s="242">
        <f>Bonus!C86</f>
        <v>16665.830000000002</v>
      </c>
      <c r="E90" s="243">
        <f>Bonus!E86</f>
        <v>570.25000000000182</v>
      </c>
      <c r="F90" s="242">
        <f t="shared" ref="F90" si="86">+E90-R90</f>
        <v>0</v>
      </c>
      <c r="G90" s="242"/>
      <c r="H90" s="242">
        <f>Bonus!I86</f>
        <v>16665.830000000002</v>
      </c>
      <c r="I90" s="242">
        <f>Bonus!F86</f>
        <v>16095.58</v>
      </c>
      <c r="J90" s="242">
        <f>Bonus!H86</f>
        <v>570.25000000000182</v>
      </c>
      <c r="K90" s="242">
        <f>Bonus!P86</f>
        <v>0</v>
      </c>
      <c r="L90" s="242"/>
      <c r="M90" s="242">
        <f t="shared" ref="M90" si="87">+N90+O90</f>
        <v>16665.830000000002</v>
      </c>
      <c r="N90" s="242">
        <f>Bonus!Q86</f>
        <v>16095.58</v>
      </c>
      <c r="O90" s="242">
        <f>Bonus!S86</f>
        <v>570.25000000000182</v>
      </c>
      <c r="P90" s="242">
        <f>O90-Bonus!Y86</f>
        <v>0</v>
      </c>
      <c r="Q90" s="242"/>
      <c r="R90" s="243">
        <v>570.25000000000182</v>
      </c>
      <c r="S90" s="242"/>
      <c r="U90" s="340"/>
    </row>
    <row r="91" spans="1:21" ht="15" customHeight="1">
      <c r="A91" s="329">
        <f>Bonus!A87</f>
        <v>52.869</v>
      </c>
      <c r="B91" s="235" t="str">
        <f>Bonus!B87</f>
        <v>City of Dinuba - WWTP Rake Replacement</v>
      </c>
      <c r="C91" s="241">
        <f>Bonus!G87</f>
        <v>1</v>
      </c>
      <c r="D91" s="242">
        <f>Bonus!C87</f>
        <v>14151.97</v>
      </c>
      <c r="E91" s="243">
        <f>Bonus!E87</f>
        <v>996.13999999999942</v>
      </c>
      <c r="F91" s="242">
        <f t="shared" ref="F91:F96" si="88">+E91-R91</f>
        <v>0</v>
      </c>
      <c r="G91" s="242"/>
      <c r="H91" s="242">
        <f>Bonus!I87</f>
        <v>14151.97</v>
      </c>
      <c r="I91" s="242">
        <f>Bonus!F87</f>
        <v>13155.83</v>
      </c>
      <c r="J91" s="242">
        <f>Bonus!H87</f>
        <v>996.13999999999942</v>
      </c>
      <c r="K91" s="242">
        <f>Bonus!P87</f>
        <v>0</v>
      </c>
      <c r="L91" s="242"/>
      <c r="M91" s="242">
        <f t="shared" ref="M91:M96" si="89">+N91+O91</f>
        <v>14151.97</v>
      </c>
      <c r="N91" s="242">
        <f>Bonus!Q87</f>
        <v>13155.83</v>
      </c>
      <c r="O91" s="242">
        <f>Bonus!S87</f>
        <v>996.13999999999942</v>
      </c>
      <c r="P91" s="242">
        <f>O91-Bonus!Y87</f>
        <v>0</v>
      </c>
      <c r="Q91" s="242"/>
      <c r="R91" s="243">
        <v>996.13999999999942</v>
      </c>
      <c r="S91" s="242"/>
      <c r="U91" s="340"/>
    </row>
    <row r="92" spans="1:21" ht="15" customHeight="1">
      <c r="A92" s="329">
        <f>Bonus!A88</f>
        <v>52.869100000000003</v>
      </c>
      <c r="B92" s="235" t="str">
        <f>Bonus!B88</f>
        <v>County of Fresno - Quail Lakes Repair at Bodega Bay Rd</v>
      </c>
      <c r="C92" s="241">
        <f>Bonus!G88</f>
        <v>1</v>
      </c>
      <c r="D92" s="242">
        <f>Bonus!C88</f>
        <v>11302.84</v>
      </c>
      <c r="E92" s="243">
        <f>Bonus!E88</f>
        <v>3015.0200000000004</v>
      </c>
      <c r="F92" s="242">
        <f t="shared" ref="F92:F95" si="90">+E92-R92</f>
        <v>0</v>
      </c>
      <c r="G92" s="242"/>
      <c r="H92" s="242">
        <f>Bonus!I88</f>
        <v>11302.84</v>
      </c>
      <c r="I92" s="242">
        <f>Bonus!F88</f>
        <v>8287.82</v>
      </c>
      <c r="J92" s="242">
        <f>Bonus!H88</f>
        <v>3015.0200000000004</v>
      </c>
      <c r="K92" s="242">
        <f>Bonus!P88</f>
        <v>0</v>
      </c>
      <c r="L92" s="242"/>
      <c r="M92" s="242">
        <f t="shared" ref="M92:M95" si="91">+N92+O92</f>
        <v>11302.84</v>
      </c>
      <c r="N92" s="242">
        <f>Bonus!Q88</f>
        <v>8287.82</v>
      </c>
      <c r="O92" s="242">
        <f>Bonus!S88</f>
        <v>3015.0200000000004</v>
      </c>
      <c r="P92" s="242">
        <f>O92-Bonus!Y88</f>
        <v>0</v>
      </c>
      <c r="Q92" s="242"/>
      <c r="R92" s="243">
        <v>3015.0200000000004</v>
      </c>
      <c r="S92" s="242"/>
      <c r="U92" s="340"/>
    </row>
    <row r="93" spans="1:21" ht="15" customHeight="1">
      <c r="A93" s="329">
        <f>Bonus!A89</f>
        <v>52.869300000000003</v>
      </c>
      <c r="B93" s="235" t="str">
        <f>Bonus!B89</f>
        <v>New England Sheet Metal and Mechanical Co. - VCH Service Meter Connections</v>
      </c>
      <c r="C93" s="241">
        <f>Bonus!G89</f>
        <v>1</v>
      </c>
      <c r="D93" s="242">
        <f>Bonus!C89</f>
        <v>1120704.2</v>
      </c>
      <c r="E93" s="243">
        <f>Bonus!E89</f>
        <v>457563.20999999996</v>
      </c>
      <c r="F93" s="242">
        <f t="shared" ref="F93" si="92">+E93-R93</f>
        <v>27563.209999999963</v>
      </c>
      <c r="G93" s="242"/>
      <c r="H93" s="242">
        <f>Bonus!I89</f>
        <v>1120704.2</v>
      </c>
      <c r="I93" s="242">
        <f>Bonus!F89</f>
        <v>663140.99</v>
      </c>
      <c r="J93" s="242">
        <f>Bonus!H89</f>
        <v>457563.20999999996</v>
      </c>
      <c r="K93" s="242">
        <f>Bonus!P89</f>
        <v>0</v>
      </c>
      <c r="L93" s="242"/>
      <c r="M93" s="242">
        <f t="shared" ref="M93" si="93">+N93+O93</f>
        <v>1120704.2</v>
      </c>
      <c r="N93" s="242">
        <f>Bonus!Q89</f>
        <v>663140.99</v>
      </c>
      <c r="O93" s="242">
        <f>Bonus!S89</f>
        <v>457563.20999999996</v>
      </c>
      <c r="P93" s="242">
        <f>O93-Bonus!Y89</f>
        <v>45019.802706400165</v>
      </c>
      <c r="Q93" s="242"/>
      <c r="R93" s="243">
        <v>430000</v>
      </c>
      <c r="S93" s="242"/>
      <c r="U93" s="340"/>
    </row>
    <row r="94" spans="1:21" ht="15" customHeight="1">
      <c r="A94" s="329">
        <f>Bonus!A90</f>
        <v>52.869399999999999</v>
      </c>
      <c r="B94" s="235" t="str">
        <f>Bonus!B90</f>
        <v>Pixley Public Utility District - Pixley WWTF - STM-Aerotor Repair</v>
      </c>
      <c r="C94" s="241">
        <f>Bonus!G90</f>
        <v>1</v>
      </c>
      <c r="D94" s="242">
        <f>Bonus!C90</f>
        <v>43047.45</v>
      </c>
      <c r="E94" s="243">
        <f>Bonus!E90</f>
        <v>4505.4599999999991</v>
      </c>
      <c r="F94" s="242">
        <f t="shared" si="90"/>
        <v>0</v>
      </c>
      <c r="G94" s="242"/>
      <c r="H94" s="242">
        <f>Bonus!I90</f>
        <v>43047.45</v>
      </c>
      <c r="I94" s="242">
        <f>Bonus!F90</f>
        <v>38541.99</v>
      </c>
      <c r="J94" s="242">
        <f>Bonus!H90</f>
        <v>4505.4599999999991</v>
      </c>
      <c r="K94" s="242">
        <f>Bonus!P90</f>
        <v>0</v>
      </c>
      <c r="L94" s="242"/>
      <c r="M94" s="242">
        <f t="shared" si="91"/>
        <v>43047.45</v>
      </c>
      <c r="N94" s="242">
        <f>Bonus!Q90</f>
        <v>38541.99</v>
      </c>
      <c r="O94" s="242">
        <f>Bonus!S90</f>
        <v>4505.4599999999991</v>
      </c>
      <c r="P94" s="242">
        <f>O94-Bonus!Y90</f>
        <v>0</v>
      </c>
      <c r="Q94" s="242"/>
      <c r="R94" s="243">
        <v>4505.4599999999991</v>
      </c>
      <c r="S94" s="242"/>
      <c r="U94" s="340"/>
    </row>
    <row r="95" spans="1:21" ht="15" customHeight="1">
      <c r="A95" s="329">
        <f>Bonus!A91</f>
        <v>52.869500000000002</v>
      </c>
      <c r="B95" s="235" t="str">
        <f>Bonus!B91</f>
        <v>Lyles Services Co. - LSC GO Trash Enclosure</v>
      </c>
      <c r="C95" s="241">
        <f>Bonus!G91</f>
        <v>1</v>
      </c>
      <c r="D95" s="242">
        <f>Bonus!C91</f>
        <v>13769</v>
      </c>
      <c r="E95" s="243">
        <f>Bonus!E91</f>
        <v>744.6299999999992</v>
      </c>
      <c r="F95" s="242">
        <f t="shared" si="90"/>
        <v>0</v>
      </c>
      <c r="G95" s="242"/>
      <c r="H95" s="242">
        <f>Bonus!I91</f>
        <v>13769</v>
      </c>
      <c r="I95" s="242">
        <f>Bonus!F91</f>
        <v>13024.37</v>
      </c>
      <c r="J95" s="242">
        <f>Bonus!H91</f>
        <v>744.6299999999992</v>
      </c>
      <c r="K95" s="242">
        <f>Bonus!P91</f>
        <v>0</v>
      </c>
      <c r="L95" s="242"/>
      <c r="M95" s="242">
        <f t="shared" si="91"/>
        <v>13769</v>
      </c>
      <c r="N95" s="242">
        <f>Bonus!Q91</f>
        <v>13024.37</v>
      </c>
      <c r="O95" s="242">
        <f>Bonus!S91</f>
        <v>744.6299999999992</v>
      </c>
      <c r="P95" s="242">
        <f>O95-Bonus!Y91</f>
        <v>0</v>
      </c>
      <c r="Q95" s="242"/>
      <c r="R95" s="243">
        <v>744.6299999999992</v>
      </c>
      <c r="S95" s="242"/>
      <c r="U95" s="340"/>
    </row>
    <row r="96" spans="1:21" ht="15" customHeight="1">
      <c r="A96" s="329">
        <f>Bonus!A92</f>
        <v>52.869599999999998</v>
      </c>
      <c r="B96" s="235" t="str">
        <f>Bonus!B92</f>
        <v>American Paving Co. - Hot Tap for APC- Tule River Parkway</v>
      </c>
      <c r="C96" s="241">
        <f>Bonus!G92</f>
        <v>1</v>
      </c>
      <c r="D96" s="242">
        <f>Bonus!C92</f>
        <v>1059.22</v>
      </c>
      <c r="E96" s="243">
        <f>Bonus!E92</f>
        <v>171.57000000000005</v>
      </c>
      <c r="F96" s="242">
        <f t="shared" si="88"/>
        <v>0</v>
      </c>
      <c r="G96" s="242"/>
      <c r="H96" s="242">
        <f>Bonus!I92</f>
        <v>1059.22</v>
      </c>
      <c r="I96" s="242">
        <f>Bonus!F92</f>
        <v>887.65</v>
      </c>
      <c r="J96" s="242">
        <f>Bonus!H92</f>
        <v>171.57000000000005</v>
      </c>
      <c r="K96" s="242">
        <f>Bonus!P92</f>
        <v>0</v>
      </c>
      <c r="L96" s="242"/>
      <c r="M96" s="242">
        <f t="shared" si="89"/>
        <v>1059.22</v>
      </c>
      <c r="N96" s="242">
        <f>Bonus!Q92</f>
        <v>887.65</v>
      </c>
      <c r="O96" s="242">
        <f>Bonus!S92</f>
        <v>171.57000000000005</v>
      </c>
      <c r="P96" s="242">
        <f>O96-Bonus!Y92</f>
        <v>0</v>
      </c>
      <c r="Q96" s="242"/>
      <c r="R96" s="243">
        <v>171.57000000000005</v>
      </c>
      <c r="S96" s="242"/>
      <c r="U96" s="340"/>
    </row>
    <row r="97" spans="1:21" ht="15" customHeight="1">
      <c r="A97" s="329">
        <f>Bonus!A93</f>
        <v>52.869900000000001</v>
      </c>
      <c r="B97" s="235" t="str">
        <f>Bonus!B93</f>
        <v>City of Hanford - WWTP Repair T&amp;M</v>
      </c>
      <c r="C97" s="241">
        <f>Bonus!G93</f>
        <v>1</v>
      </c>
      <c r="D97" s="242">
        <f>Bonus!C93</f>
        <v>3001.12</v>
      </c>
      <c r="E97" s="243">
        <f>Bonus!E93</f>
        <v>52.210000000000036</v>
      </c>
      <c r="F97" s="242">
        <f t="shared" ref="F97" si="94">+E97-R97</f>
        <v>0</v>
      </c>
      <c r="G97" s="242"/>
      <c r="H97" s="242">
        <f>Bonus!I93</f>
        <v>3001.12</v>
      </c>
      <c r="I97" s="242">
        <f>Bonus!F93</f>
        <v>2948.91</v>
      </c>
      <c r="J97" s="242">
        <f>Bonus!H93</f>
        <v>52.210000000000036</v>
      </c>
      <c r="K97" s="242">
        <f>Bonus!P93</f>
        <v>0</v>
      </c>
      <c r="L97" s="242"/>
      <c r="M97" s="242">
        <f t="shared" ref="M97" si="95">+N97+O97</f>
        <v>3001.12</v>
      </c>
      <c r="N97" s="242">
        <f>Bonus!Q93</f>
        <v>2948.91</v>
      </c>
      <c r="O97" s="242">
        <f>Bonus!S93</f>
        <v>52.210000000000036</v>
      </c>
      <c r="P97" s="242">
        <f>O97-Bonus!Y93</f>
        <v>0</v>
      </c>
      <c r="Q97" s="242"/>
      <c r="R97" s="243">
        <v>52.210000000000036</v>
      </c>
      <c r="S97" s="242"/>
      <c r="U97" s="340"/>
    </row>
    <row r="98" spans="1:21" ht="15" customHeight="1">
      <c r="A98" s="329">
        <f>Bonus!A94</f>
        <v>52.87</v>
      </c>
      <c r="B98" s="235" t="str">
        <f>Bonus!B94</f>
        <v>Lyles Services Co. - LSC GO Misc. Work</v>
      </c>
      <c r="C98" s="241">
        <f>Bonus!G94</f>
        <v>1</v>
      </c>
      <c r="D98" s="242">
        <f>Bonus!C94</f>
        <v>5297</v>
      </c>
      <c r="E98" s="243">
        <f>Bonus!E94</f>
        <v>850.86999999999989</v>
      </c>
      <c r="F98" s="242">
        <f t="shared" ref="F98" si="96">+E98-R98</f>
        <v>500.86999999999989</v>
      </c>
      <c r="G98" s="242"/>
      <c r="H98" s="242">
        <f>Bonus!I94</f>
        <v>5297</v>
      </c>
      <c r="I98" s="242">
        <f>Bonus!F94</f>
        <v>4446.13</v>
      </c>
      <c r="J98" s="242">
        <f>Bonus!H94</f>
        <v>850.86999999999989</v>
      </c>
      <c r="K98" s="242">
        <f>Bonus!P94</f>
        <v>0</v>
      </c>
      <c r="L98" s="242"/>
      <c r="M98" s="242">
        <f t="shared" ref="M98" si="97">+N98+O98</f>
        <v>5297</v>
      </c>
      <c r="N98" s="242">
        <f>Bonus!Q94</f>
        <v>4446.13</v>
      </c>
      <c r="O98" s="242">
        <f>Bonus!S94</f>
        <v>850.86999999999989</v>
      </c>
      <c r="P98" s="242">
        <f>O98-Bonus!Y94</f>
        <v>516.21505376344066</v>
      </c>
      <c r="Q98" s="242"/>
      <c r="R98" s="243">
        <v>350</v>
      </c>
      <c r="S98" s="242"/>
      <c r="U98" s="340"/>
    </row>
    <row r="99" spans="1:21" ht="15" customHeight="1">
      <c r="A99" s="329">
        <f>Bonus!A95</f>
        <v>52.870100000000001</v>
      </c>
      <c r="B99" s="235" t="str">
        <f>Bonus!B95</f>
        <v>County of Fresno - 47 Water</v>
      </c>
      <c r="C99" s="241">
        <f>Bonus!G95</f>
        <v>1</v>
      </c>
      <c r="D99" s="242">
        <f>Bonus!C95</f>
        <v>13433.85</v>
      </c>
      <c r="E99" s="243">
        <f>Bonus!E95</f>
        <v>1012.7700000000004</v>
      </c>
      <c r="F99" s="242">
        <f t="shared" ref="F99" si="98">+E99-R99</f>
        <v>-234.88999999999942</v>
      </c>
      <c r="G99" s="242"/>
      <c r="H99" s="242">
        <f>Bonus!I95</f>
        <v>13433.85</v>
      </c>
      <c r="I99" s="242">
        <f>Bonus!F95</f>
        <v>12421.08</v>
      </c>
      <c r="J99" s="242">
        <f>Bonus!H95</f>
        <v>1012.7700000000004</v>
      </c>
      <c r="K99" s="242">
        <f>Bonus!P95</f>
        <v>0</v>
      </c>
      <c r="L99" s="242"/>
      <c r="M99" s="242">
        <f t="shared" ref="M99" si="99">+N99+O99</f>
        <v>13433.85</v>
      </c>
      <c r="N99" s="242">
        <f>Bonus!Q95</f>
        <v>12421.08</v>
      </c>
      <c r="O99" s="242">
        <f>Bonus!S95</f>
        <v>1012.7700000000004</v>
      </c>
      <c r="P99" s="242">
        <f>O99-Bonus!Y95</f>
        <v>-234.88999999999942</v>
      </c>
      <c r="Q99" s="242"/>
      <c r="R99" s="243">
        <v>1247.6599999999999</v>
      </c>
      <c r="S99" s="242"/>
      <c r="U99" s="340"/>
    </row>
    <row r="100" spans="1:21" ht="15" customHeight="1">
      <c r="A100" s="329">
        <f>Bonus!A96</f>
        <v>52.870199999999997</v>
      </c>
      <c r="B100" s="235" t="str">
        <f>Bonus!B96</f>
        <v>New England Sheet Metal and Mechanical Co. - FUSD Wilson Elementary T&amp;M</v>
      </c>
      <c r="C100" s="241">
        <f>Bonus!G96</f>
        <v>1</v>
      </c>
      <c r="D100" s="242">
        <f>Bonus!C96</f>
        <v>5626.78</v>
      </c>
      <c r="E100" s="243">
        <f>Bonus!E96</f>
        <v>901.5</v>
      </c>
      <c r="F100" s="242">
        <f t="shared" ref="F100" si="100">+E100-R100</f>
        <v>0</v>
      </c>
      <c r="G100" s="242"/>
      <c r="H100" s="242">
        <f>Bonus!I96</f>
        <v>5626.78</v>
      </c>
      <c r="I100" s="242">
        <f>Bonus!F96</f>
        <v>4725.28</v>
      </c>
      <c r="J100" s="242">
        <f>Bonus!H96</f>
        <v>901.5</v>
      </c>
      <c r="K100" s="242">
        <f>Bonus!P96</f>
        <v>0</v>
      </c>
      <c r="L100" s="242"/>
      <c r="M100" s="242">
        <f t="shared" ref="M100" si="101">+N100+O100</f>
        <v>5626.78</v>
      </c>
      <c r="N100" s="242">
        <f>Bonus!Q96</f>
        <v>4725.28</v>
      </c>
      <c r="O100" s="242">
        <f>Bonus!S96</f>
        <v>901.5</v>
      </c>
      <c r="P100" s="242">
        <f>O100-Bonus!Y96</f>
        <v>0</v>
      </c>
      <c r="Q100" s="242"/>
      <c r="R100" s="243">
        <v>901.5</v>
      </c>
      <c r="S100" s="242"/>
      <c r="U100" s="340"/>
    </row>
    <row r="101" spans="1:21" ht="15" customHeight="1">
      <c r="A101" s="329">
        <f>Bonus!A97</f>
        <v>52.8703</v>
      </c>
      <c r="B101" s="235" t="str">
        <f>Bonus!B97</f>
        <v>County of Fresno - CSA 47 Egret Point Water Line Repair</v>
      </c>
      <c r="C101" s="241">
        <f>Bonus!G97</f>
        <v>1</v>
      </c>
      <c r="D101" s="242">
        <f>Bonus!C97</f>
        <v>14402.18</v>
      </c>
      <c r="E101" s="243">
        <f>Bonus!E97</f>
        <v>1830.6399999999994</v>
      </c>
      <c r="F101" s="242">
        <f t="shared" ref="F101:F102" si="102">+E101-R101</f>
        <v>-341.28000000000065</v>
      </c>
      <c r="G101" s="242"/>
      <c r="H101" s="242">
        <f>Bonus!I97</f>
        <v>14402.18</v>
      </c>
      <c r="I101" s="242">
        <f>Bonus!F97</f>
        <v>12571.54</v>
      </c>
      <c r="J101" s="242">
        <f>Bonus!H97</f>
        <v>1830.6399999999994</v>
      </c>
      <c r="K101" s="242">
        <f>Bonus!P97</f>
        <v>0</v>
      </c>
      <c r="L101" s="242"/>
      <c r="M101" s="242">
        <f t="shared" ref="M101:M102" si="103">+N101+O101</f>
        <v>14402.18</v>
      </c>
      <c r="N101" s="242">
        <f>Bonus!Q97</f>
        <v>12571.54</v>
      </c>
      <c r="O101" s="242">
        <f>Bonus!S97</f>
        <v>1830.6399999999994</v>
      </c>
      <c r="P101" s="242">
        <f>O101-Bonus!Y97</f>
        <v>-341.28000000000065</v>
      </c>
      <c r="Q101" s="242"/>
      <c r="R101" s="243">
        <v>2171.92</v>
      </c>
      <c r="S101" s="242"/>
      <c r="U101" s="340"/>
    </row>
    <row r="102" spans="1:21" ht="15" customHeight="1">
      <c r="A102" s="329">
        <f>Bonus!A98</f>
        <v>52.870600000000003</v>
      </c>
      <c r="B102" s="235" t="str">
        <f>Bonus!B98</f>
        <v>City of Hanford - WWTP Weld Repair T&amp;M 2</v>
      </c>
      <c r="C102" s="241">
        <f>Bonus!G98</f>
        <v>1</v>
      </c>
      <c r="D102" s="242">
        <f>Bonus!C98</f>
        <v>2868.6</v>
      </c>
      <c r="E102" s="243">
        <f>Bonus!E98</f>
        <v>432.81999999999971</v>
      </c>
      <c r="F102" s="242">
        <f t="shared" si="102"/>
        <v>0</v>
      </c>
      <c r="G102" s="242"/>
      <c r="H102" s="242">
        <f>Bonus!I98</f>
        <v>2868.6</v>
      </c>
      <c r="I102" s="242">
        <f>Bonus!F98</f>
        <v>2435.7800000000002</v>
      </c>
      <c r="J102" s="242">
        <f>Bonus!H98</f>
        <v>432.81999999999971</v>
      </c>
      <c r="K102" s="242">
        <f>Bonus!P98</f>
        <v>0</v>
      </c>
      <c r="L102" s="242"/>
      <c r="M102" s="242">
        <f t="shared" si="103"/>
        <v>2868.6</v>
      </c>
      <c r="N102" s="242">
        <f>Bonus!Q98</f>
        <v>2435.7800000000002</v>
      </c>
      <c r="O102" s="242">
        <f>Bonus!S98</f>
        <v>432.81999999999971</v>
      </c>
      <c r="P102" s="242">
        <f>O102-Bonus!Y98</f>
        <v>0</v>
      </c>
      <c r="Q102" s="242"/>
      <c r="R102" s="243">
        <v>432.81999999999971</v>
      </c>
      <c r="S102" s="242"/>
      <c r="U102" s="340"/>
    </row>
    <row r="103" spans="1:21" ht="15" customHeight="1">
      <c r="A103" s="329">
        <f>Bonus!A99</f>
        <v>52.870899999999999</v>
      </c>
      <c r="B103" s="235" t="str">
        <f>Bonus!B99</f>
        <v>County of Fresno - 47.1 Water</v>
      </c>
      <c r="C103" s="241">
        <f>Bonus!G99</f>
        <v>1</v>
      </c>
      <c r="D103" s="242">
        <f>Bonus!C99</f>
        <v>17765.14</v>
      </c>
      <c r="E103" s="243">
        <f>Bonus!E99</f>
        <v>2890.7799999999988</v>
      </c>
      <c r="F103" s="242">
        <f t="shared" ref="F103:F104" si="104">+E103-R103</f>
        <v>-174.78000000000065</v>
      </c>
      <c r="G103" s="242"/>
      <c r="H103" s="242">
        <f>Bonus!I99</f>
        <v>17765.14</v>
      </c>
      <c r="I103" s="242">
        <f>Bonus!F99</f>
        <v>14874.36</v>
      </c>
      <c r="J103" s="242">
        <f>Bonus!H99</f>
        <v>2890.7799999999988</v>
      </c>
      <c r="K103" s="242">
        <f>Bonus!P99</f>
        <v>0</v>
      </c>
      <c r="L103" s="242"/>
      <c r="M103" s="242">
        <f t="shared" ref="M103:M104" si="105">+N103+O103</f>
        <v>17765.14</v>
      </c>
      <c r="N103" s="242">
        <f>Bonus!Q99</f>
        <v>14874.36</v>
      </c>
      <c r="O103" s="242">
        <f>Bonus!S99</f>
        <v>2890.7799999999988</v>
      </c>
      <c r="P103" s="242">
        <f>O103-Bonus!Y99</f>
        <v>-174.78000000000065</v>
      </c>
      <c r="Q103" s="242"/>
      <c r="R103" s="243">
        <v>3065.5599999999995</v>
      </c>
      <c r="S103" s="242"/>
      <c r="U103" s="340"/>
    </row>
    <row r="104" spans="1:21" ht="15" customHeight="1">
      <c r="A104" s="329">
        <f>Bonus!A100</f>
        <v>52.871000000000002</v>
      </c>
      <c r="B104" s="235" t="str">
        <f>Bonus!B100</f>
        <v>City of Dinuba - WWTP Bar Screen Motor Bracket Repair</v>
      </c>
      <c r="C104" s="241">
        <f>Bonus!G100</f>
        <v>1</v>
      </c>
      <c r="D104" s="242">
        <f>Bonus!C100</f>
        <v>4064.54</v>
      </c>
      <c r="E104" s="243">
        <f>Bonus!E100</f>
        <v>549.69999999999982</v>
      </c>
      <c r="F104" s="242">
        <f t="shared" si="104"/>
        <v>0</v>
      </c>
      <c r="G104" s="242"/>
      <c r="H104" s="242">
        <f>Bonus!I100</f>
        <v>4064.54</v>
      </c>
      <c r="I104" s="242">
        <f>Bonus!F100</f>
        <v>3514.84</v>
      </c>
      <c r="J104" s="242">
        <f>Bonus!H100</f>
        <v>549.69999999999982</v>
      </c>
      <c r="K104" s="242">
        <f>Bonus!P100</f>
        <v>0</v>
      </c>
      <c r="L104" s="242"/>
      <c r="M104" s="242">
        <f t="shared" si="105"/>
        <v>4064.54</v>
      </c>
      <c r="N104" s="242">
        <f>Bonus!Q100</f>
        <v>3514.84</v>
      </c>
      <c r="O104" s="242">
        <f>Bonus!S100</f>
        <v>549.69999999999982</v>
      </c>
      <c r="P104" s="242">
        <f>O104-Bonus!Y100</f>
        <v>0</v>
      </c>
      <c r="Q104" s="242"/>
      <c r="R104" s="243">
        <v>549.69999999999982</v>
      </c>
      <c r="S104" s="242"/>
      <c r="U104" s="340"/>
    </row>
    <row r="105" spans="1:21" ht="15" customHeight="1">
      <c r="A105" s="329">
        <f>Bonus!A101</f>
        <v>52.871499999999997</v>
      </c>
      <c r="B105" s="235" t="str">
        <f>Bonus!B101</f>
        <v>New England Sheet Metal and Mechanical Co. - Vitro Glass Plant Concrete Pad T&amp;M</v>
      </c>
      <c r="C105" s="241">
        <f>Bonus!G101</f>
        <v>1</v>
      </c>
      <c r="D105" s="242">
        <f>Bonus!C101</f>
        <v>10001.43</v>
      </c>
      <c r="E105" s="243">
        <f>Bonus!E101</f>
        <v>1415.9899999999998</v>
      </c>
      <c r="F105" s="242">
        <f t="shared" ref="F105" si="106">+E105-R105</f>
        <v>1415.9899999999998</v>
      </c>
      <c r="G105" s="242"/>
      <c r="H105" s="242">
        <f>Bonus!I101</f>
        <v>10001.43</v>
      </c>
      <c r="I105" s="242">
        <f>Bonus!F101</f>
        <v>8585.44</v>
      </c>
      <c r="J105" s="242">
        <f>Bonus!H101</f>
        <v>1415.9899999999998</v>
      </c>
      <c r="K105" s="242">
        <f>Bonus!P101</f>
        <v>0</v>
      </c>
      <c r="L105" s="242"/>
      <c r="M105" s="242">
        <f t="shared" ref="M105" si="107">+N105+O105</f>
        <v>10001.43</v>
      </c>
      <c r="N105" s="242">
        <f>Bonus!Q101</f>
        <v>8585.44</v>
      </c>
      <c r="O105" s="242">
        <f>Bonus!S101</f>
        <v>1415.9899999999998</v>
      </c>
      <c r="P105" s="242">
        <f>O105-Bonus!Y101</f>
        <v>1415.9899999999998</v>
      </c>
      <c r="Q105" s="242"/>
      <c r="R105" s="243">
        <v>0</v>
      </c>
      <c r="S105" s="242"/>
      <c r="U105" s="340"/>
    </row>
    <row r="106" spans="1:21" ht="15" hidden="1" customHeight="1">
      <c r="A106" s="329"/>
      <c r="C106" s="241"/>
      <c r="D106" s="242"/>
      <c r="E106" s="242"/>
      <c r="F106" s="242"/>
      <c r="G106" s="242"/>
      <c r="H106" s="242"/>
      <c r="I106" s="242"/>
      <c r="J106" s="242"/>
      <c r="K106" s="242"/>
      <c r="L106" s="242"/>
      <c r="M106" s="242"/>
      <c r="N106" s="242"/>
      <c r="O106" s="242"/>
      <c r="P106" s="242"/>
      <c r="Q106" s="242"/>
      <c r="R106" s="243"/>
      <c r="S106" s="242"/>
      <c r="U106" s="340"/>
    </row>
    <row r="107" spans="1:21" ht="15" customHeight="1">
      <c r="A107" s="240" t="s">
        <v>355</v>
      </c>
      <c r="C107" s="241"/>
      <c r="D107" s="245">
        <f>SUM(D72:D106)</f>
        <v>24381266.32</v>
      </c>
      <c r="E107" s="245">
        <f>SUM(E72:E106)</f>
        <v>1000567.2200000002</v>
      </c>
      <c r="F107" s="245">
        <f>SUM(F72:F106)</f>
        <v>-98924.13</v>
      </c>
      <c r="G107" s="242"/>
      <c r="H107" s="245">
        <f>SUM(H72:H106)</f>
        <v>24381266.32</v>
      </c>
      <c r="I107" s="245">
        <f>SUM(I72:I106)</f>
        <v>23380699.099999998</v>
      </c>
      <c r="J107" s="245">
        <f>SUM(J72:J106)</f>
        <v>1000567.2200000002</v>
      </c>
      <c r="K107" s="245">
        <f>SUM(K72:K106)</f>
        <v>947524.51647673734</v>
      </c>
      <c r="L107" s="242"/>
      <c r="M107" s="245">
        <f>SUM(M72:M106)</f>
        <v>7033109.6835232619</v>
      </c>
      <c r="N107" s="245">
        <f>SUM(N72:N106)</f>
        <v>6980066.9800000014</v>
      </c>
      <c r="O107" s="245">
        <f>SUM(O72:O106)</f>
        <v>53042.703523262971</v>
      </c>
      <c r="P107" s="245">
        <f>SUM(P72:P106)</f>
        <v>-61193.064926503961</v>
      </c>
      <c r="Q107" s="242"/>
      <c r="R107" s="243">
        <v>1065659.9800000002</v>
      </c>
      <c r="S107" s="242"/>
      <c r="U107" s="340"/>
    </row>
    <row r="108" spans="1:21" ht="15" customHeight="1">
      <c r="A108" s="329"/>
      <c r="C108" s="241"/>
      <c r="D108" s="242"/>
      <c r="E108" s="242"/>
      <c r="F108" s="242"/>
      <c r="G108" s="242"/>
      <c r="H108" s="242"/>
      <c r="I108" s="242"/>
      <c r="J108" s="242"/>
      <c r="K108" s="242"/>
      <c r="L108" s="242"/>
      <c r="M108" s="242"/>
      <c r="N108" s="242"/>
      <c r="O108" s="242"/>
      <c r="P108" s="242"/>
      <c r="Q108" s="242"/>
      <c r="R108" s="243"/>
      <c r="S108" s="242"/>
      <c r="U108" s="340"/>
    </row>
    <row r="109" spans="1:21" ht="15" customHeight="1">
      <c r="A109" s="252" t="s">
        <v>356</v>
      </c>
      <c r="B109" s="237"/>
      <c r="C109" s="430"/>
      <c r="D109" s="254">
        <f>D69+D107</f>
        <v>144674850.91</v>
      </c>
      <c r="E109" s="254">
        <f>E69+E107</f>
        <v>8848755.5800000001</v>
      </c>
      <c r="F109" s="254">
        <f>F69+F107</f>
        <v>-93156.280000000101</v>
      </c>
      <c r="G109" s="431"/>
      <c r="H109" s="254">
        <f>H69+H107</f>
        <v>120375016.93348843</v>
      </c>
      <c r="I109" s="254">
        <f>I69+I107</f>
        <v>112433840.95</v>
      </c>
      <c r="J109" s="254">
        <f>J69+J107</f>
        <v>7941175.9834884591</v>
      </c>
      <c r="K109" s="254">
        <f>K69+K107</f>
        <v>5588119.1097851489</v>
      </c>
      <c r="L109" s="431"/>
      <c r="M109" s="254">
        <f>M69+M107</f>
        <v>47236193.163703308</v>
      </c>
      <c r="N109" s="254">
        <f>N69+N107</f>
        <v>44883136.290000007</v>
      </c>
      <c r="O109" s="254">
        <f>O69+O107</f>
        <v>2353056.8737033107</v>
      </c>
      <c r="P109" s="254">
        <f>P69+P107</f>
        <v>281364.49673255492</v>
      </c>
      <c r="Q109" s="242"/>
      <c r="R109" s="243">
        <v>8941911.8599999994</v>
      </c>
      <c r="S109" s="242"/>
      <c r="U109" s="340"/>
    </row>
    <row r="110" spans="1:21" ht="15" customHeight="1">
      <c r="A110" s="329"/>
      <c r="C110" s="241"/>
      <c r="D110" s="242"/>
      <c r="E110" s="242"/>
      <c r="F110" s="242"/>
      <c r="G110" s="242"/>
      <c r="H110" s="242"/>
      <c r="I110" s="242"/>
      <c r="J110" s="242"/>
      <c r="K110" s="242"/>
      <c r="L110" s="242"/>
      <c r="M110" s="242"/>
      <c r="N110" s="242"/>
      <c r="O110" s="242"/>
      <c r="P110" s="242"/>
      <c r="Q110" s="242"/>
      <c r="R110" s="243"/>
      <c r="S110" s="242"/>
      <c r="U110" s="340"/>
    </row>
    <row r="111" spans="1:21" ht="15" customHeight="1">
      <c r="A111" s="329"/>
      <c r="B111" s="246" t="s">
        <v>162</v>
      </c>
      <c r="C111" s="247">
        <f>D109-Bonus!J104</f>
        <v>23677662.939999998</v>
      </c>
      <c r="D111" s="245"/>
      <c r="E111" s="245"/>
      <c r="F111" s="245" t="s">
        <v>145</v>
      </c>
      <c r="G111" s="245"/>
      <c r="H111" s="245"/>
      <c r="I111" s="245">
        <f>D109-H109</f>
        <v>24299833.976511568</v>
      </c>
      <c r="J111" s="245"/>
      <c r="K111" s="245"/>
      <c r="L111" s="245"/>
      <c r="M111" s="245" t="s">
        <v>30</v>
      </c>
      <c r="N111" s="245">
        <f>H109-Bonus!J104+1235862.76</f>
        <v>613691.72348842979</v>
      </c>
      <c r="O111" s="242"/>
      <c r="P111" s="242"/>
      <c r="Q111" s="242"/>
      <c r="R111" s="243"/>
      <c r="S111" s="242"/>
      <c r="U111" s="340"/>
    </row>
    <row r="112" spans="1:21" ht="15" customHeight="1">
      <c r="A112" s="329"/>
      <c r="B112" s="246"/>
      <c r="C112" s="247"/>
      <c r="D112" s="245"/>
      <c r="E112" s="245"/>
      <c r="F112" s="245"/>
      <c r="G112" s="245"/>
      <c r="H112" s="245"/>
      <c r="I112" s="245"/>
      <c r="J112" s="245"/>
      <c r="K112" s="245"/>
      <c r="L112" s="245"/>
      <c r="M112" s="245"/>
      <c r="N112" s="245"/>
      <c r="O112" s="242"/>
      <c r="P112" s="242"/>
      <c r="Q112" s="242"/>
      <c r="R112" s="243"/>
      <c r="S112" s="242"/>
      <c r="U112" s="340"/>
    </row>
    <row r="113" spans="1:21" ht="15" customHeight="1">
      <c r="A113" s="329"/>
      <c r="B113" s="246"/>
      <c r="C113" s="247"/>
      <c r="D113" s="245"/>
      <c r="E113" s="245"/>
      <c r="F113" s="245"/>
      <c r="G113" s="245"/>
      <c r="H113" s="245"/>
      <c r="I113" s="245"/>
      <c r="J113" s="245"/>
      <c r="K113" s="245"/>
      <c r="L113" s="245"/>
      <c r="M113" s="245"/>
      <c r="N113" s="245"/>
      <c r="O113" s="242"/>
      <c r="P113" s="242"/>
      <c r="Q113" s="242"/>
      <c r="R113" s="243"/>
      <c r="S113" s="242"/>
      <c r="U113" s="340"/>
    </row>
    <row r="114" spans="1:21" ht="15" customHeight="1">
      <c r="A114" s="329"/>
      <c r="B114" s="246"/>
      <c r="C114" s="247"/>
      <c r="D114" s="245"/>
      <c r="E114" s="245"/>
      <c r="F114" s="245"/>
      <c r="G114" s="245"/>
      <c r="H114" s="245"/>
      <c r="I114" s="245"/>
      <c r="J114" s="245"/>
      <c r="K114" s="245"/>
      <c r="L114" s="245"/>
      <c r="M114" s="245"/>
      <c r="N114" s="245"/>
      <c r="O114" s="242"/>
      <c r="P114" s="242"/>
      <c r="Q114" s="242"/>
      <c r="R114" s="243"/>
      <c r="S114" s="242"/>
      <c r="U114" s="340"/>
    </row>
    <row r="115" spans="1:21" ht="15" customHeight="1">
      <c r="A115" s="330" t="s">
        <v>288</v>
      </c>
      <c r="C115" s="241"/>
      <c r="D115" s="242"/>
      <c r="E115" s="242"/>
      <c r="F115" s="242"/>
      <c r="G115" s="242"/>
      <c r="H115" s="242"/>
      <c r="I115" s="242"/>
      <c r="J115" s="242"/>
      <c r="K115" s="242"/>
      <c r="L115" s="242"/>
      <c r="M115" s="242"/>
      <c r="N115" s="242"/>
      <c r="O115" s="242"/>
      <c r="P115" s="242"/>
      <c r="Q115" s="245"/>
      <c r="R115" s="261"/>
      <c r="S115" s="242"/>
      <c r="U115" s="340"/>
    </row>
    <row r="116" spans="1:21" ht="15" customHeight="1">
      <c r="A116" s="329">
        <f>Bonus!A107</f>
        <v>53.200699999999998</v>
      </c>
      <c r="B116" s="235" t="str">
        <f>Bonus!B107</f>
        <v>Union Sanitary Dist. - Phase 1B Secondary Clarifiers</v>
      </c>
      <c r="C116" s="241">
        <f>Bonus!G107</f>
        <v>1.38871462255082E-3</v>
      </c>
      <c r="D116" s="242">
        <f>Bonus!C107</f>
        <v>324530134</v>
      </c>
      <c r="E116" s="243">
        <f>Bonus!E107</f>
        <v>33000000</v>
      </c>
      <c r="F116" s="242">
        <f t="shared" ref="F116" si="108">+E116-R116</f>
        <v>0</v>
      </c>
      <c r="G116" s="242"/>
      <c r="H116" s="242">
        <f>Bonus!I107</f>
        <v>404852.16</v>
      </c>
      <c r="I116" s="242">
        <f>Bonus!F107</f>
        <v>404852.16</v>
      </c>
      <c r="J116" s="242">
        <f>Bonus!H107</f>
        <v>0</v>
      </c>
      <c r="K116" s="242">
        <f>Bonus!P107</f>
        <v>0</v>
      </c>
      <c r="L116" s="242"/>
      <c r="M116" s="242">
        <f t="shared" ref="M116" si="109">+N116+O116</f>
        <v>404852.16</v>
      </c>
      <c r="N116" s="474">
        <f>Bonus!Q107</f>
        <v>404852.16</v>
      </c>
      <c r="O116" s="242">
        <f>Bonus!S107</f>
        <v>0</v>
      </c>
      <c r="P116" s="242">
        <f>O116-Bonus!Y107</f>
        <v>0</v>
      </c>
      <c r="Q116" s="245"/>
      <c r="R116" s="261">
        <v>33000000</v>
      </c>
      <c r="S116" s="242"/>
      <c r="U116" s="340"/>
    </row>
    <row r="117" spans="1:21" ht="15" hidden="1" customHeight="1">
      <c r="A117" s="329"/>
      <c r="C117" s="241"/>
      <c r="D117" s="242"/>
      <c r="E117" s="242"/>
      <c r="F117" s="242"/>
      <c r="G117" s="242"/>
      <c r="H117" s="242"/>
      <c r="I117" s="242"/>
      <c r="J117" s="242"/>
      <c r="K117" s="242"/>
      <c r="L117" s="242"/>
      <c r="M117" s="242"/>
      <c r="N117" s="242"/>
      <c r="O117" s="242"/>
      <c r="P117" s="242"/>
      <c r="Q117" s="245"/>
      <c r="R117" s="261"/>
      <c r="S117" s="242"/>
      <c r="U117" s="340"/>
    </row>
    <row r="118" spans="1:21" ht="15" customHeight="1">
      <c r="A118" s="330" t="s">
        <v>289</v>
      </c>
      <c r="C118" s="241"/>
      <c r="D118" s="245">
        <f>SUM(D116:D117)</f>
        <v>324530134</v>
      </c>
      <c r="E118" s="245">
        <f>SUM(E116:E117)</f>
        <v>33000000</v>
      </c>
      <c r="F118" s="245">
        <f>SUM(F116:F117)</f>
        <v>0</v>
      </c>
      <c r="G118" s="242"/>
      <c r="H118" s="245">
        <f>SUM(H116:H117)</f>
        <v>404852.16</v>
      </c>
      <c r="I118" s="245">
        <f>SUM(I116:I117)</f>
        <v>404852.16</v>
      </c>
      <c r="J118" s="245">
        <f>SUM(J116:J117)</f>
        <v>0</v>
      </c>
      <c r="K118" s="245">
        <f>SUM(K116:K117)</f>
        <v>0</v>
      </c>
      <c r="L118" s="242"/>
      <c r="M118" s="245">
        <f>SUM(M116:M117)</f>
        <v>404852.16</v>
      </c>
      <c r="N118" s="245">
        <f>SUM(N116:N117)</f>
        <v>404852.16</v>
      </c>
      <c r="O118" s="245">
        <f>SUM(O116:O117)</f>
        <v>0</v>
      </c>
      <c r="P118" s="245">
        <f>SUM(P116:P117)</f>
        <v>0</v>
      </c>
      <c r="Q118" s="245"/>
      <c r="R118" s="261">
        <v>32636554.07</v>
      </c>
      <c r="S118" s="242"/>
      <c r="U118" s="340"/>
    </row>
    <row r="119" spans="1:21" ht="15" customHeight="1">
      <c r="A119" s="329"/>
      <c r="C119" s="241"/>
      <c r="D119" s="242"/>
      <c r="E119" s="242"/>
      <c r="F119" s="242"/>
      <c r="G119" s="242"/>
      <c r="H119" s="242"/>
      <c r="I119" s="242"/>
      <c r="J119" s="242"/>
      <c r="K119" s="242"/>
      <c r="L119" s="242"/>
      <c r="M119" s="242"/>
      <c r="N119" s="242"/>
      <c r="O119" s="242"/>
      <c r="P119" s="242"/>
      <c r="Q119" s="245"/>
      <c r="R119" s="261"/>
      <c r="S119" s="242"/>
      <c r="U119" s="340"/>
    </row>
    <row r="120" spans="1:21" ht="15" customHeight="1">
      <c r="A120" s="330" t="s">
        <v>290</v>
      </c>
      <c r="C120" s="241"/>
      <c r="D120" s="242"/>
      <c r="E120" s="242"/>
      <c r="F120" s="242"/>
      <c r="G120" s="242"/>
      <c r="H120" s="242"/>
      <c r="I120" s="242"/>
      <c r="J120" s="242"/>
      <c r="K120" s="242"/>
      <c r="L120" s="242"/>
      <c r="M120" s="242"/>
      <c r="N120" s="242"/>
      <c r="O120" s="242"/>
      <c r="P120" s="242"/>
      <c r="Q120" s="245"/>
      <c r="R120" s="261"/>
      <c r="S120" s="242"/>
      <c r="U120" s="340"/>
    </row>
    <row r="121" spans="1:21" ht="15" customHeight="1">
      <c r="A121" s="329">
        <f>Bonus!A112</f>
        <v>53.200400000000002</v>
      </c>
      <c r="B121" s="235" t="str">
        <f>Bonus!B112</f>
        <v>City of Millbrae - Millbrae Sludge Thickener &amp;  Digester No. 2 Rehab Project</v>
      </c>
      <c r="C121" s="241">
        <f>Bonus!G112</f>
        <v>1</v>
      </c>
      <c r="D121" s="242">
        <f>Bonus!C112</f>
        <v>1173753.47</v>
      </c>
      <c r="E121" s="243">
        <f>Bonus!E112</f>
        <v>192962.41999999993</v>
      </c>
      <c r="F121" s="242">
        <f t="shared" ref="F121" si="110">+E121-R121</f>
        <v>9072.4199999999255</v>
      </c>
      <c r="G121" s="242"/>
      <c r="H121" s="242">
        <f>Bonus!I112</f>
        <v>1173753.47</v>
      </c>
      <c r="I121" s="242">
        <f>Bonus!F112</f>
        <v>980791.05</v>
      </c>
      <c r="J121" s="242">
        <f>Bonus!H112</f>
        <v>192962.41999999993</v>
      </c>
      <c r="K121" s="242">
        <f>Bonus!P112</f>
        <v>0</v>
      </c>
      <c r="L121" s="242"/>
      <c r="M121" s="242">
        <f t="shared" ref="M121" si="111">+N121+O121</f>
        <v>1151824.99</v>
      </c>
      <c r="N121" s="474">
        <f>Bonus!Q112</f>
        <v>958862.57000000007</v>
      </c>
      <c r="O121" s="242">
        <f>Bonus!S112</f>
        <v>192962.41999999993</v>
      </c>
      <c r="P121" s="242">
        <f>O121-Bonus!Y112</f>
        <v>14900.266878923547</v>
      </c>
      <c r="Q121" s="245"/>
      <c r="R121" s="261">
        <v>183890</v>
      </c>
      <c r="S121" s="242"/>
      <c r="U121" s="340"/>
    </row>
    <row r="122" spans="1:21" ht="15" customHeight="1">
      <c r="A122" s="329">
        <f>Bonus!A113</f>
        <v>53.200499999999998</v>
      </c>
      <c r="B122" s="235" t="str">
        <f>Bonus!B113</f>
        <v>East Bay Overhead 2025</v>
      </c>
      <c r="C122" s="241">
        <f>Bonus!G113</f>
        <v>1</v>
      </c>
      <c r="D122" s="242">
        <f>Bonus!C113</f>
        <v>0</v>
      </c>
      <c r="E122" s="243">
        <f>Bonus!E113</f>
        <v>-279281.96000000002</v>
      </c>
      <c r="F122" s="242">
        <f t="shared" ref="F122:F123" si="112">+E122-R122</f>
        <v>-36895.250000000029</v>
      </c>
      <c r="G122" s="242"/>
      <c r="H122" s="242">
        <f>Bonus!I113</f>
        <v>0</v>
      </c>
      <c r="I122" s="242">
        <f>Bonus!F113</f>
        <v>279281.96000000002</v>
      </c>
      <c r="J122" s="242">
        <f>Bonus!H113</f>
        <v>-279281.96000000002</v>
      </c>
      <c r="K122" s="242">
        <f>Bonus!P113</f>
        <v>0</v>
      </c>
      <c r="L122" s="242"/>
      <c r="M122" s="242">
        <f t="shared" ref="M122:M123" si="113">+N122+O122</f>
        <v>0</v>
      </c>
      <c r="N122" s="474">
        <f>Bonus!Q113</f>
        <v>279281.96000000002</v>
      </c>
      <c r="O122" s="242">
        <f>Bonus!S113</f>
        <v>-279281.96000000002</v>
      </c>
      <c r="P122" s="242">
        <f>O122-Bonus!Y113</f>
        <v>-36895.250000000029</v>
      </c>
      <c r="Q122" s="245"/>
      <c r="R122" s="261">
        <v>-242386.71</v>
      </c>
      <c r="S122" s="242"/>
      <c r="U122" s="340"/>
    </row>
    <row r="123" spans="1:21" ht="15" customHeight="1">
      <c r="A123" s="329">
        <f>Bonus!A114</f>
        <v>53.200600000000001</v>
      </c>
      <c r="B123" s="235" t="str">
        <f>Bonus!B114</f>
        <v>East Bay Estimating 2026</v>
      </c>
      <c r="C123" s="241">
        <f>Bonus!G114</f>
        <v>1</v>
      </c>
      <c r="D123" s="242">
        <f>Bonus!C114</f>
        <v>0</v>
      </c>
      <c r="E123" s="243">
        <f>Bonus!E114</f>
        <v>-304986.32</v>
      </c>
      <c r="F123" s="242">
        <f t="shared" si="112"/>
        <v>-37.100000000034925</v>
      </c>
      <c r="G123" s="242"/>
      <c r="H123" s="242">
        <f>Bonus!I114</f>
        <v>0</v>
      </c>
      <c r="I123" s="242">
        <f>Bonus!F114</f>
        <v>304986.32</v>
      </c>
      <c r="J123" s="242">
        <f>Bonus!H114</f>
        <v>-304986.32</v>
      </c>
      <c r="K123" s="242">
        <f>Bonus!P114</f>
        <v>0</v>
      </c>
      <c r="L123" s="242"/>
      <c r="M123" s="242">
        <f t="shared" si="113"/>
        <v>0</v>
      </c>
      <c r="N123" s="474">
        <f>Bonus!Q114</f>
        <v>304986.32</v>
      </c>
      <c r="O123" s="242">
        <f>Bonus!S114</f>
        <v>-304986.32</v>
      </c>
      <c r="P123" s="242">
        <f>O123-Bonus!Y114</f>
        <v>-37.100000000034925</v>
      </c>
      <c r="Q123" s="245"/>
      <c r="R123" s="261">
        <v>-304949.21999999997</v>
      </c>
      <c r="S123" s="242"/>
      <c r="U123" s="340"/>
    </row>
    <row r="124" spans="1:21" ht="15" hidden="1" customHeight="1">
      <c r="A124" s="329"/>
      <c r="C124" s="241"/>
      <c r="D124" s="242"/>
      <c r="E124" s="242"/>
      <c r="F124" s="242"/>
      <c r="G124" s="242"/>
      <c r="H124" s="242"/>
      <c r="I124" s="242"/>
      <c r="J124" s="242"/>
      <c r="K124" s="242"/>
      <c r="L124" s="242"/>
      <c r="M124" s="242"/>
      <c r="N124" s="242"/>
      <c r="O124" s="242"/>
      <c r="P124" s="242"/>
      <c r="Q124" s="245"/>
      <c r="R124" s="261"/>
      <c r="S124" s="242"/>
      <c r="U124" s="340"/>
    </row>
    <row r="125" spans="1:21" ht="15" customHeight="1">
      <c r="A125" s="330" t="s">
        <v>291</v>
      </c>
      <c r="C125" s="241"/>
      <c r="D125" s="245">
        <f>SUM(D121:D124)</f>
        <v>1173753.47</v>
      </c>
      <c r="E125" s="245">
        <f t="shared" ref="E125:F125" si="114">SUM(E121:E124)</f>
        <v>-391305.8600000001</v>
      </c>
      <c r="F125" s="245">
        <f t="shared" si="114"/>
        <v>-27859.930000000139</v>
      </c>
      <c r="G125" s="242"/>
      <c r="H125" s="245">
        <f t="shared" ref="H125:K125" si="115">SUM(H121:H124)</f>
        <v>1173753.47</v>
      </c>
      <c r="I125" s="245">
        <f t="shared" si="115"/>
        <v>1565059.33</v>
      </c>
      <c r="J125" s="245">
        <f t="shared" si="115"/>
        <v>-391305.8600000001</v>
      </c>
      <c r="K125" s="245">
        <f t="shared" si="115"/>
        <v>0</v>
      </c>
      <c r="L125" s="245"/>
      <c r="M125" s="245">
        <f t="shared" ref="M125:P125" si="116">SUM(M121:M124)</f>
        <v>1151824.99</v>
      </c>
      <c r="N125" s="245">
        <f t="shared" si="116"/>
        <v>1543130.85</v>
      </c>
      <c r="O125" s="245">
        <f t="shared" si="116"/>
        <v>-391305.8600000001</v>
      </c>
      <c r="P125" s="245">
        <f t="shared" si="116"/>
        <v>-22032.083121076517</v>
      </c>
      <c r="Q125" s="245"/>
      <c r="R125" s="261">
        <v>0</v>
      </c>
      <c r="S125" s="242"/>
      <c r="U125" s="340"/>
    </row>
    <row r="126" spans="1:21" ht="15" customHeight="1">
      <c r="A126" s="330"/>
      <c r="C126" s="241"/>
      <c r="D126" s="242"/>
      <c r="E126" s="242"/>
      <c r="F126" s="242"/>
      <c r="G126" s="242"/>
      <c r="H126" s="242"/>
      <c r="I126" s="242"/>
      <c r="J126" s="242"/>
      <c r="K126" s="242"/>
      <c r="L126" s="242"/>
      <c r="M126" s="242"/>
      <c r="N126" s="242"/>
      <c r="O126" s="242"/>
      <c r="P126" s="242"/>
      <c r="Q126" s="245"/>
      <c r="R126" s="261"/>
      <c r="S126" s="242"/>
      <c r="U126" s="340"/>
    </row>
    <row r="127" spans="1:21" ht="15" customHeight="1">
      <c r="A127" s="429" t="s">
        <v>281</v>
      </c>
      <c r="B127" s="237"/>
      <c r="C127" s="430"/>
      <c r="D127" s="254">
        <f>D118+D125</f>
        <v>325703887.47000003</v>
      </c>
      <c r="E127" s="254">
        <f>E118+E125</f>
        <v>32608694.140000001</v>
      </c>
      <c r="F127" s="254">
        <f>F118+F125</f>
        <v>-27859.930000000139</v>
      </c>
      <c r="G127" s="431"/>
      <c r="H127" s="254">
        <f>H118+H125</f>
        <v>1578605.63</v>
      </c>
      <c r="I127" s="254">
        <f>I118+I125</f>
        <v>1969911.49</v>
      </c>
      <c r="J127" s="254">
        <f>J118+J125</f>
        <v>-391305.8600000001</v>
      </c>
      <c r="K127" s="254">
        <f>K118+K125</f>
        <v>0</v>
      </c>
      <c r="L127" s="431"/>
      <c r="M127" s="254">
        <f>M118+M125</f>
        <v>1556677.15</v>
      </c>
      <c r="N127" s="254">
        <f>N118+N125</f>
        <v>1947983.01</v>
      </c>
      <c r="O127" s="254">
        <f>O118+O125</f>
        <v>-391305.8600000001</v>
      </c>
      <c r="P127" s="254">
        <f>P118+P125</f>
        <v>-22032.083121076517</v>
      </c>
      <c r="Q127" s="245"/>
      <c r="R127" s="261">
        <v>32636554.07</v>
      </c>
      <c r="S127" s="242"/>
      <c r="U127" s="340"/>
    </row>
    <row r="128" spans="1:21" ht="15" customHeight="1">
      <c r="A128" s="330"/>
      <c r="C128" s="241"/>
      <c r="D128" s="245"/>
      <c r="E128" s="245"/>
      <c r="F128" s="245"/>
      <c r="G128" s="242"/>
      <c r="H128" s="245"/>
      <c r="I128" s="245"/>
      <c r="J128" s="245"/>
      <c r="K128" s="245"/>
      <c r="L128" s="242"/>
      <c r="M128" s="245"/>
      <c r="N128" s="245"/>
      <c r="O128" s="245"/>
      <c r="P128" s="245"/>
      <c r="Q128" s="245"/>
      <c r="R128" s="261"/>
      <c r="S128" s="242"/>
      <c r="U128" s="340"/>
    </row>
    <row r="129" spans="1:21" ht="15" customHeight="1">
      <c r="A129" s="330"/>
      <c r="B129" s="246" t="s">
        <v>162</v>
      </c>
      <c r="C129" s="247">
        <f>D127-Bonus!J117</f>
        <v>324530134</v>
      </c>
      <c r="D129" s="245"/>
      <c r="E129" s="245"/>
      <c r="F129" s="245" t="s">
        <v>145</v>
      </c>
      <c r="G129" s="242"/>
      <c r="H129" s="245"/>
      <c r="I129" s="245">
        <f>D127-H127</f>
        <v>324125281.84000003</v>
      </c>
      <c r="J129" s="245"/>
      <c r="K129" s="245"/>
      <c r="L129" s="242"/>
      <c r="M129" s="245" t="s">
        <v>30</v>
      </c>
      <c r="N129" s="245">
        <f>H127-Bonus!J117-21928.48</f>
        <v>382923.67999999993</v>
      </c>
      <c r="O129" s="245"/>
      <c r="P129" s="245"/>
      <c r="Q129" s="245"/>
      <c r="R129" s="261"/>
      <c r="S129" s="242"/>
      <c r="U129" s="340"/>
    </row>
    <row r="130" spans="1:21" ht="15" customHeight="1">
      <c r="A130" s="330"/>
      <c r="B130" s="246"/>
      <c r="C130" s="247"/>
      <c r="D130" s="245"/>
      <c r="E130" s="245"/>
      <c r="F130" s="245"/>
      <c r="G130" s="242"/>
      <c r="H130" s="245"/>
      <c r="I130" s="245"/>
      <c r="J130" s="245"/>
      <c r="K130" s="245"/>
      <c r="L130" s="242"/>
      <c r="M130" s="245"/>
      <c r="N130" s="245"/>
      <c r="O130" s="245"/>
      <c r="P130" s="245"/>
      <c r="Q130" s="245"/>
      <c r="R130" s="261"/>
      <c r="S130" s="242"/>
      <c r="U130" s="340"/>
    </row>
    <row r="131" spans="1:21" ht="15" customHeight="1">
      <c r="A131" s="329"/>
      <c r="C131" s="241"/>
      <c r="D131" s="242"/>
      <c r="E131" s="242"/>
      <c r="F131" s="242"/>
      <c r="G131" s="242"/>
      <c r="H131" s="242"/>
      <c r="I131" s="242"/>
      <c r="J131" s="242"/>
      <c r="K131" s="242"/>
      <c r="L131" s="242"/>
      <c r="M131" s="242"/>
      <c r="N131" s="242"/>
      <c r="O131" s="242"/>
      <c r="P131" s="242"/>
      <c r="Q131" s="242"/>
      <c r="R131" s="243"/>
      <c r="S131" s="242"/>
      <c r="U131" s="340"/>
    </row>
    <row r="132" spans="1:21" ht="15" customHeight="1">
      <c r="A132" s="240" t="s">
        <v>357</v>
      </c>
      <c r="C132" s="241"/>
      <c r="D132" s="242"/>
      <c r="E132" s="242"/>
      <c r="F132" s="242"/>
      <c r="G132" s="242"/>
      <c r="H132" s="242"/>
      <c r="I132" s="242"/>
      <c r="J132" s="242"/>
      <c r="K132" s="242"/>
      <c r="L132" s="242"/>
      <c r="M132" s="242"/>
      <c r="N132" s="242"/>
      <c r="O132" s="242"/>
      <c r="P132" s="242"/>
      <c r="Q132" s="242"/>
      <c r="R132" s="243"/>
      <c r="S132" s="242"/>
      <c r="U132" s="340"/>
    </row>
    <row r="133" spans="1:21" ht="15" customHeight="1">
      <c r="A133" s="329">
        <f>Bonus!A120</f>
        <v>54.903300000000002</v>
      </c>
      <c r="B133" s="235" t="str">
        <f>Bonus!B120</f>
        <v>Semitropic WSD - Stored Water Recovery Unit Phase 2A, Amendment 8</v>
      </c>
      <c r="C133" s="241">
        <f>Bonus!G120</f>
        <v>1</v>
      </c>
      <c r="D133" s="242">
        <f>Bonus!C120</f>
        <v>118278.58</v>
      </c>
      <c r="E133" s="243">
        <f>Bonus!E120</f>
        <v>13728.309999999998</v>
      </c>
      <c r="F133" s="242">
        <f t="shared" ref="F133" si="117">+E133-R133</f>
        <v>2761.3099999999977</v>
      </c>
      <c r="G133" s="242"/>
      <c r="H133" s="242">
        <f>Bonus!I120</f>
        <v>118278.58</v>
      </c>
      <c r="I133" s="242">
        <f>Bonus!F120</f>
        <v>104550.27</v>
      </c>
      <c r="J133" s="242">
        <f>Bonus!H120</f>
        <v>13728.309999999998</v>
      </c>
      <c r="K133" s="242">
        <f>Bonus!P120</f>
        <v>10966.87000000001</v>
      </c>
      <c r="L133" s="242"/>
      <c r="M133" s="242">
        <f t="shared" ref="M133" si="118">+N133+O133</f>
        <v>24368.78</v>
      </c>
      <c r="N133" s="242">
        <f>Bonus!Q120</f>
        <v>21607.340000000011</v>
      </c>
      <c r="O133" s="242">
        <f>Bonus!S120</f>
        <v>2761.4399999999878</v>
      </c>
      <c r="P133" s="242">
        <f>O133-Bonus!Y120</f>
        <v>2761.4399999999878</v>
      </c>
      <c r="Q133" s="242"/>
      <c r="R133" s="243">
        <v>10967</v>
      </c>
      <c r="S133" s="242"/>
    </row>
    <row r="134" spans="1:21" ht="16.5" customHeight="1">
      <c r="A134" s="329">
        <f>Bonus!A121</f>
        <v>54.913499999999999</v>
      </c>
      <c r="B134" s="235" t="str">
        <f>Bonus!B121</f>
        <v>Calif. Rail Bldrs LLC - North Kern WSD Canal 9-22 Relocation Project</v>
      </c>
      <c r="C134" s="241">
        <f>Bonus!G121</f>
        <v>1</v>
      </c>
      <c r="D134" s="242">
        <f>Bonus!C121</f>
        <v>9470658.6199999992</v>
      </c>
      <c r="E134" s="243">
        <f>Bonus!E121</f>
        <v>419706.75999999978</v>
      </c>
      <c r="F134" s="242">
        <f t="shared" ref="F134:F143" si="119">+E134-R134</f>
        <v>-214351.24000000022</v>
      </c>
      <c r="G134" s="242"/>
      <c r="H134" s="242">
        <f>Bonus!I121</f>
        <v>9470658.6199999992</v>
      </c>
      <c r="I134" s="242">
        <f>Bonus!F121</f>
        <v>9050951.8599999994</v>
      </c>
      <c r="J134" s="242">
        <f>Bonus!H121</f>
        <v>419706.75999999978</v>
      </c>
      <c r="K134" s="242">
        <f>Bonus!P121</f>
        <v>551994.36505721405</v>
      </c>
      <c r="L134" s="242"/>
      <c r="M134" s="242">
        <f t="shared" ref="M134:M143" si="120">+N134+O134</f>
        <v>1547627.9249427849</v>
      </c>
      <c r="N134" s="242">
        <f>Bonus!Q121</f>
        <v>1679915.5299999993</v>
      </c>
      <c r="O134" s="242">
        <f>Bonus!S121</f>
        <v>-132287.60505721427</v>
      </c>
      <c r="P134" s="242">
        <f>O134-Bonus!Y121</f>
        <v>-149462.59793901781</v>
      </c>
      <c r="Q134" s="242"/>
      <c r="R134" s="243">
        <v>634058</v>
      </c>
      <c r="S134" s="242"/>
    </row>
    <row r="135" spans="1:21" ht="15" customHeight="1">
      <c r="A135" s="329">
        <f>Bonus!A122</f>
        <v>54.925699999999999</v>
      </c>
      <c r="B135" s="235" t="str">
        <f>Bonus!B122</f>
        <v>City of Guadalupe - Highway 1 Lift Station</v>
      </c>
      <c r="C135" s="241">
        <f>Bonus!G122</f>
        <v>0.5343869362446787</v>
      </c>
      <c r="D135" s="242">
        <f>Bonus!C122</f>
        <v>1471328</v>
      </c>
      <c r="E135" s="243">
        <f>Bonus!E122</f>
        <v>45000</v>
      </c>
      <c r="F135" s="242">
        <f t="shared" si="119"/>
        <v>0</v>
      </c>
      <c r="G135" s="242"/>
      <c r="H135" s="242">
        <f>Bonus!I122</f>
        <v>786258.4621310106</v>
      </c>
      <c r="I135" s="242">
        <f>Bonus!F122</f>
        <v>762211.05</v>
      </c>
      <c r="J135" s="242">
        <f>Bonus!H122</f>
        <v>24047.41213101054</v>
      </c>
      <c r="K135" s="242">
        <f>Bonus!P122</f>
        <v>0</v>
      </c>
      <c r="L135" s="242"/>
      <c r="M135" s="242">
        <f t="shared" si="120"/>
        <v>772222.63213101064</v>
      </c>
      <c r="N135" s="242">
        <f>Bonus!Q122</f>
        <v>748175.22000000009</v>
      </c>
      <c r="O135" s="242">
        <f>Bonus!S122</f>
        <v>24047.41213101054</v>
      </c>
      <c r="P135" s="242">
        <f>O135-Bonus!Y122</f>
        <v>5631.5660913899155</v>
      </c>
      <c r="Q135" s="242"/>
      <c r="R135" s="243">
        <v>45000</v>
      </c>
      <c r="S135" s="242"/>
    </row>
    <row r="136" spans="1:21" ht="15" customHeight="1">
      <c r="A136" s="329">
        <f>Bonus!A123</f>
        <v>54.9268</v>
      </c>
      <c r="B136" s="235" t="str">
        <f>Bonus!B123</f>
        <v>Semitropic Water Storage Dist. - Amendment No. 23 Raw Water Processing Plant Pipeline Replacement</v>
      </c>
      <c r="C136" s="241">
        <f>Bonus!G123</f>
        <v>0.95487095344700412</v>
      </c>
      <c r="D136" s="242">
        <f>Bonus!C123</f>
        <v>949567.99</v>
      </c>
      <c r="E136" s="243">
        <f>Bonus!E123</f>
        <v>65000</v>
      </c>
      <c r="F136" s="242">
        <f t="shared" si="119"/>
        <v>0</v>
      </c>
      <c r="G136" s="242"/>
      <c r="H136" s="242">
        <f>Bonus!I123</f>
        <v>909648.28</v>
      </c>
      <c r="I136" s="242">
        <f>Bonus!F123</f>
        <v>844648.28</v>
      </c>
      <c r="J136" s="242">
        <f>Bonus!H123</f>
        <v>65000</v>
      </c>
      <c r="K136" s="242">
        <f>Bonus!P123</f>
        <v>71013.066786332143</v>
      </c>
      <c r="L136" s="242"/>
      <c r="M136" s="242">
        <f t="shared" si="120"/>
        <v>50581.443213667866</v>
      </c>
      <c r="N136" s="242">
        <f>Bonus!Q123</f>
        <v>56594.510000000009</v>
      </c>
      <c r="O136" s="242">
        <f>Bonus!S123</f>
        <v>-6013.0667863321432</v>
      </c>
      <c r="P136" s="242">
        <f>O136-Bonus!Y123</f>
        <v>0</v>
      </c>
      <c r="Q136" s="242"/>
      <c r="R136" s="243">
        <v>65000</v>
      </c>
      <c r="S136" s="242"/>
    </row>
    <row r="137" spans="1:21" ht="15" customHeight="1">
      <c r="A137" s="329">
        <f>Bonus!A124</f>
        <v>54.926900000000003</v>
      </c>
      <c r="B137" s="235" t="str">
        <f>Bonus!B124</f>
        <v>Semitropic Water Storage Dist. - Design &amp; Construction of the Central TCP Facility-Phase 1</v>
      </c>
      <c r="C137" s="241">
        <f>Bonus!G124</f>
        <v>0.92942108029391346</v>
      </c>
      <c r="D137" s="242">
        <f>Bonus!C124</f>
        <v>625819.17000000004</v>
      </c>
      <c r="E137" s="243">
        <f>Bonus!E124</f>
        <v>34249.050000000003</v>
      </c>
      <c r="F137" s="242">
        <f t="shared" ref="F137" si="121">+E137-R137</f>
        <v>5.0000000002910383E-2</v>
      </c>
      <c r="G137" s="242"/>
      <c r="H137" s="242">
        <f>Bonus!I124</f>
        <v>584066.79</v>
      </c>
      <c r="I137" s="242">
        <f>Bonus!F124</f>
        <v>549817.74</v>
      </c>
      <c r="J137" s="242">
        <f>Bonus!H124</f>
        <v>34249.050000000047</v>
      </c>
      <c r="K137" s="242">
        <f>Bonus!P124</f>
        <v>34249.050000000047</v>
      </c>
      <c r="L137" s="242"/>
      <c r="M137" s="242">
        <f t="shared" ref="M137" si="122">+N137+O137</f>
        <v>243796.33000000002</v>
      </c>
      <c r="N137" s="242">
        <f>Bonus!Q124</f>
        <v>243796.33000000002</v>
      </c>
      <c r="O137" s="242">
        <f>Bonus!S124</f>
        <v>0</v>
      </c>
      <c r="P137" s="242">
        <f>O137-Bonus!Y124</f>
        <v>5.0000000046566129E-2</v>
      </c>
      <c r="Q137" s="242"/>
      <c r="R137" s="243">
        <v>34249</v>
      </c>
      <c r="S137" s="242"/>
    </row>
    <row r="138" spans="1:21" ht="15" customHeight="1">
      <c r="A138" s="329">
        <f>Bonus!A125</f>
        <v>54.9285</v>
      </c>
      <c r="B138" s="235" t="str">
        <f>Bonus!B125</f>
        <v>Semitropic Water Storage Dist. - Emergency Radial Arm Gate Removal and Replacement</v>
      </c>
      <c r="C138" s="241">
        <f>Bonus!G125</f>
        <v>0.80858393062926659</v>
      </c>
      <c r="D138" s="242">
        <f>Bonus!C125</f>
        <v>462022</v>
      </c>
      <c r="E138" s="243">
        <f>Bonus!E125</f>
        <v>75000</v>
      </c>
      <c r="F138" s="242">
        <f t="shared" si="119"/>
        <v>0</v>
      </c>
      <c r="G138" s="242"/>
      <c r="H138" s="242">
        <f>Bonus!I125</f>
        <v>373583.56479719502</v>
      </c>
      <c r="I138" s="242">
        <f>Bonus!F125</f>
        <v>312939.77</v>
      </c>
      <c r="J138" s="242">
        <f>Bonus!H125</f>
        <v>60643.794797194991</v>
      </c>
      <c r="K138" s="242">
        <f>Bonus!P125</f>
        <v>35686.23784080011</v>
      </c>
      <c r="L138" s="242"/>
      <c r="M138" s="242">
        <f t="shared" si="120"/>
        <v>151844.57695639489</v>
      </c>
      <c r="N138" s="242">
        <f>Bonus!Q125</f>
        <v>126887.02000000002</v>
      </c>
      <c r="O138" s="242">
        <f>Bonus!S125</f>
        <v>24957.556956394881</v>
      </c>
      <c r="P138" s="242">
        <f>O138-Bonus!Y125</f>
        <v>630.31300546222337</v>
      </c>
      <c r="Q138" s="242"/>
      <c r="R138" s="243">
        <v>75000</v>
      </c>
      <c r="S138" s="242"/>
    </row>
    <row r="139" spans="1:21" ht="15" customHeight="1">
      <c r="A139" s="329">
        <f>Bonus!A126</f>
        <v>54.9313</v>
      </c>
      <c r="B139" s="235" t="str">
        <f>Bonus!B126</f>
        <v>Granite Construction Co. - Granite Chumash Camp 4 Infrastructure Project</v>
      </c>
      <c r="C139" s="241">
        <f>Bonus!G126</f>
        <v>0.93780907816367975</v>
      </c>
      <c r="D139" s="242">
        <f>Bonus!C126</f>
        <v>7886885.04</v>
      </c>
      <c r="E139" s="243">
        <f>Bonus!E126</f>
        <v>1010000</v>
      </c>
      <c r="F139" s="242">
        <f t="shared" si="119"/>
        <v>130000</v>
      </c>
      <c r="G139" s="242"/>
      <c r="H139" s="242">
        <f>Bonus!I126</f>
        <v>7396392.388945316</v>
      </c>
      <c r="I139" s="242">
        <f>Bonus!F126</f>
        <v>6449205.2199999997</v>
      </c>
      <c r="J139" s="242">
        <f>Bonus!H126</f>
        <v>947187.16894531657</v>
      </c>
      <c r="K139" s="242">
        <f>Bonus!P126</f>
        <v>197714.51112450095</v>
      </c>
      <c r="L139" s="242"/>
      <c r="M139" s="242">
        <f t="shared" si="120"/>
        <v>5277538.7678208146</v>
      </c>
      <c r="N139" s="242">
        <f>Bonus!Q126</f>
        <v>4528066.1099999994</v>
      </c>
      <c r="O139" s="242">
        <f>Bonus!S126</f>
        <v>749472.65782081569</v>
      </c>
      <c r="P139" s="242">
        <f>O139-Bonus!Y126</f>
        <v>246986.90108052973</v>
      </c>
      <c r="Q139" s="242"/>
      <c r="R139" s="243">
        <v>880000</v>
      </c>
      <c r="S139" s="242"/>
    </row>
    <row r="140" spans="1:21" ht="15" customHeight="1">
      <c r="A140" s="329">
        <f>Bonus!A127</f>
        <v>54.933</v>
      </c>
      <c r="B140" s="235" t="str">
        <f>Bonus!B127</f>
        <v>City of Bakersfield Public Works - Wastewater Treatment Plant No. 3 Septage Processing Unit Rep</v>
      </c>
      <c r="C140" s="241">
        <f>Bonus!G127</f>
        <v>0.99538556304263726</v>
      </c>
      <c r="D140" s="242">
        <f>Bonus!C127</f>
        <v>324900</v>
      </c>
      <c r="E140" s="243">
        <f>Bonus!E127</f>
        <v>17259</v>
      </c>
      <c r="F140" s="242">
        <f t="shared" si="119"/>
        <v>1259</v>
      </c>
      <c r="G140" s="242"/>
      <c r="H140" s="242">
        <f>Bonus!I127</f>
        <v>323400.76943255286</v>
      </c>
      <c r="I140" s="242">
        <f>Bonus!F127</f>
        <v>306221.40999999997</v>
      </c>
      <c r="J140" s="242">
        <f>Bonus!H127</f>
        <v>17179.359432552876</v>
      </c>
      <c r="K140" s="242">
        <f>Bonus!P127</f>
        <v>10642.127272727274</v>
      </c>
      <c r="L140" s="242"/>
      <c r="M140" s="242">
        <f t="shared" si="120"/>
        <v>131310.37215982558</v>
      </c>
      <c r="N140" s="242">
        <f>Bonus!Q127</f>
        <v>124773.13999999998</v>
      </c>
      <c r="O140" s="242">
        <f>Bonus!S127</f>
        <v>6537.2321598256021</v>
      </c>
      <c r="P140" s="242">
        <f>O140-Bonus!Y127</f>
        <v>1318.1015497429071</v>
      </c>
      <c r="Q140" s="242"/>
      <c r="R140" s="243">
        <v>16000</v>
      </c>
      <c r="S140" s="242"/>
    </row>
    <row r="141" spans="1:21" ht="15" customHeight="1">
      <c r="A141" s="329">
        <f>Bonus!A128</f>
        <v>54.933599999999998</v>
      </c>
      <c r="B141" s="235" t="str">
        <f>Bonus!B128</f>
        <v>Palmdale Water Dist. - Pure Water AV - Demonstration Facility</v>
      </c>
      <c r="C141" s="241">
        <f>Bonus!G128</f>
        <v>0.53030684528378014</v>
      </c>
      <c r="D141" s="242">
        <f>Bonus!C128</f>
        <v>25191176.640000001</v>
      </c>
      <c r="E141" s="243">
        <f>Bonus!E128</f>
        <v>1920000</v>
      </c>
      <c r="F141" s="242">
        <f t="shared" si="119"/>
        <v>20000</v>
      </c>
      <c r="G141" s="242"/>
      <c r="H141" s="242">
        <f>Bonus!I128</f>
        <v>13359053.412944857</v>
      </c>
      <c r="I141" s="242">
        <f>Bonus!F128</f>
        <v>12340864.27</v>
      </c>
      <c r="J141" s="242">
        <f>Bonus!H128</f>
        <v>1018189.1429448578</v>
      </c>
      <c r="K141" s="242">
        <f>Bonus!P128</f>
        <v>0</v>
      </c>
      <c r="L141" s="242"/>
      <c r="M141" s="242">
        <f t="shared" si="120"/>
        <v>11238995.862944856</v>
      </c>
      <c r="N141" s="242">
        <f>Bonus!Q128</f>
        <v>10220806.719999999</v>
      </c>
      <c r="O141" s="242">
        <f>Bonus!S128</f>
        <v>1018189.1429448578</v>
      </c>
      <c r="P141" s="242">
        <f>O141-Bonus!Y128</f>
        <v>247075.6782041894</v>
      </c>
      <c r="Q141" s="242"/>
      <c r="R141" s="243">
        <v>1900000</v>
      </c>
      <c r="S141" s="242"/>
    </row>
    <row r="142" spans="1:21" ht="15" customHeight="1">
      <c r="A142" s="329">
        <f>Bonus!A129</f>
        <v>54.933700000000002</v>
      </c>
      <c r="B142" s="235" t="str">
        <f>Bonus!B129</f>
        <v>City of Bakersfield Public Works - WWTP 3 Digester Gas Booster Blower Replacement Project</v>
      </c>
      <c r="C142" s="241">
        <f>Bonus!G129</f>
        <v>0.38254116001427685</v>
      </c>
      <c r="D142" s="242">
        <f>Bonus!C129</f>
        <v>4104848</v>
      </c>
      <c r="E142" s="243">
        <f>Bonus!E129</f>
        <v>160000</v>
      </c>
      <c r="F142" s="242">
        <f t="shared" si="119"/>
        <v>0</v>
      </c>
      <c r="G142" s="242"/>
      <c r="H142" s="242">
        <f>Bonus!I129</f>
        <v>1570273.3156022844</v>
      </c>
      <c r="I142" s="242">
        <f>Bonus!F129</f>
        <v>1509066.73</v>
      </c>
      <c r="J142" s="242">
        <f>Bonus!H129</f>
        <v>61206.585602284293</v>
      </c>
      <c r="K142" s="242">
        <f>Bonus!P129</f>
        <v>0</v>
      </c>
      <c r="L142" s="242"/>
      <c r="M142" s="242">
        <f t="shared" si="120"/>
        <v>1417261.6056022844</v>
      </c>
      <c r="N142" s="242">
        <f>Bonus!Q129</f>
        <v>1356055.02</v>
      </c>
      <c r="O142" s="242">
        <f>Bonus!S129</f>
        <v>61206.585602284293</v>
      </c>
      <c r="P142" s="242">
        <f>O142-Bonus!Y129</f>
        <v>-150.72006020965637</v>
      </c>
      <c r="Q142" s="242"/>
      <c r="R142" s="243">
        <v>160000</v>
      </c>
      <c r="S142" s="242"/>
    </row>
    <row r="143" spans="1:21" ht="15" customHeight="1">
      <c r="A143" s="329">
        <f>Bonus!A130</f>
        <v>54.9343</v>
      </c>
      <c r="B143" s="235" t="str">
        <f>Bonus!B130</f>
        <v>Tehachapi-Cummings County  Water District - DB – Replace Diesel Engines PP2 and PP3</v>
      </c>
      <c r="C143" s="241">
        <f>Bonus!G130</f>
        <v>0.57100364134887061</v>
      </c>
      <c r="D143" s="242">
        <f>Bonus!C130</f>
        <v>6881300</v>
      </c>
      <c r="E143" s="243">
        <f>Bonus!E130</f>
        <v>900000</v>
      </c>
      <c r="F143" s="242">
        <f t="shared" si="119"/>
        <v>50000</v>
      </c>
      <c r="G143" s="242"/>
      <c r="H143" s="242">
        <f>Bonus!I130</f>
        <v>3929247.3572139838</v>
      </c>
      <c r="I143" s="242">
        <f>Bonus!F130</f>
        <v>3415344.08</v>
      </c>
      <c r="J143" s="242">
        <f>Bonus!H130</f>
        <v>513903.27721398353</v>
      </c>
      <c r="K143" s="242">
        <f>Bonus!P130</f>
        <v>0</v>
      </c>
      <c r="L143" s="242"/>
      <c r="M143" s="242">
        <f t="shared" si="120"/>
        <v>3329055.5672139837</v>
      </c>
      <c r="N143" s="242">
        <f>Bonus!Q130</f>
        <v>2815152.29</v>
      </c>
      <c r="O143" s="242">
        <f>Bonus!S130</f>
        <v>513903.27721398353</v>
      </c>
      <c r="P143" s="242">
        <f>O143-Bonus!Y130</f>
        <v>91690.316906918713</v>
      </c>
      <c r="Q143" s="242"/>
      <c r="R143" s="243">
        <v>850000</v>
      </c>
      <c r="S143" s="242"/>
    </row>
    <row r="144" spans="1:21" ht="15" customHeight="1">
      <c r="A144" s="329">
        <f>Bonus!A131</f>
        <v>54.935600000000001</v>
      </c>
      <c r="B144" s="235" t="str">
        <f>Bonus!B131</f>
        <v>North of River Sanitary Dist. No. 1 - WWTP Digester Gas Scrubber Vessel and Effluent Storage Pond</v>
      </c>
      <c r="C144" s="241">
        <f>Bonus!G131</f>
        <v>0.8493980817448239</v>
      </c>
      <c r="D144" s="242">
        <f>Bonus!C131</f>
        <v>1298330</v>
      </c>
      <c r="E144" s="243">
        <f>Bonus!E131</f>
        <v>385000</v>
      </c>
      <c r="F144" s="242">
        <f t="shared" ref="F144" si="123">+E144-R144</f>
        <v>0</v>
      </c>
      <c r="G144" s="242"/>
      <c r="H144" s="242">
        <f>Bonus!I131</f>
        <v>1102799.0114717572</v>
      </c>
      <c r="I144" s="242">
        <f>Bonus!F131</f>
        <v>775780.75</v>
      </c>
      <c r="J144" s="242">
        <f>Bonus!H131</f>
        <v>327018.2614717572</v>
      </c>
      <c r="K144" s="242">
        <f>Bonus!P131</f>
        <v>0</v>
      </c>
      <c r="L144" s="242"/>
      <c r="M144" s="242">
        <f t="shared" ref="M144" si="124">+N144+O144</f>
        <v>1039914.2514717572</v>
      </c>
      <c r="N144" s="242">
        <f>Bonus!Q131</f>
        <v>712895.99</v>
      </c>
      <c r="O144" s="242">
        <f>Bonus!S131</f>
        <v>327018.2614717572</v>
      </c>
      <c r="P144" s="242">
        <f>O144-Bonus!Y131</f>
        <v>134986.31217632181</v>
      </c>
      <c r="Q144" s="242"/>
      <c r="R144" s="243">
        <v>385000</v>
      </c>
      <c r="S144" s="242"/>
    </row>
    <row r="145" spans="1:19" ht="15" customHeight="1">
      <c r="A145" s="329">
        <f>Bonus!A132</f>
        <v>54.936599999999999</v>
      </c>
      <c r="B145" s="235" t="str">
        <f>Bonus!B132</f>
        <v>City of Pismo Beach Community Development Dept. - WWTP Clarifier Equipment Replacement</v>
      </c>
      <c r="C145" s="241">
        <f>Bonus!G132</f>
        <v>0.85473012069832266</v>
      </c>
      <c r="D145" s="242">
        <f>Bonus!C132</f>
        <v>1230131</v>
      </c>
      <c r="E145" s="243">
        <f>Bonus!E132</f>
        <v>150000</v>
      </c>
      <c r="F145" s="242">
        <f t="shared" ref="F145" si="125">+E145-R145</f>
        <v>60000</v>
      </c>
      <c r="G145" s="242"/>
      <c r="H145" s="242">
        <f>Bonus!I132</f>
        <v>1051430.0181047483</v>
      </c>
      <c r="I145" s="242">
        <f>Bonus!F132</f>
        <v>923220.5</v>
      </c>
      <c r="J145" s="242">
        <f>Bonus!H132</f>
        <v>128209.51810474839</v>
      </c>
      <c r="K145" s="242">
        <f>Bonus!P132</f>
        <v>0</v>
      </c>
      <c r="L145" s="242"/>
      <c r="M145" s="242">
        <f t="shared" ref="M145" si="126">+N145+O145</f>
        <v>1045916.9581047483</v>
      </c>
      <c r="N145" s="242">
        <f>Bonus!Q132</f>
        <v>917707.44</v>
      </c>
      <c r="O145" s="242">
        <f>Bonus!S132</f>
        <v>128209.51810474839</v>
      </c>
      <c r="P145" s="242">
        <f>O145-Bonus!Y132</f>
        <v>62585.247743056389</v>
      </c>
      <c r="Q145" s="242"/>
      <c r="R145" s="243">
        <v>90000</v>
      </c>
      <c r="S145" s="242"/>
    </row>
    <row r="146" spans="1:19" ht="15" customHeight="1">
      <c r="A146" s="329">
        <f>Bonus!A133</f>
        <v>54.936900000000001</v>
      </c>
      <c r="B146" s="235" t="str">
        <f>Bonus!B133</f>
        <v>California Water Service Co. - PFAS Treatment Program Project</v>
      </c>
      <c r="C146" s="241">
        <f>Bonus!G133</f>
        <v>0.106474022279567</v>
      </c>
      <c r="D146" s="242">
        <f>Bonus!C133</f>
        <v>28550624.699999999</v>
      </c>
      <c r="E146" s="243">
        <f>Bonus!E133</f>
        <v>2370843</v>
      </c>
      <c r="F146" s="242">
        <f t="shared" ref="F146" si="127">+E146-R146</f>
        <v>0</v>
      </c>
      <c r="G146" s="242"/>
      <c r="H146" s="242">
        <f>Bonus!I133</f>
        <v>2787466.66</v>
      </c>
      <c r="I146" s="242">
        <f>Bonus!F133</f>
        <v>2787466.66</v>
      </c>
      <c r="J146" s="242">
        <f>Bonus!H133</f>
        <v>0</v>
      </c>
      <c r="K146" s="242">
        <f>Bonus!P133</f>
        <v>0</v>
      </c>
      <c r="L146" s="242"/>
      <c r="M146" s="242">
        <f t="shared" ref="M146" si="128">+N146+O146</f>
        <v>2786224.21</v>
      </c>
      <c r="N146" s="242">
        <f>Bonus!Q133</f>
        <v>2786224.21</v>
      </c>
      <c r="O146" s="242">
        <f>Bonus!S133</f>
        <v>0</v>
      </c>
      <c r="P146" s="242">
        <f>O146-Bonus!Y133</f>
        <v>0</v>
      </c>
      <c r="Q146" s="242"/>
      <c r="R146" s="243">
        <v>2370843</v>
      </c>
      <c r="S146" s="242"/>
    </row>
    <row r="147" spans="1:19" ht="15" customHeight="1">
      <c r="A147" s="329">
        <f>Bonus!A134</f>
        <v>54.9373</v>
      </c>
      <c r="B147" s="235" t="str">
        <f>Bonus!B134</f>
        <v>City of Guadalupe - Guadalupe Pioneer Lift Station Replacement</v>
      </c>
      <c r="C147" s="241">
        <f>Bonus!G134</f>
        <v>3.6103517769710748E-2</v>
      </c>
      <c r="D147" s="242">
        <f>Bonus!C134</f>
        <v>1524766</v>
      </c>
      <c r="E147" s="243">
        <f>Bonus!E134</f>
        <v>131440</v>
      </c>
      <c r="F147" s="242">
        <f t="shared" ref="F147" si="129">+E147-R147</f>
        <v>0</v>
      </c>
      <c r="G147" s="242"/>
      <c r="H147" s="242">
        <f>Bonus!I134</f>
        <v>50303.97</v>
      </c>
      <c r="I147" s="242">
        <f>Bonus!F134</f>
        <v>50303.97</v>
      </c>
      <c r="J147" s="242">
        <f>Bonus!H134</f>
        <v>0</v>
      </c>
      <c r="K147" s="242">
        <f>Bonus!P134</f>
        <v>0</v>
      </c>
      <c r="L147" s="242"/>
      <c r="M147" s="242">
        <f t="shared" ref="M147" si="130">+N147+O147</f>
        <v>50303.97</v>
      </c>
      <c r="N147" s="242">
        <f>Bonus!Q134</f>
        <v>50303.97</v>
      </c>
      <c r="O147" s="242">
        <f>Bonus!S134</f>
        <v>0</v>
      </c>
      <c r="P147" s="242">
        <f>O147-Bonus!Y134</f>
        <v>0</v>
      </c>
      <c r="Q147" s="242"/>
      <c r="R147" s="243">
        <v>131440</v>
      </c>
      <c r="S147" s="242"/>
    </row>
    <row r="148" spans="1:19" ht="15" customHeight="1">
      <c r="A148" s="329">
        <f>Bonus!A135</f>
        <v>54.938899999999997</v>
      </c>
      <c r="B148" s="235" t="str">
        <f>Bonus!B135</f>
        <v>City of Atascadero - Atascadero Lift Stations 4 &amp; 11 Rehab Project</v>
      </c>
      <c r="C148" s="241">
        <f>Bonus!G135</f>
        <v>0.99082486180824692</v>
      </c>
      <c r="D148" s="242">
        <f>Bonus!C135</f>
        <v>299780</v>
      </c>
      <c r="E148" s="243">
        <f>Bonus!E135</f>
        <v>-15000</v>
      </c>
      <c r="F148" s="242">
        <f t="shared" ref="F148" si="131">+E148-R148</f>
        <v>0</v>
      </c>
      <c r="G148" s="242"/>
      <c r="H148" s="242">
        <f>Bonus!I135</f>
        <v>296891.84999999998</v>
      </c>
      <c r="I148" s="242">
        <f>Bonus!F135</f>
        <v>311891.84999999998</v>
      </c>
      <c r="J148" s="242">
        <f>Bonus!H135</f>
        <v>-15000</v>
      </c>
      <c r="K148" s="242">
        <f>Bonus!P135</f>
        <v>0</v>
      </c>
      <c r="L148" s="242"/>
      <c r="M148" s="242">
        <f t="shared" ref="M148" si="132">+N148+O148</f>
        <v>296891.84999999998</v>
      </c>
      <c r="N148" s="242">
        <f>Bonus!Q135</f>
        <v>311891.84999999998</v>
      </c>
      <c r="O148" s="242">
        <f>Bonus!S135</f>
        <v>-15000</v>
      </c>
      <c r="P148" s="242">
        <f>O148-Bonus!Y135</f>
        <v>0</v>
      </c>
      <c r="Q148" s="242"/>
      <c r="R148" s="243">
        <v>-15000</v>
      </c>
      <c r="S148" s="242"/>
    </row>
    <row r="149" spans="1:19" ht="15" customHeight="1">
      <c r="A149" s="329">
        <f>Bonus!A136</f>
        <v>54.939100000000003</v>
      </c>
      <c r="B149" s="235" t="str">
        <f>Bonus!B136</f>
        <v>Arvin Edison Water Storage Dist. - HQ Concrete R&amp;R</v>
      </c>
      <c r="C149" s="241">
        <f>Bonus!G136</f>
        <v>1</v>
      </c>
      <c r="D149" s="242">
        <f>Bonus!C136</f>
        <v>532604.56999999995</v>
      </c>
      <c r="E149" s="243">
        <f>Bonus!E136</f>
        <v>20547.229999999923</v>
      </c>
      <c r="F149" s="242">
        <f t="shared" ref="F149" si="133">+E149-R149</f>
        <v>547.22999999992317</v>
      </c>
      <c r="G149" s="242"/>
      <c r="H149" s="242">
        <f>Bonus!I136</f>
        <v>532604.56999999995</v>
      </c>
      <c r="I149" s="242">
        <f>Bonus!F136</f>
        <v>512057.34</v>
      </c>
      <c r="J149" s="242">
        <f>Bonus!H136</f>
        <v>20547.229999999923</v>
      </c>
      <c r="K149" s="242">
        <f>Bonus!P136</f>
        <v>0</v>
      </c>
      <c r="L149" s="242"/>
      <c r="M149" s="242">
        <f t="shared" ref="M149" si="134">+N149+O149</f>
        <v>532604.56999999995</v>
      </c>
      <c r="N149" s="242">
        <f>Bonus!Q136</f>
        <v>512057.34</v>
      </c>
      <c r="O149" s="242">
        <f>Bonus!S136</f>
        <v>20547.229999999923</v>
      </c>
      <c r="P149" s="242">
        <f>O149-Bonus!Y136</f>
        <v>1224.3115094338827</v>
      </c>
      <c r="Q149" s="242"/>
      <c r="R149" s="243">
        <v>20000</v>
      </c>
      <c r="S149" s="242"/>
    </row>
    <row r="150" spans="1:19" ht="15" customHeight="1">
      <c r="A150" s="329">
        <f>Bonus!A137</f>
        <v>54.939500000000002</v>
      </c>
      <c r="B150" s="235" t="str">
        <f>Bonus!B137</f>
        <v>Semitropic Water Storage Dist. - Pond Poso Pumping Plant Siphon Pipe Replacement Project</v>
      </c>
      <c r="C150" s="241">
        <f>Bonus!G137</f>
        <v>0.79685873725726031</v>
      </c>
      <c r="D150" s="242">
        <f>Bonus!C137</f>
        <v>1795652.66</v>
      </c>
      <c r="E150" s="243">
        <f>Bonus!E137</f>
        <v>102000</v>
      </c>
      <c r="F150" s="242">
        <f t="shared" ref="F150:F152" si="135">+E150-R150</f>
        <v>72000</v>
      </c>
      <c r="G150" s="242"/>
      <c r="H150" s="242">
        <f>Bonus!I137</f>
        <v>1430881.5112002406</v>
      </c>
      <c r="I150" s="242">
        <f>Bonus!F137</f>
        <v>1349601.92</v>
      </c>
      <c r="J150" s="242">
        <f>Bonus!H137</f>
        <v>81279.591200240553</v>
      </c>
      <c r="K150" s="242">
        <f>Bonus!P137</f>
        <v>0</v>
      </c>
      <c r="L150" s="242"/>
      <c r="M150" s="242">
        <f t="shared" ref="M150:M152" si="136">+N150+O150</f>
        <v>1430881.5112002406</v>
      </c>
      <c r="N150" s="242">
        <f>Bonus!Q137</f>
        <v>1349601.92</v>
      </c>
      <c r="O150" s="242">
        <f>Bonus!S137</f>
        <v>81279.591200240553</v>
      </c>
      <c r="P150" s="242">
        <f>O150-Bonus!Y137</f>
        <v>59055.92084197783</v>
      </c>
      <c r="Q150" s="242"/>
      <c r="R150" s="243">
        <v>30000</v>
      </c>
      <c r="S150" s="242"/>
    </row>
    <row r="151" spans="1:19" ht="15" customHeight="1">
      <c r="A151" s="329">
        <f>Bonus!A138</f>
        <v>54.939599999999999</v>
      </c>
      <c r="B151" s="235" t="str">
        <f>Bonus!B138</f>
        <v>Mojave Groundwater Storage LLC - Mojave Water Bank Northern Pipeline Facilities Construction</v>
      </c>
      <c r="C151" s="241">
        <f>Bonus!G138</f>
        <v>1</v>
      </c>
      <c r="D151" s="242">
        <f>Bonus!C138</f>
        <v>157746.09</v>
      </c>
      <c r="E151" s="243">
        <f>Bonus!E138</f>
        <v>0</v>
      </c>
      <c r="F151" s="242">
        <f t="shared" ref="F151" si="137">+E151-R151</f>
        <v>-9546</v>
      </c>
      <c r="G151" s="242"/>
      <c r="H151" s="242">
        <f>Bonus!I138</f>
        <v>157746.09</v>
      </c>
      <c r="I151" s="242">
        <f>Bonus!F138</f>
        <v>157746.09</v>
      </c>
      <c r="J151" s="242">
        <f>Bonus!H138</f>
        <v>0</v>
      </c>
      <c r="K151" s="242">
        <f>Bonus!P138</f>
        <v>0</v>
      </c>
      <c r="L151" s="242"/>
      <c r="M151" s="242">
        <f t="shared" ref="M151" si="138">+N151+O151</f>
        <v>157746.09</v>
      </c>
      <c r="N151" s="242">
        <f>Bonus!Q138</f>
        <v>157746.09</v>
      </c>
      <c r="O151" s="242">
        <f>Bonus!S138</f>
        <v>0</v>
      </c>
      <c r="P151" s="242">
        <f>O151-Bonus!Y138</f>
        <v>0</v>
      </c>
      <c r="Q151" s="242"/>
      <c r="R151" s="243">
        <v>9546</v>
      </c>
      <c r="S151" s="242"/>
    </row>
    <row r="152" spans="1:19" ht="15" customHeight="1">
      <c r="A152" s="329">
        <f>Bonus!A139</f>
        <v>54.939700000000002</v>
      </c>
      <c r="B152" s="235" t="str">
        <f>Bonus!B139</f>
        <v>Cawelo Water Dist. - Friant-Kern Canal Pump Station</v>
      </c>
      <c r="C152" s="241">
        <f>Bonus!G139</f>
        <v>0.305270946973216</v>
      </c>
      <c r="D152" s="242">
        <f>Bonus!C139</f>
        <v>3690645</v>
      </c>
      <c r="E152" s="243">
        <f>Bonus!E139</f>
        <v>300000</v>
      </c>
      <c r="F152" s="242">
        <f t="shared" si="135"/>
        <v>0</v>
      </c>
      <c r="G152" s="242"/>
      <c r="H152" s="242">
        <f>Bonus!I139</f>
        <v>1126646.6940919647</v>
      </c>
      <c r="I152" s="242">
        <f>Bonus!F139</f>
        <v>1035065.41</v>
      </c>
      <c r="J152" s="242">
        <f>Bonus!H139</f>
        <v>91581.284091964801</v>
      </c>
      <c r="K152" s="242">
        <f>Bonus!P139</f>
        <v>0</v>
      </c>
      <c r="L152" s="242"/>
      <c r="M152" s="242">
        <f t="shared" si="136"/>
        <v>1126646.6940919647</v>
      </c>
      <c r="N152" s="242">
        <f>Bonus!Q139</f>
        <v>1035065.41</v>
      </c>
      <c r="O152" s="242">
        <f>Bonus!S139</f>
        <v>91581.284091964801</v>
      </c>
      <c r="P152" s="242">
        <f>O152-Bonus!Y139</f>
        <v>17968.073331180349</v>
      </c>
      <c r="Q152" s="242"/>
      <c r="R152" s="243">
        <v>300000</v>
      </c>
      <c r="S152" s="242"/>
    </row>
    <row r="153" spans="1:19" ht="15" customHeight="1">
      <c r="A153" s="329">
        <f>Bonus!A140</f>
        <v>54.940300000000001</v>
      </c>
      <c r="B153" s="235" t="str">
        <f>Bonus!B140</f>
        <v>Lost Hills Utility Dist. - WTP Improvements</v>
      </c>
      <c r="C153" s="241">
        <f>Bonus!G140</f>
        <v>0.38155725655943046</v>
      </c>
      <c r="D153" s="242">
        <f>Bonus!C140</f>
        <v>381600</v>
      </c>
      <c r="E153" s="243">
        <f>Bonus!E140</f>
        <v>43499</v>
      </c>
      <c r="F153" s="242">
        <f t="shared" ref="F153:F155" si="139">+E153-R153</f>
        <v>0</v>
      </c>
      <c r="G153" s="242"/>
      <c r="H153" s="242">
        <f>Bonus!I140</f>
        <v>145602.24910307868</v>
      </c>
      <c r="I153" s="242">
        <f>Bonus!F140</f>
        <v>129004.89</v>
      </c>
      <c r="J153" s="242">
        <f>Bonus!H140</f>
        <v>16597.359103078667</v>
      </c>
      <c r="K153" s="242">
        <f>Bonus!P140</f>
        <v>0</v>
      </c>
      <c r="L153" s="242"/>
      <c r="M153" s="242">
        <f t="shared" ref="M153:M155" si="140">+N153+O153</f>
        <v>145602.24910307868</v>
      </c>
      <c r="N153" s="242">
        <f>Bonus!Q140</f>
        <v>129004.89</v>
      </c>
      <c r="O153" s="242">
        <f>Bonus!S140</f>
        <v>16597.359103078667</v>
      </c>
      <c r="P153" s="242">
        <f>O153-Bonus!Y140</f>
        <v>16597.359103078667</v>
      </c>
      <c r="Q153" s="242"/>
      <c r="R153" s="243">
        <v>43499</v>
      </c>
      <c r="S153" s="242"/>
    </row>
    <row r="154" spans="1:19" ht="15" customHeight="1">
      <c r="A154" s="329">
        <f>Bonus!A141</f>
        <v>54.940399999999997</v>
      </c>
      <c r="B154" s="235" t="str">
        <f>Bonus!B141</f>
        <v>Cawelo Water Dist. - Reuse of Produced Water</v>
      </c>
      <c r="C154" s="241">
        <f>Bonus!G141</f>
        <v>0.54081244951737495</v>
      </c>
      <c r="D154" s="242">
        <f>Bonus!C141</f>
        <v>3720000</v>
      </c>
      <c r="E154" s="243">
        <f>Bonus!E141</f>
        <v>134608</v>
      </c>
      <c r="F154" s="242">
        <f t="shared" si="139"/>
        <v>0</v>
      </c>
      <c r="G154" s="242"/>
      <c r="H154" s="242">
        <f>Bonus!I141</f>
        <v>2011822.3122046348</v>
      </c>
      <c r="I154" s="242">
        <f>Bonus!F141</f>
        <v>1939024.63</v>
      </c>
      <c r="J154" s="242">
        <f>Bonus!H141</f>
        <v>72797.68220463481</v>
      </c>
      <c r="K154" s="242">
        <f>Bonus!P141</f>
        <v>0</v>
      </c>
      <c r="L154" s="242"/>
      <c r="M154" s="242">
        <f t="shared" si="140"/>
        <v>2011822.3122046348</v>
      </c>
      <c r="N154" s="242">
        <f>Bonus!Q141</f>
        <v>1939024.63</v>
      </c>
      <c r="O154" s="242">
        <f>Bonus!S141</f>
        <v>72797.68220463481</v>
      </c>
      <c r="P154" s="242">
        <f>O154-Bonus!Y141</f>
        <v>30601.223800086576</v>
      </c>
      <c r="Q154" s="242"/>
      <c r="R154" s="243">
        <v>134608</v>
      </c>
      <c r="S154" s="242"/>
    </row>
    <row r="155" spans="1:19" ht="15" customHeight="1">
      <c r="A155" s="329">
        <f>Bonus!A142</f>
        <v>54.9405</v>
      </c>
      <c r="B155" s="235" t="str">
        <f>Bonus!B142</f>
        <v>Semitropic Water Storage Dist. - Pump Platform Replacement Project</v>
      </c>
      <c r="C155" s="241">
        <f>Bonus!G142</f>
        <v>0.71157162561576359</v>
      </c>
      <c r="D155" s="242">
        <f>Bonus!C142</f>
        <v>942000</v>
      </c>
      <c r="E155" s="243">
        <f>Bonus!E142</f>
        <v>130000</v>
      </c>
      <c r="F155" s="242">
        <f t="shared" si="139"/>
        <v>10000</v>
      </c>
      <c r="G155" s="242"/>
      <c r="H155" s="242">
        <f>Bonus!I142</f>
        <v>670300.47133004933</v>
      </c>
      <c r="I155" s="242">
        <f>Bonus!F142</f>
        <v>577796.16</v>
      </c>
      <c r="J155" s="242">
        <f>Bonus!H142</f>
        <v>92504.31133004927</v>
      </c>
      <c r="K155" s="242">
        <f>Bonus!P142</f>
        <v>0</v>
      </c>
      <c r="L155" s="242"/>
      <c r="M155" s="242">
        <f t="shared" si="140"/>
        <v>670300.47133004933</v>
      </c>
      <c r="N155" s="242">
        <f>Bonus!Q142</f>
        <v>577796.16</v>
      </c>
      <c r="O155" s="242">
        <f>Bonus!S142</f>
        <v>92504.31133004927</v>
      </c>
      <c r="P155" s="242">
        <f>O155-Bonus!Y142</f>
        <v>92504.31133004927</v>
      </c>
      <c r="Q155" s="242"/>
      <c r="R155" s="243">
        <v>120000</v>
      </c>
      <c r="S155" s="242"/>
    </row>
    <row r="156" spans="1:19" ht="15" customHeight="1">
      <c r="A156" s="329">
        <f>Bonus!A143</f>
        <v>54.940600000000003</v>
      </c>
      <c r="B156" s="235" t="str">
        <f>Bonus!B143</f>
        <v>California Water Service Co. - Emergency PACL leak repair</v>
      </c>
      <c r="C156" s="241">
        <f>Bonus!G143</f>
        <v>1</v>
      </c>
      <c r="D156" s="242">
        <f>Bonus!C143</f>
        <v>1120.6500000000001</v>
      </c>
      <c r="E156" s="243">
        <f>Bonus!E143</f>
        <v>0</v>
      </c>
      <c r="F156" s="242">
        <f t="shared" ref="F156" si="141">+E156-R156</f>
        <v>0</v>
      </c>
      <c r="G156" s="242"/>
      <c r="H156" s="242">
        <f>Bonus!I143</f>
        <v>1120.6500000000001</v>
      </c>
      <c r="I156" s="242">
        <f>Bonus!F143</f>
        <v>1120.6500000000001</v>
      </c>
      <c r="J156" s="242">
        <f>Bonus!H143</f>
        <v>0</v>
      </c>
      <c r="K156" s="242">
        <f>Bonus!P143</f>
        <v>0</v>
      </c>
      <c r="L156" s="242"/>
      <c r="M156" s="242">
        <f t="shared" ref="M156" si="142">+N156+O156</f>
        <v>1120.6500000000001</v>
      </c>
      <c r="N156" s="242">
        <f>Bonus!Q143</f>
        <v>1120.6500000000001</v>
      </c>
      <c r="O156" s="242">
        <f>Bonus!S143</f>
        <v>0</v>
      </c>
      <c r="P156" s="242">
        <f>O156-Bonus!Y143</f>
        <v>0</v>
      </c>
      <c r="Q156" s="242"/>
      <c r="R156" s="243"/>
      <c r="S156" s="242"/>
    </row>
    <row r="157" spans="1:19" ht="15" customHeight="1">
      <c r="A157" s="329">
        <f>Bonus!A144</f>
        <v>54.940800000000003</v>
      </c>
      <c r="B157" s="235" t="str">
        <f>Bonus!B144</f>
        <v>Nipomo Community Service Dist. - Frontage Road Sewer Trunk Line</v>
      </c>
      <c r="C157" s="241">
        <f>Bonus!G144</f>
        <v>1.1775587084079572E-2</v>
      </c>
      <c r="D157" s="242">
        <f>Bonus!C144</f>
        <v>3777777</v>
      </c>
      <c r="E157" s="243">
        <f>Bonus!E144</f>
        <v>240592</v>
      </c>
      <c r="F157" s="242">
        <f t="shared" ref="F157" si="143">+E157-R157</f>
        <v>0</v>
      </c>
      <c r="G157" s="242"/>
      <c r="H157" s="242">
        <f>Bonus!I144</f>
        <v>41652.43</v>
      </c>
      <c r="I157" s="242">
        <f>Bonus!F144</f>
        <v>41652.43</v>
      </c>
      <c r="J157" s="242">
        <f>Bonus!H144</f>
        <v>0</v>
      </c>
      <c r="K157" s="242">
        <f>Bonus!P144</f>
        <v>0</v>
      </c>
      <c r="L157" s="242"/>
      <c r="M157" s="242">
        <f t="shared" ref="M157" si="144">+N157+O157</f>
        <v>41652.43</v>
      </c>
      <c r="N157" s="242">
        <f>Bonus!Q144</f>
        <v>41652.43</v>
      </c>
      <c r="O157" s="242">
        <f>Bonus!S144</f>
        <v>0</v>
      </c>
      <c r="P157" s="242">
        <f>O157-Bonus!Y144</f>
        <v>0</v>
      </c>
      <c r="Q157" s="242"/>
      <c r="R157" s="243">
        <v>240592</v>
      </c>
      <c r="S157" s="242"/>
    </row>
    <row r="158" spans="1:19" ht="15" customHeight="1">
      <c r="A158" s="329">
        <f>Bonus!A145</f>
        <v>54.941099999999999</v>
      </c>
      <c r="B158" s="235" t="str">
        <f>Bonus!B145</f>
        <v>Moorefield Construction Inc. - Hard Rock Tejon AEWSD Line Relocation</v>
      </c>
      <c r="C158" s="241">
        <f>Bonus!G145</f>
        <v>0.91150510855683275</v>
      </c>
      <c r="D158" s="242">
        <f>Bonus!C145</f>
        <v>103300</v>
      </c>
      <c r="E158" s="243">
        <f>Bonus!E145</f>
        <v>25000</v>
      </c>
      <c r="F158" s="242">
        <f t="shared" ref="F158:F159" si="145">+E158-R158</f>
        <v>0</v>
      </c>
      <c r="G158" s="242"/>
      <c r="H158" s="242">
        <f>Bonus!I145</f>
        <v>94158.477713920816</v>
      </c>
      <c r="I158" s="242">
        <f>Bonus!F145</f>
        <v>71370.850000000006</v>
      </c>
      <c r="J158" s="242">
        <f>Bonus!H145</f>
        <v>22787.627713920818</v>
      </c>
      <c r="K158" s="242">
        <f>Bonus!P145</f>
        <v>0</v>
      </c>
      <c r="L158" s="242"/>
      <c r="M158" s="242">
        <f t="shared" ref="M158:M159" si="146">+N158+O158</f>
        <v>94158.477713920816</v>
      </c>
      <c r="N158" s="242">
        <f>Bonus!Q145</f>
        <v>71370.850000000006</v>
      </c>
      <c r="O158" s="242">
        <f>Bonus!S145</f>
        <v>22787.627713920818</v>
      </c>
      <c r="P158" s="242">
        <f>O158-Bonus!Y145</f>
        <v>-87.644721976619621</v>
      </c>
      <c r="Q158" s="242"/>
      <c r="R158" s="243">
        <v>25000</v>
      </c>
      <c r="S158" s="242"/>
    </row>
    <row r="159" spans="1:19" ht="15" customHeight="1">
      <c r="A159" s="329">
        <f>Bonus!A146</f>
        <v>54.941200000000002</v>
      </c>
      <c r="B159" s="235" t="str">
        <f>Bonus!B146</f>
        <v>Arvin Edison Water Storage Dist. - Sycamore Well 39 Earthwork</v>
      </c>
      <c r="C159" s="241">
        <f>Bonus!G146</f>
        <v>1</v>
      </c>
      <c r="D159" s="242">
        <f>Bonus!C146</f>
        <v>116752.04</v>
      </c>
      <c r="E159" s="243">
        <f>Bonus!E146</f>
        <v>1043.1599999999889</v>
      </c>
      <c r="F159" s="242">
        <f t="shared" si="145"/>
        <v>-4956.8400000000111</v>
      </c>
      <c r="G159" s="242"/>
      <c r="H159" s="242">
        <f>Bonus!I146</f>
        <v>116752.04</v>
      </c>
      <c r="I159" s="242">
        <f>Bonus!F146</f>
        <v>115708.88</v>
      </c>
      <c r="J159" s="242">
        <f>Bonus!H146</f>
        <v>1043.1599999999889</v>
      </c>
      <c r="K159" s="242">
        <f>Bonus!P146</f>
        <v>0</v>
      </c>
      <c r="L159" s="242"/>
      <c r="M159" s="242">
        <f t="shared" si="146"/>
        <v>116752.04</v>
      </c>
      <c r="N159" s="242">
        <f>Bonus!Q146</f>
        <v>115708.88</v>
      </c>
      <c r="O159" s="242">
        <f>Bonus!S146</f>
        <v>1043.1599999999889</v>
      </c>
      <c r="P159" s="242">
        <f>O159-Bonus!Y146</f>
        <v>-4169.7316216216332</v>
      </c>
      <c r="Q159" s="242"/>
      <c r="R159" s="243">
        <v>6000</v>
      </c>
      <c r="S159" s="242"/>
    </row>
    <row r="160" spans="1:19" ht="15" customHeight="1">
      <c r="A160" s="329">
        <f>Bonus!A147</f>
        <v>54.941299999999998</v>
      </c>
      <c r="B160" s="235" t="str">
        <f>Bonus!B147</f>
        <v>Arvin Edison Water Storage Dist. - Tejon Well 102 Earthwork</v>
      </c>
      <c r="C160" s="241">
        <f>Bonus!G147</f>
        <v>1</v>
      </c>
      <c r="D160" s="242">
        <f>Bonus!C147</f>
        <v>149366.82999999999</v>
      </c>
      <c r="E160" s="243">
        <f>Bonus!E147</f>
        <v>17228.089999999997</v>
      </c>
      <c r="F160" s="242">
        <f t="shared" ref="F160" si="147">+E160-R160</f>
        <v>7228.0899999999965</v>
      </c>
      <c r="G160" s="242"/>
      <c r="H160" s="242">
        <f>Bonus!I147</f>
        <v>149366.82999999999</v>
      </c>
      <c r="I160" s="242">
        <f>Bonus!F147</f>
        <v>132138.74</v>
      </c>
      <c r="J160" s="242">
        <f>Bonus!H147</f>
        <v>17228.089999999997</v>
      </c>
      <c r="K160" s="242">
        <f>Bonus!P147</f>
        <v>0</v>
      </c>
      <c r="L160" s="242"/>
      <c r="M160" s="242">
        <f t="shared" ref="M160" si="148">+N160+O160</f>
        <v>149366.82999999999</v>
      </c>
      <c r="N160" s="242">
        <f>Bonus!Q147</f>
        <v>132138.74</v>
      </c>
      <c r="O160" s="242">
        <f>Bonus!S147</f>
        <v>17228.089999999997</v>
      </c>
      <c r="P160" s="242">
        <f>O160-Bonus!Y147</f>
        <v>7240.7039784946192</v>
      </c>
      <c r="Q160" s="242"/>
      <c r="R160" s="243">
        <v>10000</v>
      </c>
      <c r="S160" s="242"/>
    </row>
    <row r="161" spans="1:20" ht="15" customHeight="1">
      <c r="A161" s="329">
        <f>Bonus!A148</f>
        <v>54.941400000000002</v>
      </c>
      <c r="B161" s="235" t="str">
        <f>Bonus!B148</f>
        <v>Cawelo Water Dist. - Cawelo Diversion Structure Rehab</v>
      </c>
      <c r="C161" s="241">
        <f>Bonus!G148</f>
        <v>0.99648881494972619</v>
      </c>
      <c r="D161" s="242">
        <f>Bonus!C148</f>
        <v>358674.83</v>
      </c>
      <c r="E161" s="243">
        <f>Bonus!E148</f>
        <v>20000</v>
      </c>
      <c r="F161" s="242">
        <f t="shared" ref="F161:F164" si="149">+E161-R161</f>
        <v>-5000</v>
      </c>
      <c r="G161" s="242"/>
      <c r="H161" s="242">
        <f>Bonus!I148</f>
        <v>357415.45629899454</v>
      </c>
      <c r="I161" s="242">
        <f>Bonus!F148</f>
        <v>337485.68</v>
      </c>
      <c r="J161" s="242">
        <f>Bonus!H148</f>
        <v>19929.776298994522</v>
      </c>
      <c r="K161" s="242">
        <f>Bonus!P148</f>
        <v>0</v>
      </c>
      <c r="L161" s="242"/>
      <c r="M161" s="242">
        <f t="shared" ref="M161:M164" si="150">+N161+O161</f>
        <v>357415.45629899454</v>
      </c>
      <c r="N161" s="242">
        <f>Bonus!Q148</f>
        <v>337485.68</v>
      </c>
      <c r="O161" s="242">
        <f>Bonus!S148</f>
        <v>19929.776298994522</v>
      </c>
      <c r="P161" s="242">
        <f>O161-Bonus!Y148</f>
        <v>19929.776298994522</v>
      </c>
      <c r="Q161" s="242"/>
      <c r="R161" s="243">
        <v>25000</v>
      </c>
      <c r="S161" s="242"/>
    </row>
    <row r="162" spans="1:20" ht="15" customHeight="1">
      <c r="A162" s="329">
        <f>Bonus!A149</f>
        <v>54.941600000000001</v>
      </c>
      <c r="B162" s="235" t="str">
        <f>Bonus!B149</f>
        <v>California Water Service Co. - BK 147 Station Improvements</v>
      </c>
      <c r="C162" s="241">
        <f>Bonus!G149</f>
        <v>6.4092483384816995E-3</v>
      </c>
      <c r="D162" s="242">
        <f>Bonus!C149</f>
        <v>1260000</v>
      </c>
      <c r="E162" s="243">
        <f>Bonus!E149</f>
        <v>127602</v>
      </c>
      <c r="F162" s="242">
        <f t="shared" si="149"/>
        <v>0</v>
      </c>
      <c r="G162" s="242"/>
      <c r="H162" s="242">
        <f>Bonus!I149</f>
        <v>7257.82</v>
      </c>
      <c r="I162" s="242">
        <f>Bonus!F149</f>
        <v>7257.82</v>
      </c>
      <c r="J162" s="242">
        <f>Bonus!H149</f>
        <v>0</v>
      </c>
      <c r="K162" s="242">
        <f>Bonus!P149</f>
        <v>0</v>
      </c>
      <c r="L162" s="242"/>
      <c r="M162" s="242">
        <f t="shared" si="150"/>
        <v>7257.82</v>
      </c>
      <c r="N162" s="242">
        <f>Bonus!Q149</f>
        <v>7257.82</v>
      </c>
      <c r="O162" s="242">
        <f>Bonus!S149</f>
        <v>0</v>
      </c>
      <c r="P162" s="242">
        <f>O162-Bonus!Y149</f>
        <v>0</v>
      </c>
      <c r="Q162" s="242"/>
      <c r="R162" s="243">
        <v>127602</v>
      </c>
      <c r="S162" s="242"/>
    </row>
    <row r="163" spans="1:20" ht="15" customHeight="1">
      <c r="A163" s="329">
        <f>Bonus!A150</f>
        <v>54.941699999999997</v>
      </c>
      <c r="B163" s="235" t="str">
        <f>Bonus!B150</f>
        <v>County of Santa Barbara-Public Works - Laguna WWTP WAS Pipe Modifications</v>
      </c>
      <c r="C163" s="241">
        <f>Bonus!G150</f>
        <v>5.3608047933229194E-2</v>
      </c>
      <c r="D163" s="242">
        <f>Bonus!C150</f>
        <v>48439</v>
      </c>
      <c r="E163" s="243">
        <f>Bonus!E150</f>
        <v>5546</v>
      </c>
      <c r="F163" s="242">
        <f t="shared" ref="F163" si="151">+E163-R163</f>
        <v>5546</v>
      </c>
      <c r="G163" s="242"/>
      <c r="H163" s="242">
        <f>Bonus!I150</f>
        <v>2299.41</v>
      </c>
      <c r="I163" s="242">
        <f>Bonus!F150</f>
        <v>2299.41</v>
      </c>
      <c r="J163" s="242">
        <f>Bonus!H150</f>
        <v>0</v>
      </c>
      <c r="K163" s="242">
        <f>Bonus!P150</f>
        <v>0</v>
      </c>
      <c r="L163" s="242"/>
      <c r="M163" s="242">
        <f t="shared" ref="M163" si="152">+N163+O163</f>
        <v>2299.41</v>
      </c>
      <c r="N163" s="242">
        <f>Bonus!Q150</f>
        <v>2299.41</v>
      </c>
      <c r="O163" s="242">
        <f>Bonus!S150</f>
        <v>0</v>
      </c>
      <c r="P163" s="242">
        <f>O163-Bonus!Y150</f>
        <v>0</v>
      </c>
      <c r="Q163" s="242"/>
      <c r="R163" s="243"/>
      <c r="S163" s="242"/>
    </row>
    <row r="164" spans="1:20" ht="15" customHeight="1">
      <c r="A164" s="329">
        <f>Bonus!A151</f>
        <v>54.941800000000001</v>
      </c>
      <c r="B164" s="235" t="str">
        <f>Bonus!B151</f>
        <v>GenerateUpcycle - Organics Waste Processing Facility</v>
      </c>
      <c r="C164" s="241">
        <f>Bonus!G151</f>
        <v>1</v>
      </c>
      <c r="D164" s="242">
        <f>Bonus!C151</f>
        <v>15739</v>
      </c>
      <c r="E164" s="243">
        <f>Bonus!E151</f>
        <v>0</v>
      </c>
      <c r="F164" s="242">
        <f t="shared" si="149"/>
        <v>-10000</v>
      </c>
      <c r="G164" s="242"/>
      <c r="H164" s="242">
        <f>Bonus!I151</f>
        <v>15739</v>
      </c>
      <c r="I164" s="242">
        <f>Bonus!F151</f>
        <v>15739</v>
      </c>
      <c r="J164" s="242">
        <f>Bonus!H151</f>
        <v>0</v>
      </c>
      <c r="K164" s="242">
        <f>Bonus!P151</f>
        <v>0</v>
      </c>
      <c r="L164" s="242"/>
      <c r="M164" s="242">
        <f t="shared" si="150"/>
        <v>15739</v>
      </c>
      <c r="N164" s="242">
        <f>Bonus!Q151</f>
        <v>15739</v>
      </c>
      <c r="O164" s="242">
        <f>Bonus!S151</f>
        <v>0</v>
      </c>
      <c r="P164" s="242">
        <f>O164-Bonus!Y151</f>
        <v>0</v>
      </c>
      <c r="Q164" s="242"/>
      <c r="R164" s="243">
        <v>10000</v>
      </c>
      <c r="S164" s="242"/>
    </row>
    <row r="165" spans="1:20" ht="15" customHeight="1">
      <c r="A165" s="329">
        <f>Bonus!A152</f>
        <v>54.942100000000003</v>
      </c>
      <c r="B165" s="235" t="str">
        <f>Bonus!B152</f>
        <v>Nipomo Community Service Dist. - Tefft Emergency Pipe Repair</v>
      </c>
      <c r="C165" s="241">
        <f>Bonus!G152</f>
        <v>1</v>
      </c>
      <c r="D165" s="242">
        <f>Bonus!C152</f>
        <v>3703.18</v>
      </c>
      <c r="E165" s="243">
        <f>Bonus!E152</f>
        <v>0</v>
      </c>
      <c r="F165" s="242">
        <f t="shared" ref="F165" si="153">+E165-R165</f>
        <v>0</v>
      </c>
      <c r="G165" s="242"/>
      <c r="H165" s="242">
        <f>Bonus!I152</f>
        <v>3703.18</v>
      </c>
      <c r="I165" s="242">
        <f>Bonus!F152</f>
        <v>3703.18</v>
      </c>
      <c r="J165" s="242">
        <f>Bonus!H152</f>
        <v>0</v>
      </c>
      <c r="K165" s="242">
        <f>Bonus!P152</f>
        <v>0</v>
      </c>
      <c r="L165" s="242"/>
      <c r="M165" s="242">
        <f t="shared" ref="M165" si="154">+N165+O165</f>
        <v>3703.18</v>
      </c>
      <c r="N165" s="242">
        <f>Bonus!Q152</f>
        <v>3703.18</v>
      </c>
      <c r="O165" s="242">
        <f>Bonus!S152</f>
        <v>0</v>
      </c>
      <c r="P165" s="242">
        <f>O165-Bonus!Y152</f>
        <v>0</v>
      </c>
      <c r="Q165" s="242"/>
      <c r="R165" s="243"/>
      <c r="S165" s="242"/>
    </row>
    <row r="166" spans="1:20" ht="15" hidden="1" customHeight="1">
      <c r="A166" s="329"/>
      <c r="C166" s="241"/>
      <c r="D166" s="242"/>
      <c r="E166" s="242"/>
      <c r="F166" s="242"/>
      <c r="G166" s="242"/>
      <c r="H166" s="242"/>
      <c r="I166" s="242"/>
      <c r="J166" s="242"/>
      <c r="K166" s="242"/>
      <c r="L166" s="242"/>
      <c r="M166" s="242"/>
      <c r="N166" s="242"/>
      <c r="O166" s="242"/>
      <c r="P166" s="242"/>
      <c r="Q166" s="242"/>
      <c r="R166" s="243"/>
      <c r="S166" s="242"/>
      <c r="T166" s="240"/>
    </row>
    <row r="167" spans="1:20" s="240" customFormat="1" ht="13.5" customHeight="1">
      <c r="A167" s="240" t="s">
        <v>349</v>
      </c>
      <c r="C167" s="244"/>
      <c r="D167" s="245">
        <f>SUM(D133:D166)</f>
        <v>107445536.59</v>
      </c>
      <c r="E167" s="245">
        <f>SUM(E133:E166)</f>
        <v>8849891.5999999996</v>
      </c>
      <c r="F167" s="245">
        <f>SUM(F133:F166)</f>
        <v>115487.59999999967</v>
      </c>
      <c r="G167" s="245"/>
      <c r="H167" s="245">
        <f>SUM(H133:H166)</f>
        <v>50974822.242586583</v>
      </c>
      <c r="I167" s="245">
        <f>SUM(I133:I166)</f>
        <v>46923257.49000001</v>
      </c>
      <c r="J167" s="245">
        <f>SUM(J133:J166)</f>
        <v>4051564.7525865901</v>
      </c>
      <c r="K167" s="245">
        <f>SUM(K133:K166)</f>
        <v>912266.22808157455</v>
      </c>
      <c r="L167" s="245"/>
      <c r="M167" s="245">
        <f>SUM(M133:M166)</f>
        <v>36268924.294505</v>
      </c>
      <c r="N167" s="245">
        <f>SUM(N133:N166)</f>
        <v>33129625.769999992</v>
      </c>
      <c r="O167" s="245">
        <f>SUM(O133:O166)</f>
        <v>3139298.5245050155</v>
      </c>
      <c r="P167" s="245">
        <f>SUM(P133:P166)</f>
        <v>884916.91260808124</v>
      </c>
      <c r="Q167" s="245"/>
      <c r="R167" s="261">
        <v>17814944.479999997</v>
      </c>
      <c r="S167" s="242"/>
      <c r="T167" s="475"/>
    </row>
    <row r="168" spans="1:20" s="240" customFormat="1" ht="15" customHeight="1">
      <c r="C168" s="244"/>
      <c r="D168" s="245"/>
      <c r="E168" s="245"/>
      <c r="F168" s="245"/>
      <c r="G168" s="245"/>
      <c r="H168" s="245"/>
      <c r="I168" s="245"/>
      <c r="J168" s="245"/>
      <c r="K168" s="245"/>
      <c r="L168" s="245"/>
      <c r="M168" s="245"/>
      <c r="N168" s="245"/>
      <c r="O168" s="245"/>
      <c r="P168" s="245"/>
      <c r="Q168" s="245"/>
      <c r="R168" s="261"/>
      <c r="S168" s="242"/>
    </row>
    <row r="169" spans="1:20" s="240" customFormat="1" ht="15" customHeight="1">
      <c r="A169" s="240" t="s">
        <v>350</v>
      </c>
      <c r="C169" s="244"/>
      <c r="D169" s="245"/>
      <c r="E169" s="245"/>
      <c r="F169" s="245"/>
      <c r="G169" s="245"/>
      <c r="H169" s="245"/>
      <c r="I169" s="245"/>
      <c r="J169" s="245"/>
      <c r="K169" s="245"/>
      <c r="L169" s="245"/>
      <c r="M169" s="245"/>
      <c r="N169" s="245"/>
      <c r="O169" s="245"/>
      <c r="P169" s="245"/>
      <c r="Q169" s="245"/>
      <c r="R169" s="261"/>
      <c r="S169" s="242"/>
    </row>
    <row r="170" spans="1:20" s="240" customFormat="1" ht="15" customHeight="1">
      <c r="A170" s="329">
        <f>Bonus!A157</f>
        <v>54.9099</v>
      </c>
      <c r="B170" s="235" t="str">
        <f>Bonus!B157</f>
        <v>Laguna County Sanitation Dist. - Phase 1 Plant Upgrade</v>
      </c>
      <c r="C170" s="241">
        <f>Bonus!G157</f>
        <v>1</v>
      </c>
      <c r="D170" s="242">
        <f>Bonus!C157</f>
        <v>55712110</v>
      </c>
      <c r="E170" s="243">
        <f>Bonus!E157</f>
        <v>10383217.32</v>
      </c>
      <c r="F170" s="242">
        <f t="shared" ref="F170" si="155">+E170-R170</f>
        <v>8217.320000000298</v>
      </c>
      <c r="G170" s="242"/>
      <c r="H170" s="242">
        <f>Bonus!I157</f>
        <v>55712110</v>
      </c>
      <c r="I170" s="242">
        <f>Bonus!F157</f>
        <v>45328892.68</v>
      </c>
      <c r="J170" s="242">
        <f>Bonus!H157</f>
        <v>10383217.32</v>
      </c>
      <c r="K170" s="242">
        <f>Bonus!P157</f>
        <v>10372751.581458578</v>
      </c>
      <c r="L170" s="242"/>
      <c r="M170" s="242">
        <f t="shared" ref="M170" si="156">+N170+O170</f>
        <v>276297.12854142301</v>
      </c>
      <c r="N170" s="242">
        <f>Bonus!Q157</f>
        <v>265831.3900000006</v>
      </c>
      <c r="O170" s="242">
        <f>Bonus!S157</f>
        <v>10465.738541422412</v>
      </c>
      <c r="P170" s="242">
        <f>O170-Bonus!Y157</f>
        <v>10465.738541422412</v>
      </c>
      <c r="Q170" s="245"/>
      <c r="R170" s="243">
        <v>10375000</v>
      </c>
      <c r="S170" s="242"/>
    </row>
    <row r="171" spans="1:20" s="240" customFormat="1" ht="15" customHeight="1">
      <c r="A171" s="329">
        <f>Bonus!A158</f>
        <v>54.917200000000001</v>
      </c>
      <c r="B171" s="235" t="str">
        <f>Bonus!B158</f>
        <v>Calif. Rail Bldrs LLC - SWSD Distribution System Conflict</v>
      </c>
      <c r="C171" s="241">
        <f>Bonus!G158</f>
        <v>1</v>
      </c>
      <c r="D171" s="242">
        <f>Bonus!C158</f>
        <v>24160002.440000001</v>
      </c>
      <c r="E171" s="243">
        <f>Bonus!E158</f>
        <v>3141570.2199999988</v>
      </c>
      <c r="F171" s="242">
        <f t="shared" ref="F171" si="157">+E171-R171</f>
        <v>0</v>
      </c>
      <c r="G171" s="242"/>
      <c r="H171" s="242">
        <f>Bonus!I158</f>
        <v>24160002.440000001</v>
      </c>
      <c r="I171" s="242">
        <f>Bonus!F158</f>
        <v>21018432.220000003</v>
      </c>
      <c r="J171" s="242">
        <f>Bonus!H158</f>
        <v>3141570.2199999988</v>
      </c>
      <c r="K171" s="242">
        <f>Bonus!P158</f>
        <v>3076351.4491544566</v>
      </c>
      <c r="L171" s="242"/>
      <c r="M171" s="242">
        <f t="shared" ref="M171" si="158">+N171+O171</f>
        <v>37421.740845544729</v>
      </c>
      <c r="N171" s="242">
        <f>Bonus!Q158</f>
        <v>-27797.029999997467</v>
      </c>
      <c r="O171" s="242">
        <f>Bonus!S158</f>
        <v>65218.770845542196</v>
      </c>
      <c r="P171" s="242">
        <f>O171-Bonus!Y158</f>
        <v>0</v>
      </c>
      <c r="Q171" s="245"/>
      <c r="R171" s="243">
        <v>3141570.2199999988</v>
      </c>
      <c r="S171" s="242"/>
    </row>
    <row r="172" spans="1:20" s="240" customFormat="1" ht="15" customHeight="1">
      <c r="A172" s="329">
        <f>Bonus!A159</f>
        <v>54.921599999999998</v>
      </c>
      <c r="B172" s="235" t="str">
        <f>Bonus!B159</f>
        <v>CA Dept. of Corr. - Water Treatment Improvements</v>
      </c>
      <c r="C172" s="241">
        <f>Bonus!G159</f>
        <v>1</v>
      </c>
      <c r="D172" s="242">
        <f>Bonus!C159</f>
        <v>2472164.0499999998</v>
      </c>
      <c r="E172" s="243">
        <f>Bonus!E159</f>
        <v>185899.61999999965</v>
      </c>
      <c r="F172" s="242">
        <f t="shared" ref="F172" si="159">+E172-R172</f>
        <v>-196.72999999998137</v>
      </c>
      <c r="G172" s="242"/>
      <c r="H172" s="242">
        <f>Bonus!I159</f>
        <v>2472164.0499999998</v>
      </c>
      <c r="I172" s="242">
        <f>Bonus!F159</f>
        <v>2286264.4300000002</v>
      </c>
      <c r="J172" s="242">
        <f>Bonus!H159</f>
        <v>185899.61999999965</v>
      </c>
      <c r="K172" s="242">
        <f>Bonus!P159</f>
        <v>140849.75354732186</v>
      </c>
      <c r="L172" s="242"/>
      <c r="M172" s="242">
        <f t="shared" ref="M172" si="160">+N172+O172</f>
        <v>277016.24645267788</v>
      </c>
      <c r="N172" s="242">
        <f>Bonus!Q159</f>
        <v>231966.38000000012</v>
      </c>
      <c r="O172" s="242">
        <f>Bonus!S159</f>
        <v>45049.866452677787</v>
      </c>
      <c r="P172" s="242">
        <f>O172-Bonus!Y159</f>
        <v>-196.72999999998137</v>
      </c>
      <c r="Q172" s="245"/>
      <c r="R172" s="243">
        <v>186096.34999999963</v>
      </c>
      <c r="S172" s="242"/>
    </row>
    <row r="173" spans="1:20" s="240" customFormat="1" ht="15" customHeight="1">
      <c r="A173" s="329">
        <f>Bonus!A160</f>
        <v>54.924599999999998</v>
      </c>
      <c r="B173" s="235" t="str">
        <f>Bonus!B160</f>
        <v>Kern County Water Agency - Well 38 &amp; 39 Well Equiping Project</v>
      </c>
      <c r="C173" s="241">
        <f>Bonus!G160</f>
        <v>1</v>
      </c>
      <c r="D173" s="242">
        <f>Bonus!C160</f>
        <v>1777852</v>
      </c>
      <c r="E173" s="243">
        <f>Bonus!E160</f>
        <v>69376.679999999935</v>
      </c>
      <c r="F173" s="242">
        <f t="shared" ref="F173" si="161">+E173-R173</f>
        <v>9376.6799999999348</v>
      </c>
      <c r="G173" s="242"/>
      <c r="H173" s="242">
        <f>Bonus!I160</f>
        <v>1777852</v>
      </c>
      <c r="I173" s="242">
        <f>Bonus!F160</f>
        <v>1708475.32</v>
      </c>
      <c r="J173" s="242">
        <f>Bonus!H160</f>
        <v>69376.679999999935</v>
      </c>
      <c r="K173" s="242">
        <f>Bonus!P160</f>
        <v>69196.454275845856</v>
      </c>
      <c r="L173" s="242"/>
      <c r="M173" s="242">
        <f t="shared" ref="M173" si="162">+N173+O173</f>
        <v>358127.99572415411</v>
      </c>
      <c r="N173" s="242">
        <f>Bonus!Q160</f>
        <v>357947.77</v>
      </c>
      <c r="O173" s="242">
        <f>Bonus!S160</f>
        <v>180.22572415407922</v>
      </c>
      <c r="P173" s="242">
        <f>O173-Bonus!Y160</f>
        <v>9376.6799999999348</v>
      </c>
      <c r="Q173" s="245"/>
      <c r="R173" s="243">
        <v>60000</v>
      </c>
      <c r="S173" s="242"/>
    </row>
    <row r="174" spans="1:20" s="240" customFormat="1" ht="15" customHeight="1">
      <c r="A174" s="329">
        <f>Bonus!A161</f>
        <v>54.926499999999997</v>
      </c>
      <c r="B174" s="235" t="str">
        <f>Bonus!B161</f>
        <v>Semitropic Water Storage Dist. - Amendment No. 22 JPP Valve Control Modification</v>
      </c>
      <c r="C174" s="241">
        <f>Bonus!G161</f>
        <v>1</v>
      </c>
      <c r="D174" s="242">
        <f>Bonus!C161</f>
        <v>223896.47</v>
      </c>
      <c r="E174" s="243">
        <f>Bonus!E161</f>
        <v>3141.9599999999919</v>
      </c>
      <c r="F174" s="242">
        <f t="shared" ref="F174" si="163">+E174-R174</f>
        <v>0</v>
      </c>
      <c r="G174" s="242"/>
      <c r="H174" s="242">
        <f>Bonus!I161</f>
        <v>223896.47</v>
      </c>
      <c r="I174" s="242">
        <f>Bonus!F161</f>
        <v>220754.51</v>
      </c>
      <c r="J174" s="242">
        <f>Bonus!H161</f>
        <v>3141.9599999999919</v>
      </c>
      <c r="K174" s="242">
        <f>Bonus!P161</f>
        <v>0</v>
      </c>
      <c r="L174" s="242"/>
      <c r="M174" s="242">
        <f t="shared" ref="M174" si="164">+N174+O174</f>
        <v>20651.959999999992</v>
      </c>
      <c r="N174" s="242">
        <f>Bonus!Q161</f>
        <v>17510</v>
      </c>
      <c r="O174" s="242">
        <f>Bonus!S161</f>
        <v>3141.9599999999919</v>
      </c>
      <c r="P174" s="242">
        <f>O174-Bonus!Y161</f>
        <v>0</v>
      </c>
      <c r="Q174" s="245"/>
      <c r="R174" s="243">
        <v>3141.9599999999919</v>
      </c>
      <c r="S174" s="242"/>
    </row>
    <row r="175" spans="1:20" s="240" customFormat="1" ht="15" customHeight="1">
      <c r="A175" s="329">
        <f>Bonus!A162</f>
        <v>54.927900000000001</v>
      </c>
      <c r="B175" s="235" t="str">
        <f>Bonus!B162</f>
        <v>City of Bakersfield Public Works - Sewer Lift Station Rehabilitation</v>
      </c>
      <c r="C175" s="241">
        <f>Bonus!G162</f>
        <v>1</v>
      </c>
      <c r="D175" s="242">
        <f>Bonus!C162</f>
        <v>3216240.01</v>
      </c>
      <c r="E175" s="243">
        <f>Bonus!E162</f>
        <v>63002.60999999987</v>
      </c>
      <c r="F175" s="242">
        <f t="shared" ref="F175:F176" si="165">+E175-R175</f>
        <v>0</v>
      </c>
      <c r="G175" s="242"/>
      <c r="H175" s="242">
        <f>Bonus!I162</f>
        <v>3216240.01</v>
      </c>
      <c r="I175" s="242">
        <f>Bonus!F162</f>
        <v>3153237.4</v>
      </c>
      <c r="J175" s="242">
        <f>Bonus!H162</f>
        <v>63002.60999999987</v>
      </c>
      <c r="K175" s="242">
        <f>Bonus!P162</f>
        <v>-15000</v>
      </c>
      <c r="L175" s="242"/>
      <c r="M175" s="242">
        <f t="shared" ref="M175:M176" si="166">+N175+O175</f>
        <v>477072.50999999978</v>
      </c>
      <c r="N175" s="242">
        <f>Bonus!Q162</f>
        <v>399069.89999999991</v>
      </c>
      <c r="O175" s="242">
        <f>Bonus!S162</f>
        <v>78002.60999999987</v>
      </c>
      <c r="P175" s="242">
        <f>O175-Bonus!Y162</f>
        <v>0</v>
      </c>
      <c r="Q175" s="245"/>
      <c r="R175" s="243">
        <v>63002.60999999987</v>
      </c>
      <c r="S175" s="242"/>
    </row>
    <row r="176" spans="1:20" s="240" customFormat="1" ht="15" customHeight="1">
      <c r="A176" s="329">
        <f>Bonus!A163</f>
        <v>54.928899999999999</v>
      </c>
      <c r="B176" s="235" t="str">
        <f>Bonus!B163</f>
        <v>Michael K. Nunley &amp; Assoc., Inc. - AMWC Sycamore &amp; NWT Budgeting</v>
      </c>
      <c r="C176" s="241">
        <f>Bonus!G163</f>
        <v>1</v>
      </c>
      <c r="D176" s="242">
        <f>Bonus!C163</f>
        <v>44560</v>
      </c>
      <c r="E176" s="243">
        <f>Bonus!E163</f>
        <v>19462.75</v>
      </c>
      <c r="F176" s="242">
        <f t="shared" si="165"/>
        <v>0</v>
      </c>
      <c r="G176" s="242"/>
      <c r="H176" s="242">
        <f>Bonus!I163</f>
        <v>44560</v>
      </c>
      <c r="I176" s="242">
        <f>Bonus!F163</f>
        <v>25097.25</v>
      </c>
      <c r="J176" s="242">
        <f>Bonus!H163</f>
        <v>19462.75</v>
      </c>
      <c r="K176" s="242">
        <f>Bonus!P163</f>
        <v>669.80999999999949</v>
      </c>
      <c r="L176" s="242"/>
      <c r="M176" s="242">
        <f t="shared" si="166"/>
        <v>30384</v>
      </c>
      <c r="N176" s="242">
        <f>Bonus!Q163</f>
        <v>11591.06</v>
      </c>
      <c r="O176" s="242">
        <f>Bonus!S163</f>
        <v>18792.940000000002</v>
      </c>
      <c r="P176" s="242">
        <f>O176-Bonus!Y163</f>
        <v>0</v>
      </c>
      <c r="Q176" s="245"/>
      <c r="R176" s="243">
        <v>19462.75</v>
      </c>
      <c r="S176" s="242"/>
    </row>
    <row r="177" spans="1:19" s="240" customFormat="1" ht="15" customHeight="1">
      <c r="A177" s="329">
        <f>Bonus!A164</f>
        <v>54.929200000000002</v>
      </c>
      <c r="B177" s="235" t="str">
        <f>Bonus!B164</f>
        <v>Michael K. Nunley &amp; Assoc., Inc. - Waterton WTP Budgeting</v>
      </c>
      <c r="C177" s="241">
        <f>Bonus!G164</f>
        <v>1.0000000000000002</v>
      </c>
      <c r="D177" s="242">
        <f>Bonus!C164</f>
        <v>4300</v>
      </c>
      <c r="E177" s="243">
        <f>Bonus!E164</f>
        <v>2986.55</v>
      </c>
      <c r="F177" s="242">
        <f t="shared" ref="F177:F207" si="167">+E177-R177</f>
        <v>0</v>
      </c>
      <c r="G177" s="242"/>
      <c r="H177" s="242">
        <f>Bonus!I164</f>
        <v>4300.0000000000009</v>
      </c>
      <c r="I177" s="242">
        <f>Bonus!F164</f>
        <v>1313.45</v>
      </c>
      <c r="J177" s="242">
        <f>Bonus!H164</f>
        <v>2986.5500000000006</v>
      </c>
      <c r="K177" s="242">
        <f>Bonus!P164</f>
        <v>2986.5500000000006</v>
      </c>
      <c r="L177" s="242"/>
      <c r="M177" s="242">
        <f t="shared" ref="M177:M207" si="168">+N177+O177</f>
        <v>0</v>
      </c>
      <c r="N177" s="242">
        <f>Bonus!Q164</f>
        <v>0</v>
      </c>
      <c r="O177" s="242">
        <f>Bonus!S164</f>
        <v>0</v>
      </c>
      <c r="P177" s="242">
        <f>O177-Bonus!Y164</f>
        <v>0</v>
      </c>
      <c r="Q177" s="245"/>
      <c r="R177" s="243">
        <v>2986.55</v>
      </c>
      <c r="S177" s="242"/>
    </row>
    <row r="178" spans="1:19" s="240" customFormat="1" ht="15" customHeight="1">
      <c r="A178" s="329">
        <f>Bonus!A165</f>
        <v>54.930900000000001</v>
      </c>
      <c r="B178" s="235" t="str">
        <f>Bonus!B165</f>
        <v>Teviston Community Services Dist. - Teviston Drought Resilience Water System Impr</v>
      </c>
      <c r="C178" s="241">
        <f>Bonus!G165</f>
        <v>1</v>
      </c>
      <c r="D178" s="242">
        <f>Bonus!C165</f>
        <v>3968668.9</v>
      </c>
      <c r="E178" s="243">
        <f>Bonus!E165</f>
        <v>177810.56000000006</v>
      </c>
      <c r="F178" s="242">
        <f t="shared" ref="F178" si="169">+E178-R178</f>
        <v>12810.560000000056</v>
      </c>
      <c r="G178" s="242"/>
      <c r="H178" s="242">
        <f>Bonus!I165</f>
        <v>3968668.9</v>
      </c>
      <c r="I178" s="242">
        <f>Bonus!F165</f>
        <v>3790858.34</v>
      </c>
      <c r="J178" s="242">
        <f>Bonus!H165</f>
        <v>177810.56000000006</v>
      </c>
      <c r="K178" s="242">
        <f>Bonus!P165</f>
        <v>62853.415841272123</v>
      </c>
      <c r="L178" s="242"/>
      <c r="M178" s="242">
        <f t="shared" ref="M178" si="170">+N178+O178</f>
        <v>1964416.3141587279</v>
      </c>
      <c r="N178" s="242">
        <f>Bonus!Q165</f>
        <v>1849459.17</v>
      </c>
      <c r="O178" s="242">
        <f>Bonus!S165</f>
        <v>114957.14415872793</v>
      </c>
      <c r="P178" s="242">
        <f>O178-Bonus!Y165</f>
        <v>18388.380785084679</v>
      </c>
      <c r="Q178" s="245"/>
      <c r="R178" s="243">
        <v>165000</v>
      </c>
      <c r="S178" s="242"/>
    </row>
    <row r="179" spans="1:19" s="240" customFormat="1" ht="15" customHeight="1">
      <c r="A179" s="329">
        <f>Bonus!A166</f>
        <v>54.932299999999998</v>
      </c>
      <c r="B179" s="235" t="str">
        <f>Bonus!B166</f>
        <v>Semitropic Water Storage Dist. - Buena Vista Water Storage District Turnout Valve Repair</v>
      </c>
      <c r="C179" s="241">
        <f>Bonus!G166</f>
        <v>1</v>
      </c>
      <c r="D179" s="242">
        <f>Bonus!C166</f>
        <v>110661.47</v>
      </c>
      <c r="E179" s="243">
        <f>Bonus!E166</f>
        <v>16178.259999999995</v>
      </c>
      <c r="F179" s="242">
        <f t="shared" ref="F179:F181" si="171">+E179-R179</f>
        <v>0</v>
      </c>
      <c r="G179" s="242"/>
      <c r="H179" s="242">
        <f>Bonus!I166</f>
        <v>110661.47</v>
      </c>
      <c r="I179" s="242">
        <f>Bonus!F166</f>
        <v>94483.21</v>
      </c>
      <c r="J179" s="242">
        <f>Bonus!H166</f>
        <v>16178.259999999995</v>
      </c>
      <c r="K179" s="242">
        <f>Bonus!P166</f>
        <v>0</v>
      </c>
      <c r="L179" s="242"/>
      <c r="M179" s="242">
        <f t="shared" ref="M179:M181" si="172">+N179+O179</f>
        <v>25596.839999999997</v>
      </c>
      <c r="N179" s="242">
        <f>Bonus!Q166</f>
        <v>9418.5800000000017</v>
      </c>
      <c r="O179" s="242">
        <f>Bonus!S166</f>
        <v>16178.259999999995</v>
      </c>
      <c r="P179" s="242">
        <f>O179-Bonus!Y166</f>
        <v>0</v>
      </c>
      <c r="Q179" s="245"/>
      <c r="R179" s="243">
        <v>16178.259999999995</v>
      </c>
      <c r="S179" s="242"/>
    </row>
    <row r="180" spans="1:19" s="240" customFormat="1" ht="15" customHeight="1">
      <c r="A180" s="329">
        <f>Bonus!A167</f>
        <v>54.932899999999997</v>
      </c>
      <c r="B180" s="235" t="str">
        <f>Bonus!B167</f>
        <v>Kern Water Bank Authority - Valve Replacement Parts</v>
      </c>
      <c r="C180" s="241">
        <f>Bonus!G167</f>
        <v>1</v>
      </c>
      <c r="D180" s="242">
        <f>Bonus!C167</f>
        <v>18201.12</v>
      </c>
      <c r="E180" s="243">
        <f>Bonus!E167</f>
        <v>1734.3999999999978</v>
      </c>
      <c r="F180" s="242">
        <f t="shared" ref="F180" si="173">+E180-R180</f>
        <v>0</v>
      </c>
      <c r="G180" s="242"/>
      <c r="H180" s="242">
        <f>Bonus!I167</f>
        <v>18201.12</v>
      </c>
      <c r="I180" s="242">
        <f>Bonus!F167</f>
        <v>16466.72</v>
      </c>
      <c r="J180" s="242">
        <f>Bonus!H167</f>
        <v>1734.3999999999978</v>
      </c>
      <c r="K180" s="242">
        <f>Bonus!P167</f>
        <v>0</v>
      </c>
      <c r="L180" s="242"/>
      <c r="M180" s="242">
        <f t="shared" ref="M180" si="174">+N180+O180</f>
        <v>18201.12</v>
      </c>
      <c r="N180" s="242">
        <f>Bonus!Q167</f>
        <v>16466.72</v>
      </c>
      <c r="O180" s="242">
        <f>Bonus!S167</f>
        <v>1734.3999999999978</v>
      </c>
      <c r="P180" s="242">
        <f>O180-Bonus!Y167</f>
        <v>0</v>
      </c>
      <c r="Q180" s="245"/>
      <c r="R180" s="243">
        <v>1734.3999999999978</v>
      </c>
      <c r="S180" s="242"/>
    </row>
    <row r="181" spans="1:19" s="240" customFormat="1" ht="15" customHeight="1">
      <c r="A181" s="329">
        <f>Bonus!A168</f>
        <v>54.933300000000003</v>
      </c>
      <c r="B181" s="235" t="str">
        <f>Bonus!B168</f>
        <v>Semitropic Water Storage Dist. - SWSD 2 Hydro Turbine Repair Project</v>
      </c>
      <c r="C181" s="241">
        <f>Bonus!G168</f>
        <v>1</v>
      </c>
      <c r="D181" s="242">
        <f>Bonus!C168</f>
        <v>427464.77</v>
      </c>
      <c r="E181" s="243">
        <f>Bonus!E168</f>
        <v>55549.510000000068</v>
      </c>
      <c r="F181" s="242">
        <f t="shared" si="171"/>
        <v>-3099.9699999999721</v>
      </c>
      <c r="G181" s="242"/>
      <c r="H181" s="242">
        <f>Bonus!I168</f>
        <v>427464.77</v>
      </c>
      <c r="I181" s="242">
        <f>Bonus!F168</f>
        <v>371915.25999999995</v>
      </c>
      <c r="J181" s="242">
        <f>Bonus!H168</f>
        <v>55549.510000000068</v>
      </c>
      <c r="K181" s="242">
        <f>Bonus!P168</f>
        <v>14888.679999999993</v>
      </c>
      <c r="L181" s="242"/>
      <c r="M181" s="242">
        <f t="shared" si="172"/>
        <v>260484.33000000002</v>
      </c>
      <c r="N181" s="242">
        <f>Bonus!Q168</f>
        <v>219823.49999999994</v>
      </c>
      <c r="O181" s="242">
        <f>Bonus!S168</f>
        <v>40660.830000000075</v>
      </c>
      <c r="P181" s="242">
        <f>O181-Bonus!Y168</f>
        <v>-3099.9699999999721</v>
      </c>
      <c r="Q181" s="245"/>
      <c r="R181" s="243">
        <v>58649.48000000004</v>
      </c>
      <c r="S181" s="242"/>
    </row>
    <row r="182" spans="1:19" s="240" customFormat="1" ht="15" customHeight="1">
      <c r="A182" s="329">
        <f>Bonus!A169</f>
        <v>54.933799999999998</v>
      </c>
      <c r="B182" s="235" t="str">
        <f>Bonus!B169</f>
        <v>Laguna County Sanitation Dist. - WWTP Storage Pond Slide Gates Replacement</v>
      </c>
      <c r="C182" s="241">
        <f>Bonus!G169</f>
        <v>1</v>
      </c>
      <c r="D182" s="242">
        <f>Bonus!C169</f>
        <v>175884.64</v>
      </c>
      <c r="E182" s="243">
        <f>Bonus!E169</f>
        <v>56698.530000000013</v>
      </c>
      <c r="F182" s="242">
        <f t="shared" si="167"/>
        <v>0</v>
      </c>
      <c r="G182" s="242"/>
      <c r="H182" s="242">
        <f>Bonus!I169</f>
        <v>175884.64</v>
      </c>
      <c r="I182" s="242">
        <f>Bonus!F169</f>
        <v>119186.11</v>
      </c>
      <c r="J182" s="242">
        <f>Bonus!H169</f>
        <v>56698.530000000013</v>
      </c>
      <c r="K182" s="242">
        <f>Bonus!P169</f>
        <v>54179.797702390708</v>
      </c>
      <c r="L182" s="242"/>
      <c r="M182" s="242">
        <f t="shared" si="168"/>
        <v>15890.712297609301</v>
      </c>
      <c r="N182" s="242">
        <f>Bonus!Q169</f>
        <v>13371.979999999996</v>
      </c>
      <c r="O182" s="242">
        <f>Bonus!S169</f>
        <v>2518.7322976093055</v>
      </c>
      <c r="P182" s="242">
        <f>O182-Bonus!Y169</f>
        <v>0</v>
      </c>
      <c r="Q182" s="245"/>
      <c r="R182" s="243">
        <v>56698.530000000013</v>
      </c>
      <c r="S182" s="242"/>
    </row>
    <row r="183" spans="1:19" s="240" customFormat="1" ht="15" customHeight="1">
      <c r="A183" s="329">
        <f>Bonus!A170</f>
        <v>54.934100000000001</v>
      </c>
      <c r="B183" s="235" t="str">
        <f>Bonus!B170</f>
        <v>Nipomo Community Service Dist. - Water Project Interconnection Improvements</v>
      </c>
      <c r="C183" s="241">
        <f>Bonus!G170</f>
        <v>1</v>
      </c>
      <c r="D183" s="242">
        <f>Bonus!C170</f>
        <v>1251279</v>
      </c>
      <c r="E183" s="243">
        <f>Bonus!E170</f>
        <v>187746.60000000009</v>
      </c>
      <c r="F183" s="242">
        <f t="shared" ref="F183" si="175">+E183-R183</f>
        <v>415.60000000009313</v>
      </c>
      <c r="G183" s="242"/>
      <c r="H183" s="242">
        <f>Bonus!I170</f>
        <v>1251279</v>
      </c>
      <c r="I183" s="242">
        <f>Bonus!F170</f>
        <v>1063532.3999999999</v>
      </c>
      <c r="J183" s="242">
        <f>Bonus!H170</f>
        <v>187746.60000000009</v>
      </c>
      <c r="K183" s="242">
        <f>Bonus!P170</f>
        <v>0</v>
      </c>
      <c r="L183" s="242"/>
      <c r="M183" s="242">
        <f t="shared" ref="M183" si="176">+N183+O183</f>
        <v>1053706.26</v>
      </c>
      <c r="N183" s="242">
        <f>Bonus!Q170</f>
        <v>865959.65999999992</v>
      </c>
      <c r="O183" s="242">
        <f>Bonus!S170</f>
        <v>187746.60000000009</v>
      </c>
      <c r="P183" s="242">
        <f>O183-Bonus!Y170</f>
        <v>5767.1771466042846</v>
      </c>
      <c r="Q183" s="245"/>
      <c r="R183" s="243">
        <v>187331</v>
      </c>
      <c r="S183" s="242"/>
    </row>
    <row r="184" spans="1:19" s="240" customFormat="1" ht="15" customHeight="1">
      <c r="A184" s="329">
        <f>Bonus!A171</f>
        <v>54.934199999999997</v>
      </c>
      <c r="B184" s="235" t="str">
        <f>Bonus!B171</f>
        <v>North of River Sanitary Dist. No. 1 - Sanitary Sewer Rehab Package 21 Remove and Replace</v>
      </c>
      <c r="C184" s="241">
        <f>Bonus!G171</f>
        <v>1</v>
      </c>
      <c r="D184" s="242">
        <f>Bonus!C171</f>
        <v>199161.5</v>
      </c>
      <c r="E184" s="243">
        <f>Bonus!E171</f>
        <v>75015.199999999997</v>
      </c>
      <c r="F184" s="242">
        <f t="shared" si="167"/>
        <v>0</v>
      </c>
      <c r="G184" s="242"/>
      <c r="H184" s="242">
        <f>Bonus!I171</f>
        <v>199161.5</v>
      </c>
      <c r="I184" s="242">
        <f>Bonus!F171</f>
        <v>124146.3</v>
      </c>
      <c r="J184" s="242">
        <f>Bonus!H171</f>
        <v>75015.199999999997</v>
      </c>
      <c r="K184" s="242">
        <f>Bonus!P171</f>
        <v>41394.11273245293</v>
      </c>
      <c r="L184" s="242"/>
      <c r="M184" s="242">
        <f t="shared" si="168"/>
        <v>38308.577267547073</v>
      </c>
      <c r="N184" s="242">
        <f>Bonus!Q171</f>
        <v>4687.4900000000052</v>
      </c>
      <c r="O184" s="242">
        <f>Bonus!S171</f>
        <v>33621.087267547067</v>
      </c>
      <c r="P184" s="242">
        <f>O184-Bonus!Y171</f>
        <v>0</v>
      </c>
      <c r="Q184" s="245"/>
      <c r="R184" s="243">
        <v>75015.199999999997</v>
      </c>
      <c r="S184" s="242"/>
    </row>
    <row r="185" spans="1:19" s="240" customFormat="1" ht="15" customHeight="1">
      <c r="A185" s="329">
        <f>Bonus!A172</f>
        <v>54.934699999999999</v>
      </c>
      <c r="B185" s="235" t="str">
        <f>Bonus!B172</f>
        <v>City of Guadalupe - Effluent Pump Station Flow Meter Installation</v>
      </c>
      <c r="C185" s="241">
        <f>Bonus!G172</f>
        <v>1</v>
      </c>
      <c r="D185" s="242">
        <f>Bonus!C172</f>
        <v>7100</v>
      </c>
      <c r="E185" s="243">
        <f>Bonus!E172</f>
        <v>3872.3</v>
      </c>
      <c r="F185" s="242">
        <f t="shared" ref="F185:F186" si="177">+E185-R185</f>
        <v>0</v>
      </c>
      <c r="G185" s="242"/>
      <c r="H185" s="242">
        <f>Bonus!I172</f>
        <v>7100</v>
      </c>
      <c r="I185" s="242">
        <f>Bonus!F172</f>
        <v>3227.7</v>
      </c>
      <c r="J185" s="242">
        <f>Bonus!H172</f>
        <v>3872.3</v>
      </c>
      <c r="K185" s="242">
        <f>Bonus!P172</f>
        <v>0</v>
      </c>
      <c r="L185" s="242"/>
      <c r="M185" s="242">
        <f t="shared" ref="M185:M186" si="178">+N185+O185</f>
        <v>7100</v>
      </c>
      <c r="N185" s="242">
        <f>Bonus!Q172</f>
        <v>3227.7</v>
      </c>
      <c r="O185" s="242">
        <f>Bonus!S172</f>
        <v>3872.3</v>
      </c>
      <c r="P185" s="242">
        <f>O185-Bonus!Y172</f>
        <v>0</v>
      </c>
      <c r="Q185" s="245"/>
      <c r="R185" s="243">
        <v>3872.3</v>
      </c>
      <c r="S185" s="242"/>
    </row>
    <row r="186" spans="1:19" s="240" customFormat="1" ht="15" customHeight="1">
      <c r="A186" s="329">
        <f>Bonus!A173</f>
        <v>54.934899999999999</v>
      </c>
      <c r="B186" s="235" t="str">
        <f>Bonus!B173</f>
        <v>North of River Sanitary Dist. No. 1 - Sanitary Sewer Rehabilitation Package A</v>
      </c>
      <c r="C186" s="241">
        <f>Bonus!G173</f>
        <v>1</v>
      </c>
      <c r="D186" s="242">
        <f>Bonus!C173</f>
        <v>290129</v>
      </c>
      <c r="E186" s="243">
        <f>Bonus!E173</f>
        <v>92239.69</v>
      </c>
      <c r="F186" s="242">
        <f t="shared" si="177"/>
        <v>0</v>
      </c>
      <c r="G186" s="242"/>
      <c r="H186" s="242">
        <f>Bonus!I173</f>
        <v>290129</v>
      </c>
      <c r="I186" s="242">
        <f>Bonus!F173</f>
        <v>197889.31</v>
      </c>
      <c r="J186" s="242">
        <f>Bonus!H173</f>
        <v>92239.69</v>
      </c>
      <c r="K186" s="242">
        <f>Bonus!P173</f>
        <v>4519.6836518046712</v>
      </c>
      <c r="L186" s="242"/>
      <c r="M186" s="242">
        <f t="shared" si="178"/>
        <v>179170.76634819532</v>
      </c>
      <c r="N186" s="242">
        <f>Bonus!Q173</f>
        <v>91450.76</v>
      </c>
      <c r="O186" s="242">
        <f>Bonus!S173</f>
        <v>87720.006348195326</v>
      </c>
      <c r="P186" s="242">
        <f>O186-Bonus!Y173</f>
        <v>0</v>
      </c>
      <c r="Q186" s="245"/>
      <c r="R186" s="243">
        <v>92239.69</v>
      </c>
      <c r="S186" s="242"/>
    </row>
    <row r="187" spans="1:19" s="240" customFormat="1" ht="15" customHeight="1">
      <c r="A187" s="329">
        <f>Bonus!A174</f>
        <v>54.935000000000002</v>
      </c>
      <c r="B187" s="235" t="str">
        <f>Bonus!B174</f>
        <v>Kern Water Bank Authority - Construct New Well 18P01</v>
      </c>
      <c r="C187" s="241">
        <f>Bonus!G174</f>
        <v>1</v>
      </c>
      <c r="D187" s="242">
        <f>Bonus!C174</f>
        <v>129965.06</v>
      </c>
      <c r="E187" s="243">
        <f>Bonus!E174</f>
        <v>9646.3800000000047</v>
      </c>
      <c r="F187" s="242">
        <f t="shared" ref="F187" si="179">+E187-R187</f>
        <v>0</v>
      </c>
      <c r="G187" s="242"/>
      <c r="H187" s="242">
        <f>Bonus!I174</f>
        <v>129965.06</v>
      </c>
      <c r="I187" s="242">
        <f>Bonus!F174</f>
        <v>120318.68</v>
      </c>
      <c r="J187" s="242">
        <f>Bonus!H174</f>
        <v>9646.3800000000047</v>
      </c>
      <c r="K187" s="242">
        <f>Bonus!P174</f>
        <v>0</v>
      </c>
      <c r="L187" s="242"/>
      <c r="M187" s="242">
        <f t="shared" ref="M187" si="180">+N187+O187</f>
        <v>119854.45999999999</v>
      </c>
      <c r="N187" s="242">
        <f>Bonus!Q174</f>
        <v>110208.07999999999</v>
      </c>
      <c r="O187" s="242">
        <f>Bonus!S174</f>
        <v>9646.3800000000047</v>
      </c>
      <c r="P187" s="242">
        <f>O187-Bonus!Y174</f>
        <v>0</v>
      </c>
      <c r="Q187" s="245"/>
      <c r="R187" s="243">
        <v>9646.3800000000047</v>
      </c>
      <c r="S187" s="242"/>
    </row>
    <row r="188" spans="1:19" s="240" customFormat="1" ht="15" customHeight="1">
      <c r="A188" s="329">
        <f>Bonus!A175</f>
        <v>54.935099999999998</v>
      </c>
      <c r="B188" s="235" t="str">
        <f>Bonus!B175</f>
        <v>Arvin Edison Water Storage Dist. - Forrest Frick Valve Replacement</v>
      </c>
      <c r="C188" s="241">
        <f>Bonus!G175</f>
        <v>1</v>
      </c>
      <c r="D188" s="242">
        <f>Bonus!C175</f>
        <v>153298.79</v>
      </c>
      <c r="E188" s="243">
        <f>Bonus!E175</f>
        <v>16490.49000000002</v>
      </c>
      <c r="F188" s="242">
        <f t="shared" ref="F188" si="181">+E188-R188</f>
        <v>0</v>
      </c>
      <c r="G188" s="242"/>
      <c r="H188" s="242">
        <f>Bonus!I175</f>
        <v>153298.79</v>
      </c>
      <c r="I188" s="242">
        <f>Bonus!F175</f>
        <v>136808.29999999999</v>
      </c>
      <c r="J188" s="242">
        <f>Bonus!H175</f>
        <v>16490.49000000002</v>
      </c>
      <c r="K188" s="242">
        <f>Bonus!P175</f>
        <v>11095.267103478103</v>
      </c>
      <c r="L188" s="242"/>
      <c r="M188" s="242">
        <f t="shared" ref="M188" si="182">+N188+O188</f>
        <v>5395.2228965219165</v>
      </c>
      <c r="N188" s="242">
        <f>Bonus!Q175</f>
        <v>0</v>
      </c>
      <c r="O188" s="242">
        <f>Bonus!S175</f>
        <v>5395.2228965219165</v>
      </c>
      <c r="P188" s="242">
        <f>O188-Bonus!Y175</f>
        <v>0</v>
      </c>
      <c r="Q188" s="245"/>
      <c r="R188" s="243">
        <v>16490.49000000002</v>
      </c>
      <c r="S188" s="242"/>
    </row>
    <row r="189" spans="1:19" s="240" customFormat="1" ht="15" customHeight="1">
      <c r="A189" s="329">
        <f>Bonus!A176</f>
        <v>54.935299999999998</v>
      </c>
      <c r="B189" s="235" t="str">
        <f>Bonus!B176</f>
        <v>Kern Water Bank Authority - Cut In Valve at Well 18R01</v>
      </c>
      <c r="C189" s="241">
        <f>Bonus!G176</f>
        <v>1</v>
      </c>
      <c r="D189" s="242">
        <f>Bonus!C176</f>
        <v>2008.42</v>
      </c>
      <c r="E189" s="243">
        <f>Bonus!E176</f>
        <v>890.92000000000007</v>
      </c>
      <c r="F189" s="242">
        <f t="shared" si="167"/>
        <v>0</v>
      </c>
      <c r="G189" s="242"/>
      <c r="H189" s="242">
        <f>Bonus!I176</f>
        <v>2008.42</v>
      </c>
      <c r="I189" s="242">
        <f>Bonus!F176</f>
        <v>1117.5</v>
      </c>
      <c r="J189" s="242">
        <f>Bonus!H176</f>
        <v>890.92000000000007</v>
      </c>
      <c r="K189" s="242">
        <f>Bonus!P176</f>
        <v>0</v>
      </c>
      <c r="L189" s="242"/>
      <c r="M189" s="242">
        <f t="shared" si="168"/>
        <v>890.92000000000007</v>
      </c>
      <c r="N189" s="242">
        <f>Bonus!Q176</f>
        <v>0</v>
      </c>
      <c r="O189" s="242">
        <f>Bonus!S176</f>
        <v>890.92000000000007</v>
      </c>
      <c r="P189" s="242">
        <f>O189-Bonus!Y176</f>
        <v>0</v>
      </c>
      <c r="Q189" s="245"/>
      <c r="R189" s="243">
        <v>890.92000000000007</v>
      </c>
      <c r="S189" s="242"/>
    </row>
    <row r="190" spans="1:19" s="240" customFormat="1" ht="15" customHeight="1">
      <c r="A190" s="329">
        <f>Bonus!A177</f>
        <v>54.935400000000001</v>
      </c>
      <c r="B190" s="235" t="str">
        <f>Bonus!B177</f>
        <v>California Water Service Co. - Northeast Plant Lift Station Pipe Repair</v>
      </c>
      <c r="C190" s="241">
        <f>Bonus!G177</f>
        <v>1</v>
      </c>
      <c r="D190" s="242">
        <f>Bonus!C177</f>
        <v>9571.2000000000007</v>
      </c>
      <c r="E190" s="243">
        <f>Bonus!E177</f>
        <v>1340.369999999999</v>
      </c>
      <c r="F190" s="242">
        <f t="shared" si="167"/>
        <v>0</v>
      </c>
      <c r="G190" s="242"/>
      <c r="H190" s="242">
        <f>Bonus!I177</f>
        <v>9571.2000000000007</v>
      </c>
      <c r="I190" s="242">
        <f>Bonus!F177</f>
        <v>8230.8300000000017</v>
      </c>
      <c r="J190" s="242">
        <f>Bonus!H177</f>
        <v>1340.369999999999</v>
      </c>
      <c r="K190" s="242">
        <f>Bonus!P177</f>
        <v>1923.4300000000003</v>
      </c>
      <c r="L190" s="242"/>
      <c r="M190" s="242">
        <f t="shared" si="168"/>
        <v>-4703.34</v>
      </c>
      <c r="N190" s="242">
        <f>Bonus!Q177</f>
        <v>-4120.2799999999988</v>
      </c>
      <c r="O190" s="242">
        <f>Bonus!S177</f>
        <v>-583.06000000000131</v>
      </c>
      <c r="P190" s="242">
        <f>O190-Bonus!Y177</f>
        <v>0</v>
      </c>
      <c r="Q190" s="245"/>
      <c r="R190" s="243">
        <v>1340.369999999999</v>
      </c>
      <c r="S190" s="242"/>
    </row>
    <row r="191" spans="1:19" s="240" customFormat="1" ht="15" customHeight="1">
      <c r="A191" s="329">
        <f>Bonus!A178</f>
        <v>54.935499999999998</v>
      </c>
      <c r="B191" s="235" t="str">
        <f>Bonus!B178</f>
        <v>Kern Water Bank Authority - Install Canal Valve at Well 17P01</v>
      </c>
      <c r="C191" s="241">
        <f>Bonus!G178</f>
        <v>1</v>
      </c>
      <c r="D191" s="242">
        <f>Bonus!C178</f>
        <v>2806.42</v>
      </c>
      <c r="E191" s="243">
        <f>Bonus!E178</f>
        <v>991.19</v>
      </c>
      <c r="F191" s="242">
        <f t="shared" si="167"/>
        <v>0</v>
      </c>
      <c r="G191" s="242"/>
      <c r="H191" s="242">
        <f>Bonus!I178</f>
        <v>2806.42</v>
      </c>
      <c r="I191" s="242">
        <f>Bonus!F178</f>
        <v>1815.23</v>
      </c>
      <c r="J191" s="242">
        <f>Bonus!H178</f>
        <v>991.19</v>
      </c>
      <c r="K191" s="242">
        <f>Bonus!P178</f>
        <v>0</v>
      </c>
      <c r="L191" s="242"/>
      <c r="M191" s="242">
        <f t="shared" si="168"/>
        <v>991.19</v>
      </c>
      <c r="N191" s="242">
        <f>Bonus!Q178</f>
        <v>0</v>
      </c>
      <c r="O191" s="242">
        <f>Bonus!S178</f>
        <v>991.19</v>
      </c>
      <c r="P191" s="242">
        <f>O191-Bonus!Y178</f>
        <v>0</v>
      </c>
      <c r="Q191" s="245"/>
      <c r="R191" s="243">
        <v>991.19</v>
      </c>
      <c r="S191" s="242"/>
    </row>
    <row r="192" spans="1:19" s="240" customFormat="1" ht="15" customHeight="1">
      <c r="A192" s="329">
        <f>Bonus!A179</f>
        <v>54.935699999999997</v>
      </c>
      <c r="B192" s="235" t="str">
        <f>Bonus!B179</f>
        <v>Kern Water Bank Authority - Install Canal Valve at Well 20A01</v>
      </c>
      <c r="C192" s="241">
        <f>Bonus!G179</f>
        <v>1</v>
      </c>
      <c r="D192" s="242">
        <f>Bonus!C179</f>
        <v>1760.42</v>
      </c>
      <c r="E192" s="243">
        <f>Bonus!E179</f>
        <v>870.7600000000001</v>
      </c>
      <c r="F192" s="242">
        <f t="shared" si="167"/>
        <v>0</v>
      </c>
      <c r="G192" s="242"/>
      <c r="H192" s="242">
        <f>Bonus!I179</f>
        <v>1760.42</v>
      </c>
      <c r="I192" s="242">
        <f>Bonus!F179</f>
        <v>889.66</v>
      </c>
      <c r="J192" s="242">
        <f>Bonus!H179</f>
        <v>870.7600000000001</v>
      </c>
      <c r="K192" s="242">
        <f>Bonus!P179</f>
        <v>0</v>
      </c>
      <c r="L192" s="242"/>
      <c r="M192" s="242">
        <f t="shared" si="168"/>
        <v>870.7600000000001</v>
      </c>
      <c r="N192" s="242">
        <f>Bonus!Q179</f>
        <v>0</v>
      </c>
      <c r="O192" s="242">
        <f>Bonus!S179</f>
        <v>870.7600000000001</v>
      </c>
      <c r="P192" s="242">
        <f>O192-Bonus!Y179</f>
        <v>0</v>
      </c>
      <c r="Q192" s="245"/>
      <c r="R192" s="243">
        <v>870.7600000000001</v>
      </c>
      <c r="S192" s="242"/>
    </row>
    <row r="193" spans="1:19" s="240" customFormat="1" ht="15" customHeight="1">
      <c r="A193" s="329">
        <f>Bonus!A180</f>
        <v>54.9358</v>
      </c>
      <c r="B193" s="235" t="str">
        <f>Bonus!B180</f>
        <v>Arvin Edison Water Storage Dist. - Frick Unit - Phase I Turnout</v>
      </c>
      <c r="C193" s="241">
        <f>Bonus!G180</f>
        <v>1</v>
      </c>
      <c r="D193" s="242">
        <f>Bonus!C180</f>
        <v>1147640</v>
      </c>
      <c r="E193" s="243">
        <f>Bonus!E180</f>
        <v>22240.169999999925</v>
      </c>
      <c r="F193" s="242">
        <f t="shared" ref="F193" si="183">+E193-R193</f>
        <v>0</v>
      </c>
      <c r="G193" s="242"/>
      <c r="H193" s="242">
        <f>Bonus!I180</f>
        <v>1147640</v>
      </c>
      <c r="I193" s="242">
        <f>Bonus!F180</f>
        <v>1125399.83</v>
      </c>
      <c r="J193" s="242">
        <f>Bonus!H180</f>
        <v>22240.169999999925</v>
      </c>
      <c r="K193" s="242">
        <f>Bonus!P180</f>
        <v>15917.550693127087</v>
      </c>
      <c r="L193" s="242"/>
      <c r="M193" s="242">
        <f t="shared" ref="M193" si="184">+N193+O193</f>
        <v>811430.29930687288</v>
      </c>
      <c r="N193" s="242">
        <f>Bonus!Q180</f>
        <v>805107.68</v>
      </c>
      <c r="O193" s="242">
        <f>Bonus!S180</f>
        <v>6322.6193068728389</v>
      </c>
      <c r="P193" s="242">
        <f>O193-Bonus!Y180</f>
        <v>0</v>
      </c>
      <c r="Q193" s="245"/>
      <c r="R193" s="243">
        <v>22240.169999999925</v>
      </c>
      <c r="S193" s="242"/>
    </row>
    <row r="194" spans="1:19" s="240" customFormat="1" ht="15" customHeight="1">
      <c r="A194" s="329">
        <f>Bonus!A181</f>
        <v>54.936</v>
      </c>
      <c r="B194" s="235" t="str">
        <f>Bonus!B181</f>
        <v>Kern Water Bank Authority - Install Canal Valve at Well 20C01</v>
      </c>
      <c r="C194" s="241">
        <f>Bonus!G181</f>
        <v>1</v>
      </c>
      <c r="D194" s="242">
        <f>Bonus!C181</f>
        <v>1855.92</v>
      </c>
      <c r="E194" s="243">
        <f>Bonus!E181</f>
        <v>711.04</v>
      </c>
      <c r="F194" s="242">
        <f t="shared" si="167"/>
        <v>0</v>
      </c>
      <c r="G194" s="242"/>
      <c r="H194" s="242">
        <f>Bonus!I181</f>
        <v>1855.92</v>
      </c>
      <c r="I194" s="242">
        <f>Bonus!F181</f>
        <v>1144.8800000000001</v>
      </c>
      <c r="J194" s="242">
        <f>Bonus!H181</f>
        <v>711.04</v>
      </c>
      <c r="K194" s="242">
        <f>Bonus!P181</f>
        <v>0</v>
      </c>
      <c r="L194" s="242"/>
      <c r="M194" s="242">
        <f t="shared" si="168"/>
        <v>711.04</v>
      </c>
      <c r="N194" s="242">
        <f>Bonus!Q181</f>
        <v>0</v>
      </c>
      <c r="O194" s="242">
        <f>Bonus!S181</f>
        <v>711.04</v>
      </c>
      <c r="P194" s="242">
        <f>O194-Bonus!Y181</f>
        <v>0</v>
      </c>
      <c r="Q194" s="245"/>
      <c r="R194" s="243">
        <v>711.04</v>
      </c>
      <c r="S194" s="242"/>
    </row>
    <row r="195" spans="1:19" s="240" customFormat="1" ht="15" customHeight="1">
      <c r="A195" s="329">
        <f>Bonus!A182</f>
        <v>54.936100000000003</v>
      </c>
      <c r="B195" s="235" t="str">
        <f>Bonus!B182</f>
        <v>Semitropic Water Storage Dist. - Pond Poso Pumping Plant Pipe Repair</v>
      </c>
      <c r="C195" s="241">
        <f>Bonus!G182</f>
        <v>1</v>
      </c>
      <c r="D195" s="242">
        <f>Bonus!C182</f>
        <v>108668.35</v>
      </c>
      <c r="E195" s="243">
        <f>Bonus!E182</f>
        <v>1593.4799999999959</v>
      </c>
      <c r="F195" s="242">
        <f t="shared" ref="F195" si="185">+E195-R195</f>
        <v>0</v>
      </c>
      <c r="G195" s="242"/>
      <c r="H195" s="242">
        <f>Bonus!I182</f>
        <v>108668.35</v>
      </c>
      <c r="I195" s="242">
        <f>Bonus!F182</f>
        <v>107074.87000000001</v>
      </c>
      <c r="J195" s="242">
        <f>Bonus!H182</f>
        <v>1593.4799999999959</v>
      </c>
      <c r="K195" s="242">
        <f>Bonus!P182</f>
        <v>0</v>
      </c>
      <c r="L195" s="242"/>
      <c r="M195" s="242">
        <f t="shared" ref="M195" si="186">+N195+O195</f>
        <v>108668.35</v>
      </c>
      <c r="N195" s="242">
        <f>Bonus!Q182</f>
        <v>107074.87000000001</v>
      </c>
      <c r="O195" s="242">
        <f>Bonus!S182</f>
        <v>1593.4799999999959</v>
      </c>
      <c r="P195" s="242">
        <f>O195-Bonus!Y182</f>
        <v>0</v>
      </c>
      <c r="Q195" s="245"/>
      <c r="R195" s="243">
        <v>1593.4799999999959</v>
      </c>
      <c r="S195" s="242"/>
    </row>
    <row r="196" spans="1:19" s="240" customFormat="1" ht="15" customHeight="1">
      <c r="A196" s="329">
        <f>Bonus!A183</f>
        <v>54.936199999999999</v>
      </c>
      <c r="B196" s="235" t="str">
        <f>Bonus!B183</f>
        <v>Cawelo Water Dist. - Remove and Replace 24” and 18” Well Line</v>
      </c>
      <c r="C196" s="241">
        <f>Bonus!G183</f>
        <v>1</v>
      </c>
      <c r="D196" s="242">
        <f>Bonus!C183</f>
        <v>425035.04</v>
      </c>
      <c r="E196" s="243">
        <f>Bonus!E183</f>
        <v>49433.799999999988</v>
      </c>
      <c r="F196" s="242">
        <f t="shared" si="167"/>
        <v>0</v>
      </c>
      <c r="G196" s="242"/>
      <c r="H196" s="242">
        <f>Bonus!I183</f>
        <v>425035.04</v>
      </c>
      <c r="I196" s="242">
        <f>Bonus!F183</f>
        <v>375601.24</v>
      </c>
      <c r="J196" s="242">
        <f>Bonus!H183</f>
        <v>49433.799999999988</v>
      </c>
      <c r="K196" s="242">
        <f>Bonus!P183</f>
        <v>18050.992222222223</v>
      </c>
      <c r="L196" s="242"/>
      <c r="M196" s="242">
        <f t="shared" si="168"/>
        <v>244525.11777777778</v>
      </c>
      <c r="N196" s="242">
        <f>Bonus!Q183</f>
        <v>213142.31</v>
      </c>
      <c r="O196" s="242">
        <f>Bonus!S183</f>
        <v>31382.807777777765</v>
      </c>
      <c r="P196" s="242">
        <f>O196-Bonus!Y183</f>
        <v>0</v>
      </c>
      <c r="Q196" s="245"/>
      <c r="R196" s="243">
        <v>49433.799999999988</v>
      </c>
      <c r="S196" s="242"/>
    </row>
    <row r="197" spans="1:19" s="240" customFormat="1" ht="15" customHeight="1">
      <c r="A197" s="329">
        <f>Bonus!A184</f>
        <v>54.936300000000003</v>
      </c>
      <c r="B197" s="235" t="str">
        <f>Bonus!B184</f>
        <v>Kern Water Bank Authority - Install Canal Valve at Well 21A02</v>
      </c>
      <c r="C197" s="241">
        <f>Bonus!G184</f>
        <v>1</v>
      </c>
      <c r="D197" s="242">
        <f>Bonus!C184</f>
        <v>1855.92</v>
      </c>
      <c r="E197" s="243">
        <f>Bonus!E184</f>
        <v>1078.3700000000001</v>
      </c>
      <c r="F197" s="242">
        <f t="shared" si="167"/>
        <v>0</v>
      </c>
      <c r="G197" s="242"/>
      <c r="H197" s="242">
        <f>Bonus!I184</f>
        <v>1855.92</v>
      </c>
      <c r="I197" s="242">
        <f>Bonus!F184</f>
        <v>777.55</v>
      </c>
      <c r="J197" s="242">
        <f>Bonus!H184</f>
        <v>1078.3700000000001</v>
      </c>
      <c r="K197" s="242">
        <f>Bonus!P184</f>
        <v>0</v>
      </c>
      <c r="L197" s="242"/>
      <c r="M197" s="242">
        <f t="shared" si="168"/>
        <v>1078.3700000000001</v>
      </c>
      <c r="N197" s="242">
        <f>Bonus!Q184</f>
        <v>0</v>
      </c>
      <c r="O197" s="242">
        <f>Bonus!S184</f>
        <v>1078.3700000000001</v>
      </c>
      <c r="P197" s="242">
        <f>O197-Bonus!Y184</f>
        <v>0</v>
      </c>
      <c r="Q197" s="245"/>
      <c r="R197" s="243">
        <v>1078.3700000000001</v>
      </c>
      <c r="S197" s="242"/>
    </row>
    <row r="198" spans="1:19" s="240" customFormat="1" ht="15" customHeight="1">
      <c r="A198" s="329">
        <f>Bonus!A185</f>
        <v>54.936500000000002</v>
      </c>
      <c r="B198" s="235" t="str">
        <f>Bonus!B185</f>
        <v>Kern Water Bank Authority - Install Canal Valve at Well 16J01</v>
      </c>
      <c r="C198" s="241">
        <f>Bonus!G185</f>
        <v>1</v>
      </c>
      <c r="D198" s="242">
        <f>Bonus!C185</f>
        <v>2216.42</v>
      </c>
      <c r="E198" s="243">
        <f>Bonus!E185</f>
        <v>953.09000000000015</v>
      </c>
      <c r="F198" s="242">
        <f t="shared" si="167"/>
        <v>0</v>
      </c>
      <c r="G198" s="242"/>
      <c r="H198" s="242">
        <f>Bonus!I185</f>
        <v>2216.42</v>
      </c>
      <c r="I198" s="242">
        <f>Bonus!F185</f>
        <v>1263.33</v>
      </c>
      <c r="J198" s="242">
        <f>Bonus!H185</f>
        <v>953.09000000000015</v>
      </c>
      <c r="K198" s="242">
        <f>Bonus!P185</f>
        <v>0</v>
      </c>
      <c r="L198" s="242"/>
      <c r="M198" s="242">
        <f t="shared" si="168"/>
        <v>953.09000000000015</v>
      </c>
      <c r="N198" s="242">
        <f>Bonus!Q185</f>
        <v>0</v>
      </c>
      <c r="O198" s="242">
        <f>Bonus!S185</f>
        <v>953.09000000000015</v>
      </c>
      <c r="P198" s="242">
        <f>O198-Bonus!Y185</f>
        <v>0</v>
      </c>
      <c r="Q198" s="245"/>
      <c r="R198" s="243">
        <v>953.09000000000015</v>
      </c>
      <c r="S198" s="242"/>
    </row>
    <row r="199" spans="1:19" s="240" customFormat="1" ht="15" customHeight="1">
      <c r="A199" s="329">
        <f>Bonus!A186</f>
        <v>54.936700000000002</v>
      </c>
      <c r="B199" s="235" t="str">
        <f>Bonus!B186</f>
        <v>Kern Water Bank Authority - Install Canal Valve at Well 15N01</v>
      </c>
      <c r="C199" s="241">
        <f>Bonus!G186</f>
        <v>1</v>
      </c>
      <c r="D199" s="242">
        <f>Bonus!C186</f>
        <v>2540.42</v>
      </c>
      <c r="E199" s="243">
        <f>Bonus!E186</f>
        <v>938.09000000000015</v>
      </c>
      <c r="F199" s="242">
        <f t="shared" si="167"/>
        <v>0</v>
      </c>
      <c r="G199" s="242"/>
      <c r="H199" s="242">
        <f>Bonus!I186</f>
        <v>2540.42</v>
      </c>
      <c r="I199" s="242">
        <f>Bonus!F186</f>
        <v>1602.33</v>
      </c>
      <c r="J199" s="242">
        <f>Bonus!H186</f>
        <v>938.09000000000015</v>
      </c>
      <c r="K199" s="242">
        <f>Bonus!P186</f>
        <v>0</v>
      </c>
      <c r="L199" s="242"/>
      <c r="M199" s="242">
        <f t="shared" si="168"/>
        <v>938.09000000000015</v>
      </c>
      <c r="N199" s="242">
        <f>Bonus!Q186</f>
        <v>0</v>
      </c>
      <c r="O199" s="242">
        <f>Bonus!S186</f>
        <v>938.09000000000015</v>
      </c>
      <c r="P199" s="242">
        <f>O199-Bonus!Y186</f>
        <v>0</v>
      </c>
      <c r="Q199" s="245"/>
      <c r="R199" s="243">
        <v>938.09000000000015</v>
      </c>
      <c r="S199" s="242"/>
    </row>
    <row r="200" spans="1:19" s="240" customFormat="1" ht="15" customHeight="1">
      <c r="A200" s="329">
        <f>Bonus!A187</f>
        <v>54.936799999999998</v>
      </c>
      <c r="B200" s="235" t="str">
        <f>Bonus!B187</f>
        <v>North of River Sanitary Dist. No. 1 - Wilson Ave Sewer Repair</v>
      </c>
      <c r="C200" s="241">
        <f>Bonus!G187</f>
        <v>1</v>
      </c>
      <c r="D200" s="242">
        <f>Bonus!C187</f>
        <v>15697.91</v>
      </c>
      <c r="E200" s="243">
        <f>Bonus!E187</f>
        <v>2044.2899999999991</v>
      </c>
      <c r="F200" s="242">
        <f t="shared" si="167"/>
        <v>0</v>
      </c>
      <c r="G200" s="242"/>
      <c r="H200" s="242">
        <f>Bonus!I187</f>
        <v>15697.91</v>
      </c>
      <c r="I200" s="242">
        <f>Bonus!F187</f>
        <v>13653.62</v>
      </c>
      <c r="J200" s="242">
        <f>Bonus!H187</f>
        <v>2044.2899999999991</v>
      </c>
      <c r="K200" s="242">
        <f>Bonus!P187</f>
        <v>2044.2899999999991</v>
      </c>
      <c r="L200" s="242"/>
      <c r="M200" s="242">
        <f t="shared" si="168"/>
        <v>0</v>
      </c>
      <c r="N200" s="242">
        <f>Bonus!Q187</f>
        <v>0</v>
      </c>
      <c r="O200" s="242">
        <f>Bonus!S187</f>
        <v>0</v>
      </c>
      <c r="P200" s="242">
        <f>O200-Bonus!Y187</f>
        <v>0</v>
      </c>
      <c r="Q200" s="245"/>
      <c r="R200" s="243">
        <v>2044.2899999999991</v>
      </c>
      <c r="S200" s="242"/>
    </row>
    <row r="201" spans="1:19" s="240" customFormat="1" ht="15" customHeight="1">
      <c r="A201" s="329">
        <f>Bonus!A188</f>
        <v>54.936999999999998</v>
      </c>
      <c r="B201" s="235" t="str">
        <f>Bonus!B188</f>
        <v>Kern Water Bank Authority - Install Canal Valve at Well 20L01</v>
      </c>
      <c r="C201" s="241">
        <f>Bonus!G188</f>
        <v>1</v>
      </c>
      <c r="D201" s="242">
        <f>Bonus!C188</f>
        <v>1760.42</v>
      </c>
      <c r="E201" s="243">
        <f>Bonus!E188</f>
        <v>870.78000000000009</v>
      </c>
      <c r="F201" s="242">
        <f t="shared" si="167"/>
        <v>0</v>
      </c>
      <c r="G201" s="242"/>
      <c r="H201" s="242">
        <f>Bonus!I188</f>
        <v>1760.42</v>
      </c>
      <c r="I201" s="242">
        <f>Bonus!F188</f>
        <v>889.64</v>
      </c>
      <c r="J201" s="242">
        <f>Bonus!H188</f>
        <v>870.78000000000009</v>
      </c>
      <c r="K201" s="242">
        <f>Bonus!P188</f>
        <v>0</v>
      </c>
      <c r="L201" s="242"/>
      <c r="M201" s="242">
        <f t="shared" si="168"/>
        <v>870.78000000000009</v>
      </c>
      <c r="N201" s="242">
        <f>Bonus!Q188</f>
        <v>0</v>
      </c>
      <c r="O201" s="242">
        <f>Bonus!S188</f>
        <v>870.78000000000009</v>
      </c>
      <c r="P201" s="242">
        <f>O201-Bonus!Y188</f>
        <v>0</v>
      </c>
      <c r="Q201" s="245"/>
      <c r="R201" s="243">
        <v>870.78000000000009</v>
      </c>
      <c r="S201" s="242"/>
    </row>
    <row r="202" spans="1:19" s="240" customFormat="1" ht="15" customHeight="1">
      <c r="A202" s="329">
        <f>Bonus!A189</f>
        <v>54.937100000000001</v>
      </c>
      <c r="B202" s="235" t="str">
        <f>Bonus!B189</f>
        <v>Bakersfield Overhead 2025</v>
      </c>
      <c r="C202" s="241">
        <f>Bonus!G189</f>
        <v>1</v>
      </c>
      <c r="D202" s="242">
        <f>Bonus!C189</f>
        <v>0</v>
      </c>
      <c r="E202" s="243">
        <f>Bonus!E189</f>
        <v>-1267652.77</v>
      </c>
      <c r="F202" s="242">
        <f t="shared" ref="F202:F203" si="187">+E202-R202</f>
        <v>-70266.130000000121</v>
      </c>
      <c r="G202" s="242"/>
      <c r="H202" s="242">
        <f>Bonus!I189</f>
        <v>0</v>
      </c>
      <c r="I202" s="242">
        <f>Bonus!F189</f>
        <v>1267652.77</v>
      </c>
      <c r="J202" s="242">
        <f>Bonus!H189</f>
        <v>-1267652.77</v>
      </c>
      <c r="K202" s="242">
        <f>Bonus!P189</f>
        <v>0</v>
      </c>
      <c r="L202" s="242"/>
      <c r="M202" s="242">
        <f t="shared" ref="M202:M203" si="188">+N202+O202</f>
        <v>0</v>
      </c>
      <c r="N202" s="242">
        <f>Bonus!Q189</f>
        <v>1267652.77</v>
      </c>
      <c r="O202" s="242">
        <f>Bonus!S189</f>
        <v>-1267652.77</v>
      </c>
      <c r="P202" s="242">
        <f>O202-Bonus!Y189</f>
        <v>-70266.130000000121</v>
      </c>
      <c r="Q202" s="245"/>
      <c r="R202" s="243">
        <v>-1197386.6399999999</v>
      </c>
      <c r="S202" s="242"/>
    </row>
    <row r="203" spans="1:19" s="240" customFormat="1" ht="15" customHeight="1">
      <c r="A203" s="329">
        <f>Bonus!A190</f>
        <v>54.937199999999997</v>
      </c>
      <c r="B203" s="235" t="str">
        <f>Bonus!B190</f>
        <v>Bakersfield Estimating 2025</v>
      </c>
      <c r="C203" s="241">
        <f>Bonus!G190</f>
        <v>1</v>
      </c>
      <c r="D203" s="242">
        <f>Bonus!C190</f>
        <v>0</v>
      </c>
      <c r="E203" s="243">
        <f>Bonus!E190</f>
        <v>-588792.6</v>
      </c>
      <c r="F203" s="242">
        <f t="shared" si="187"/>
        <v>-39388.719999999972</v>
      </c>
      <c r="G203" s="242"/>
      <c r="H203" s="242">
        <f>Bonus!I190</f>
        <v>0</v>
      </c>
      <c r="I203" s="242">
        <f>Bonus!F190</f>
        <v>588792.6</v>
      </c>
      <c r="J203" s="242">
        <f>Bonus!H190</f>
        <v>-588792.6</v>
      </c>
      <c r="K203" s="242">
        <f>Bonus!P190</f>
        <v>0</v>
      </c>
      <c r="L203" s="242"/>
      <c r="M203" s="242">
        <f t="shared" si="188"/>
        <v>0</v>
      </c>
      <c r="N203" s="242">
        <f>Bonus!Q190</f>
        <v>588792.6</v>
      </c>
      <c r="O203" s="242">
        <f>Bonus!S190</f>
        <v>-588792.6</v>
      </c>
      <c r="P203" s="242">
        <f>O203-Bonus!Y190</f>
        <v>-39388.719999999972</v>
      </c>
      <c r="Q203" s="245"/>
      <c r="R203" s="243">
        <v>-549403.88</v>
      </c>
      <c r="S203" s="242"/>
    </row>
    <row r="204" spans="1:19" s="240" customFormat="1" ht="15" customHeight="1">
      <c r="A204" s="329">
        <f>Bonus!A191</f>
        <v>54.937399999999997</v>
      </c>
      <c r="B204" s="235" t="str">
        <f>Bonus!B191</f>
        <v>City of Santa Maria - WWTP Trickling Filter Repairs</v>
      </c>
      <c r="C204" s="241">
        <f>Bonus!G191</f>
        <v>1</v>
      </c>
      <c r="D204" s="242">
        <f>Bonus!C191</f>
        <v>32962</v>
      </c>
      <c r="E204" s="243">
        <f>Bonus!E191</f>
        <v>12975.55</v>
      </c>
      <c r="F204" s="242">
        <f t="shared" ref="F204" si="189">+E204-R204</f>
        <v>0</v>
      </c>
      <c r="G204" s="242"/>
      <c r="H204" s="242">
        <f>Bonus!I191</f>
        <v>32962</v>
      </c>
      <c r="I204" s="242">
        <f>Bonus!F191</f>
        <v>19986.45</v>
      </c>
      <c r="J204" s="242">
        <f>Bonus!H191</f>
        <v>12975.55</v>
      </c>
      <c r="K204" s="242">
        <f>Bonus!P191</f>
        <v>0</v>
      </c>
      <c r="L204" s="242"/>
      <c r="M204" s="242">
        <f t="shared" ref="M204" si="190">+N204+O204</f>
        <v>32962</v>
      </c>
      <c r="N204" s="242">
        <f>Bonus!Q191</f>
        <v>19986.45</v>
      </c>
      <c r="O204" s="242">
        <f>Bonus!S191</f>
        <v>12975.55</v>
      </c>
      <c r="P204" s="242">
        <f>O204-Bonus!Y191</f>
        <v>0</v>
      </c>
      <c r="Q204" s="245"/>
      <c r="R204" s="243">
        <v>12975.55</v>
      </c>
      <c r="S204" s="242"/>
    </row>
    <row r="205" spans="1:19" s="240" customFormat="1" ht="15" customHeight="1">
      <c r="A205" s="329">
        <f>Bonus!A192</f>
        <v>54.9375</v>
      </c>
      <c r="B205" s="235" t="str">
        <f>Bonus!B192</f>
        <v>City of Santa Maria - WWTP Clarifier Repairs</v>
      </c>
      <c r="C205" s="241">
        <f>Bonus!G192</f>
        <v>1</v>
      </c>
      <c r="D205" s="242">
        <f>Bonus!C192</f>
        <v>8232.73</v>
      </c>
      <c r="E205" s="243">
        <f>Bonus!E192</f>
        <v>3687.25</v>
      </c>
      <c r="F205" s="242">
        <f t="shared" si="167"/>
        <v>0</v>
      </c>
      <c r="G205" s="242"/>
      <c r="H205" s="242">
        <f>Bonus!I192</f>
        <v>8232.73</v>
      </c>
      <c r="I205" s="242">
        <f>Bonus!F192</f>
        <v>4545.4799999999996</v>
      </c>
      <c r="J205" s="242">
        <f>Bonus!H192</f>
        <v>3687.25</v>
      </c>
      <c r="K205" s="242">
        <f>Bonus!P192</f>
        <v>0</v>
      </c>
      <c r="L205" s="242"/>
      <c r="M205" s="242">
        <f t="shared" si="168"/>
        <v>8232.73</v>
      </c>
      <c r="N205" s="242">
        <f>Bonus!Q192</f>
        <v>4545.4799999999996</v>
      </c>
      <c r="O205" s="242">
        <f>Bonus!S192</f>
        <v>3687.25</v>
      </c>
      <c r="P205" s="242">
        <f>O205-Bonus!Y192</f>
        <v>0</v>
      </c>
      <c r="Q205" s="245"/>
      <c r="R205" s="243">
        <v>3687.25</v>
      </c>
      <c r="S205" s="242"/>
    </row>
    <row r="206" spans="1:19" s="240" customFormat="1" ht="15" customHeight="1">
      <c r="A206" s="329">
        <f>Bonus!A193</f>
        <v>54.937899999999999</v>
      </c>
      <c r="B206" s="235" t="str">
        <f>Bonus!B193</f>
        <v>Semitropic Water Storage Dist. - Delta System Pipe Repair</v>
      </c>
      <c r="C206" s="241">
        <f>Bonus!G193</f>
        <v>1</v>
      </c>
      <c r="D206" s="242">
        <f>Bonus!C193</f>
        <v>41679.769999999997</v>
      </c>
      <c r="E206" s="243">
        <f>Bonus!E193</f>
        <v>5567.82</v>
      </c>
      <c r="F206" s="242">
        <f t="shared" si="167"/>
        <v>0</v>
      </c>
      <c r="G206" s="242"/>
      <c r="H206" s="242">
        <f>Bonus!I193</f>
        <v>41679.769999999997</v>
      </c>
      <c r="I206" s="242">
        <f>Bonus!F193</f>
        <v>36111.949999999997</v>
      </c>
      <c r="J206" s="242">
        <f>Bonus!H193</f>
        <v>5567.82</v>
      </c>
      <c r="K206" s="242">
        <f>Bonus!P193</f>
        <v>0</v>
      </c>
      <c r="L206" s="242"/>
      <c r="M206" s="242">
        <f t="shared" si="168"/>
        <v>41679.769999999997</v>
      </c>
      <c r="N206" s="242">
        <f>Bonus!Q193</f>
        <v>36111.949999999997</v>
      </c>
      <c r="O206" s="242">
        <f>Bonus!S193</f>
        <v>5567.82</v>
      </c>
      <c r="P206" s="242">
        <f>O206-Bonus!Y193</f>
        <v>0</v>
      </c>
      <c r="Q206" s="245"/>
      <c r="R206" s="243">
        <v>5567.82</v>
      </c>
      <c r="S206" s="242"/>
    </row>
    <row r="207" spans="1:19" s="240" customFormat="1" ht="15" customHeight="1">
      <c r="A207" s="329">
        <f>Bonus!A194</f>
        <v>54.938000000000002</v>
      </c>
      <c r="B207" s="235" t="str">
        <f>Bonus!B194</f>
        <v>Cawelo Water Dist. - CWD Pump Station Pipe Repair</v>
      </c>
      <c r="C207" s="241">
        <f>Bonus!G194</f>
        <v>1</v>
      </c>
      <c r="D207" s="242">
        <f>Bonus!C194</f>
        <v>22446.19</v>
      </c>
      <c r="E207" s="243">
        <f>Bonus!E194</f>
        <v>4381.4699999999975</v>
      </c>
      <c r="F207" s="242">
        <f t="shared" si="167"/>
        <v>0</v>
      </c>
      <c r="G207" s="242"/>
      <c r="H207" s="242">
        <f>Bonus!I194</f>
        <v>22446.19</v>
      </c>
      <c r="I207" s="242">
        <f>Bonus!F194</f>
        <v>18064.72</v>
      </c>
      <c r="J207" s="242">
        <f>Bonus!H194</f>
        <v>4381.4699999999975</v>
      </c>
      <c r="K207" s="242">
        <f>Bonus!P194</f>
        <v>0</v>
      </c>
      <c r="L207" s="242"/>
      <c r="M207" s="242">
        <f t="shared" si="168"/>
        <v>22446.19</v>
      </c>
      <c r="N207" s="242">
        <f>Bonus!Q194</f>
        <v>18064.72</v>
      </c>
      <c r="O207" s="242">
        <f>Bonus!S194</f>
        <v>4381.4699999999975</v>
      </c>
      <c r="P207" s="242">
        <f>O207-Bonus!Y194</f>
        <v>0</v>
      </c>
      <c r="Q207" s="245"/>
      <c r="R207" s="243">
        <v>4381.4699999999975</v>
      </c>
      <c r="S207" s="242"/>
    </row>
    <row r="208" spans="1:19" s="240" customFormat="1" ht="15" customHeight="1">
      <c r="A208" s="329">
        <f>Bonus!A195</f>
        <v>54.938099999999999</v>
      </c>
      <c r="B208" s="235" t="str">
        <f>Bonus!B195</f>
        <v>Kern Sanitation Authority - KSA Trickling Filter Bracket Replacement</v>
      </c>
      <c r="C208" s="241">
        <f>Bonus!G195</f>
        <v>1</v>
      </c>
      <c r="D208" s="242">
        <f>Bonus!C195</f>
        <v>58900</v>
      </c>
      <c r="E208" s="243">
        <f>Bonus!E195</f>
        <v>30024.62</v>
      </c>
      <c r="F208" s="242">
        <f t="shared" ref="F208" si="191">+E208-R208</f>
        <v>0</v>
      </c>
      <c r="G208" s="242"/>
      <c r="H208" s="242">
        <f>Bonus!I195</f>
        <v>58900</v>
      </c>
      <c r="I208" s="242">
        <f>Bonus!F195</f>
        <v>28875.38</v>
      </c>
      <c r="J208" s="242">
        <f>Bonus!H195</f>
        <v>30024.62</v>
      </c>
      <c r="K208" s="242">
        <f>Bonus!P195</f>
        <v>0</v>
      </c>
      <c r="L208" s="242"/>
      <c r="M208" s="242">
        <f t="shared" ref="M208" si="192">+N208+O208</f>
        <v>58900</v>
      </c>
      <c r="N208" s="242">
        <f>Bonus!Q195</f>
        <v>28875.38</v>
      </c>
      <c r="O208" s="242">
        <f>Bonus!S195</f>
        <v>30024.62</v>
      </c>
      <c r="P208" s="242">
        <f>O208-Bonus!Y195</f>
        <v>0</v>
      </c>
      <c r="Q208" s="242"/>
      <c r="R208" s="243">
        <v>30024.62</v>
      </c>
      <c r="S208" s="242"/>
    </row>
    <row r="209" spans="1:19" s="240" customFormat="1" ht="15" customHeight="1">
      <c r="A209" s="329">
        <f>Bonus!A196</f>
        <v>54.938200000000002</v>
      </c>
      <c r="B209" s="235" t="str">
        <f>Bonus!B196</f>
        <v>Laguna County Sanitation Dist. - Laguna WWTP Flow Meter FIT-7000 Replacement</v>
      </c>
      <c r="C209" s="241">
        <f>Bonus!G196</f>
        <v>1</v>
      </c>
      <c r="D209" s="242">
        <f>Bonus!C196</f>
        <v>143799</v>
      </c>
      <c r="E209" s="243">
        <f>Bonus!E196</f>
        <v>35108.550000000003</v>
      </c>
      <c r="F209" s="242">
        <f t="shared" ref="F209" si="193">+E209-R209</f>
        <v>2108.5500000000029</v>
      </c>
      <c r="G209" s="242"/>
      <c r="H209" s="242">
        <f>Bonus!I196</f>
        <v>143799</v>
      </c>
      <c r="I209" s="242">
        <f>Bonus!F196</f>
        <v>108690.45</v>
      </c>
      <c r="J209" s="242">
        <f>Bonus!H196</f>
        <v>35108.550000000003</v>
      </c>
      <c r="K209" s="242">
        <f>Bonus!P196</f>
        <v>0</v>
      </c>
      <c r="L209" s="242"/>
      <c r="M209" s="242">
        <f t="shared" ref="M209" si="194">+N209+O209</f>
        <v>143799</v>
      </c>
      <c r="N209" s="242">
        <f>Bonus!Q196</f>
        <v>108690.45</v>
      </c>
      <c r="O209" s="242">
        <f>Bonus!S196</f>
        <v>35108.550000000003</v>
      </c>
      <c r="P209" s="242">
        <f>O209-Bonus!Y196</f>
        <v>3631.6835120353098</v>
      </c>
      <c r="Q209" s="242"/>
      <c r="R209" s="243">
        <v>33000</v>
      </c>
      <c r="S209" s="242"/>
    </row>
    <row r="210" spans="1:19" s="240" customFormat="1" ht="15" customHeight="1">
      <c r="A210" s="329">
        <f>Bonus!A197</f>
        <v>54.938299999999998</v>
      </c>
      <c r="B210" s="235" t="str">
        <f>Bonus!B197</f>
        <v>Semitropic Water Storage Dist. - Amendment No. 19 Operate 300 CFS RWPP 2025</v>
      </c>
      <c r="C210" s="241">
        <f>Bonus!G197</f>
        <v>1</v>
      </c>
      <c r="D210" s="242">
        <f>Bonus!C197</f>
        <v>17542.439999999999</v>
      </c>
      <c r="E210" s="243">
        <f>Bonus!E197</f>
        <v>1782.6799999999985</v>
      </c>
      <c r="F210" s="242">
        <f t="shared" ref="F210" si="195">+E210-R210</f>
        <v>0</v>
      </c>
      <c r="G210" s="242"/>
      <c r="H210" s="242">
        <f>Bonus!I197</f>
        <v>17542.439999999999</v>
      </c>
      <c r="I210" s="242">
        <f>Bonus!F197</f>
        <v>15759.76</v>
      </c>
      <c r="J210" s="242">
        <f>Bonus!H197</f>
        <v>1782.6799999999985</v>
      </c>
      <c r="K210" s="242">
        <f>Bonus!P197</f>
        <v>0</v>
      </c>
      <c r="L210" s="242"/>
      <c r="M210" s="242">
        <f t="shared" ref="M210" si="196">+N210+O210</f>
        <v>17542.439999999999</v>
      </c>
      <c r="N210" s="242">
        <f>Bonus!Q197</f>
        <v>15759.76</v>
      </c>
      <c r="O210" s="242">
        <f>Bonus!S197</f>
        <v>1782.6799999999985</v>
      </c>
      <c r="P210" s="242">
        <f>O210-Bonus!Y197</f>
        <v>0</v>
      </c>
      <c r="Q210" s="242"/>
      <c r="R210" s="243">
        <v>1782.6799999999985</v>
      </c>
      <c r="S210" s="242"/>
    </row>
    <row r="211" spans="1:19" s="240" customFormat="1" ht="15" customHeight="1">
      <c r="A211" s="329">
        <f>Bonus!A198</f>
        <v>54.938400000000001</v>
      </c>
      <c r="B211" s="235" t="str">
        <f>Bonus!B198</f>
        <v>Shafter-Wasco Irrigation Dist. - 7th Street Pipe Repair</v>
      </c>
      <c r="C211" s="241">
        <f>Bonus!G198</f>
        <v>1</v>
      </c>
      <c r="D211" s="242">
        <f>Bonus!C198</f>
        <v>79531.98</v>
      </c>
      <c r="E211" s="243">
        <f>Bonus!E198</f>
        <v>9191.4099999999889</v>
      </c>
      <c r="F211" s="242">
        <f t="shared" ref="F211:F213" si="197">+E211-R211</f>
        <v>0</v>
      </c>
      <c r="G211" s="242"/>
      <c r="H211" s="242">
        <f>Bonus!I198</f>
        <v>79531.98</v>
      </c>
      <c r="I211" s="242">
        <f>Bonus!F198</f>
        <v>70340.570000000007</v>
      </c>
      <c r="J211" s="242">
        <f>Bonus!H198</f>
        <v>9191.4099999999889</v>
      </c>
      <c r="K211" s="242">
        <f>Bonus!P198</f>
        <v>0</v>
      </c>
      <c r="L211" s="242"/>
      <c r="M211" s="242">
        <f t="shared" ref="M211:M213" si="198">+N211+O211</f>
        <v>79531.98</v>
      </c>
      <c r="N211" s="242">
        <f>Bonus!Q198</f>
        <v>70340.570000000007</v>
      </c>
      <c r="O211" s="242">
        <f>Bonus!S198</f>
        <v>9191.4099999999889</v>
      </c>
      <c r="P211" s="242">
        <f>O211-Bonus!Y198</f>
        <v>0</v>
      </c>
      <c r="Q211" s="242"/>
      <c r="R211" s="243">
        <v>9191.4099999999889</v>
      </c>
      <c r="S211" s="242"/>
    </row>
    <row r="212" spans="1:19" s="240" customFormat="1" ht="15" customHeight="1">
      <c r="A212" s="329">
        <f>Bonus!A199</f>
        <v>54.938499999999998</v>
      </c>
      <c r="B212" s="235" t="str">
        <f>Bonus!B199</f>
        <v>Westside Water Authority - Pump Station A - Electrical Controls and Civil</v>
      </c>
      <c r="C212" s="241">
        <f>Bonus!G199</f>
        <v>1</v>
      </c>
      <c r="D212" s="242">
        <f>Bonus!C199</f>
        <v>102913.84</v>
      </c>
      <c r="E212" s="243">
        <f>Bonus!E199</f>
        <v>4315.0699999999924</v>
      </c>
      <c r="F212" s="242">
        <f t="shared" ref="F212" si="199">+E212-R212</f>
        <v>0</v>
      </c>
      <c r="G212" s="242"/>
      <c r="H212" s="242">
        <f>Bonus!I199</f>
        <v>102913.84</v>
      </c>
      <c r="I212" s="242">
        <f>Bonus!F199</f>
        <v>98598.77</v>
      </c>
      <c r="J212" s="242">
        <f>Bonus!H199</f>
        <v>4315.0699999999924</v>
      </c>
      <c r="K212" s="242">
        <f>Bonus!P199</f>
        <v>0</v>
      </c>
      <c r="L212" s="242"/>
      <c r="M212" s="242">
        <f t="shared" ref="M212" si="200">+N212+O212</f>
        <v>102913.84</v>
      </c>
      <c r="N212" s="242">
        <f>Bonus!Q199</f>
        <v>98598.77</v>
      </c>
      <c r="O212" s="242">
        <f>Bonus!S199</f>
        <v>4315.0699999999924</v>
      </c>
      <c r="P212" s="242">
        <f>O212-Bonus!Y199</f>
        <v>0</v>
      </c>
      <c r="Q212" s="242"/>
      <c r="R212" s="243">
        <v>4315.0699999999924</v>
      </c>
      <c r="S212" s="242"/>
    </row>
    <row r="213" spans="1:19" s="240" customFormat="1" ht="15" customHeight="1">
      <c r="A213" s="329">
        <f>Bonus!A200</f>
        <v>54.938600000000001</v>
      </c>
      <c r="B213" s="235" t="str">
        <f>Bonus!B200</f>
        <v>Kern Valley State Prison - Arsenic Pipe Leak Repair</v>
      </c>
      <c r="C213" s="241">
        <f>Bonus!G200</f>
        <v>1</v>
      </c>
      <c r="D213" s="242">
        <f>Bonus!C200</f>
        <v>96086</v>
      </c>
      <c r="E213" s="243">
        <f>Bonus!E200</f>
        <v>20301.260000000009</v>
      </c>
      <c r="F213" s="242">
        <f t="shared" si="197"/>
        <v>0</v>
      </c>
      <c r="G213" s="242"/>
      <c r="H213" s="242">
        <f>Bonus!I200</f>
        <v>96086</v>
      </c>
      <c r="I213" s="242">
        <f>Bonus!F200</f>
        <v>75784.739999999991</v>
      </c>
      <c r="J213" s="242">
        <f>Bonus!H200</f>
        <v>20301.260000000009</v>
      </c>
      <c r="K213" s="242">
        <f>Bonus!P200</f>
        <v>0</v>
      </c>
      <c r="L213" s="242"/>
      <c r="M213" s="242">
        <f t="shared" si="198"/>
        <v>96086</v>
      </c>
      <c r="N213" s="242">
        <f>Bonus!Q200</f>
        <v>75784.739999999991</v>
      </c>
      <c r="O213" s="242">
        <f>Bonus!S200</f>
        <v>20301.260000000009</v>
      </c>
      <c r="P213" s="242">
        <f>O213-Bonus!Y200</f>
        <v>0</v>
      </c>
      <c r="Q213" s="242"/>
      <c r="R213" s="243">
        <v>20301.260000000009</v>
      </c>
      <c r="S213" s="242"/>
    </row>
    <row r="214" spans="1:19" s="240" customFormat="1" ht="15" customHeight="1">
      <c r="A214" s="329">
        <f>Bonus!A201</f>
        <v>54.938699999999997</v>
      </c>
      <c r="B214" s="235" t="str">
        <f>Bonus!B201</f>
        <v>City of Santa Maria - Santa Maria WWTP Digester Pipe Modifications</v>
      </c>
      <c r="C214" s="241">
        <f>Bonus!G201</f>
        <v>1</v>
      </c>
      <c r="D214" s="242">
        <f>Bonus!C201</f>
        <v>22619.54</v>
      </c>
      <c r="E214" s="243">
        <f>Bonus!E201</f>
        <v>3607.8899999999994</v>
      </c>
      <c r="F214" s="242">
        <f t="shared" ref="F214" si="201">+E214-R214</f>
        <v>0</v>
      </c>
      <c r="G214" s="242"/>
      <c r="H214" s="242">
        <f>Bonus!I201</f>
        <v>22619.54</v>
      </c>
      <c r="I214" s="242">
        <f>Bonus!F201</f>
        <v>19011.650000000001</v>
      </c>
      <c r="J214" s="242">
        <f>Bonus!H201</f>
        <v>3607.8899999999994</v>
      </c>
      <c r="K214" s="242">
        <f>Bonus!P201</f>
        <v>0</v>
      </c>
      <c r="L214" s="242"/>
      <c r="M214" s="242">
        <f t="shared" ref="M214" si="202">+N214+O214</f>
        <v>22619.54</v>
      </c>
      <c r="N214" s="242">
        <f>Bonus!Q201</f>
        <v>19011.650000000001</v>
      </c>
      <c r="O214" s="242">
        <f>Bonus!S201</f>
        <v>3607.8899999999994</v>
      </c>
      <c r="P214" s="242">
        <f>O214-Bonus!Y201</f>
        <v>0</v>
      </c>
      <c r="Q214" s="242"/>
      <c r="R214" s="243">
        <v>3607.8899999999994</v>
      </c>
      <c r="S214" s="242"/>
    </row>
    <row r="215" spans="1:19" s="240" customFormat="1" ht="15" customHeight="1">
      <c r="A215" s="329">
        <f>Bonus!A202</f>
        <v>54.938800000000001</v>
      </c>
      <c r="B215" s="235" t="str">
        <f>Bonus!B202</f>
        <v>Arvin Edison Water Storage Dist. - Tejon Spreading Ground Pipe Installation</v>
      </c>
      <c r="C215" s="241">
        <f>Bonus!G202</f>
        <v>1</v>
      </c>
      <c r="D215" s="242">
        <f>Bonus!C202</f>
        <v>7454.07</v>
      </c>
      <c r="E215" s="243">
        <f>Bonus!E202</f>
        <v>918.65999999999985</v>
      </c>
      <c r="F215" s="242">
        <f t="shared" ref="F215:F218" si="203">+E215-R215</f>
        <v>0</v>
      </c>
      <c r="G215" s="242"/>
      <c r="H215" s="242">
        <f>Bonus!I202</f>
        <v>7454.07</v>
      </c>
      <c r="I215" s="242">
        <f>Bonus!F202</f>
        <v>6535.41</v>
      </c>
      <c r="J215" s="242">
        <f>Bonus!H202</f>
        <v>918.65999999999985</v>
      </c>
      <c r="K215" s="242">
        <f>Bonus!P202</f>
        <v>0</v>
      </c>
      <c r="L215" s="242"/>
      <c r="M215" s="242">
        <f t="shared" ref="M215:M218" si="204">+N215+O215</f>
        <v>7454.07</v>
      </c>
      <c r="N215" s="242">
        <f>Bonus!Q202</f>
        <v>6535.41</v>
      </c>
      <c r="O215" s="242">
        <f>Bonus!S202</f>
        <v>918.65999999999985</v>
      </c>
      <c r="P215" s="242">
        <f>O215-Bonus!Y202</f>
        <v>0</v>
      </c>
      <c r="Q215" s="242"/>
      <c r="R215" s="243">
        <v>918.65999999999985</v>
      </c>
      <c r="S215" s="242"/>
    </row>
    <row r="216" spans="1:19" s="240" customFormat="1" ht="15" customHeight="1">
      <c r="A216" s="329">
        <f>Bonus!A203</f>
        <v>54.939</v>
      </c>
      <c r="B216" s="235" t="str">
        <f>Bonus!B203</f>
        <v>Arvin Edison Water Storage Dist. - Bar Screen Concrete Collection Pads</v>
      </c>
      <c r="C216" s="241">
        <f>Bonus!G203</f>
        <v>1</v>
      </c>
      <c r="D216" s="242">
        <f>Bonus!C203</f>
        <v>101491.67</v>
      </c>
      <c r="E216" s="243">
        <f>Bonus!E203</f>
        <v>5162.179999999993</v>
      </c>
      <c r="F216" s="242">
        <f t="shared" ref="F216" si="205">+E216-R216</f>
        <v>0</v>
      </c>
      <c r="G216" s="242"/>
      <c r="H216" s="242">
        <f>Bonus!I203</f>
        <v>101491.67</v>
      </c>
      <c r="I216" s="242">
        <f>Bonus!F203</f>
        <v>96329.49</v>
      </c>
      <c r="J216" s="242">
        <f>Bonus!H203</f>
        <v>5162.179999999993</v>
      </c>
      <c r="K216" s="242">
        <f>Bonus!P203</f>
        <v>0</v>
      </c>
      <c r="L216" s="242"/>
      <c r="M216" s="242">
        <f t="shared" ref="M216" si="206">+N216+O216</f>
        <v>101491.67</v>
      </c>
      <c r="N216" s="242">
        <f>Bonus!Q203</f>
        <v>96329.49</v>
      </c>
      <c r="O216" s="242">
        <f>Bonus!S203</f>
        <v>5162.179999999993</v>
      </c>
      <c r="P216" s="242">
        <f>O216-Bonus!Y203</f>
        <v>0</v>
      </c>
      <c r="Q216" s="242"/>
      <c r="R216" s="243">
        <v>5162.179999999993</v>
      </c>
      <c r="S216" s="242"/>
    </row>
    <row r="217" spans="1:19" s="240" customFormat="1" ht="15" customHeight="1">
      <c r="A217" s="329">
        <f>Bonus!A204</f>
        <v>54.9392</v>
      </c>
      <c r="B217" s="235" t="str">
        <f>Bonus!B204</f>
        <v>Arvin Edison Water Storage Dist. - Tejon Spreading Grounds Basin Repairs</v>
      </c>
      <c r="C217" s="241">
        <f>Bonus!G204</f>
        <v>1</v>
      </c>
      <c r="D217" s="242">
        <f>Bonus!C204</f>
        <v>217648.89</v>
      </c>
      <c r="E217" s="243">
        <f>Bonus!E204</f>
        <v>9302.2000000000116</v>
      </c>
      <c r="F217" s="242">
        <f t="shared" ref="F217" si="207">+E217-R217</f>
        <v>2302.2000000000116</v>
      </c>
      <c r="G217" s="242"/>
      <c r="H217" s="242">
        <f>Bonus!I204</f>
        <v>217648.89</v>
      </c>
      <c r="I217" s="242">
        <f>Bonus!F204</f>
        <v>208346.69</v>
      </c>
      <c r="J217" s="242">
        <f>Bonus!H204</f>
        <v>9302.2000000000116</v>
      </c>
      <c r="K217" s="242">
        <f>Bonus!P204</f>
        <v>0</v>
      </c>
      <c r="L217" s="242"/>
      <c r="M217" s="242">
        <f t="shared" ref="M217" si="208">+N217+O217</f>
        <v>217648.89</v>
      </c>
      <c r="N217" s="242">
        <f>Bonus!Q204</f>
        <v>208346.69</v>
      </c>
      <c r="O217" s="242">
        <f>Bonus!S204</f>
        <v>9302.2000000000116</v>
      </c>
      <c r="P217" s="242">
        <f>O217-Bonus!Y204</f>
        <v>2550.2239351851968</v>
      </c>
      <c r="Q217" s="242"/>
      <c r="R217" s="243">
        <v>7000</v>
      </c>
      <c r="S217" s="242"/>
    </row>
    <row r="218" spans="1:19" s="240" customFormat="1" ht="15" customHeight="1">
      <c r="A218" s="329">
        <f>Bonus!A205</f>
        <v>54.939300000000003</v>
      </c>
      <c r="B218" s="235" t="str">
        <f>Bonus!B205</f>
        <v>East Niles Community Service Dist. - Freeway Tank and College Ave Repairs</v>
      </c>
      <c r="C218" s="241">
        <f>Bonus!G205</f>
        <v>1</v>
      </c>
      <c r="D218" s="242">
        <f>Bonus!C205</f>
        <v>31523.02</v>
      </c>
      <c r="E218" s="243">
        <f>Bonus!E205</f>
        <v>3983.1999999999971</v>
      </c>
      <c r="F218" s="242">
        <f t="shared" si="203"/>
        <v>0</v>
      </c>
      <c r="G218" s="242"/>
      <c r="H218" s="242">
        <f>Bonus!I205</f>
        <v>31523.02</v>
      </c>
      <c r="I218" s="242">
        <f>Bonus!F205</f>
        <v>27539.820000000003</v>
      </c>
      <c r="J218" s="242">
        <f>Bonus!H205</f>
        <v>3983.1999999999971</v>
      </c>
      <c r="K218" s="242">
        <f>Bonus!P205</f>
        <v>0</v>
      </c>
      <c r="L218" s="242"/>
      <c r="M218" s="242">
        <f t="shared" si="204"/>
        <v>31523.02</v>
      </c>
      <c r="N218" s="242">
        <f>Bonus!Q205</f>
        <v>27539.820000000003</v>
      </c>
      <c r="O218" s="242">
        <f>Bonus!S205</f>
        <v>3983.1999999999971</v>
      </c>
      <c r="P218" s="242">
        <f>O218-Bonus!Y205</f>
        <v>0</v>
      </c>
      <c r="Q218" s="242"/>
      <c r="R218" s="243">
        <v>3983.1999999999971</v>
      </c>
      <c r="S218" s="242"/>
    </row>
    <row r="219" spans="1:19" s="240" customFormat="1" ht="15" customHeight="1">
      <c r="A219" s="329">
        <f>Bonus!A206</f>
        <v>54.939399999999999</v>
      </c>
      <c r="B219" s="235" t="str">
        <f>Bonus!B206</f>
        <v>City of Arvin - Haven Drive Lateral Repair</v>
      </c>
      <c r="C219" s="241">
        <f>Bonus!G206</f>
        <v>1</v>
      </c>
      <c r="D219" s="242">
        <f>Bonus!C206</f>
        <v>15966.99</v>
      </c>
      <c r="E219" s="243">
        <f>Bonus!E206</f>
        <v>1927.4400000000005</v>
      </c>
      <c r="F219" s="242">
        <f t="shared" ref="F219:F221" si="209">+E219-R219</f>
        <v>0</v>
      </c>
      <c r="G219" s="242"/>
      <c r="H219" s="242">
        <f>Bonus!I206</f>
        <v>15966.99</v>
      </c>
      <c r="I219" s="242">
        <f>Bonus!F206</f>
        <v>14039.55</v>
      </c>
      <c r="J219" s="242">
        <f>Bonus!H206</f>
        <v>1927.4400000000005</v>
      </c>
      <c r="K219" s="242">
        <f>Bonus!P206</f>
        <v>0</v>
      </c>
      <c r="L219" s="242"/>
      <c r="M219" s="242">
        <f t="shared" ref="M219:M221" si="210">+N219+O219</f>
        <v>15966.99</v>
      </c>
      <c r="N219" s="242">
        <f>Bonus!Q206</f>
        <v>14039.55</v>
      </c>
      <c r="O219" s="242">
        <f>Bonus!S206</f>
        <v>1927.4400000000005</v>
      </c>
      <c r="P219" s="242">
        <f>O219-Bonus!Y206</f>
        <v>0</v>
      </c>
      <c r="Q219" s="242"/>
      <c r="R219" s="243">
        <v>1927.4400000000005</v>
      </c>
      <c r="S219" s="242"/>
    </row>
    <row r="220" spans="1:19" s="240" customFormat="1" ht="15" customHeight="1">
      <c r="A220" s="329">
        <f>Bonus!A207</f>
        <v>54.939799999999998</v>
      </c>
      <c r="B220" s="235" t="str">
        <f>Bonus!B207</f>
        <v>County of Santa Barbara Public Works - Laguna CSD  - C-Channel Installation</v>
      </c>
      <c r="C220" s="241">
        <f>Bonus!G207</f>
        <v>1</v>
      </c>
      <c r="D220" s="242">
        <f>Bonus!C207</f>
        <v>14300</v>
      </c>
      <c r="E220" s="243">
        <f>Bonus!E207</f>
        <v>6107.2099999999991</v>
      </c>
      <c r="F220" s="242">
        <f t="shared" ref="F220" si="211">+E220-R220</f>
        <v>0</v>
      </c>
      <c r="G220" s="242"/>
      <c r="H220" s="242">
        <f>Bonus!I207</f>
        <v>14300</v>
      </c>
      <c r="I220" s="242">
        <f>Bonus!F207</f>
        <v>8192.7900000000009</v>
      </c>
      <c r="J220" s="242">
        <f>Bonus!H207</f>
        <v>6107.2099999999991</v>
      </c>
      <c r="K220" s="242">
        <f>Bonus!P207</f>
        <v>0</v>
      </c>
      <c r="L220" s="242"/>
      <c r="M220" s="242">
        <f t="shared" ref="M220" si="212">+N220+O220</f>
        <v>14300</v>
      </c>
      <c r="N220" s="242">
        <f>Bonus!Q207</f>
        <v>8192.7900000000009</v>
      </c>
      <c r="O220" s="242">
        <f>Bonus!S207</f>
        <v>6107.2099999999991</v>
      </c>
      <c r="P220" s="242">
        <f>O220-Bonus!Y207</f>
        <v>0</v>
      </c>
      <c r="Q220" s="242"/>
      <c r="R220" s="243">
        <v>6107.2099999999991</v>
      </c>
      <c r="S220" s="242"/>
    </row>
    <row r="221" spans="1:19" s="240" customFormat="1" ht="15" customHeight="1">
      <c r="A221" s="329">
        <f>Bonus!A208</f>
        <v>54.939900000000002</v>
      </c>
      <c r="B221" s="235" t="str">
        <f>Bonus!B208</f>
        <v>City of Atascadero - Atascadero Lift Station 6 Pipe Replacement</v>
      </c>
      <c r="C221" s="241">
        <f>Bonus!G208</f>
        <v>1</v>
      </c>
      <c r="D221" s="242">
        <f>Bonus!C208</f>
        <v>24775</v>
      </c>
      <c r="E221" s="243">
        <f>Bonus!E208</f>
        <v>13483.41</v>
      </c>
      <c r="F221" s="242">
        <f t="shared" si="209"/>
        <v>0</v>
      </c>
      <c r="G221" s="242"/>
      <c r="H221" s="242">
        <f>Bonus!I208</f>
        <v>24775</v>
      </c>
      <c r="I221" s="242">
        <f>Bonus!F208</f>
        <v>11291.59</v>
      </c>
      <c r="J221" s="242">
        <f>Bonus!H208</f>
        <v>13483.41</v>
      </c>
      <c r="K221" s="242">
        <f>Bonus!P208</f>
        <v>0</v>
      </c>
      <c r="L221" s="242"/>
      <c r="M221" s="242">
        <f t="shared" si="210"/>
        <v>24775</v>
      </c>
      <c r="N221" s="242">
        <f>Bonus!Q208</f>
        <v>11291.59</v>
      </c>
      <c r="O221" s="242">
        <f>Bonus!S208</f>
        <v>13483.41</v>
      </c>
      <c r="P221" s="242">
        <f>O221-Bonus!Y208</f>
        <v>0</v>
      </c>
      <c r="Q221" s="242"/>
      <c r="R221" s="243">
        <v>13483.41</v>
      </c>
      <c r="S221" s="242"/>
    </row>
    <row r="222" spans="1:19" s="240" customFormat="1" ht="15" customHeight="1">
      <c r="A222" s="329">
        <f>Bonus!A209</f>
        <v>54.94</v>
      </c>
      <c r="B222" s="235" t="str">
        <f>Bonus!B209</f>
        <v>Arvin Edison Water Storage Dist. - FFPP Core Drilling</v>
      </c>
      <c r="C222" s="241">
        <f>Bonus!G209</f>
        <v>1</v>
      </c>
      <c r="D222" s="242">
        <f>Bonus!C209</f>
        <v>800.69</v>
      </c>
      <c r="E222" s="243">
        <f>Bonus!E209</f>
        <v>29.370000000000005</v>
      </c>
      <c r="F222" s="242">
        <f t="shared" ref="F222" si="213">+E222-R222</f>
        <v>0</v>
      </c>
      <c r="G222" s="242"/>
      <c r="H222" s="242">
        <f>Bonus!I209</f>
        <v>800.69</v>
      </c>
      <c r="I222" s="242">
        <f>Bonus!F209</f>
        <v>771.32</v>
      </c>
      <c r="J222" s="242">
        <f>Bonus!H209</f>
        <v>29.370000000000005</v>
      </c>
      <c r="K222" s="242">
        <f>Bonus!P209</f>
        <v>0</v>
      </c>
      <c r="L222" s="242"/>
      <c r="M222" s="242">
        <f t="shared" ref="M222" si="214">+N222+O222</f>
        <v>800.69</v>
      </c>
      <c r="N222" s="242">
        <f>Bonus!Q209</f>
        <v>771.32</v>
      </c>
      <c r="O222" s="242">
        <f>Bonus!S209</f>
        <v>29.370000000000005</v>
      </c>
      <c r="P222" s="242">
        <f>O222-Bonus!Y209</f>
        <v>0</v>
      </c>
      <c r="Q222" s="242"/>
      <c r="R222" s="243">
        <v>29.370000000000005</v>
      </c>
      <c r="S222" s="242"/>
    </row>
    <row r="223" spans="1:19" s="240" customFormat="1" ht="15" customHeight="1">
      <c r="A223" s="329">
        <f>Bonus!A210</f>
        <v>54.940100000000001</v>
      </c>
      <c r="B223" s="235" t="str">
        <f>Bonus!B210</f>
        <v>Arvin Edison Water Storage Dist. - FFPP Modernization Concrete R&amp;R</v>
      </c>
      <c r="C223" s="241">
        <f>Bonus!G210</f>
        <v>1</v>
      </c>
      <c r="D223" s="242">
        <f>Bonus!C210</f>
        <v>247539.61</v>
      </c>
      <c r="E223" s="243">
        <f>Bonus!E210</f>
        <v>11227.039999999979</v>
      </c>
      <c r="F223" s="242">
        <f t="shared" ref="F223:F226" si="215">+E223-R223</f>
        <v>0</v>
      </c>
      <c r="G223" s="242"/>
      <c r="H223" s="242">
        <f>Bonus!I210</f>
        <v>247539.61</v>
      </c>
      <c r="I223" s="242">
        <f>Bonus!F210</f>
        <v>236312.57</v>
      </c>
      <c r="J223" s="242">
        <f>Bonus!H210</f>
        <v>11227.039999999979</v>
      </c>
      <c r="K223" s="242">
        <f>Bonus!P210</f>
        <v>0</v>
      </c>
      <c r="L223" s="242"/>
      <c r="M223" s="242">
        <f t="shared" ref="M223:M226" si="216">+N223+O223</f>
        <v>247539.61</v>
      </c>
      <c r="N223" s="242">
        <f>Bonus!Q210</f>
        <v>236312.57</v>
      </c>
      <c r="O223" s="242">
        <f>Bonus!S210</f>
        <v>11227.039999999979</v>
      </c>
      <c r="P223" s="242">
        <f>O223-Bonus!Y210</f>
        <v>0</v>
      </c>
      <c r="Q223" s="242"/>
      <c r="R223" s="243">
        <v>11227.039999999979</v>
      </c>
      <c r="S223" s="242"/>
    </row>
    <row r="224" spans="1:19" s="240" customFormat="1" ht="15" customHeight="1">
      <c r="A224" s="329">
        <f>Bonus!A211</f>
        <v>54.9407</v>
      </c>
      <c r="B224" s="235" t="str">
        <f>Bonus!B211</f>
        <v>Semitropic Water Storage Dist. - North Plant Emergency Repair</v>
      </c>
      <c r="C224" s="241">
        <f>Bonus!G211</f>
        <v>1</v>
      </c>
      <c r="D224" s="242">
        <f>Bonus!C211</f>
        <v>31296.85</v>
      </c>
      <c r="E224" s="243">
        <f>Bonus!E211</f>
        <v>5629.5099999999984</v>
      </c>
      <c r="F224" s="242">
        <f t="shared" si="215"/>
        <v>0</v>
      </c>
      <c r="G224" s="242"/>
      <c r="H224" s="242">
        <f>Bonus!I211</f>
        <v>31296.85</v>
      </c>
      <c r="I224" s="242">
        <f>Bonus!F211</f>
        <v>25667.34</v>
      </c>
      <c r="J224" s="242">
        <f>Bonus!H211</f>
        <v>5629.5099999999984</v>
      </c>
      <c r="K224" s="242">
        <f>Bonus!P211</f>
        <v>0</v>
      </c>
      <c r="L224" s="242"/>
      <c r="M224" s="242">
        <f t="shared" si="216"/>
        <v>31296.85</v>
      </c>
      <c r="N224" s="242">
        <f>Bonus!Q211</f>
        <v>25667.34</v>
      </c>
      <c r="O224" s="242">
        <f>Bonus!S211</f>
        <v>5629.5099999999984</v>
      </c>
      <c r="P224" s="242">
        <f>O224-Bonus!Y211</f>
        <v>0</v>
      </c>
      <c r="Q224" s="242"/>
      <c r="R224" s="243">
        <v>5629.5099999999984</v>
      </c>
      <c r="S224" s="242"/>
    </row>
    <row r="225" spans="1:20" s="240" customFormat="1" ht="15" customHeight="1">
      <c r="A225" s="329">
        <f>Bonus!A212</f>
        <v>54.940899999999999</v>
      </c>
      <c r="B225" s="235" t="str">
        <f>Bonus!B212</f>
        <v xml:space="preserve">Nipomo CSD Osage Emergency Waterline Repair </v>
      </c>
      <c r="C225" s="241">
        <f>Bonus!G212</f>
        <v>1</v>
      </c>
      <c r="D225" s="242">
        <f>Bonus!C212</f>
        <v>20123.71</v>
      </c>
      <c r="E225" s="243">
        <f>Bonus!E212</f>
        <v>2712</v>
      </c>
      <c r="F225" s="242">
        <f t="shared" si="215"/>
        <v>0</v>
      </c>
      <c r="G225" s="242"/>
      <c r="H225" s="242">
        <f>Bonus!I212</f>
        <v>20123.71</v>
      </c>
      <c r="I225" s="242">
        <f>Bonus!F212</f>
        <v>17411.71</v>
      </c>
      <c r="J225" s="242">
        <f>Bonus!H212</f>
        <v>2712</v>
      </c>
      <c r="K225" s="242">
        <f>Bonus!P212</f>
        <v>0</v>
      </c>
      <c r="L225" s="242"/>
      <c r="M225" s="242">
        <f t="shared" si="216"/>
        <v>20123.71</v>
      </c>
      <c r="N225" s="242">
        <f>Bonus!Q212</f>
        <v>17411.71</v>
      </c>
      <c r="O225" s="242">
        <f>Bonus!S212</f>
        <v>2712</v>
      </c>
      <c r="P225" s="242">
        <f>O225-Bonus!Y212</f>
        <v>0</v>
      </c>
      <c r="Q225" s="242"/>
      <c r="R225" s="243">
        <v>2712</v>
      </c>
      <c r="S225" s="242"/>
    </row>
    <row r="226" spans="1:20" s="240" customFormat="1" ht="15" customHeight="1">
      <c r="A226" s="329">
        <f>Bonus!A213</f>
        <v>54.941000000000003</v>
      </c>
      <c r="B226" s="235" t="str">
        <f>Bonus!B213</f>
        <v>SWID - Burbank St. Repair</v>
      </c>
      <c r="C226" s="241">
        <f>Bonus!G213</f>
        <v>1</v>
      </c>
      <c r="D226" s="242">
        <f>Bonus!C213</f>
        <v>8241.5499999999993</v>
      </c>
      <c r="E226" s="243">
        <f>Bonus!E213</f>
        <v>1275.8999999999996</v>
      </c>
      <c r="F226" s="242">
        <f t="shared" si="215"/>
        <v>0</v>
      </c>
      <c r="G226" s="242"/>
      <c r="H226" s="242">
        <f>Bonus!I213</f>
        <v>8241.5499999999993</v>
      </c>
      <c r="I226" s="242">
        <f>Bonus!F213</f>
        <v>6965.65</v>
      </c>
      <c r="J226" s="242">
        <f>Bonus!H213</f>
        <v>1275.8999999999996</v>
      </c>
      <c r="K226" s="242">
        <f>Bonus!P213</f>
        <v>0</v>
      </c>
      <c r="L226" s="242"/>
      <c r="M226" s="242">
        <f t="shared" si="216"/>
        <v>8241.5499999999993</v>
      </c>
      <c r="N226" s="242">
        <f>Bonus!Q213</f>
        <v>6965.65</v>
      </c>
      <c r="O226" s="242">
        <f>Bonus!S213</f>
        <v>1275.8999999999996</v>
      </c>
      <c r="P226" s="242">
        <f>O226-Bonus!Y213</f>
        <v>0</v>
      </c>
      <c r="Q226" s="242"/>
      <c r="R226" s="243">
        <v>1275.8999999999996</v>
      </c>
      <c r="S226" s="242"/>
    </row>
    <row r="227" spans="1:20" s="240" customFormat="1" ht="15" hidden="1" customHeight="1">
      <c r="A227" s="329"/>
      <c r="B227" s="235"/>
      <c r="C227" s="241"/>
      <c r="D227" s="242"/>
      <c r="E227" s="242"/>
      <c r="F227" s="242"/>
      <c r="G227" s="242"/>
      <c r="H227" s="242"/>
      <c r="I227" s="242"/>
      <c r="J227" s="242"/>
      <c r="K227" s="242"/>
      <c r="L227" s="242"/>
      <c r="M227" s="242"/>
      <c r="N227" s="242"/>
      <c r="O227" s="242"/>
      <c r="P227" s="242"/>
      <c r="Q227" s="242"/>
      <c r="R227" s="243"/>
      <c r="S227" s="242"/>
    </row>
    <row r="228" spans="1:20" s="240" customFormat="1" ht="15" customHeight="1">
      <c r="A228" s="240" t="s">
        <v>351</v>
      </c>
      <c r="C228" s="244"/>
      <c r="D228" s="245">
        <f>SUM(D170:D227)</f>
        <v>97414231.620000005</v>
      </c>
      <c r="E228" s="245">
        <f t="shared" ref="E228:F228" si="217">SUM(E170:E227)</f>
        <v>12981852.299999995</v>
      </c>
      <c r="F228" s="245">
        <f t="shared" si="217"/>
        <v>-77720.63999999965</v>
      </c>
      <c r="G228" s="245"/>
      <c r="H228" s="245">
        <f t="shared" ref="H228:K228" si="218">SUM(H170:H227)</f>
        <v>97414231.620000005</v>
      </c>
      <c r="I228" s="245">
        <f t="shared" si="218"/>
        <v>84432379.319999993</v>
      </c>
      <c r="J228" s="245">
        <f t="shared" si="218"/>
        <v>12981852.299999995</v>
      </c>
      <c r="K228" s="245">
        <f t="shared" si="218"/>
        <v>13874672.81838295</v>
      </c>
      <c r="L228" s="245"/>
      <c r="M228" s="245">
        <f t="shared" ref="M228:P228" si="219">SUM(M170:M227)</f>
        <v>7680196.3916170523</v>
      </c>
      <c r="N228" s="245">
        <f t="shared" si="219"/>
        <v>8573016.9100000057</v>
      </c>
      <c r="O228" s="245">
        <f t="shared" si="219"/>
        <v>-892820.51838295127</v>
      </c>
      <c r="P228" s="245">
        <f t="shared" si="219"/>
        <v>-62771.666079668234</v>
      </c>
      <c r="Q228" s="245"/>
      <c r="R228" s="261">
        <v>3979032.4599999972</v>
      </c>
      <c r="S228" s="242"/>
      <c r="T228" s="475"/>
    </row>
    <row r="229" spans="1:20" s="240" customFormat="1" ht="15" customHeight="1">
      <c r="C229" s="244"/>
      <c r="D229" s="245"/>
      <c r="E229" s="245"/>
      <c r="F229" s="245"/>
      <c r="G229" s="245"/>
      <c r="H229" s="245"/>
      <c r="I229" s="245"/>
      <c r="J229" s="245"/>
      <c r="K229" s="245"/>
      <c r="L229" s="245"/>
      <c r="M229" s="245"/>
      <c r="N229" s="245"/>
      <c r="O229" s="245"/>
      <c r="P229" s="245"/>
      <c r="Q229" s="245"/>
      <c r="R229" s="261"/>
      <c r="S229" s="242"/>
    </row>
    <row r="230" spans="1:20" s="240" customFormat="1" ht="15" customHeight="1">
      <c r="A230" s="252" t="s">
        <v>352</v>
      </c>
      <c r="B230" s="252"/>
      <c r="C230" s="253"/>
      <c r="D230" s="254">
        <f>SUM(D167+D228)</f>
        <v>204859768.21000001</v>
      </c>
      <c r="E230" s="254">
        <f>SUM(E167+E228)</f>
        <v>21831743.899999995</v>
      </c>
      <c r="F230" s="254">
        <f>SUM(F167+F228)</f>
        <v>37766.960000000021</v>
      </c>
      <c r="G230" s="254"/>
      <c r="H230" s="254">
        <f>SUM(H167+H228)</f>
        <v>148389053.86258659</v>
      </c>
      <c r="I230" s="254">
        <f>SUM(I167+I228)</f>
        <v>131355636.81</v>
      </c>
      <c r="J230" s="254">
        <f>SUM(J167+J228)</f>
        <v>17033417.052586585</v>
      </c>
      <c r="K230" s="254">
        <f>SUM(K167+K228)</f>
        <v>14786939.046464525</v>
      </c>
      <c r="L230" s="254"/>
      <c r="M230" s="254">
        <f>SUM(M167+M228)</f>
        <v>43949120.686122052</v>
      </c>
      <c r="N230" s="254">
        <f>SUM(N167+N228)</f>
        <v>41702642.68</v>
      </c>
      <c r="O230" s="254">
        <f>SUM(O167+O228)</f>
        <v>2246478.0061220643</v>
      </c>
      <c r="P230" s="254">
        <f>SUM(P167+P228)</f>
        <v>822145.24652841303</v>
      </c>
      <c r="Q230" s="245"/>
      <c r="R230" s="261">
        <v>21793976.939999994</v>
      </c>
      <c r="S230" s="242"/>
    </row>
    <row r="231" spans="1:20" s="240" customFormat="1" ht="15" customHeight="1">
      <c r="C231" s="244"/>
      <c r="D231" s="245"/>
      <c r="E231" s="245"/>
      <c r="F231" s="245"/>
      <c r="G231" s="245"/>
      <c r="H231" s="245"/>
      <c r="I231" s="245"/>
      <c r="J231" s="245"/>
      <c r="K231" s="245"/>
      <c r="L231" s="245"/>
      <c r="M231" s="245"/>
      <c r="N231" s="245"/>
      <c r="O231" s="245"/>
      <c r="P231" s="245"/>
      <c r="Q231" s="245"/>
      <c r="R231" s="261"/>
      <c r="S231" s="242"/>
    </row>
    <row r="232" spans="1:20" s="240" customFormat="1" ht="15" customHeight="1">
      <c r="B232" s="246" t="s">
        <v>162</v>
      </c>
      <c r="C232" s="247">
        <f>D230-Bonus!J216</f>
        <v>57134565.879999995</v>
      </c>
      <c r="D232" s="245"/>
      <c r="E232" s="245"/>
      <c r="F232" s="245" t="s">
        <v>145</v>
      </c>
      <c r="G232" s="245"/>
      <c r="H232" s="245"/>
      <c r="I232" s="245">
        <f>D230-H230</f>
        <v>56470714.347413421</v>
      </c>
      <c r="J232" s="245"/>
      <c r="K232" s="245"/>
      <c r="L232" s="245"/>
      <c r="M232" s="245" t="s">
        <v>30</v>
      </c>
      <c r="N232" s="245">
        <f>H230-Bonus!J216-1762631.63</f>
        <v>-1098780.0974134253</v>
      </c>
      <c r="O232" s="245"/>
      <c r="P232" s="245"/>
      <c r="Q232" s="245"/>
      <c r="R232" s="261"/>
      <c r="S232" s="242"/>
    </row>
    <row r="233" spans="1:20" s="240" customFormat="1" ht="15" customHeight="1">
      <c r="B233" s="412"/>
      <c r="C233" s="413"/>
      <c r="D233" s="414"/>
      <c r="E233" s="414"/>
      <c r="F233" s="414"/>
      <c r="G233" s="414"/>
      <c r="H233" s="414"/>
      <c r="I233" s="414"/>
      <c r="J233" s="414"/>
      <c r="K233" s="414"/>
      <c r="L233" s="414"/>
      <c r="M233" s="414"/>
      <c r="N233" s="414"/>
      <c r="O233" s="414"/>
      <c r="P233" s="414"/>
      <c r="Q233" s="245"/>
      <c r="R233" s="261"/>
      <c r="S233" s="242"/>
    </row>
    <row r="234" spans="1:20" s="240" customFormat="1" ht="15" customHeight="1">
      <c r="A234" s="332" t="s">
        <v>360</v>
      </c>
      <c r="B234" s="246"/>
      <c r="C234" s="247"/>
      <c r="D234" s="245">
        <f>D26+D69+D118+D167</f>
        <v>920400789.95000005</v>
      </c>
      <c r="E234" s="245">
        <f>E26+E69+E118+E167</f>
        <v>87651534.929999992</v>
      </c>
      <c r="F234" s="245">
        <f>F26+F69+F118+F167</f>
        <v>1926565.4199999983</v>
      </c>
      <c r="G234" s="245"/>
      <c r="H234" s="245">
        <f>H26+H69+H118+H167</f>
        <v>439456384.22327065</v>
      </c>
      <c r="I234" s="245">
        <f>I26+I69+I118+I167</f>
        <v>396319859.23000002</v>
      </c>
      <c r="J234" s="245">
        <f>J26+J69+J118+J167</f>
        <v>43136524.993270531</v>
      </c>
      <c r="K234" s="245">
        <f>K26+K69+K118+K167</f>
        <v>19044365.780588809</v>
      </c>
      <c r="L234" s="245"/>
      <c r="M234" s="245">
        <f>M26+M69+M118+M167</f>
        <v>192894465.99268165</v>
      </c>
      <c r="N234" s="245">
        <f>N26+N69+N118+N167</f>
        <v>168802306.77999994</v>
      </c>
      <c r="O234" s="245">
        <f>O26+O69+O118+O167</f>
        <v>24092159.212681722</v>
      </c>
      <c r="P234" s="245">
        <f>P26+P69+P118+P167</f>
        <v>3541280.9150621193</v>
      </c>
      <c r="Q234" s="245"/>
      <c r="R234" s="261">
        <v>93917997.379999995</v>
      </c>
      <c r="S234" s="242"/>
    </row>
    <row r="235" spans="1:20" s="240" customFormat="1" ht="15" customHeight="1">
      <c r="A235" s="331" t="s">
        <v>361</v>
      </c>
      <c r="B235" s="415"/>
      <c r="C235" s="251"/>
      <c r="D235" s="416">
        <f>D40+D107+D125+D228</f>
        <v>141195136.30000001</v>
      </c>
      <c r="E235" s="416">
        <f>E40+E107+E125+E228</f>
        <v>13307634.249999994</v>
      </c>
      <c r="F235" s="416">
        <f>F40+F107+F125+F228</f>
        <v>-729683.66</v>
      </c>
      <c r="G235" s="416"/>
      <c r="H235" s="416">
        <f>H40+H107+H125+H228</f>
        <v>141195136.30000001</v>
      </c>
      <c r="I235" s="416">
        <f>I40+I107+I125+I228</f>
        <v>127887502.04999998</v>
      </c>
      <c r="J235" s="416">
        <f>J40+J107+J125+J228</f>
        <v>13307634.249999994</v>
      </c>
      <c r="K235" s="416">
        <f>K40+K107+K125+K228</f>
        <v>16281355.585740343</v>
      </c>
      <c r="L235" s="416"/>
      <c r="M235" s="416">
        <f>M40+M107+M125+M228</f>
        <v>18593917.11425966</v>
      </c>
      <c r="N235" s="416">
        <f>N40+N107+N125+N228</f>
        <v>21567638.450000007</v>
      </c>
      <c r="O235" s="416">
        <f>O40+O107+O125+O228</f>
        <v>-2973721.3357403441</v>
      </c>
      <c r="P235" s="416">
        <f>P40+P107+P125+P228</f>
        <v>-657585.72149904689</v>
      </c>
      <c r="Q235" s="245"/>
      <c r="R235" s="261">
        <v>5844290.0399999972</v>
      </c>
      <c r="S235" s="242"/>
    </row>
    <row r="236" spans="1:20" s="240" customFormat="1" ht="15" customHeight="1" thickBot="1">
      <c r="A236" s="399" t="s">
        <v>362</v>
      </c>
      <c r="B236" s="432"/>
      <c r="C236" s="433"/>
      <c r="D236" s="434">
        <f>D234+D235</f>
        <v>1061595926.25</v>
      </c>
      <c r="E236" s="434">
        <f t="shared" ref="E236:H236" si="220">E234+E235</f>
        <v>100959169.17999999</v>
      </c>
      <c r="F236" s="434">
        <f t="shared" si="220"/>
        <v>1196881.7599999984</v>
      </c>
      <c r="G236" s="434"/>
      <c r="H236" s="434">
        <f t="shared" si="220"/>
        <v>580651520.52327061</v>
      </c>
      <c r="I236" s="434">
        <f t="shared" ref="I236" si="221">I234+I235</f>
        <v>524207361.27999997</v>
      </c>
      <c r="J236" s="434">
        <f t="shared" ref="J236" si="222">J234+J235</f>
        <v>56444159.243270524</v>
      </c>
      <c r="K236" s="434">
        <f t="shared" ref="K236:M236" si="223">K234+K235</f>
        <v>35325721.366329148</v>
      </c>
      <c r="L236" s="434"/>
      <c r="M236" s="434">
        <f t="shared" si="223"/>
        <v>211488383.10694131</v>
      </c>
      <c r="N236" s="434">
        <f t="shared" ref="N236" si="224">N234+N235</f>
        <v>190369945.22999996</v>
      </c>
      <c r="O236" s="434">
        <f t="shared" ref="O236" si="225">O234+O235</f>
        <v>21118437.876941379</v>
      </c>
      <c r="P236" s="434">
        <f t="shared" ref="P236" si="226">P234+P235</f>
        <v>2883695.1935630725</v>
      </c>
      <c r="Q236" s="245"/>
      <c r="R236" s="261">
        <v>99762287.419999987</v>
      </c>
      <c r="S236" s="242"/>
    </row>
    <row r="237" spans="1:20" s="240" customFormat="1" ht="15" customHeight="1" thickTop="1">
      <c r="B237" s="246"/>
      <c r="C237" s="247"/>
      <c r="D237" s="245"/>
      <c r="E237" s="245"/>
      <c r="F237" s="245"/>
      <c r="G237" s="245"/>
      <c r="H237" s="245"/>
      <c r="I237" s="245"/>
      <c r="J237" s="245"/>
      <c r="K237" s="245"/>
      <c r="L237" s="245"/>
      <c r="M237" s="245"/>
      <c r="N237" s="245"/>
      <c r="O237" s="245"/>
      <c r="P237" s="245"/>
      <c r="Q237" s="245"/>
      <c r="R237" s="261"/>
      <c r="S237" s="242"/>
    </row>
    <row r="238" spans="1:20" s="240" customFormat="1" ht="15" customHeight="1">
      <c r="B238" s="246" t="s">
        <v>162</v>
      </c>
      <c r="C238" s="247">
        <f>C44+C111+C129+C232</f>
        <v>474496002.80000001</v>
      </c>
      <c r="D238" s="245"/>
      <c r="E238" s="245"/>
      <c r="F238" s="245" t="s">
        <v>145</v>
      </c>
      <c r="G238" s="245"/>
      <c r="H238" s="245"/>
      <c r="I238" s="247">
        <f>I44+I111+I129+I232</f>
        <v>480944405.72672939</v>
      </c>
      <c r="J238" s="245"/>
      <c r="K238" s="245"/>
      <c r="L238" s="245"/>
      <c r="M238" s="245" t="s">
        <v>30</v>
      </c>
      <c r="N238" s="247">
        <f>N44+N111+N129+N232</f>
        <v>-6038666.9767293781</v>
      </c>
      <c r="O238" s="245"/>
      <c r="P238" s="245"/>
      <c r="Q238" s="245"/>
      <c r="R238" s="261"/>
      <c r="S238" s="242"/>
    </row>
    <row r="239" spans="1:20" s="240" customFormat="1" ht="15" customHeight="1">
      <c r="A239" s="329"/>
      <c r="B239" s="235"/>
      <c r="C239" s="241"/>
      <c r="D239" s="245"/>
      <c r="E239" s="242"/>
      <c r="F239" s="242"/>
      <c r="G239" s="242"/>
      <c r="H239" s="242"/>
      <c r="I239" s="242"/>
      <c r="J239" s="242"/>
      <c r="K239" s="242"/>
      <c r="L239" s="242"/>
      <c r="M239" s="242"/>
      <c r="N239" s="242"/>
      <c r="O239" s="242"/>
      <c r="P239" s="242"/>
      <c r="Q239" s="242"/>
      <c r="R239" s="243"/>
      <c r="S239" s="242"/>
    </row>
    <row r="240" spans="1:20" s="240" customFormat="1" ht="15" customHeight="1">
      <c r="A240" s="330" t="s">
        <v>324</v>
      </c>
      <c r="B240" s="235"/>
      <c r="C240" s="241"/>
      <c r="D240" s="245"/>
      <c r="E240" s="242"/>
      <c r="F240" s="242"/>
      <c r="G240" s="242"/>
      <c r="H240" s="242"/>
      <c r="I240" s="242"/>
      <c r="J240" s="242"/>
      <c r="K240" s="242"/>
      <c r="L240" s="242"/>
      <c r="M240" s="242"/>
      <c r="N240" s="242"/>
      <c r="O240" s="242"/>
      <c r="P240" s="242"/>
      <c r="Q240" s="242"/>
      <c r="R240" s="243"/>
      <c r="S240" s="242"/>
    </row>
    <row r="241" spans="1:19" s="240" customFormat="1" ht="15" customHeight="1">
      <c r="A241" s="329">
        <f>Bonus!A223</f>
        <v>55.109000000000002</v>
      </c>
      <c r="B241" s="235" t="str">
        <f>Bonus!B223</f>
        <v>LA Dept of Water and Power - Silverlake</v>
      </c>
      <c r="C241" s="241">
        <f>Bonus!G223</f>
        <v>0.98309334615384614</v>
      </c>
      <c r="D241" s="242">
        <f>Bonus!C223</f>
        <v>5400000</v>
      </c>
      <c r="E241" s="243">
        <f>Bonus!E223</f>
        <v>1500000</v>
      </c>
      <c r="F241" s="242">
        <f t="shared" ref="F241" si="227">+E241-R241</f>
        <v>3027.8000000000466</v>
      </c>
      <c r="G241" s="242"/>
      <c r="H241" s="242">
        <f>Bonus!I223</f>
        <v>5308704.0692307688</v>
      </c>
      <c r="I241" s="242">
        <f>Bonus!F223</f>
        <v>3834064.05</v>
      </c>
      <c r="J241" s="242">
        <f>Bonus!H223</f>
        <v>1474640.0192307692</v>
      </c>
      <c r="K241" s="242">
        <f>Bonus!P223</f>
        <v>1463888.1685586551</v>
      </c>
      <c r="L241" s="242"/>
      <c r="M241" s="242">
        <f>+N241+O241</f>
        <v>227019.4506721138</v>
      </c>
      <c r="N241" s="242">
        <f>Bonus!Q223</f>
        <v>216267.59999999963</v>
      </c>
      <c r="O241" s="242">
        <f>Bonus!S223</f>
        <v>10751.850672114175</v>
      </c>
      <c r="P241" s="242">
        <f>O241-Bonus!Y223</f>
        <v>-21954.623027653433</v>
      </c>
      <c r="Q241" s="242"/>
      <c r="R241" s="243">
        <v>1496972.2</v>
      </c>
      <c r="S241" s="242"/>
    </row>
    <row r="242" spans="1:19" ht="15" customHeight="1">
      <c r="A242" s="329">
        <f>Bonus!A224</f>
        <v>55.119100000000003</v>
      </c>
      <c r="B242" s="235" t="str">
        <f>Bonus!B224</f>
        <v>Inland Empire Utilities - IEUA RP-5 Liquids Exp. &amp; Solids Treat. Facility</v>
      </c>
      <c r="C242" s="241">
        <f>Bonus!G224</f>
        <v>0.88584754094329154</v>
      </c>
      <c r="D242" s="242">
        <f>Bonus!C224</f>
        <v>341443133.70999998</v>
      </c>
      <c r="E242" s="243">
        <f>Bonus!E224</f>
        <v>3710498</v>
      </c>
      <c r="F242" s="242">
        <f t="shared" ref="F242:F249" si="228">+E242-R242</f>
        <v>-1500000</v>
      </c>
      <c r="G242" s="242"/>
      <c r="H242" s="242">
        <f>Bonus!I224</f>
        <v>302890122.83999997</v>
      </c>
      <c r="I242" s="242">
        <f>Bonus!F224</f>
        <v>299179624.83999997</v>
      </c>
      <c r="J242" s="242">
        <f>Bonus!H224</f>
        <v>3710498</v>
      </c>
      <c r="K242" s="242">
        <f>Bonus!P224</f>
        <v>7900000</v>
      </c>
      <c r="L242" s="242"/>
      <c r="M242" s="242">
        <f t="shared" ref="M242:M249" si="229">+N242+O242</f>
        <v>12322287.819999993</v>
      </c>
      <c r="N242" s="242">
        <f>Bonus!Q224</f>
        <v>16511789.819999993</v>
      </c>
      <c r="O242" s="242">
        <f>Bonus!S224</f>
        <v>-4189502</v>
      </c>
      <c r="P242" s="242">
        <f>O242-Bonus!Y224</f>
        <v>-1500000</v>
      </c>
      <c r="Q242" s="242"/>
      <c r="R242" s="279">
        <v>5210498</v>
      </c>
      <c r="S242" s="242"/>
    </row>
    <row r="243" spans="1:19" ht="15" customHeight="1">
      <c r="A243" s="329">
        <f>Bonus!A225</f>
        <v>55.119199999999999</v>
      </c>
      <c r="B243" s="235" t="str">
        <f>Bonus!B225</f>
        <v>Inland Empire Utilities - IEUA RP-1 Flare Improvements</v>
      </c>
      <c r="C243" s="241">
        <f>Bonus!G225</f>
        <v>0.99877990007606499</v>
      </c>
      <c r="D243" s="242">
        <f>Bonus!C225</f>
        <v>6651803.5300000003</v>
      </c>
      <c r="E243" s="243">
        <f>Bonus!E225</f>
        <v>250000</v>
      </c>
      <c r="F243" s="242">
        <f t="shared" si="228"/>
        <v>0</v>
      </c>
      <c r="G243" s="242"/>
      <c r="H243" s="242">
        <f>Bonus!I225</f>
        <v>6643992.6900000004</v>
      </c>
      <c r="I243" s="242">
        <f>Bonus!F225</f>
        <v>6393992.6900000004</v>
      </c>
      <c r="J243" s="242">
        <f>Bonus!H225</f>
        <v>250000</v>
      </c>
      <c r="K243" s="242">
        <f>Bonus!P225</f>
        <v>350000</v>
      </c>
      <c r="L243" s="242"/>
      <c r="M243" s="242">
        <f t="shared" si="229"/>
        <v>331298.95999999996</v>
      </c>
      <c r="N243" s="242">
        <f>Bonus!Q225</f>
        <v>431298.95999999996</v>
      </c>
      <c r="O243" s="242">
        <f>Bonus!S225</f>
        <v>-100000</v>
      </c>
      <c r="P243" s="242">
        <f>O243-Bonus!Y225</f>
        <v>0</v>
      </c>
      <c r="Q243" s="242"/>
      <c r="R243" s="243">
        <v>250000</v>
      </c>
      <c r="S243" s="242"/>
    </row>
    <row r="244" spans="1:19" ht="15" customHeight="1">
      <c r="A244" s="329">
        <f>Bonus!A226</f>
        <v>55.12</v>
      </c>
      <c r="B244" s="235" t="str">
        <f>Bonus!B226</f>
        <v>East County Advanced Water Purification Project - Package 1</v>
      </c>
      <c r="C244" s="241">
        <f>Bonus!G226</f>
        <v>0.99997505204305492</v>
      </c>
      <c r="D244" s="242">
        <f>Bonus!C226</f>
        <v>198075877</v>
      </c>
      <c r="E244" s="243">
        <f>Bonus!E226</f>
        <v>8100000</v>
      </c>
      <c r="F244" s="242">
        <f t="shared" si="228"/>
        <v>0</v>
      </c>
      <c r="G244" s="242"/>
      <c r="H244" s="242">
        <f>Bonus!I226</f>
        <v>197751131.77000001</v>
      </c>
      <c r="I244" s="242">
        <f>Bonus!F226</f>
        <v>189971137.49000001</v>
      </c>
      <c r="J244" s="242">
        <f>Bonus!H226</f>
        <v>7779994.2800000003</v>
      </c>
      <c r="K244" s="242">
        <f>Bonus!P226</f>
        <v>5995115.1299999999</v>
      </c>
      <c r="L244" s="242"/>
      <c r="M244" s="242">
        <f t="shared" si="229"/>
        <v>55551078.550000004</v>
      </c>
      <c r="N244" s="242">
        <f>Bonus!Q226</f>
        <v>53766199.400000006</v>
      </c>
      <c r="O244" s="242">
        <f>Bonus!S226</f>
        <v>1784879.1500000004</v>
      </c>
      <c r="P244" s="242">
        <f>O244-Bonus!Y226</f>
        <v>96391.870000000112</v>
      </c>
      <c r="Q244" s="242"/>
      <c r="R244" s="243">
        <v>8100000</v>
      </c>
      <c r="S244" s="242"/>
    </row>
    <row r="245" spans="1:19" ht="15" customHeight="1">
      <c r="A245" s="329">
        <f>Bonus!A227</f>
        <v>55.120199999999997</v>
      </c>
      <c r="B245" s="235" t="str">
        <f>Bonus!B227</f>
        <v>LA County Sanitation District - Oxygen Generation Project</v>
      </c>
      <c r="C245" s="241">
        <f>Bonus!G227</f>
        <v>0.63007355304443391</v>
      </c>
      <c r="D245" s="242">
        <f>Bonus!C227</f>
        <v>16396051.58</v>
      </c>
      <c r="E245" s="243">
        <f>Bonus!E227</f>
        <v>1175409</v>
      </c>
      <c r="F245" s="242">
        <f t="shared" si="228"/>
        <v>0</v>
      </c>
      <c r="G245" s="242"/>
      <c r="H245" s="242">
        <f>Bonus!I227</f>
        <v>10330718.474910405</v>
      </c>
      <c r="I245" s="242">
        <f>Bonus!F227</f>
        <v>9590124.3499999996</v>
      </c>
      <c r="J245" s="242">
        <f>Bonus!H227</f>
        <v>740594.12491040502</v>
      </c>
      <c r="K245" s="242">
        <f>Bonus!P227</f>
        <v>647450.70626823581</v>
      </c>
      <c r="L245" s="242"/>
      <c r="M245" s="242">
        <f t="shared" si="229"/>
        <v>1453695.6386421691</v>
      </c>
      <c r="N245" s="242">
        <f>Bonus!Q227</f>
        <v>1360552.2199999997</v>
      </c>
      <c r="O245" s="242">
        <f>Bonus!S227</f>
        <v>93143.418642169214</v>
      </c>
      <c r="P245" s="242">
        <f>O245-Bonus!Y227</f>
        <v>1354.7037297284696</v>
      </c>
      <c r="Q245" s="242"/>
      <c r="R245" s="243">
        <v>1175409</v>
      </c>
      <c r="S245" s="242"/>
    </row>
    <row r="246" spans="1:19" ht="15" customHeight="1">
      <c r="A246" s="329">
        <f>Bonus!A228</f>
        <v>55.120399999999997</v>
      </c>
      <c r="B246" s="235" t="str">
        <f>Bonus!B228</f>
        <v xml:space="preserve">East County Advanced Water Purification Project - Package 3 </v>
      </c>
      <c r="C246" s="241">
        <f>Bonus!G228</f>
        <v>0.99983887303204921</v>
      </c>
      <c r="D246" s="242">
        <f>Bonus!C228</f>
        <v>57722227</v>
      </c>
      <c r="E246" s="243">
        <f>Bonus!E228</f>
        <v>2500000</v>
      </c>
      <c r="F246" s="242">
        <f t="shared" si="228"/>
        <v>0</v>
      </c>
      <c r="G246" s="242"/>
      <c r="H246" s="242">
        <f>Bonus!I228</f>
        <v>57575368.219999999</v>
      </c>
      <c r="I246" s="242">
        <f>Bonus!F228</f>
        <v>55213329.210000001</v>
      </c>
      <c r="J246" s="242">
        <f>Bonus!H228</f>
        <v>2362039.0099999998</v>
      </c>
      <c r="K246" s="242">
        <f>Bonus!P228</f>
        <v>1917801.19</v>
      </c>
      <c r="L246" s="242"/>
      <c r="M246" s="242">
        <f t="shared" si="229"/>
        <v>17497029.810000002</v>
      </c>
      <c r="N246" s="242">
        <f>Bonus!Q228</f>
        <v>17052791.990000002</v>
      </c>
      <c r="O246" s="242">
        <f>Bonus!S228</f>
        <v>444237.81999999983</v>
      </c>
      <c r="P246" s="242">
        <f>O246-Bonus!Y228</f>
        <v>39757.699999999721</v>
      </c>
      <c r="Q246" s="242"/>
      <c r="R246" s="243">
        <v>2500000</v>
      </c>
      <c r="S246" s="242"/>
    </row>
    <row r="247" spans="1:19" ht="15" customHeight="1">
      <c r="A247" s="329">
        <f>Bonus!A229</f>
        <v>55.122700000000002</v>
      </c>
      <c r="B247" s="235" t="str">
        <f>Bonus!B229</f>
        <v>Eastern Municipal Water District - MVRWRF Plant 2B Equipping and Flow Diversion Project</v>
      </c>
      <c r="C247" s="241">
        <f>Bonus!G229</f>
        <v>0.99458517757348341</v>
      </c>
      <c r="D247" s="242">
        <f>Bonus!C229</f>
        <v>41504206.390000001</v>
      </c>
      <c r="E247" s="243">
        <f>Bonus!E229</f>
        <v>4350000</v>
      </c>
      <c r="F247" s="242">
        <f t="shared" si="228"/>
        <v>0</v>
      </c>
      <c r="G247" s="242"/>
      <c r="H247" s="242">
        <f>Bonus!I229</f>
        <v>41279468.482444651</v>
      </c>
      <c r="I247" s="242">
        <f>Bonus!F229</f>
        <v>36953022.960000001</v>
      </c>
      <c r="J247" s="242">
        <f>Bonus!H229</f>
        <v>4326445.5224446524</v>
      </c>
      <c r="K247" s="242">
        <f>Bonus!P229</f>
        <v>3399354.1719071292</v>
      </c>
      <c r="L247" s="242"/>
      <c r="M247" s="242">
        <f t="shared" si="229"/>
        <v>8547343.040537525</v>
      </c>
      <c r="N247" s="242">
        <f>Bonus!Q229</f>
        <v>7620251.6900000013</v>
      </c>
      <c r="O247" s="242">
        <f>Bonus!S229</f>
        <v>927091.35053752316</v>
      </c>
      <c r="P247" s="242">
        <f>O247-Bonus!Y229</f>
        <v>19842.958363481797</v>
      </c>
      <c r="Q247" s="242"/>
      <c r="R247" s="243">
        <v>4350000</v>
      </c>
      <c r="S247" s="242"/>
    </row>
    <row r="248" spans="1:19" ht="15" customHeight="1">
      <c r="A248" s="329">
        <f>Bonus!A230</f>
        <v>55.1233</v>
      </c>
      <c r="B248" s="235" t="str">
        <f>Bonus!B230</f>
        <v>Veolia Water West Operating Services, Inc. - Rialto Solids Handling Design-Build Project (Design Phase)</v>
      </c>
      <c r="C248" s="241">
        <f>Bonus!G230</f>
        <v>1.2815080664760692E-2</v>
      </c>
      <c r="D248" s="242">
        <f>Bonus!C230</f>
        <v>9838187</v>
      </c>
      <c r="E248" s="243">
        <f>Bonus!E230</f>
        <v>0</v>
      </c>
      <c r="F248" s="242">
        <f t="shared" si="228"/>
        <v>2344.5299999999988</v>
      </c>
      <c r="G248" s="242"/>
      <c r="H248" s="242">
        <f>Bonus!I230</f>
        <v>134506.16</v>
      </c>
      <c r="I248" s="242">
        <f>Bonus!F230</f>
        <v>126077.16</v>
      </c>
      <c r="J248" s="242">
        <f>Bonus!H230</f>
        <v>8429</v>
      </c>
      <c r="K248" s="242">
        <f>Bonus!P230</f>
        <v>8428.8399999999965</v>
      </c>
      <c r="L248" s="242"/>
      <c r="M248" s="242">
        <f t="shared" si="229"/>
        <v>49747.520000000004</v>
      </c>
      <c r="N248" s="242">
        <f>Bonus!Q230</f>
        <v>49747.360000000001</v>
      </c>
      <c r="O248" s="242">
        <f>Bonus!S230</f>
        <v>0.16000000000349246</v>
      </c>
      <c r="P248" s="242">
        <f>O248-Bonus!Y230</f>
        <v>10773.529999999999</v>
      </c>
      <c r="Q248" s="242"/>
      <c r="R248" s="243">
        <v>-2344.5299999999988</v>
      </c>
      <c r="S248" s="242"/>
    </row>
    <row r="249" spans="1:19" ht="15" customHeight="1">
      <c r="A249" s="329">
        <f>Bonus!A231</f>
        <v>55.1248</v>
      </c>
      <c r="B249" s="235" t="str">
        <f>Bonus!B231</f>
        <v>Anaergia Technologies LLC - City of Riverside - Digester 5 Rehabilitation</v>
      </c>
      <c r="C249" s="241">
        <f>Bonus!G231</f>
        <v>0.73399851882996203</v>
      </c>
      <c r="D249" s="242">
        <f>Bonus!C231</f>
        <v>5759301.8099999996</v>
      </c>
      <c r="E249" s="243">
        <f>Bonus!E231</f>
        <v>825000</v>
      </c>
      <c r="F249" s="242">
        <f t="shared" si="228"/>
        <v>100000</v>
      </c>
      <c r="G249" s="242"/>
      <c r="H249" s="242">
        <f>Bonus!I231</f>
        <v>4227318.9980347194</v>
      </c>
      <c r="I249" s="242">
        <f>Bonus!F231</f>
        <v>3621770.22</v>
      </c>
      <c r="J249" s="242">
        <f>Bonus!H231</f>
        <v>605548.77803471871</v>
      </c>
      <c r="K249" s="242">
        <f>Bonus!P231</f>
        <v>0</v>
      </c>
      <c r="L249" s="242"/>
      <c r="M249" s="242">
        <f t="shared" si="229"/>
        <v>3912565.9080347191</v>
      </c>
      <c r="N249" s="242">
        <f>Bonus!Q231</f>
        <v>3307017.1300000004</v>
      </c>
      <c r="O249" s="242">
        <f>Bonus!S231</f>
        <v>605548.77803471871</v>
      </c>
      <c r="P249" s="242">
        <f>O249-Bonus!Y231</f>
        <v>233129.4864427562</v>
      </c>
      <c r="Q249" s="242"/>
      <c r="R249" s="243">
        <v>725000</v>
      </c>
      <c r="S249" s="242"/>
    </row>
    <row r="250" spans="1:19" ht="15" customHeight="1">
      <c r="A250" s="329">
        <f>Bonus!A232</f>
        <v>55.124899999999997</v>
      </c>
      <c r="B250" s="235" t="str">
        <f>Bonus!B232</f>
        <v>Inland Empire Utilities - IEUA - RP-1 Solids Thickening Project - EN22044</v>
      </c>
      <c r="C250" s="241">
        <f>Bonus!G232</f>
        <v>0.10770145451553412</v>
      </c>
      <c r="D250" s="242">
        <f>Bonus!C232</f>
        <v>147525113</v>
      </c>
      <c r="E250" s="243">
        <f>Bonus!E232</f>
        <v>7821208</v>
      </c>
      <c r="F250" s="242">
        <f t="shared" ref="F250" si="230">+E250-R250</f>
        <v>0</v>
      </c>
      <c r="G250" s="242"/>
      <c r="H250" s="242">
        <f>Bonus!I232</f>
        <v>15046313.77</v>
      </c>
      <c r="I250" s="242">
        <f>Bonus!F232</f>
        <v>15046313.77</v>
      </c>
      <c r="J250" s="242">
        <f>Bonus!H232</f>
        <v>0</v>
      </c>
      <c r="K250" s="242">
        <f>Bonus!P232</f>
        <v>0</v>
      </c>
      <c r="L250" s="242"/>
      <c r="M250" s="242">
        <f t="shared" ref="M250" si="231">+N250+O250</f>
        <v>14105058.15</v>
      </c>
      <c r="N250" s="242">
        <f>Bonus!Q232</f>
        <v>14105058.15</v>
      </c>
      <c r="O250" s="242">
        <f>Bonus!S232</f>
        <v>0</v>
      </c>
      <c r="P250" s="242">
        <f>O250-Bonus!Y232</f>
        <v>0</v>
      </c>
      <c r="Q250" s="242"/>
      <c r="R250" s="243">
        <v>7821208</v>
      </c>
      <c r="S250" s="242"/>
    </row>
    <row r="251" spans="1:19" ht="15" customHeight="1">
      <c r="A251" s="329">
        <f>Bonus!A233</f>
        <v>55.125399999999999</v>
      </c>
      <c r="B251" s="235" t="str">
        <f>Bonus!B233</f>
        <v>JV w/City of Banning - Wastewater Treatment Plant Recycled Water</v>
      </c>
      <c r="C251" s="241">
        <f>Bonus!G233</f>
        <v>0.33177135864080293</v>
      </c>
      <c r="D251" s="242">
        <f>Bonus!C233</f>
        <v>471896.25</v>
      </c>
      <c r="E251" s="243">
        <f>Bonus!E233</f>
        <v>0</v>
      </c>
      <c r="F251" s="242">
        <f t="shared" ref="F251" si="232">+E251-R251</f>
        <v>0</v>
      </c>
      <c r="G251" s="242"/>
      <c r="H251" s="242">
        <f>Bonus!I233</f>
        <v>156561.66</v>
      </c>
      <c r="I251" s="242">
        <f>Bonus!F233</f>
        <v>156561.66</v>
      </c>
      <c r="J251" s="242">
        <f>Bonus!H233</f>
        <v>0</v>
      </c>
      <c r="K251" s="242">
        <f>Bonus!P233</f>
        <v>0</v>
      </c>
      <c r="L251" s="242"/>
      <c r="M251" s="242">
        <f t="shared" ref="M251" si="233">+N251+O251</f>
        <v>156561.66</v>
      </c>
      <c r="N251" s="242">
        <f>Bonus!Q233</f>
        <v>156561.66</v>
      </c>
      <c r="O251" s="242">
        <f>Bonus!S233</f>
        <v>0</v>
      </c>
      <c r="P251" s="242">
        <f>O251-Bonus!Y233</f>
        <v>0</v>
      </c>
      <c r="Q251" s="242"/>
      <c r="R251" s="243">
        <v>0</v>
      </c>
      <c r="S251" s="242"/>
    </row>
    <row r="252" spans="1:19" ht="15" customHeight="1">
      <c r="A252" s="329">
        <f>Bonus!A234</f>
        <v>55.125500000000002</v>
      </c>
      <c r="B252" s="235" t="str">
        <f>Bonus!B234</f>
        <v>City of Riverside - RWQCP Emergency Repair</v>
      </c>
      <c r="C252" s="241">
        <f>Bonus!G234</f>
        <v>1</v>
      </c>
      <c r="D252" s="242">
        <f>Bonus!C234</f>
        <v>14160.81</v>
      </c>
      <c r="E252" s="243">
        <f>Bonus!E234</f>
        <v>0</v>
      </c>
      <c r="F252" s="242">
        <f t="shared" ref="F252" si="234">+E252-R252</f>
        <v>0</v>
      </c>
      <c r="G252" s="242"/>
      <c r="H252" s="242">
        <f>Bonus!I234</f>
        <v>14160.81</v>
      </c>
      <c r="I252" s="242">
        <f>Bonus!F234</f>
        <v>14160.81</v>
      </c>
      <c r="J252" s="242">
        <f>Bonus!H234</f>
        <v>0</v>
      </c>
      <c r="K252" s="242">
        <f>Bonus!P234</f>
        <v>0</v>
      </c>
      <c r="L252" s="242"/>
      <c r="M252" s="242">
        <f t="shared" ref="M252" si="235">+N252+O252</f>
        <v>14160.81</v>
      </c>
      <c r="N252" s="242">
        <f>Bonus!Q234</f>
        <v>14160.81</v>
      </c>
      <c r="O252" s="242">
        <f>Bonus!S234</f>
        <v>0</v>
      </c>
      <c r="P252" s="242">
        <f>O252-Bonus!Y234</f>
        <v>0</v>
      </c>
      <c r="Q252" s="242"/>
      <c r="R252" s="243">
        <v>0</v>
      </c>
      <c r="S252" s="242"/>
    </row>
    <row r="253" spans="1:19" ht="15" customHeight="1">
      <c r="A253" s="329">
        <f>Bonus!A235</f>
        <v>55.125599999999999</v>
      </c>
      <c r="B253" s="235" t="str">
        <f>Bonus!B235</f>
        <v>Anaergia Technologies LLC - City of Riverside - OPS</v>
      </c>
      <c r="C253" s="241">
        <f>Bonus!G235</f>
        <v>3.501156610519332E-2</v>
      </c>
      <c r="D253" s="242">
        <f>Bonus!C235</f>
        <v>2888100</v>
      </c>
      <c r="E253" s="243">
        <f>Bonus!E235</f>
        <v>175000</v>
      </c>
      <c r="F253" s="242">
        <f t="shared" ref="F253" si="236">+E253-R253</f>
        <v>0</v>
      </c>
      <c r="G253" s="242"/>
      <c r="H253" s="242">
        <f>Bonus!I235</f>
        <v>94989.88</v>
      </c>
      <c r="I253" s="242">
        <f>Bonus!F235</f>
        <v>94989.88</v>
      </c>
      <c r="J253" s="242">
        <f>Bonus!H235</f>
        <v>0</v>
      </c>
      <c r="K253" s="242">
        <f>Bonus!P235</f>
        <v>0</v>
      </c>
      <c r="L253" s="242"/>
      <c r="M253" s="242">
        <f t="shared" ref="M253" si="237">+N253+O253</f>
        <v>94989.88</v>
      </c>
      <c r="N253" s="242">
        <f>Bonus!Q235</f>
        <v>94989.88</v>
      </c>
      <c r="O253" s="242">
        <f>Bonus!S235</f>
        <v>0</v>
      </c>
      <c r="P253" s="242">
        <f>O253-Bonus!Y235</f>
        <v>0</v>
      </c>
      <c r="Q253" s="242"/>
      <c r="R253" s="243">
        <v>175000</v>
      </c>
      <c r="S253" s="242"/>
    </row>
    <row r="254" spans="1:19" ht="15" hidden="1" customHeight="1">
      <c r="A254" s="329"/>
      <c r="C254" s="241"/>
      <c r="D254" s="242"/>
      <c r="E254" s="242"/>
      <c r="F254" s="242"/>
      <c r="G254" s="242"/>
      <c r="H254" s="242"/>
      <c r="I254" s="242"/>
      <c r="J254" s="242"/>
      <c r="K254" s="300"/>
      <c r="L254" s="242"/>
      <c r="M254" s="242"/>
      <c r="N254" s="242"/>
      <c r="O254" s="242"/>
      <c r="P254" s="242"/>
      <c r="Q254" s="242"/>
      <c r="R254" s="243"/>
      <c r="S254" s="242"/>
    </row>
    <row r="255" spans="1:19" ht="15" customHeight="1">
      <c r="A255" s="330" t="s">
        <v>325</v>
      </c>
      <c r="B255" s="240"/>
      <c r="C255" s="244"/>
      <c r="D255" s="245">
        <f>SUM(D241:D254)</f>
        <v>833690058.07999992</v>
      </c>
      <c r="E255" s="245">
        <f>SUM(E241:E254)</f>
        <v>30407115</v>
      </c>
      <c r="F255" s="245">
        <f>SUM(F241:F254)</f>
        <v>-1394627.67</v>
      </c>
      <c r="G255" s="245"/>
      <c r="H255" s="245">
        <f>SUM(H241:H254)</f>
        <v>641453357.82462037</v>
      </c>
      <c r="I255" s="245">
        <f>SUM(I241:I254)</f>
        <v>620195169.08999991</v>
      </c>
      <c r="J255" s="245">
        <f>SUM(J241:J254)</f>
        <v>21258188.734620541</v>
      </c>
      <c r="K255" s="245">
        <f>SUM(K241:K254)</f>
        <v>21682038.206734024</v>
      </c>
      <c r="L255" s="245"/>
      <c r="M255" s="245">
        <f>SUM(M241:M254)</f>
        <v>114262837.1978865</v>
      </c>
      <c r="N255" s="245">
        <f>SUM(N241:N254)</f>
        <v>114686686.67</v>
      </c>
      <c r="O255" s="245">
        <f>SUM(O241:O254)</f>
        <v>-423849.47211347392</v>
      </c>
      <c r="P255" s="245">
        <f>SUM(P241:P254)</f>
        <v>-1120704.3744916872</v>
      </c>
      <c r="Q255" s="245"/>
      <c r="R255" s="261">
        <v>29541839.759999998</v>
      </c>
      <c r="S255" s="242"/>
    </row>
    <row r="256" spans="1:19" ht="15" customHeight="1">
      <c r="A256" s="330"/>
      <c r="B256" s="240"/>
      <c r="C256" s="244"/>
      <c r="D256" s="242"/>
      <c r="E256" s="245"/>
      <c r="F256" s="245"/>
      <c r="G256" s="245"/>
      <c r="H256" s="245"/>
      <c r="I256" s="245"/>
      <c r="J256" s="245"/>
      <c r="K256" s="245"/>
      <c r="L256" s="245"/>
      <c r="M256" s="245"/>
      <c r="N256" s="245"/>
      <c r="O256" s="245"/>
      <c r="P256" s="245"/>
      <c r="Q256" s="245"/>
      <c r="R256" s="261"/>
      <c r="S256" s="242"/>
    </row>
    <row r="257" spans="1:19" ht="15" customHeight="1">
      <c r="A257" s="330" t="s">
        <v>326</v>
      </c>
      <c r="C257" s="241"/>
      <c r="D257" s="242"/>
      <c r="E257" s="242"/>
      <c r="F257" s="242"/>
      <c r="G257" s="242"/>
      <c r="H257" s="242"/>
      <c r="I257" s="242"/>
      <c r="J257" s="242"/>
      <c r="K257" s="242"/>
      <c r="L257" s="242"/>
      <c r="M257" s="242"/>
      <c r="N257" s="242"/>
      <c r="O257" s="242"/>
      <c r="P257" s="242"/>
      <c r="Q257" s="242"/>
      <c r="R257" s="243"/>
      <c r="S257" s="242"/>
    </row>
    <row r="258" spans="1:19" ht="15" customHeight="1">
      <c r="A258" s="329">
        <f>Bonus!A240</f>
        <v>55.122999999999998</v>
      </c>
      <c r="B258" s="235" t="str">
        <f>Bonus!B240</f>
        <v>Anaergia Technologies - VVWRA - DAF 3 Replacement</v>
      </c>
      <c r="C258" s="241">
        <f>Bonus!G240</f>
        <v>1</v>
      </c>
      <c r="D258" s="242">
        <f>Bonus!C240</f>
        <v>2273682.69</v>
      </c>
      <c r="E258" s="243">
        <f>Bonus!E240</f>
        <v>608537.3899999999</v>
      </c>
      <c r="F258" s="242">
        <f t="shared" ref="F258" si="238">+E258-R258</f>
        <v>0</v>
      </c>
      <c r="G258" s="242"/>
      <c r="H258" s="242">
        <f>Bonus!I240</f>
        <v>2273682.69</v>
      </c>
      <c r="I258" s="242">
        <f>Bonus!F240</f>
        <v>1665145.3</v>
      </c>
      <c r="J258" s="242">
        <f>Bonus!H240</f>
        <v>608537.3899999999</v>
      </c>
      <c r="K258" s="242">
        <f>Bonus!P240</f>
        <v>480252.03351581638</v>
      </c>
      <c r="L258" s="242"/>
      <c r="M258" s="242">
        <f t="shared" ref="M258" si="239">+N258+O258</f>
        <v>128285.35648418352</v>
      </c>
      <c r="N258" s="242">
        <f>Bonus!Q240</f>
        <v>0</v>
      </c>
      <c r="O258" s="242">
        <f>Bonus!S240</f>
        <v>128285.35648418352</v>
      </c>
      <c r="P258" s="242">
        <f>O258-Bonus!Y240</f>
        <v>0</v>
      </c>
      <c r="Q258" s="242"/>
      <c r="R258" s="243">
        <v>608537.3899999999</v>
      </c>
      <c r="S258" s="242"/>
    </row>
    <row r="259" spans="1:19" ht="15" customHeight="1">
      <c r="A259" s="329">
        <f>Bonus!A241</f>
        <v>55.123100000000001</v>
      </c>
      <c r="B259" s="235" t="str">
        <f>Bonus!B241</f>
        <v>City of Corona - WRF 1 Aeration System Improvements</v>
      </c>
      <c r="C259" s="241">
        <f>Bonus!G241</f>
        <v>1</v>
      </c>
      <c r="D259" s="242">
        <f>Bonus!C241</f>
        <v>4046200</v>
      </c>
      <c r="E259" s="243">
        <f>Bonus!E241</f>
        <v>724343.64000000013</v>
      </c>
      <c r="F259" s="242">
        <f t="shared" ref="F259" si="240">+E259-R259</f>
        <v>0</v>
      </c>
      <c r="G259" s="242"/>
      <c r="H259" s="242">
        <f>Bonus!I241</f>
        <v>4046200</v>
      </c>
      <c r="I259" s="242">
        <f>Bonus!F241</f>
        <v>3321856.36</v>
      </c>
      <c r="J259" s="242">
        <f>Bonus!H241</f>
        <v>724343.64000000013</v>
      </c>
      <c r="K259" s="242">
        <f>Bonus!P241</f>
        <v>627907.39539551828</v>
      </c>
      <c r="L259" s="242"/>
      <c r="M259" s="242">
        <f t="shared" ref="M259" si="241">+N259+O259</f>
        <v>112084.85460448172</v>
      </c>
      <c r="N259" s="242">
        <f>Bonus!Q241</f>
        <v>15648.60999999987</v>
      </c>
      <c r="O259" s="242">
        <f>Bonus!S241</f>
        <v>96436.24460448185</v>
      </c>
      <c r="P259" s="242">
        <f>O259-Bonus!Y241</f>
        <v>0</v>
      </c>
      <c r="Q259" s="242"/>
      <c r="R259" s="243">
        <v>724343.64000000013</v>
      </c>
      <c r="S259" s="242"/>
    </row>
    <row r="260" spans="1:19" ht="15" customHeight="1">
      <c r="A260" s="329">
        <f>Bonus!A242</f>
        <v>55.123800000000003</v>
      </c>
      <c r="B260" s="235" t="str">
        <f>Bonus!B242</f>
        <v>Anaergia Technologies LLC - East County Package 5</v>
      </c>
      <c r="C260" s="241">
        <f>Bonus!G242</f>
        <v>1</v>
      </c>
      <c r="D260" s="242">
        <f>Bonus!C242</f>
        <v>34207.53</v>
      </c>
      <c r="E260" s="243">
        <f>Bonus!E242</f>
        <v>1706.6700000000019</v>
      </c>
      <c r="F260" s="242">
        <f t="shared" ref="F260" si="242">+E260-R260</f>
        <v>-499.54999999999927</v>
      </c>
      <c r="G260" s="242"/>
      <c r="H260" s="242">
        <f>Bonus!I242</f>
        <v>34207.53</v>
      </c>
      <c r="I260" s="242">
        <f>Bonus!F242</f>
        <v>32500.859999999997</v>
      </c>
      <c r="J260" s="242">
        <f>Bonus!H242</f>
        <v>1706.6700000000019</v>
      </c>
      <c r="K260" s="242">
        <f>Bonus!P242</f>
        <v>8107.48</v>
      </c>
      <c r="L260" s="242"/>
      <c r="M260" s="242">
        <f t="shared" ref="M260" si="243">+N260+O260</f>
        <v>0</v>
      </c>
      <c r="N260" s="242">
        <f>Bonus!Q242</f>
        <v>6400.8099999999977</v>
      </c>
      <c r="O260" s="242">
        <f>Bonus!S242</f>
        <v>-6400.8099999999977</v>
      </c>
      <c r="P260" s="242">
        <f>O260-Bonus!Y242</f>
        <v>-499.54999999999927</v>
      </c>
      <c r="Q260" s="242"/>
      <c r="R260" s="243">
        <v>2206.2200000000012</v>
      </c>
      <c r="S260" s="242"/>
    </row>
    <row r="261" spans="1:19" ht="15" customHeight="1">
      <c r="A261" s="329">
        <f>Bonus!A243</f>
        <v>55.125</v>
      </c>
      <c r="B261" s="235" t="str">
        <f>Bonus!B243</f>
        <v>Anaergia Technologies LLC - VVWRA Digester Dome No. 1 Repair</v>
      </c>
      <c r="C261" s="241">
        <f>Bonus!G243</f>
        <v>1</v>
      </c>
      <c r="D261" s="242">
        <f>Bonus!C243</f>
        <v>184557.17</v>
      </c>
      <c r="E261" s="243">
        <f>Bonus!E243</f>
        <v>136263.23000000001</v>
      </c>
      <c r="F261" s="242">
        <f t="shared" ref="F261" si="244">+E261-R261</f>
        <v>0</v>
      </c>
      <c r="G261" s="242"/>
      <c r="H261" s="242">
        <f>Bonus!I243</f>
        <v>184557.17</v>
      </c>
      <c r="I261" s="242">
        <f>Bonus!F243</f>
        <v>48293.94</v>
      </c>
      <c r="J261" s="242">
        <f>Bonus!H243</f>
        <v>136263.23000000001</v>
      </c>
      <c r="K261" s="242">
        <f>Bonus!P243</f>
        <v>101052.15979904546</v>
      </c>
      <c r="L261" s="242"/>
      <c r="M261" s="242">
        <f t="shared" ref="M261" si="245">+N261+O261</f>
        <v>36965.370200954552</v>
      </c>
      <c r="N261" s="242">
        <f>Bonus!Q243</f>
        <v>1754.3000000000029</v>
      </c>
      <c r="O261" s="242">
        <f>Bonus!S243</f>
        <v>35211.070200954549</v>
      </c>
      <c r="P261" s="242">
        <f>O261-Bonus!Y243</f>
        <v>0</v>
      </c>
      <c r="Q261" s="242"/>
      <c r="R261" s="243">
        <v>136263.23000000001</v>
      </c>
      <c r="S261" s="242"/>
    </row>
    <row r="262" spans="1:19" ht="15" customHeight="1">
      <c r="A262" s="329">
        <f>Bonus!A244</f>
        <v>55.125100000000003</v>
      </c>
      <c r="B262" s="235" t="str">
        <f>Bonus!B244</f>
        <v>Woodard &amp; Curran, Inc. - VVWRA Magnesium Hydroxide Feed System Upgrade</v>
      </c>
      <c r="C262" s="241">
        <f>Bonus!G244</f>
        <v>1</v>
      </c>
      <c r="D262" s="242">
        <f>Bonus!C244</f>
        <v>322982.96000000002</v>
      </c>
      <c r="E262" s="243">
        <f>Bonus!E244</f>
        <v>38761.100000000035</v>
      </c>
      <c r="F262" s="242">
        <f t="shared" ref="F262" si="246">+E262-R262</f>
        <v>0</v>
      </c>
      <c r="G262" s="242"/>
      <c r="H262" s="242">
        <f>Bonus!I244</f>
        <v>322982.96000000002</v>
      </c>
      <c r="I262" s="242">
        <f>Bonus!F244</f>
        <v>284221.86</v>
      </c>
      <c r="J262" s="242">
        <f>Bonus!H244</f>
        <v>38761.100000000035</v>
      </c>
      <c r="K262" s="242">
        <f>Bonus!P244</f>
        <v>0</v>
      </c>
      <c r="L262" s="242"/>
      <c r="M262" s="242">
        <f t="shared" ref="M262" si="247">+N262+O262</f>
        <v>322982.96000000002</v>
      </c>
      <c r="N262" s="242">
        <f>Bonus!Q244</f>
        <v>284221.86</v>
      </c>
      <c r="O262" s="242">
        <f>Bonus!S244</f>
        <v>38761.100000000035</v>
      </c>
      <c r="P262" s="242">
        <f>O262-Bonus!Y244</f>
        <v>0</v>
      </c>
      <c r="Q262" s="242"/>
      <c r="R262" s="243">
        <v>38761.100000000035</v>
      </c>
      <c r="S262" s="242"/>
    </row>
    <row r="263" spans="1:19" ht="15" customHeight="1">
      <c r="A263" s="329">
        <f>Bonus!A245</f>
        <v>55.1252</v>
      </c>
      <c r="B263" s="235" t="str">
        <f>Bonus!B245</f>
        <v>Murrieta Overhead 2025</v>
      </c>
      <c r="C263" s="241">
        <f>Bonus!G245</f>
        <v>1</v>
      </c>
      <c r="D263" s="242">
        <f>Bonus!C245</f>
        <v>0</v>
      </c>
      <c r="E263" s="243">
        <f>Bonus!E245</f>
        <v>-1958826.45</v>
      </c>
      <c r="F263" s="242">
        <f t="shared" ref="F263:F264" si="248">+E263-R263</f>
        <v>-154979.8899999999</v>
      </c>
      <c r="G263" s="242"/>
      <c r="H263" s="242">
        <f>Bonus!I245</f>
        <v>0</v>
      </c>
      <c r="I263" s="242">
        <f>Bonus!F245</f>
        <v>1958826.45</v>
      </c>
      <c r="J263" s="242">
        <f>Bonus!H245</f>
        <v>-1958826.45</v>
      </c>
      <c r="K263" s="242">
        <f>Bonus!P245</f>
        <v>0</v>
      </c>
      <c r="L263" s="242"/>
      <c r="M263" s="242">
        <f t="shared" ref="M263:M264" si="249">+N263+O263</f>
        <v>0</v>
      </c>
      <c r="N263" s="242">
        <f>Bonus!Q245</f>
        <v>1958826.45</v>
      </c>
      <c r="O263" s="242">
        <f>Bonus!S245</f>
        <v>-1958826.45</v>
      </c>
      <c r="P263" s="242">
        <f>O263-Bonus!Y245</f>
        <v>-154979.8899999999</v>
      </c>
      <c r="Q263" s="242"/>
      <c r="R263" s="243">
        <v>-1803846.56</v>
      </c>
      <c r="S263" s="242"/>
    </row>
    <row r="264" spans="1:19" ht="15" customHeight="1">
      <c r="A264" s="329">
        <f>Bonus!A246</f>
        <v>55.125300000000003</v>
      </c>
      <c r="B264" s="235" t="str">
        <f>Bonus!B246</f>
        <v>Murrieta Estimating 2025</v>
      </c>
      <c r="C264" s="241">
        <f>Bonus!G246</f>
        <v>1</v>
      </c>
      <c r="D264" s="242">
        <f>Bonus!C246</f>
        <v>0</v>
      </c>
      <c r="E264" s="243">
        <f>Bonus!E246</f>
        <v>-475814.03</v>
      </c>
      <c r="F264" s="242">
        <f t="shared" si="248"/>
        <v>-19757.680000000051</v>
      </c>
      <c r="G264" s="242"/>
      <c r="H264" s="242">
        <f>Bonus!I246</f>
        <v>0</v>
      </c>
      <c r="I264" s="242">
        <f>Bonus!F246</f>
        <v>475814.03</v>
      </c>
      <c r="J264" s="242">
        <f>Bonus!H246</f>
        <v>-475814.03</v>
      </c>
      <c r="K264" s="242">
        <f>Bonus!P246</f>
        <v>0</v>
      </c>
      <c r="L264" s="242"/>
      <c r="M264" s="242">
        <f t="shared" si="249"/>
        <v>0</v>
      </c>
      <c r="N264" s="242">
        <f>Bonus!Q246</f>
        <v>475814.03</v>
      </c>
      <c r="O264" s="242">
        <f>Bonus!S246</f>
        <v>-475814.03</v>
      </c>
      <c r="P264" s="242">
        <f>O264-Bonus!Y246</f>
        <v>-19757.680000000051</v>
      </c>
      <c r="Q264" s="242"/>
      <c r="R264" s="243">
        <v>-456056.35</v>
      </c>
      <c r="S264" s="242"/>
    </row>
    <row r="265" spans="1:19" ht="15" hidden="1" customHeight="1">
      <c r="A265" s="329"/>
      <c r="C265" s="241"/>
      <c r="D265" s="242"/>
      <c r="E265" s="242"/>
      <c r="F265" s="242"/>
      <c r="G265" s="242"/>
      <c r="H265" s="242"/>
      <c r="I265" s="242"/>
      <c r="J265" s="242"/>
      <c r="K265" s="300"/>
      <c r="L265" s="242"/>
      <c r="M265" s="242"/>
      <c r="N265" s="242"/>
      <c r="O265" s="242"/>
      <c r="P265" s="242"/>
      <c r="Q265" s="242"/>
      <c r="R265" s="243"/>
      <c r="S265" s="242"/>
    </row>
    <row r="266" spans="1:19" ht="15" customHeight="1">
      <c r="A266" s="330" t="s">
        <v>327</v>
      </c>
      <c r="B266" s="240"/>
      <c r="C266" s="244"/>
      <c r="D266" s="245">
        <f>SUM(D258:D265)</f>
        <v>6861630.3499999996</v>
      </c>
      <c r="E266" s="245">
        <f t="shared" ref="E266:F266" si="250">SUM(E258:E265)</f>
        <v>-925028.45</v>
      </c>
      <c r="F266" s="245">
        <f t="shared" si="250"/>
        <v>-175237.11999999994</v>
      </c>
      <c r="G266" s="245"/>
      <c r="H266" s="245">
        <f t="shared" ref="H266:K266" si="251">SUM(H258:H265)</f>
        <v>6861630.3499999996</v>
      </c>
      <c r="I266" s="245">
        <f t="shared" si="251"/>
        <v>7786658.8000000017</v>
      </c>
      <c r="J266" s="245">
        <f t="shared" si="251"/>
        <v>-925028.45</v>
      </c>
      <c r="K266" s="245">
        <f t="shared" si="251"/>
        <v>1217319.06871038</v>
      </c>
      <c r="L266" s="245"/>
      <c r="M266" s="245">
        <f>SUM(M258:M265)</f>
        <v>600318.54128961987</v>
      </c>
      <c r="N266" s="245">
        <f t="shared" ref="N266:P266" si="252">SUM(N258:N265)</f>
        <v>2742666.0599999996</v>
      </c>
      <c r="O266" s="245">
        <f t="shared" si="252"/>
        <v>-2142347.51871038</v>
      </c>
      <c r="P266" s="245">
        <f t="shared" si="252"/>
        <v>-175237.11999999994</v>
      </c>
      <c r="Q266" s="245"/>
      <c r="R266" s="261">
        <v>1510111.58</v>
      </c>
      <c r="S266" s="242"/>
    </row>
    <row r="267" spans="1:19" ht="15" customHeight="1">
      <c r="A267" s="330"/>
      <c r="B267" s="240"/>
      <c r="C267" s="244"/>
      <c r="D267" s="242"/>
      <c r="E267" s="245"/>
      <c r="F267" s="245"/>
      <c r="G267" s="245"/>
      <c r="H267" s="245"/>
      <c r="I267" s="245"/>
      <c r="J267" s="245"/>
      <c r="K267" s="245"/>
      <c r="L267" s="245"/>
      <c r="M267" s="245"/>
      <c r="N267" s="245"/>
      <c r="O267" s="245"/>
      <c r="P267" s="245"/>
      <c r="Q267" s="245"/>
      <c r="R267" s="261"/>
      <c r="S267" s="242"/>
    </row>
    <row r="268" spans="1:19" ht="15" customHeight="1">
      <c r="A268" s="429" t="s">
        <v>328</v>
      </c>
      <c r="B268" s="252"/>
      <c r="C268" s="253"/>
      <c r="D268" s="254">
        <f>SUM(D255+D266)</f>
        <v>840551688.42999995</v>
      </c>
      <c r="E268" s="254">
        <f>E255+E266</f>
        <v>29482086.550000001</v>
      </c>
      <c r="F268" s="254">
        <f>F255+F266</f>
        <v>-1569864.7899999998</v>
      </c>
      <c r="G268" s="254"/>
      <c r="H268" s="254">
        <f>H255+H266</f>
        <v>648314988.17462039</v>
      </c>
      <c r="I268" s="254">
        <f>I255+I266</f>
        <v>627981827.88999987</v>
      </c>
      <c r="J268" s="254">
        <f>J255+J266</f>
        <v>20333160.284620542</v>
      </c>
      <c r="K268" s="254">
        <f>K255+K266</f>
        <v>22899357.275444403</v>
      </c>
      <c r="L268" s="254"/>
      <c r="M268" s="254">
        <f>M255+M266</f>
        <v>114863155.73917611</v>
      </c>
      <c r="N268" s="254">
        <f>N255+N266</f>
        <v>117429352.73</v>
      </c>
      <c r="O268" s="254">
        <f>O255+O266</f>
        <v>-2566196.9908238538</v>
      </c>
      <c r="P268" s="254">
        <f>P255+P266</f>
        <v>-1295941.494491687</v>
      </c>
      <c r="Q268" s="245"/>
      <c r="R268" s="261">
        <v>31051951.339999996</v>
      </c>
      <c r="S268" s="242"/>
    </row>
    <row r="269" spans="1:19" ht="15" customHeight="1">
      <c r="A269" s="330"/>
      <c r="B269" s="240"/>
      <c r="C269" s="244"/>
      <c r="D269" s="245"/>
      <c r="E269" s="245"/>
      <c r="F269" s="245"/>
      <c r="G269" s="245"/>
      <c r="H269" s="245"/>
      <c r="I269" s="245"/>
      <c r="J269" s="245"/>
      <c r="K269" s="245"/>
      <c r="L269" s="245"/>
      <c r="M269" s="245"/>
      <c r="N269" s="245"/>
      <c r="O269" s="245"/>
      <c r="P269" s="245"/>
      <c r="Q269" s="245"/>
      <c r="R269" s="261"/>
      <c r="S269" s="242"/>
    </row>
    <row r="270" spans="1:19" ht="15" customHeight="1">
      <c r="A270" s="330"/>
      <c r="B270" s="246" t="s">
        <v>162</v>
      </c>
      <c r="C270" s="247">
        <f>D268-Bonus!J249</f>
        <v>198167503.18999994</v>
      </c>
      <c r="D270" s="245"/>
      <c r="E270" s="245"/>
      <c r="F270" s="245" t="s">
        <v>145</v>
      </c>
      <c r="G270" s="245"/>
      <c r="H270" s="245"/>
      <c r="I270" s="245">
        <f>D268-H268</f>
        <v>192236700.25537956</v>
      </c>
      <c r="J270" s="245"/>
      <c r="K270" s="245"/>
      <c r="L270" s="245"/>
      <c r="M270" s="245" t="s">
        <v>30</v>
      </c>
      <c r="N270" s="245">
        <f>H268-Bonus!J249-3926974.45</f>
        <v>2003828.4846203802</v>
      </c>
      <c r="O270" s="245"/>
      <c r="P270" s="245"/>
      <c r="Q270" s="245"/>
      <c r="R270" s="261"/>
      <c r="S270" s="242"/>
    </row>
    <row r="271" spans="1:19" ht="15" customHeight="1">
      <c r="A271" s="329"/>
      <c r="C271" s="241"/>
      <c r="D271" s="242"/>
      <c r="E271" s="242"/>
      <c r="F271" s="242"/>
      <c r="G271" s="242"/>
      <c r="H271" s="242"/>
      <c r="I271" s="242"/>
      <c r="J271" s="242"/>
      <c r="K271" s="242"/>
      <c r="L271" s="242"/>
      <c r="M271" s="242"/>
      <c r="N271" s="242"/>
      <c r="O271" s="242"/>
      <c r="P271" s="242"/>
      <c r="Q271" s="245"/>
      <c r="R271" s="261"/>
      <c r="S271" s="242"/>
    </row>
    <row r="272" spans="1:19" ht="15" customHeight="1">
      <c r="A272" s="329"/>
      <c r="C272" s="241"/>
      <c r="D272" s="242"/>
      <c r="E272" s="242"/>
      <c r="F272" s="242"/>
      <c r="G272" s="242"/>
      <c r="H272" s="242"/>
      <c r="I272" s="242"/>
      <c r="J272" s="242"/>
      <c r="K272" s="242"/>
      <c r="L272" s="242"/>
      <c r="M272" s="242"/>
      <c r="N272" s="242"/>
      <c r="O272" s="242"/>
      <c r="P272" s="242"/>
      <c r="Q272" s="245"/>
      <c r="R272" s="261"/>
      <c r="S272" s="242"/>
    </row>
    <row r="273" spans="1:19" ht="15" customHeight="1">
      <c r="A273" s="329"/>
      <c r="C273" s="241"/>
      <c r="D273" s="242"/>
      <c r="E273" s="242"/>
      <c r="F273" s="242"/>
      <c r="G273" s="242"/>
      <c r="H273" s="242"/>
      <c r="I273" s="242"/>
      <c r="J273" s="242"/>
      <c r="K273" s="242"/>
      <c r="L273" s="242"/>
      <c r="M273" s="242"/>
      <c r="N273" s="242"/>
      <c r="O273" s="242"/>
      <c r="P273" s="242"/>
      <c r="Q273" s="245"/>
      <c r="R273" s="261"/>
      <c r="S273" s="242"/>
    </row>
    <row r="274" spans="1:19" ht="15" customHeight="1">
      <c r="A274" s="330" t="s">
        <v>292</v>
      </c>
      <c r="C274" s="241"/>
      <c r="D274" s="242"/>
      <c r="E274" s="242"/>
      <c r="F274" s="242"/>
      <c r="G274" s="242"/>
      <c r="H274" s="242"/>
      <c r="I274" s="242"/>
      <c r="J274" s="242"/>
      <c r="K274" s="242"/>
      <c r="L274" s="242"/>
      <c r="M274" s="242"/>
      <c r="N274" s="242"/>
      <c r="O274" s="242"/>
      <c r="P274" s="242"/>
      <c r="Q274" s="245"/>
      <c r="R274" s="261"/>
      <c r="S274" s="242"/>
    </row>
    <row r="275" spans="1:19" ht="15" customHeight="1">
      <c r="A275" s="329">
        <f>Bonus!A252</f>
        <v>57.000300000000003</v>
      </c>
      <c r="B275" s="235" t="str">
        <f>Bonus!B252</f>
        <v>Moulton Niguel Water Dist. - Advanced Water Treatment Facility Salinity Management System - Ph 1</v>
      </c>
      <c r="C275" s="241">
        <f>Bonus!G252</f>
        <v>0.17665557960076636</v>
      </c>
      <c r="D275" s="242">
        <f>Bonus!C252</f>
        <v>38165419.5</v>
      </c>
      <c r="E275" s="243">
        <f>Bonus!E252</f>
        <v>2407086</v>
      </c>
      <c r="F275" s="242">
        <f t="shared" ref="F275:F276" si="253">+E275-R275</f>
        <v>0</v>
      </c>
      <c r="G275" s="242"/>
      <c r="H275" s="242">
        <f>Bonus!I252</f>
        <v>6440831.3024788899</v>
      </c>
      <c r="I275" s="242">
        <f>Bonus!F252</f>
        <v>6316909.1299999999</v>
      </c>
      <c r="J275" s="242">
        <f>Bonus!H252</f>
        <v>123922.17247889005</v>
      </c>
      <c r="K275" s="242">
        <f>Bonus!P252</f>
        <v>96385.411809887213</v>
      </c>
      <c r="L275" s="242"/>
      <c r="M275" s="242">
        <f t="shared" ref="M275:M276" si="254">+N275+O275</f>
        <v>5442603.980669003</v>
      </c>
      <c r="N275" s="242">
        <f>Bonus!Q252</f>
        <v>5415067.2199999997</v>
      </c>
      <c r="O275" s="242">
        <f>Bonus!S252</f>
        <v>27536.760669002833</v>
      </c>
      <c r="P275" s="242">
        <f>O275-Bonus!Y252</f>
        <v>27536.914913202636</v>
      </c>
      <c r="Q275" s="245"/>
      <c r="R275" s="243">
        <v>2407086</v>
      </c>
      <c r="S275" s="242"/>
    </row>
    <row r="276" spans="1:19" ht="15" customHeight="1">
      <c r="A276" s="329">
        <f>Bonus!A253</f>
        <v>57.000399999999999</v>
      </c>
      <c r="B276" s="235" t="str">
        <f>Bonus!B253</f>
        <v>Santa Margarita Water Dist. - Oso Creek Water Reclamation Plant Optimization Project</v>
      </c>
      <c r="C276" s="241">
        <f>Bonus!G253</f>
        <v>1.9798701219217615E-2</v>
      </c>
      <c r="D276" s="242">
        <f>Bonus!C253</f>
        <v>40106224.630000003</v>
      </c>
      <c r="E276" s="243">
        <f>Bonus!E253</f>
        <v>2209857</v>
      </c>
      <c r="F276" s="242">
        <f t="shared" si="253"/>
        <v>0</v>
      </c>
      <c r="G276" s="242"/>
      <c r="H276" s="242">
        <f>Bonus!I253</f>
        <v>750298.86</v>
      </c>
      <c r="I276" s="242">
        <f>Bonus!F253</f>
        <v>750298.86</v>
      </c>
      <c r="J276" s="242">
        <f>Bonus!H253</f>
        <v>0</v>
      </c>
      <c r="K276" s="242">
        <f>Bonus!P253</f>
        <v>0</v>
      </c>
      <c r="L276" s="242"/>
      <c r="M276" s="242">
        <f t="shared" si="254"/>
        <v>63391.119999999995</v>
      </c>
      <c r="N276" s="242">
        <f>Bonus!Q253</f>
        <v>63391.119999999995</v>
      </c>
      <c r="O276" s="242">
        <f>Bonus!S253</f>
        <v>0</v>
      </c>
      <c r="P276" s="242">
        <f>O276-Bonus!Y253</f>
        <v>0</v>
      </c>
      <c r="Q276" s="245"/>
      <c r="R276" s="261">
        <v>2209857</v>
      </c>
      <c r="S276" s="242"/>
    </row>
    <row r="277" spans="1:19" ht="15" customHeight="1">
      <c r="A277" s="329">
        <f>Bonus!A254</f>
        <v>57.000700000000002</v>
      </c>
      <c r="B277" s="235" t="str">
        <f>Bonus!B254</f>
        <v>Anaergia Technologies, LLC - East County Package 5 - Phase 1B</v>
      </c>
      <c r="C277" s="241">
        <f>Bonus!G254</f>
        <v>1</v>
      </c>
      <c r="D277" s="242">
        <f>Bonus!C254</f>
        <v>162630</v>
      </c>
      <c r="E277" s="243">
        <f>Bonus!E254</f>
        <v>-33618.399999999994</v>
      </c>
      <c r="F277" s="242">
        <f t="shared" ref="F277" si="255">+E277-R277</f>
        <v>-1383.2999999999884</v>
      </c>
      <c r="G277" s="242"/>
      <c r="H277" s="242">
        <f>Bonus!I254</f>
        <v>162630</v>
      </c>
      <c r="I277" s="242">
        <f>Bonus!F254</f>
        <v>196248.4</v>
      </c>
      <c r="J277" s="242">
        <f>Bonus!H254</f>
        <v>-33618.399999999994</v>
      </c>
      <c r="K277" s="242">
        <f>Bonus!P254</f>
        <v>0</v>
      </c>
      <c r="L277" s="242"/>
      <c r="M277" s="242">
        <f t="shared" ref="M277" si="256">+N277+O277</f>
        <v>162630</v>
      </c>
      <c r="N277" s="242">
        <f>Bonus!Q254</f>
        <v>196248.4</v>
      </c>
      <c r="O277" s="242">
        <f>Bonus!S254</f>
        <v>-33618.399999999994</v>
      </c>
      <c r="P277" s="242">
        <f>O277-Bonus!Y254</f>
        <v>-1383.2999999999884</v>
      </c>
      <c r="Q277" s="245"/>
      <c r="R277" s="261">
        <v>-32235.100000000006</v>
      </c>
      <c r="S277" s="242"/>
    </row>
    <row r="278" spans="1:19" ht="15" customHeight="1">
      <c r="A278" s="329">
        <f>Bonus!A255</f>
        <v>57.000799999999998</v>
      </c>
      <c r="B278" s="235" t="str">
        <f>Bonus!B255</f>
        <v>Imperial Irrigation Dist. - El Centro Generating Station WWTP</v>
      </c>
      <c r="C278" s="241">
        <f>Bonus!G255</f>
        <v>9.5621203054538986E-2</v>
      </c>
      <c r="D278" s="242">
        <f>Bonus!C255</f>
        <v>2876047</v>
      </c>
      <c r="E278" s="243">
        <f>Bonus!E255</f>
        <v>132065</v>
      </c>
      <c r="F278" s="242">
        <f t="shared" ref="F278" si="257">+E278-R278</f>
        <v>0</v>
      </c>
      <c r="G278" s="242"/>
      <c r="H278" s="242">
        <f>Bonus!I255</f>
        <v>262382.86</v>
      </c>
      <c r="I278" s="242">
        <f>Bonus!F255</f>
        <v>262382.86</v>
      </c>
      <c r="J278" s="242">
        <f>Bonus!H255</f>
        <v>0</v>
      </c>
      <c r="K278" s="242">
        <f>Bonus!P255</f>
        <v>0</v>
      </c>
      <c r="L278" s="242"/>
      <c r="M278" s="242">
        <f t="shared" ref="M278" si="258">+N278+O278</f>
        <v>262382.86</v>
      </c>
      <c r="N278" s="242">
        <f>Bonus!Q255</f>
        <v>262382.86</v>
      </c>
      <c r="O278" s="242">
        <f>Bonus!S255</f>
        <v>0</v>
      </c>
      <c r="P278" s="242">
        <f>O278-Bonus!Y255</f>
        <v>0</v>
      </c>
      <c r="Q278" s="245"/>
      <c r="R278" s="261">
        <v>132065</v>
      </c>
      <c r="S278" s="242"/>
    </row>
    <row r="279" spans="1:19" ht="15" hidden="1" customHeight="1">
      <c r="A279" s="329"/>
      <c r="C279" s="241"/>
      <c r="D279" s="242"/>
      <c r="E279" s="242"/>
      <c r="F279" s="242"/>
      <c r="G279" s="242"/>
      <c r="H279" s="242"/>
      <c r="I279" s="242"/>
      <c r="J279" s="242"/>
      <c r="K279" s="242"/>
      <c r="L279" s="242"/>
      <c r="M279" s="242"/>
      <c r="N279" s="242"/>
      <c r="O279" s="242"/>
      <c r="P279" s="242"/>
      <c r="Q279" s="245"/>
      <c r="R279" s="261"/>
      <c r="S279" s="242"/>
    </row>
    <row r="280" spans="1:19" ht="15" customHeight="1">
      <c r="A280" s="330" t="s">
        <v>293</v>
      </c>
      <c r="C280" s="241"/>
      <c r="D280" s="245">
        <f>SUM(D275:D279)</f>
        <v>81310321.129999995</v>
      </c>
      <c r="E280" s="245">
        <f>SUM(E275:E279)</f>
        <v>4715389.5999999996</v>
      </c>
      <c r="F280" s="245">
        <f>SUM(F275:F279)</f>
        <v>-1383.2999999999884</v>
      </c>
      <c r="G280" s="242"/>
      <c r="H280" s="245">
        <f>SUM(H275:H279)</f>
        <v>7616143.0224788906</v>
      </c>
      <c r="I280" s="245">
        <f>SUM(I275:I279)</f>
        <v>7525839.2500000009</v>
      </c>
      <c r="J280" s="245">
        <f>SUM(J275:J279)</f>
        <v>90303.772478890052</v>
      </c>
      <c r="K280" s="245">
        <f>SUM(K275:K279)</f>
        <v>96385.411809887213</v>
      </c>
      <c r="L280" s="242"/>
      <c r="M280" s="245">
        <f>SUM(M275:M279)</f>
        <v>5931007.9606690034</v>
      </c>
      <c r="N280" s="245">
        <f>SUM(N275:N279)</f>
        <v>5937089.6000000006</v>
      </c>
      <c r="O280" s="245">
        <f>SUM(O275:O279)</f>
        <v>-6081.6393309971609</v>
      </c>
      <c r="P280" s="245">
        <f>SUM(P275:P279)</f>
        <v>26153.614913202648</v>
      </c>
      <c r="Q280" s="245"/>
      <c r="R280" s="261">
        <v>4626397.92</v>
      </c>
      <c r="S280" s="242"/>
    </row>
    <row r="281" spans="1:19" ht="15" customHeight="1">
      <c r="A281" s="329"/>
      <c r="C281" s="241"/>
      <c r="D281" s="242"/>
      <c r="E281" s="242"/>
      <c r="F281" s="242"/>
      <c r="G281" s="242"/>
      <c r="H281" s="242"/>
      <c r="I281" s="242"/>
      <c r="J281" s="242"/>
      <c r="K281" s="242"/>
      <c r="L281" s="242"/>
      <c r="M281" s="242"/>
      <c r="N281" s="242"/>
      <c r="O281" s="242"/>
      <c r="P281" s="242"/>
      <c r="Q281" s="245"/>
      <c r="R281" s="261"/>
      <c r="S281" s="242"/>
    </row>
    <row r="282" spans="1:19" ht="15" customHeight="1">
      <c r="A282" s="330" t="s">
        <v>294</v>
      </c>
      <c r="C282" s="241"/>
      <c r="D282" s="242"/>
      <c r="E282" s="242"/>
      <c r="F282" s="242"/>
      <c r="G282" s="242"/>
      <c r="H282" s="242"/>
      <c r="I282" s="242"/>
      <c r="J282" s="242"/>
      <c r="K282" s="242"/>
      <c r="L282" s="242"/>
      <c r="M282" s="242"/>
      <c r="N282" s="242"/>
      <c r="O282" s="242"/>
      <c r="P282" s="242"/>
      <c r="Q282" s="245"/>
      <c r="R282" s="261"/>
      <c r="S282" s="242"/>
    </row>
    <row r="283" spans="1:19" ht="15" customHeight="1">
      <c r="A283" s="329">
        <f>Bonus!A260</f>
        <v>57.000500000000002</v>
      </c>
      <c r="B283" s="235" t="str">
        <f>Bonus!B260</f>
        <v>San Diego Overhead 2025</v>
      </c>
      <c r="C283" s="241">
        <f>Bonus!G260</f>
        <v>1</v>
      </c>
      <c r="D283" s="242">
        <f>Bonus!C260</f>
        <v>0</v>
      </c>
      <c r="E283" s="243">
        <f>Bonus!E260</f>
        <v>-92874.26</v>
      </c>
      <c r="F283" s="242">
        <f>+E283-R283</f>
        <v>-12910.599999999991</v>
      </c>
      <c r="G283" s="242"/>
      <c r="H283" s="242">
        <f>Bonus!I260</f>
        <v>0</v>
      </c>
      <c r="I283" s="242">
        <f>Bonus!F260</f>
        <v>92874.26</v>
      </c>
      <c r="J283" s="242">
        <f>Bonus!H260</f>
        <v>-92874.26</v>
      </c>
      <c r="K283" s="242">
        <f>Bonus!P260</f>
        <v>0</v>
      </c>
      <c r="L283" s="242"/>
      <c r="M283" s="242">
        <f t="shared" ref="M283:M284" si="259">+N283+O283</f>
        <v>0</v>
      </c>
      <c r="N283" s="242">
        <f>Bonus!Q260</f>
        <v>92874.26</v>
      </c>
      <c r="O283" s="242">
        <f>Bonus!S260</f>
        <v>-92874.26</v>
      </c>
      <c r="P283" s="242">
        <f>O283-Bonus!Y260</f>
        <v>-12910.599999999991</v>
      </c>
      <c r="Q283" s="245"/>
      <c r="R283" s="261">
        <v>-79963.66</v>
      </c>
      <c r="S283" s="242"/>
    </row>
    <row r="284" spans="1:19" ht="15" customHeight="1">
      <c r="A284" s="329">
        <f>Bonus!A261</f>
        <v>57.000599999999999</v>
      </c>
      <c r="B284" s="235" t="str">
        <f>Bonus!B261</f>
        <v>San Diego Estimating 2025</v>
      </c>
      <c r="C284" s="241">
        <f>Bonus!G261</f>
        <v>1</v>
      </c>
      <c r="D284" s="242">
        <f>Bonus!C261</f>
        <v>0</v>
      </c>
      <c r="E284" s="243">
        <f>Bonus!E261</f>
        <v>-13743.76</v>
      </c>
      <c r="F284" s="242">
        <f>+E284-R284</f>
        <v>-3332.4400000000005</v>
      </c>
      <c r="G284" s="242"/>
      <c r="H284" s="242">
        <f>Bonus!I261</f>
        <v>0</v>
      </c>
      <c r="I284" s="242">
        <f>Bonus!F261</f>
        <v>13743.76</v>
      </c>
      <c r="J284" s="242">
        <f>Bonus!H261</f>
        <v>-13743.76</v>
      </c>
      <c r="K284" s="242">
        <f>Bonus!P261</f>
        <v>0</v>
      </c>
      <c r="L284" s="242"/>
      <c r="M284" s="242">
        <f t="shared" si="259"/>
        <v>0</v>
      </c>
      <c r="N284" s="242">
        <f>Bonus!Q261</f>
        <v>13743.76</v>
      </c>
      <c r="O284" s="242">
        <f>Bonus!S261</f>
        <v>-13743.76</v>
      </c>
      <c r="P284" s="242">
        <f>O284-Bonus!Y261</f>
        <v>-3332.4400000000005</v>
      </c>
      <c r="Q284" s="245"/>
      <c r="R284" s="261">
        <v>-10411.32</v>
      </c>
      <c r="S284" s="242"/>
    </row>
    <row r="285" spans="1:19" ht="15" hidden="1" customHeight="1">
      <c r="A285" s="329"/>
      <c r="C285" s="241"/>
      <c r="D285" s="242"/>
      <c r="E285" s="242"/>
      <c r="F285" s="242"/>
      <c r="G285" s="242"/>
      <c r="H285" s="242"/>
      <c r="I285" s="242"/>
      <c r="J285" s="242"/>
      <c r="K285" s="242"/>
      <c r="L285" s="242"/>
      <c r="M285" s="242"/>
      <c r="N285" s="242"/>
      <c r="O285" s="242"/>
      <c r="P285" s="242"/>
      <c r="Q285" s="245"/>
      <c r="R285" s="261"/>
      <c r="S285" s="242"/>
    </row>
    <row r="286" spans="1:19" ht="15" customHeight="1">
      <c r="A286" s="330" t="s">
        <v>295</v>
      </c>
      <c r="C286" s="241"/>
      <c r="D286" s="245">
        <f>SUM(D283:D285)</f>
        <v>0</v>
      </c>
      <c r="E286" s="245">
        <f t="shared" ref="E286:F286" si="260">SUM(E283:E285)</f>
        <v>-106618.01999999999</v>
      </c>
      <c r="F286" s="245">
        <f t="shared" si="260"/>
        <v>-16243.039999999992</v>
      </c>
      <c r="G286" s="242"/>
      <c r="H286" s="245">
        <f t="shared" ref="H286:K286" si="261">SUM(H283:H285)</f>
        <v>0</v>
      </c>
      <c r="I286" s="245">
        <f t="shared" si="261"/>
        <v>106618.01999999999</v>
      </c>
      <c r="J286" s="245">
        <f t="shared" si="261"/>
        <v>-106618.01999999999</v>
      </c>
      <c r="K286" s="245">
        <f t="shared" si="261"/>
        <v>0</v>
      </c>
      <c r="L286" s="242"/>
      <c r="M286" s="245">
        <f t="shared" ref="M286:N286" si="262">SUM(M283:M285)</f>
        <v>0</v>
      </c>
      <c r="N286" s="245">
        <f t="shared" si="262"/>
        <v>106618.01999999999</v>
      </c>
      <c r="O286" s="245">
        <f>SUM(O283:O285)</f>
        <v>-106618.01999999999</v>
      </c>
      <c r="P286" s="245">
        <f>SUM(P283:P285)</f>
        <v>-16243.039999999992</v>
      </c>
      <c r="Q286" s="245"/>
      <c r="R286" s="261">
        <v>0</v>
      </c>
      <c r="S286" s="242"/>
    </row>
    <row r="287" spans="1:19" ht="15" customHeight="1">
      <c r="A287" s="330"/>
      <c r="C287" s="241"/>
      <c r="D287" s="242"/>
      <c r="E287" s="242"/>
      <c r="F287" s="242"/>
      <c r="G287" s="242"/>
      <c r="H287" s="242"/>
      <c r="I287" s="242"/>
      <c r="J287" s="242"/>
      <c r="K287" s="242"/>
      <c r="L287" s="242"/>
      <c r="M287" s="242"/>
      <c r="N287" s="242"/>
      <c r="O287" s="242"/>
      <c r="P287" s="242"/>
      <c r="Q287" s="245"/>
      <c r="R287" s="261"/>
      <c r="S287" s="242"/>
    </row>
    <row r="288" spans="1:19" ht="15" customHeight="1">
      <c r="A288" s="429" t="s">
        <v>274</v>
      </c>
      <c r="B288" s="237"/>
      <c r="C288" s="430"/>
      <c r="D288" s="254">
        <f>D280+D286</f>
        <v>81310321.129999995</v>
      </c>
      <c r="E288" s="254">
        <f>E280+E286</f>
        <v>4608771.58</v>
      </c>
      <c r="F288" s="254">
        <f>F280+F286</f>
        <v>-17626.339999999982</v>
      </c>
      <c r="G288" s="431"/>
      <c r="H288" s="254">
        <f>H280+H286</f>
        <v>7616143.0224788906</v>
      </c>
      <c r="I288" s="254">
        <f>I280+I286</f>
        <v>7632457.2700000005</v>
      </c>
      <c r="J288" s="254">
        <f>J280+J286</f>
        <v>-16314.247521109937</v>
      </c>
      <c r="K288" s="254">
        <f>K280+K286</f>
        <v>96385.411809887213</v>
      </c>
      <c r="L288" s="431"/>
      <c r="M288" s="254">
        <f>M280+M286</f>
        <v>5931007.9606690034</v>
      </c>
      <c r="N288" s="254">
        <f>N280+N286</f>
        <v>6043707.6200000001</v>
      </c>
      <c r="O288" s="254">
        <f>O280+O286</f>
        <v>-112699.65933099715</v>
      </c>
      <c r="P288" s="254">
        <f>P280+P286</f>
        <v>9910.5749132026558</v>
      </c>
      <c r="Q288" s="245"/>
      <c r="R288" s="261">
        <v>4626397.92</v>
      </c>
      <c r="S288" s="242"/>
    </row>
    <row r="289" spans="1:19" ht="15" customHeight="1">
      <c r="A289" s="330"/>
      <c r="C289" s="241"/>
      <c r="D289" s="245"/>
      <c r="E289" s="245"/>
      <c r="F289" s="245"/>
      <c r="G289" s="242"/>
      <c r="H289" s="245"/>
      <c r="I289" s="245"/>
      <c r="J289" s="245"/>
      <c r="K289" s="245"/>
      <c r="L289" s="242"/>
      <c r="M289" s="245"/>
      <c r="N289" s="245"/>
      <c r="O289" s="245"/>
      <c r="P289" s="245"/>
      <c r="Q289" s="245"/>
      <c r="R289" s="261"/>
      <c r="S289" s="242"/>
    </row>
    <row r="290" spans="1:19" ht="15" customHeight="1">
      <c r="A290" s="330"/>
      <c r="B290" s="246" t="s">
        <v>162</v>
      </c>
      <c r="C290" s="247">
        <f>D288-Bonus!J264</f>
        <v>73126398.75999999</v>
      </c>
      <c r="D290" s="245"/>
      <c r="E290" s="245"/>
      <c r="F290" s="245" t="s">
        <v>145</v>
      </c>
      <c r="G290" s="242"/>
      <c r="H290" s="245"/>
      <c r="I290" s="245">
        <f>D288-H288</f>
        <v>73694178.107521102</v>
      </c>
      <c r="J290" s="245"/>
      <c r="K290" s="245"/>
      <c r="L290" s="242"/>
      <c r="M290" s="245" t="s">
        <v>30</v>
      </c>
      <c r="N290" s="245">
        <f>H288-Bonus!J264+205138.79</f>
        <v>-362640.55752110947</v>
      </c>
      <c r="O290" s="245"/>
      <c r="P290" s="245"/>
      <c r="Q290" s="245"/>
      <c r="R290" s="261"/>
      <c r="S290" s="242"/>
    </row>
    <row r="291" spans="1:19" ht="15" customHeight="1">
      <c r="A291" s="330"/>
      <c r="B291" s="246"/>
      <c r="C291" s="247"/>
      <c r="D291" s="245"/>
      <c r="E291" s="245"/>
      <c r="F291" s="245"/>
      <c r="G291" s="242"/>
      <c r="H291" s="245"/>
      <c r="I291" s="245"/>
      <c r="J291" s="245"/>
      <c r="K291" s="245"/>
      <c r="L291" s="242"/>
      <c r="M291" s="245"/>
      <c r="N291" s="245"/>
      <c r="O291" s="245"/>
      <c r="P291" s="245"/>
      <c r="Q291" s="245"/>
      <c r="R291" s="261"/>
      <c r="S291" s="242"/>
    </row>
    <row r="292" spans="1:19" ht="15" customHeight="1">
      <c r="A292" s="329"/>
      <c r="C292" s="241"/>
      <c r="D292" s="242"/>
      <c r="E292" s="242"/>
      <c r="F292" s="242"/>
      <c r="G292" s="242"/>
      <c r="H292" s="242"/>
      <c r="I292" s="242"/>
      <c r="J292" s="242"/>
      <c r="K292" s="242"/>
      <c r="L292" s="242"/>
      <c r="M292" s="242"/>
      <c r="N292" s="242"/>
      <c r="O292" s="242"/>
      <c r="P292" s="242"/>
      <c r="Q292" s="245"/>
      <c r="R292" s="261"/>
      <c r="S292" s="242"/>
    </row>
    <row r="293" spans="1:19" ht="15" customHeight="1">
      <c r="A293" s="330" t="s">
        <v>296</v>
      </c>
      <c r="C293" s="241"/>
      <c r="D293" s="242"/>
      <c r="E293" s="242"/>
      <c r="F293" s="242"/>
      <c r="G293" s="242"/>
      <c r="H293" s="242"/>
      <c r="I293" s="242"/>
      <c r="J293" s="242"/>
      <c r="K293" s="242"/>
      <c r="L293" s="242"/>
      <c r="M293" s="242"/>
      <c r="N293" s="242"/>
      <c r="O293" s="242"/>
      <c r="P293" s="242"/>
      <c r="Q293" s="245"/>
      <c r="R293" s="261"/>
      <c r="S293" s="242"/>
    </row>
    <row r="294" spans="1:19" ht="15" customHeight="1">
      <c r="A294" s="329">
        <f>Bonus!A267</f>
        <v>58.000300000000003</v>
      </c>
      <c r="B294" s="329" t="str">
        <f>Bonus!B267</f>
        <v>Los Angeles County Sanitation Dist. - Los Coyotes WRP Process Air Compressor Replacement</v>
      </c>
      <c r="C294" s="241">
        <f>Bonus!G267</f>
        <v>0.52008725525840527</v>
      </c>
      <c r="D294" s="242">
        <f>Bonus!C267</f>
        <v>22525189</v>
      </c>
      <c r="E294" s="243">
        <f>Bonus!E267</f>
        <v>1308015</v>
      </c>
      <c r="F294" s="242">
        <f>+E294-R294</f>
        <v>0</v>
      </c>
      <c r="G294" s="242"/>
      <c r="H294" s="242">
        <f>Bonus!I267</f>
        <v>11715063.721186822</v>
      </c>
      <c r="I294" s="242">
        <f>Bonus!F267</f>
        <v>11034781.789999999</v>
      </c>
      <c r="J294" s="242">
        <f>Bonus!H267</f>
        <v>680281.93118682294</v>
      </c>
      <c r="K294" s="242">
        <f>Bonus!P267</f>
        <v>0</v>
      </c>
      <c r="L294" s="242"/>
      <c r="M294" s="242">
        <f t="shared" ref="M294" si="263">+N294+O294</f>
        <v>9333607.2411868218</v>
      </c>
      <c r="N294" s="242">
        <f>Bonus!Q267</f>
        <v>8653325.3099999987</v>
      </c>
      <c r="O294" s="242">
        <f>Bonus!S267</f>
        <v>680281.93118682294</v>
      </c>
      <c r="P294" s="242">
        <f>O294-Bonus!Y267</f>
        <v>155877.59286204353</v>
      </c>
      <c r="Q294" s="245"/>
      <c r="R294" s="243">
        <v>1308015</v>
      </c>
      <c r="S294" s="242"/>
    </row>
    <row r="295" spans="1:19" ht="15" hidden="1" customHeight="1">
      <c r="A295" s="329"/>
      <c r="C295" s="241"/>
      <c r="D295" s="242"/>
      <c r="E295" s="242"/>
      <c r="F295" s="242"/>
      <c r="G295" s="242"/>
      <c r="H295" s="242"/>
      <c r="I295" s="242"/>
      <c r="J295" s="242"/>
      <c r="K295" s="242"/>
      <c r="L295" s="242"/>
      <c r="M295" s="242"/>
      <c r="N295" s="242"/>
      <c r="O295" s="242"/>
      <c r="P295" s="242"/>
      <c r="Q295" s="245"/>
      <c r="R295" s="261"/>
      <c r="S295" s="242"/>
    </row>
    <row r="296" spans="1:19" ht="15" customHeight="1">
      <c r="A296" s="330" t="s">
        <v>297</v>
      </c>
      <c r="C296" s="241"/>
      <c r="D296" s="245">
        <f>SUM(D294:D295)</f>
        <v>22525189</v>
      </c>
      <c r="E296" s="245">
        <f>SUM(E294:E295)</f>
        <v>1308015</v>
      </c>
      <c r="F296" s="245">
        <f>SUM(F294:F295)</f>
        <v>0</v>
      </c>
      <c r="G296" s="242"/>
      <c r="H296" s="245">
        <f>SUM(H294:H295)</f>
        <v>11715063.721186822</v>
      </c>
      <c r="I296" s="245">
        <f>SUM(I294:I295)</f>
        <v>11034781.789999999</v>
      </c>
      <c r="J296" s="245">
        <f>SUM(J294:J295)</f>
        <v>680281.93118682294</v>
      </c>
      <c r="K296" s="245">
        <f>SUM(K294:K295)</f>
        <v>0</v>
      </c>
      <c r="L296" s="242"/>
      <c r="M296" s="245">
        <f>SUM(M294:M295)</f>
        <v>9333607.2411868218</v>
      </c>
      <c r="N296" s="245">
        <f>SUM(N294:N295)</f>
        <v>8653325.3099999987</v>
      </c>
      <c r="O296" s="245">
        <f>SUM(O294:O295)</f>
        <v>680281.93118682294</v>
      </c>
      <c r="P296" s="245">
        <f>SUM(P294:P295)</f>
        <v>155877.59286204353</v>
      </c>
      <c r="Q296" s="245"/>
      <c r="R296" s="261">
        <v>1091428.55</v>
      </c>
      <c r="S296" s="242"/>
    </row>
    <row r="297" spans="1:19" ht="15" customHeight="1">
      <c r="A297" s="329"/>
      <c r="C297" s="241"/>
      <c r="D297" s="242"/>
      <c r="E297" s="242"/>
      <c r="F297" s="242"/>
      <c r="G297" s="242"/>
      <c r="H297" s="242"/>
      <c r="I297" s="242"/>
      <c r="J297" s="242"/>
      <c r="K297" s="242"/>
      <c r="L297" s="242"/>
      <c r="M297" s="242"/>
      <c r="N297" s="242"/>
      <c r="O297" s="242"/>
      <c r="P297" s="242"/>
      <c r="Q297" s="245"/>
      <c r="R297" s="261"/>
      <c r="S297" s="242"/>
    </row>
    <row r="298" spans="1:19" ht="15" customHeight="1">
      <c r="A298" s="330" t="s">
        <v>298</v>
      </c>
      <c r="C298" s="241"/>
      <c r="D298" s="242"/>
      <c r="E298" s="242"/>
      <c r="F298" s="242"/>
      <c r="G298" s="242"/>
      <c r="H298" s="242"/>
      <c r="I298" s="242"/>
      <c r="J298" s="242"/>
      <c r="K298" s="242"/>
      <c r="L298" s="242"/>
      <c r="M298" s="242"/>
      <c r="N298" s="242"/>
      <c r="O298" s="242"/>
      <c r="P298" s="242"/>
      <c r="Q298" s="245"/>
      <c r="R298" s="261"/>
      <c r="S298" s="242"/>
    </row>
    <row r="299" spans="1:19" ht="15" customHeight="1">
      <c r="A299" s="329">
        <f>Bonus!A272</f>
        <v>58.000399999999999</v>
      </c>
      <c r="B299" s="329" t="str">
        <f>Bonus!B272</f>
        <v>Los Angeles Overhead 2025</v>
      </c>
      <c r="C299" s="241">
        <f>Bonus!G272</f>
        <v>1</v>
      </c>
      <c r="D299" s="242">
        <f>Bonus!C272</f>
        <v>0</v>
      </c>
      <c r="E299" s="243">
        <f>Bonus!E272</f>
        <v>-147282.12</v>
      </c>
      <c r="F299" s="242">
        <f>+E299-R299</f>
        <v>-7983.109999999986</v>
      </c>
      <c r="G299" s="242"/>
      <c r="H299" s="242">
        <f>Bonus!I272</f>
        <v>0</v>
      </c>
      <c r="I299" s="242">
        <f>Bonus!F272</f>
        <v>147282.12</v>
      </c>
      <c r="J299" s="242">
        <f>Bonus!H272</f>
        <v>-147282.12</v>
      </c>
      <c r="K299" s="242">
        <f>Bonus!P272</f>
        <v>0</v>
      </c>
      <c r="L299" s="242"/>
      <c r="M299" s="242">
        <f t="shared" ref="M299" si="264">+N299+O299</f>
        <v>0</v>
      </c>
      <c r="N299" s="242">
        <f>Bonus!Q272</f>
        <v>147282.12</v>
      </c>
      <c r="O299" s="242">
        <f>Bonus!S272</f>
        <v>-147282.12</v>
      </c>
      <c r="P299" s="242">
        <f>O299-Bonus!Y272</f>
        <v>-7983.109999999986</v>
      </c>
      <c r="Q299" s="245"/>
      <c r="R299" s="243">
        <v>-139299.01</v>
      </c>
      <c r="S299" s="242"/>
    </row>
    <row r="300" spans="1:19" ht="15" customHeight="1">
      <c r="A300" s="329">
        <f>Bonus!A273</f>
        <v>58.000500000000002</v>
      </c>
      <c r="B300" s="329" t="str">
        <f>Bonus!B273</f>
        <v>Los Angeles Estimating 2025</v>
      </c>
      <c r="C300" s="241">
        <f>Bonus!G273</f>
        <v>1</v>
      </c>
      <c r="D300" s="242">
        <f>Bonus!C273</f>
        <v>0</v>
      </c>
      <c r="E300" s="243">
        <f>Bonus!E273</f>
        <v>-135037.09</v>
      </c>
      <c r="F300" s="242">
        <f>+E300-R300</f>
        <v>-57749.649999999994</v>
      </c>
      <c r="G300" s="242"/>
      <c r="H300" s="242">
        <f>Bonus!I273</f>
        <v>0</v>
      </c>
      <c r="I300" s="242">
        <f>Bonus!F273</f>
        <v>135037.09</v>
      </c>
      <c r="J300" s="242">
        <f>Bonus!H273</f>
        <v>-135037.09</v>
      </c>
      <c r="K300" s="242">
        <f>Bonus!P273</f>
        <v>0</v>
      </c>
      <c r="L300" s="242"/>
      <c r="M300" s="242">
        <f t="shared" ref="M300" si="265">+N300+O300</f>
        <v>0</v>
      </c>
      <c r="N300" s="242">
        <f>Bonus!Q273</f>
        <v>135037.09</v>
      </c>
      <c r="O300" s="242">
        <f>Bonus!S273</f>
        <v>-135037.09</v>
      </c>
      <c r="P300" s="242">
        <f>O300-Bonus!Y273</f>
        <v>-57749.649999999994</v>
      </c>
      <c r="Q300" s="245"/>
      <c r="R300" s="243">
        <v>-77287.44</v>
      </c>
      <c r="S300" s="242"/>
    </row>
    <row r="301" spans="1:19" ht="15" hidden="1" customHeight="1">
      <c r="A301" s="329"/>
      <c r="C301" s="241"/>
      <c r="D301" s="242"/>
      <c r="E301" s="242"/>
      <c r="F301" s="242"/>
      <c r="G301" s="242"/>
      <c r="H301" s="242"/>
      <c r="I301" s="242"/>
      <c r="J301" s="242"/>
      <c r="K301" s="242"/>
      <c r="L301" s="242"/>
      <c r="M301" s="242"/>
      <c r="N301" s="242"/>
      <c r="O301" s="242"/>
      <c r="P301" s="242"/>
      <c r="Q301" s="245"/>
      <c r="R301" s="261"/>
      <c r="S301" s="242"/>
    </row>
    <row r="302" spans="1:19" ht="15" customHeight="1">
      <c r="A302" s="330" t="s">
        <v>299</v>
      </c>
      <c r="C302" s="241"/>
      <c r="D302" s="245">
        <f>SUM(D299:D301)</f>
        <v>0</v>
      </c>
      <c r="E302" s="245">
        <f t="shared" ref="E302:F302" si="266">SUM(E299:E301)</f>
        <v>-282319.20999999996</v>
      </c>
      <c r="F302" s="245">
        <f t="shared" si="266"/>
        <v>-65732.75999999998</v>
      </c>
      <c r="G302" s="242"/>
      <c r="H302" s="245">
        <f t="shared" ref="H302:K302" si="267">SUM(H299:H301)</f>
        <v>0</v>
      </c>
      <c r="I302" s="245">
        <f t="shared" si="267"/>
        <v>282319.20999999996</v>
      </c>
      <c r="J302" s="245">
        <f t="shared" si="267"/>
        <v>-282319.20999999996</v>
      </c>
      <c r="K302" s="245">
        <f t="shared" si="267"/>
        <v>0</v>
      </c>
      <c r="L302" s="242"/>
      <c r="M302" s="245">
        <f t="shared" ref="M302:P302" si="268">SUM(M299:M301)</f>
        <v>0</v>
      </c>
      <c r="N302" s="245">
        <f t="shared" si="268"/>
        <v>282319.20999999996</v>
      </c>
      <c r="O302" s="245">
        <f t="shared" si="268"/>
        <v>-282319.20999999996</v>
      </c>
      <c r="P302" s="245">
        <f t="shared" si="268"/>
        <v>-65732.75999999998</v>
      </c>
      <c r="Q302" s="245"/>
      <c r="R302" s="261">
        <v>0</v>
      </c>
      <c r="S302" s="242"/>
    </row>
    <row r="303" spans="1:19" ht="15" customHeight="1">
      <c r="A303" s="330"/>
      <c r="C303" s="241"/>
      <c r="D303" s="242"/>
      <c r="E303" s="242"/>
      <c r="F303" s="242"/>
      <c r="G303" s="242"/>
      <c r="H303" s="242"/>
      <c r="I303" s="242"/>
      <c r="J303" s="242"/>
      <c r="K303" s="242"/>
      <c r="L303" s="242"/>
      <c r="M303" s="242"/>
      <c r="N303" s="242"/>
      <c r="O303" s="242"/>
      <c r="P303" s="242"/>
      <c r="Q303" s="245"/>
      <c r="R303" s="261"/>
      <c r="S303" s="242"/>
    </row>
    <row r="304" spans="1:19" ht="15" customHeight="1">
      <c r="A304" s="429" t="s">
        <v>275</v>
      </c>
      <c r="B304" s="237"/>
      <c r="C304" s="430"/>
      <c r="D304" s="254">
        <f>D296+D302</f>
        <v>22525189</v>
      </c>
      <c r="E304" s="254">
        <f>E296+E302</f>
        <v>1025695.79</v>
      </c>
      <c r="F304" s="254">
        <f>F296+F302</f>
        <v>-65732.75999999998</v>
      </c>
      <c r="G304" s="431"/>
      <c r="H304" s="254">
        <f>H296+H302</f>
        <v>11715063.721186822</v>
      </c>
      <c r="I304" s="254">
        <f>I296+I302</f>
        <v>11317101</v>
      </c>
      <c r="J304" s="254">
        <f>J296+J302</f>
        <v>397962.72118682298</v>
      </c>
      <c r="K304" s="254">
        <f>K296+K302</f>
        <v>0</v>
      </c>
      <c r="L304" s="431"/>
      <c r="M304" s="254">
        <f>M296+M302</f>
        <v>9333607.2411868218</v>
      </c>
      <c r="N304" s="254">
        <f>N296+N302</f>
        <v>8935644.5199999996</v>
      </c>
      <c r="O304" s="254">
        <f>O296+O302</f>
        <v>397962.72118682298</v>
      </c>
      <c r="P304" s="254">
        <f>P296+P302</f>
        <v>90144.83286204355</v>
      </c>
      <c r="Q304" s="245"/>
      <c r="R304" s="261">
        <v>1091428.55</v>
      </c>
      <c r="S304" s="242"/>
    </row>
    <row r="305" spans="1:19" ht="13.5" customHeight="1">
      <c r="A305" s="330"/>
      <c r="B305" s="240"/>
      <c r="C305" s="244"/>
      <c r="D305" s="245"/>
      <c r="E305" s="245"/>
      <c r="F305" s="245"/>
      <c r="G305" s="245"/>
      <c r="H305" s="245"/>
      <c r="I305" s="245"/>
      <c r="J305" s="245"/>
      <c r="K305" s="245"/>
      <c r="L305" s="245"/>
      <c r="M305" s="245"/>
      <c r="N305" s="245"/>
      <c r="O305" s="245"/>
      <c r="P305" s="245"/>
      <c r="Q305" s="245"/>
      <c r="R305" s="261"/>
      <c r="S305" s="242"/>
    </row>
    <row r="306" spans="1:19" ht="15" customHeight="1">
      <c r="A306" s="330"/>
      <c r="B306" s="246" t="s">
        <v>162</v>
      </c>
      <c r="C306" s="247">
        <f>D304-Bonus!J276</f>
        <v>10635987.24</v>
      </c>
      <c r="D306" s="245"/>
      <c r="E306" s="245"/>
      <c r="F306" s="245" t="s">
        <v>145</v>
      </c>
      <c r="G306" s="245"/>
      <c r="H306" s="245"/>
      <c r="I306" s="245">
        <f>D304-H304</f>
        <v>10810125.278813178</v>
      </c>
      <c r="J306" s="245"/>
      <c r="K306" s="245"/>
      <c r="L306" s="245"/>
      <c r="M306" s="245" t="s">
        <v>30</v>
      </c>
      <c r="N306" s="245">
        <f>H304-Bonus!J276+607280.42</f>
        <v>433142.38118682255</v>
      </c>
      <c r="O306" s="245"/>
      <c r="P306" s="245"/>
      <c r="Q306" s="245"/>
      <c r="R306" s="261"/>
      <c r="S306" s="242"/>
    </row>
    <row r="307" spans="1:19" ht="15" customHeight="1">
      <c r="A307" s="330"/>
      <c r="B307" s="412"/>
      <c r="C307" s="413"/>
      <c r="D307" s="414"/>
      <c r="E307" s="414"/>
      <c r="F307" s="414"/>
      <c r="G307" s="414"/>
      <c r="H307" s="414"/>
      <c r="I307" s="414"/>
      <c r="J307" s="414"/>
      <c r="K307" s="414"/>
      <c r="L307" s="414"/>
      <c r="M307" s="414"/>
      <c r="N307" s="414"/>
      <c r="O307" s="414"/>
      <c r="P307" s="414"/>
      <c r="Q307" s="245"/>
      <c r="R307" s="261"/>
      <c r="S307" s="242"/>
    </row>
    <row r="308" spans="1:19" s="240" customFormat="1" ht="15" customHeight="1">
      <c r="A308" s="332" t="s">
        <v>363</v>
      </c>
      <c r="B308" s="246"/>
      <c r="C308" s="247"/>
      <c r="D308" s="245">
        <f>D255+D280+D296</f>
        <v>937525568.20999992</v>
      </c>
      <c r="E308" s="245">
        <f>E255+E280+E296</f>
        <v>36430519.600000001</v>
      </c>
      <c r="F308" s="245">
        <f>F255+F280+F296</f>
        <v>-1396010.97</v>
      </c>
      <c r="G308" s="245"/>
      <c r="H308" s="245">
        <f>H255+H280+H296</f>
        <v>660784564.56828618</v>
      </c>
      <c r="I308" s="245">
        <f>I255+I280+I296</f>
        <v>638755790.12999988</v>
      </c>
      <c r="J308" s="245">
        <f>J255+J280+J296</f>
        <v>22028774.438286252</v>
      </c>
      <c r="K308" s="245">
        <f>K255+K280+K296</f>
        <v>21778423.618543912</v>
      </c>
      <c r="L308" s="245"/>
      <c r="M308" s="245">
        <f>M255+M280+M296</f>
        <v>129527452.39974234</v>
      </c>
      <c r="N308" s="245">
        <f>N255+N280+N296</f>
        <v>129277101.58</v>
      </c>
      <c r="O308" s="245">
        <f>O255+O280+O296</f>
        <v>250350.81974235189</v>
      </c>
      <c r="P308" s="245">
        <f>P255+P280+P296</f>
        <v>-938673.16671644105</v>
      </c>
      <c r="Q308" s="245"/>
      <c r="R308" s="261">
        <v>35259666.229999997</v>
      </c>
      <c r="S308" s="242"/>
    </row>
    <row r="309" spans="1:19" s="240" customFormat="1" ht="15" customHeight="1">
      <c r="A309" s="331" t="s">
        <v>364</v>
      </c>
      <c r="B309" s="415"/>
      <c r="C309" s="251"/>
      <c r="D309" s="416">
        <f>D266+D286+D302</f>
        <v>6861630.3499999996</v>
      </c>
      <c r="E309" s="416">
        <f>E266+E286+E302</f>
        <v>-1313965.68</v>
      </c>
      <c r="F309" s="416">
        <f>F266+F286+F302</f>
        <v>-257212.9199999999</v>
      </c>
      <c r="G309" s="416"/>
      <c r="H309" s="416">
        <f>H266+H286+H302</f>
        <v>6861630.3499999996</v>
      </c>
      <c r="I309" s="416">
        <f>I266+I286+I302</f>
        <v>8175596.0300000012</v>
      </c>
      <c r="J309" s="416">
        <f>J266+J286+J302</f>
        <v>-1313965.68</v>
      </c>
      <c r="K309" s="416">
        <f>K266+K286+K302</f>
        <v>1217319.06871038</v>
      </c>
      <c r="L309" s="416"/>
      <c r="M309" s="416">
        <f>M266+M286+M302</f>
        <v>600318.54128961987</v>
      </c>
      <c r="N309" s="416">
        <f>N266+N286+N302</f>
        <v>3131603.2899999996</v>
      </c>
      <c r="O309" s="416">
        <f>O266+O286+O302</f>
        <v>-2531284.7487103799</v>
      </c>
      <c r="P309" s="416">
        <f>P266+P286+P302</f>
        <v>-257212.9199999999</v>
      </c>
      <c r="Q309" s="245"/>
      <c r="R309" s="261">
        <v>1510111.58</v>
      </c>
      <c r="S309" s="242"/>
    </row>
    <row r="310" spans="1:19" s="240" customFormat="1" ht="15" customHeight="1" thickBot="1">
      <c r="A310" s="399" t="s">
        <v>365</v>
      </c>
      <c r="B310" s="432"/>
      <c r="C310" s="433"/>
      <c r="D310" s="434">
        <f>D308+D309</f>
        <v>944387198.55999994</v>
      </c>
      <c r="E310" s="434">
        <f t="shared" ref="E310" si="269">E308+E309</f>
        <v>35116553.920000002</v>
      </c>
      <c r="F310" s="434">
        <f t="shared" ref="F310" si="270">F308+F309</f>
        <v>-1653223.89</v>
      </c>
      <c r="G310" s="434"/>
      <c r="H310" s="434">
        <f t="shared" ref="H310" si="271">H308+H309</f>
        <v>667646194.9182862</v>
      </c>
      <c r="I310" s="434">
        <f t="shared" ref="I310" si="272">I308+I309</f>
        <v>646931386.15999985</v>
      </c>
      <c r="J310" s="434">
        <f t="shared" ref="J310" si="273">J308+J309</f>
        <v>20714808.758286253</v>
      </c>
      <c r="K310" s="434">
        <f t="shared" ref="K310" si="274">K308+K309</f>
        <v>22995742.687254291</v>
      </c>
      <c r="L310" s="434"/>
      <c r="M310" s="434">
        <f t="shared" ref="M310" si="275">M308+M309</f>
        <v>130127770.94103195</v>
      </c>
      <c r="N310" s="434">
        <f t="shared" ref="N310" si="276">N308+N309</f>
        <v>132408704.87</v>
      </c>
      <c r="O310" s="434">
        <f t="shared" ref="O310" si="277">O308+O309</f>
        <v>-2280933.9289680282</v>
      </c>
      <c r="P310" s="434">
        <f t="shared" ref="P310" si="278">P308+P309</f>
        <v>-1195886.086716441</v>
      </c>
      <c r="Q310" s="245"/>
      <c r="R310" s="261">
        <v>36769777.809999995</v>
      </c>
      <c r="S310" s="242"/>
    </row>
    <row r="311" spans="1:19" s="240" customFormat="1" ht="15" customHeight="1" thickTop="1">
      <c r="B311" s="246"/>
      <c r="C311" s="247"/>
      <c r="D311" s="245"/>
      <c r="E311" s="245"/>
      <c r="F311" s="245"/>
      <c r="G311" s="245"/>
      <c r="H311" s="245"/>
      <c r="I311" s="245"/>
      <c r="J311" s="245"/>
      <c r="K311" s="245"/>
      <c r="L311" s="245"/>
      <c r="M311" s="245"/>
      <c r="N311" s="245"/>
      <c r="O311" s="245"/>
      <c r="P311" s="245"/>
      <c r="Q311" s="245"/>
      <c r="R311" s="261"/>
      <c r="S311" s="242"/>
    </row>
    <row r="312" spans="1:19" s="240" customFormat="1">
      <c r="B312" s="246" t="s">
        <v>162</v>
      </c>
      <c r="C312" s="247">
        <f>C270+C290+C306</f>
        <v>281929889.18999994</v>
      </c>
      <c r="D312" s="245"/>
      <c r="E312" s="245"/>
      <c r="F312" s="245" t="s">
        <v>145</v>
      </c>
      <c r="G312" s="245"/>
      <c r="H312" s="245"/>
      <c r="I312" s="247">
        <f>I270+I290+I306</f>
        <v>276741003.64171386</v>
      </c>
      <c r="J312" s="245"/>
      <c r="K312" s="245"/>
      <c r="L312" s="245"/>
      <c r="M312" s="245" t="s">
        <v>30</v>
      </c>
      <c r="N312" s="247">
        <f>N270+N290+N306</f>
        <v>2074330.3082860932</v>
      </c>
      <c r="O312" s="245"/>
      <c r="P312" s="245"/>
      <c r="Q312" s="245"/>
      <c r="R312" s="261"/>
      <c r="S312" s="242"/>
    </row>
    <row r="313" spans="1:19" ht="11.25" customHeight="1">
      <c r="A313" s="330"/>
      <c r="B313" s="240"/>
      <c r="C313" s="244"/>
      <c r="D313" s="245"/>
      <c r="E313" s="245"/>
      <c r="F313" s="245"/>
      <c r="G313" s="245"/>
      <c r="H313" s="245"/>
      <c r="I313" s="245"/>
      <c r="J313" s="245"/>
      <c r="K313" s="245"/>
      <c r="L313" s="245"/>
      <c r="M313" s="245"/>
      <c r="N313" s="245"/>
      <c r="O313" s="245"/>
      <c r="P313" s="245"/>
      <c r="Q313" s="245"/>
      <c r="R313" s="261"/>
      <c r="S313" s="242"/>
    </row>
    <row r="314" spans="1:19" ht="15" customHeight="1">
      <c r="A314" s="330" t="str">
        <f>Bonus!A282</f>
        <v>System Integration - Open Jobs</v>
      </c>
      <c r="C314" s="241"/>
      <c r="D314" s="242"/>
      <c r="E314" s="242"/>
      <c r="F314" s="242"/>
      <c r="G314" s="242"/>
      <c r="H314" s="242"/>
      <c r="I314" s="242"/>
      <c r="J314" s="242"/>
      <c r="K314" s="242"/>
      <c r="L314" s="242"/>
      <c r="M314" s="242"/>
      <c r="N314" s="242"/>
      <c r="O314" s="242"/>
      <c r="P314" s="242"/>
      <c r="Q314" s="242"/>
      <c r="R314" s="243"/>
      <c r="S314" s="242"/>
    </row>
    <row r="315" spans="1:19" ht="15" customHeight="1">
      <c r="A315" s="330"/>
      <c r="C315" s="241"/>
      <c r="D315" s="242"/>
      <c r="E315" s="242"/>
      <c r="F315" s="242"/>
      <c r="G315" s="242"/>
      <c r="H315" s="242"/>
      <c r="I315" s="242"/>
      <c r="J315" s="242"/>
      <c r="K315" s="242"/>
      <c r="L315" s="242"/>
      <c r="M315" s="242"/>
      <c r="N315" s="242"/>
      <c r="O315" s="242"/>
      <c r="P315" s="242"/>
      <c r="Q315" s="242"/>
      <c r="R315" s="243"/>
      <c r="S315" s="242"/>
    </row>
    <row r="316" spans="1:19" ht="15" customHeight="1">
      <c r="A316" s="330"/>
      <c r="B316" s="606" t="s">
        <v>661</v>
      </c>
      <c r="C316" s="241"/>
      <c r="D316" s="242"/>
      <c r="E316" s="242"/>
      <c r="F316" s="242"/>
      <c r="G316" s="242"/>
      <c r="H316" s="242"/>
      <c r="I316" s="242"/>
      <c r="J316" s="242"/>
      <c r="K316" s="242"/>
      <c r="L316" s="242"/>
      <c r="M316" s="242"/>
      <c r="N316" s="242"/>
      <c r="O316" s="242"/>
      <c r="P316" s="242"/>
      <c r="Q316" s="242"/>
      <c r="R316" s="243"/>
      <c r="S316" s="242"/>
    </row>
    <row r="317" spans="1:19" ht="15" customHeight="1">
      <c r="A317" s="330"/>
      <c r="B317" s="607" t="s">
        <v>662</v>
      </c>
      <c r="C317" s="241"/>
      <c r="D317" s="242"/>
      <c r="E317" s="242"/>
      <c r="F317" s="242"/>
      <c r="G317" s="242"/>
      <c r="H317" s="242"/>
      <c r="I317" s="242"/>
      <c r="J317" s="242"/>
      <c r="K317" s="242"/>
      <c r="L317" s="242"/>
      <c r="M317" s="242"/>
      <c r="N317" s="242"/>
      <c r="O317" s="242"/>
      <c r="P317" s="242"/>
      <c r="Q317" s="242"/>
      <c r="R317" s="243"/>
      <c r="S317" s="242"/>
    </row>
    <row r="318" spans="1:19" ht="15" customHeight="1">
      <c r="A318" s="330"/>
      <c r="B318" s="236"/>
      <c r="C318" s="241"/>
      <c r="D318" s="242"/>
      <c r="E318" s="242"/>
      <c r="F318" s="242"/>
      <c r="G318" s="242"/>
      <c r="H318" s="242"/>
      <c r="I318" s="242"/>
      <c r="J318" s="242"/>
      <c r="K318" s="242"/>
      <c r="L318" s="242"/>
      <c r="M318" s="242"/>
      <c r="N318" s="242"/>
      <c r="O318" s="242"/>
      <c r="P318" s="242"/>
      <c r="Q318" s="242"/>
      <c r="R318" s="243"/>
      <c r="S318" s="242"/>
    </row>
    <row r="319" spans="1:19" ht="15" customHeight="1">
      <c r="A319" s="610">
        <f>Bonus!A283</f>
        <v>56.1004</v>
      </c>
      <c r="B319" s="611" t="str">
        <f>Bonus!B283</f>
        <v>San Joaquin Electric - Liberty Ranch Sewer Pump Station</v>
      </c>
      <c r="C319" s="241">
        <f>Bonus!G283</f>
        <v>0.87597735695226808</v>
      </c>
      <c r="D319" s="242">
        <f>Bonus!C283</f>
        <v>373425</v>
      </c>
      <c r="E319" s="243">
        <f>Bonus!E283</f>
        <v>103585</v>
      </c>
      <c r="F319" s="242">
        <f t="shared" ref="F319:F350" si="279">+E319-R319</f>
        <v>10615</v>
      </c>
      <c r="G319" s="242"/>
      <c r="H319" s="242">
        <f>Bonus!I283</f>
        <v>327111.84451990068</v>
      </c>
      <c r="I319" s="242">
        <f>Bonus!F283</f>
        <v>236373.73</v>
      </c>
      <c r="J319" s="242">
        <f>Bonus!H283</f>
        <v>90738.114519900686</v>
      </c>
      <c r="K319" s="242">
        <f>Bonus!P283</f>
        <v>51359.962693894202</v>
      </c>
      <c r="L319" s="242"/>
      <c r="M319" s="242">
        <f t="shared" ref="M319:M350" si="280">+N319+O319</f>
        <v>122870.34182600648</v>
      </c>
      <c r="N319" s="242">
        <f>Bonus!Q283</f>
        <v>83492.19</v>
      </c>
      <c r="O319" s="242">
        <f>Bonus!S283</f>
        <v>39378.151826006484</v>
      </c>
      <c r="P319" s="242">
        <f>O319-Bonus!Y283</f>
        <v>13050.963049611324</v>
      </c>
      <c r="Q319" s="242"/>
      <c r="R319" s="243">
        <v>92970</v>
      </c>
      <c r="S319" s="242"/>
    </row>
    <row r="320" spans="1:19" ht="15" customHeight="1">
      <c r="A320" s="610">
        <f>Bonus!A284</f>
        <v>56.100499999999997</v>
      </c>
      <c r="B320" s="611" t="str">
        <f>Bonus!B284</f>
        <v>SD Electric, Inc. - Stormwater Evacuation Lines &amp; Outfall Manifold</v>
      </c>
      <c r="C320" s="241">
        <f>Bonus!G284</f>
        <v>0.75027445791988234</v>
      </c>
      <c r="D320" s="242">
        <f>Bonus!C284</f>
        <v>135000</v>
      </c>
      <c r="E320" s="243">
        <f>Bonus!E284</f>
        <v>66975</v>
      </c>
      <c r="F320" s="242">
        <f t="shared" si="279"/>
        <v>0</v>
      </c>
      <c r="G320" s="242"/>
      <c r="H320" s="242">
        <f>Bonus!I284</f>
        <v>101287.05181918413</v>
      </c>
      <c r="I320" s="242">
        <f>Bonus!F284</f>
        <v>51037.42</v>
      </c>
      <c r="J320" s="242">
        <f>Bonus!H284</f>
        <v>50249.63181918412</v>
      </c>
      <c r="K320" s="242">
        <f>Bonus!P284</f>
        <v>0</v>
      </c>
      <c r="L320" s="242"/>
      <c r="M320" s="242">
        <f t="shared" si="280"/>
        <v>85373.721819184109</v>
      </c>
      <c r="N320" s="242">
        <f>Bonus!Q284</f>
        <v>35124.089999999997</v>
      </c>
      <c r="O320" s="242">
        <f>Bonus!S284</f>
        <v>50249.63181918412</v>
      </c>
      <c r="P320" s="242">
        <f>O320-Bonus!Y284</f>
        <v>0</v>
      </c>
      <c r="Q320" s="242"/>
      <c r="R320" s="243">
        <v>66975</v>
      </c>
      <c r="S320" s="242"/>
    </row>
    <row r="321" spans="1:19" ht="15" customHeight="1">
      <c r="A321" s="610">
        <f>Bonus!A285</f>
        <v>56.100999999999999</v>
      </c>
      <c r="B321" s="611" t="str">
        <f>Bonus!B285</f>
        <v>Placer County Water Agency -PCWA Time &amp; Material Contract</v>
      </c>
      <c r="C321" s="241">
        <f>Bonus!G285</f>
        <v>1</v>
      </c>
      <c r="D321" s="242">
        <f>Bonus!C285</f>
        <v>49250</v>
      </c>
      <c r="E321" s="243">
        <f>Bonus!E285</f>
        <v>12788.059999999998</v>
      </c>
      <c r="F321" s="242">
        <f t="shared" si="279"/>
        <v>-995.69000000000233</v>
      </c>
      <c r="G321" s="242"/>
      <c r="H321" s="242">
        <f>Bonus!I285</f>
        <v>49250</v>
      </c>
      <c r="I321" s="242">
        <f>Bonus!F285</f>
        <v>36461.94</v>
      </c>
      <c r="J321" s="242">
        <f>Bonus!H285</f>
        <v>12788.059999999998</v>
      </c>
      <c r="K321" s="242">
        <f>Bonus!P285</f>
        <v>0</v>
      </c>
      <c r="L321" s="242"/>
      <c r="M321" s="242">
        <f t="shared" si="280"/>
        <v>49250</v>
      </c>
      <c r="N321" s="242">
        <f>Bonus!Q285</f>
        <v>36461.94</v>
      </c>
      <c r="O321" s="242">
        <f>Bonus!S285</f>
        <v>12788.059999999998</v>
      </c>
      <c r="P321" s="242">
        <f>O321-Bonus!Y285</f>
        <v>-995.69000000000233</v>
      </c>
      <c r="Q321" s="242"/>
      <c r="R321" s="243">
        <v>13783.75</v>
      </c>
      <c r="S321" s="242"/>
    </row>
    <row r="322" spans="1:19" ht="15" customHeight="1">
      <c r="A322" s="610">
        <f>Bonus!A286</f>
        <v>56.101500000000001</v>
      </c>
      <c r="B322" s="611" t="str">
        <f>Bonus!B286</f>
        <v>Mike Brown Electric Co. - Riverside Ponds &amp; Headworks Mitigation – City of Calistoga</v>
      </c>
      <c r="C322" s="241">
        <f>Bonus!G286</f>
        <v>0.69948383451257867</v>
      </c>
      <c r="D322" s="242">
        <f>Bonus!C286</f>
        <v>230000</v>
      </c>
      <c r="E322" s="243">
        <f>Bonus!E286</f>
        <v>26480</v>
      </c>
      <c r="F322" s="242">
        <f t="shared" si="279"/>
        <v>-2976</v>
      </c>
      <c r="G322" s="242"/>
      <c r="H322" s="242">
        <f>Bonus!I286</f>
        <v>160881.2819378931</v>
      </c>
      <c r="I322" s="242">
        <f>Bonus!F286</f>
        <v>142358.95000000001</v>
      </c>
      <c r="J322" s="242">
        <f>Bonus!H286</f>
        <v>18522.331937893083</v>
      </c>
      <c r="K322" s="242">
        <f>Bonus!P286</f>
        <v>29395.330313379258</v>
      </c>
      <c r="L322" s="242"/>
      <c r="M322" s="242">
        <f t="shared" si="280"/>
        <v>31372.171624513838</v>
      </c>
      <c r="N322" s="242">
        <f>Bonus!Q286</f>
        <v>42245.170000000013</v>
      </c>
      <c r="O322" s="242">
        <f>Bonus!S286</f>
        <v>-10872.998375486175</v>
      </c>
      <c r="P322" s="242">
        <f>O322-Bonus!Y286</f>
        <v>-811.89735762311466</v>
      </c>
      <c r="Q322" s="242"/>
      <c r="R322" s="243">
        <v>29456</v>
      </c>
      <c r="S322" s="242"/>
    </row>
    <row r="323" spans="1:19" ht="15" customHeight="1">
      <c r="A323" s="610">
        <f>Bonus!A287</f>
        <v>56.101700000000001</v>
      </c>
      <c r="B323" s="611" t="str">
        <f>Bonus!B287</f>
        <v>Bay Tech Engineering - SDDS Gate Valves Replacement – SF International Airport</v>
      </c>
      <c r="C323" s="241">
        <f>Bonus!G287</f>
        <v>0.83076252230297232</v>
      </c>
      <c r="D323" s="242">
        <f>Bonus!C287</f>
        <v>102868</v>
      </c>
      <c r="E323" s="243">
        <f>Bonus!E287</f>
        <v>-12027</v>
      </c>
      <c r="F323" s="242">
        <f t="shared" si="279"/>
        <v>-21368</v>
      </c>
      <c r="G323" s="242"/>
      <c r="H323" s="242">
        <f>Bonus!I287</f>
        <v>83423.460000000006</v>
      </c>
      <c r="I323" s="242">
        <f>Bonus!F287</f>
        <v>95450.46</v>
      </c>
      <c r="J323" s="242">
        <f>Bonus!H287</f>
        <v>-12027</v>
      </c>
      <c r="K323" s="242">
        <f>Bonus!P287</f>
        <v>19016.572776670284</v>
      </c>
      <c r="L323" s="242"/>
      <c r="M323" s="242">
        <f t="shared" si="280"/>
        <v>21693.997223329723</v>
      </c>
      <c r="N323" s="242">
        <f>Bonus!Q287</f>
        <v>52737.570000000007</v>
      </c>
      <c r="O323" s="242">
        <f>Bonus!S287</f>
        <v>-31043.572776670284</v>
      </c>
      <c r="P323" s="242">
        <f>O323-Bonus!Y287</f>
        <v>-20968.514372747977</v>
      </c>
      <c r="Q323" s="242"/>
      <c r="R323" s="243">
        <v>9341</v>
      </c>
      <c r="S323" s="242"/>
    </row>
    <row r="324" spans="1:19" ht="15" customHeight="1">
      <c r="A324" s="610">
        <f>Bonus!A288</f>
        <v>56.101799999999997</v>
      </c>
      <c r="B324" s="611" t="str">
        <f>Bonus!B288</f>
        <v>CM Controls - Salinas AG Industrial Phase 1 – City of Salinas</v>
      </c>
      <c r="C324" s="241">
        <f>Bonus!G288</f>
        <v>0.59105003870786121</v>
      </c>
      <c r="D324" s="242">
        <f>Bonus!C288</f>
        <v>153913</v>
      </c>
      <c r="E324" s="243">
        <f>Bonus!E288</f>
        <v>82868</v>
      </c>
      <c r="F324" s="242">
        <f t="shared" si="279"/>
        <v>-9973</v>
      </c>
      <c r="G324" s="242"/>
      <c r="H324" s="242">
        <f>Bonus!I288</f>
        <v>90970.284607643043</v>
      </c>
      <c r="I324" s="242">
        <f>Bonus!F288</f>
        <v>41991.15</v>
      </c>
      <c r="J324" s="242">
        <f>Bonus!H288</f>
        <v>48979.134607643042</v>
      </c>
      <c r="K324" s="242">
        <f>Bonus!P288</f>
        <v>31982.954561396826</v>
      </c>
      <c r="L324" s="242"/>
      <c r="M324" s="242">
        <f t="shared" si="280"/>
        <v>40855.430046246212</v>
      </c>
      <c r="N324" s="242">
        <f>Bonus!Q288</f>
        <v>23859.25</v>
      </c>
      <c r="O324" s="242">
        <f>Bonus!S288</f>
        <v>16996.180046246216</v>
      </c>
      <c r="P324" s="242">
        <f>O324-Bonus!Y288</f>
        <v>-5455.1040146388623</v>
      </c>
      <c r="Q324" s="242"/>
      <c r="R324" s="243">
        <v>92841</v>
      </c>
      <c r="S324" s="242"/>
    </row>
    <row r="325" spans="1:19" ht="15" customHeight="1">
      <c r="A325" s="610">
        <f>Bonus!A289</f>
        <v>56.103200000000001</v>
      </c>
      <c r="B325" s="611" t="str">
        <f>Bonus!B289</f>
        <v>Newtron - Watsonville, City of - Zone 2 Water Res &amp; AirportBPS Mods</v>
      </c>
      <c r="C325" s="241">
        <f>Bonus!G289</f>
        <v>0.42210714070503158</v>
      </c>
      <c r="D325" s="242">
        <f>Bonus!C289</f>
        <v>85000</v>
      </c>
      <c r="E325" s="243">
        <f>Bonus!E289</f>
        <v>2025</v>
      </c>
      <c r="F325" s="242">
        <f t="shared" si="279"/>
        <v>-5147</v>
      </c>
      <c r="G325" s="242"/>
      <c r="H325" s="242">
        <f>Bonus!I289</f>
        <v>35879.106959927689</v>
      </c>
      <c r="I325" s="242">
        <f>Bonus!F289</f>
        <v>35024.339999999997</v>
      </c>
      <c r="J325" s="242">
        <f>Bonus!H289</f>
        <v>854.76695992768896</v>
      </c>
      <c r="K325" s="242">
        <f>Bonus!P289</f>
        <v>0</v>
      </c>
      <c r="L325" s="242"/>
      <c r="M325" s="242">
        <f t="shared" si="280"/>
        <v>26940.546959927688</v>
      </c>
      <c r="N325" s="242">
        <f>Bonus!Q289</f>
        <v>26085.78</v>
      </c>
      <c r="O325" s="242">
        <f>Bonus!S289</f>
        <v>854.76695992768896</v>
      </c>
      <c r="P325" s="242">
        <f>O325-Bonus!Y289</f>
        <v>-1010.7621339716791</v>
      </c>
      <c r="Q325" s="242"/>
      <c r="R325" s="243">
        <v>7172</v>
      </c>
      <c r="S325" s="242"/>
    </row>
    <row r="326" spans="1:19" ht="15" customHeight="1">
      <c r="A326" s="610">
        <f>Bonus!A290</f>
        <v>56.1036</v>
      </c>
      <c r="B326" s="611" t="str">
        <f>Bonus!B290</f>
        <v>Darrel Varni Electric, Inc. - GSW, San Benito Co. Sewer Pump Station No. 2</v>
      </c>
      <c r="C326" s="241">
        <f>Bonus!G290</f>
        <v>0.51215147542865891</v>
      </c>
      <c r="D326" s="242">
        <f>Bonus!C290</f>
        <v>276000</v>
      </c>
      <c r="E326" s="243">
        <f>Bonus!E290</f>
        <v>66976</v>
      </c>
      <c r="F326" s="242">
        <f t="shared" si="279"/>
        <v>3142</v>
      </c>
      <c r="G326" s="242"/>
      <c r="H326" s="242">
        <f>Bonus!I290</f>
        <v>141353.80721830984</v>
      </c>
      <c r="I326" s="242">
        <f>Bonus!F290</f>
        <v>107051.95</v>
      </c>
      <c r="J326" s="242">
        <f>Bonus!H290</f>
        <v>34301.857218309859</v>
      </c>
      <c r="K326" s="242">
        <f>Bonus!P290</f>
        <v>0</v>
      </c>
      <c r="L326" s="242"/>
      <c r="M326" s="242">
        <f t="shared" si="280"/>
        <v>88716.557218309856</v>
      </c>
      <c r="N326" s="242">
        <f>Bonus!Q290</f>
        <v>54414.7</v>
      </c>
      <c r="O326" s="242">
        <f>Bonus!S290</f>
        <v>34301.857218309859</v>
      </c>
      <c r="P326" s="242">
        <f>O326-Bonus!Y290</f>
        <v>4638.5404682179505</v>
      </c>
      <c r="Q326" s="242"/>
      <c r="R326" s="243">
        <v>63834</v>
      </c>
      <c r="S326" s="242"/>
    </row>
    <row r="327" spans="1:19" ht="15" customHeight="1">
      <c r="A327" s="610">
        <f>Bonus!A291</f>
        <v>56.103700000000003</v>
      </c>
      <c r="B327" s="611" t="str">
        <f>Bonus!B291</f>
        <v>East Orange County Water District - EOCWD - On-Call SCADA Integration Services</v>
      </c>
      <c r="C327" s="241">
        <f>Bonus!G291</f>
        <v>1</v>
      </c>
      <c r="D327" s="242">
        <f>Bonus!C291</f>
        <v>36491</v>
      </c>
      <c r="E327" s="243">
        <f>Bonus!E291</f>
        <v>14816.8</v>
      </c>
      <c r="F327" s="242">
        <f t="shared" si="279"/>
        <v>-608.20000000000073</v>
      </c>
      <c r="G327" s="242"/>
      <c r="H327" s="242">
        <f>Bonus!I291</f>
        <v>36491</v>
      </c>
      <c r="I327" s="242">
        <f>Bonus!F291</f>
        <v>21674.2</v>
      </c>
      <c r="J327" s="242">
        <f>Bonus!H291</f>
        <v>14816.8</v>
      </c>
      <c r="K327" s="242">
        <f>Bonus!P291</f>
        <v>338.11999999999989</v>
      </c>
      <c r="L327" s="242"/>
      <c r="M327" s="242">
        <f t="shared" si="280"/>
        <v>34128.5</v>
      </c>
      <c r="N327" s="242">
        <f>Bonus!Q291</f>
        <v>19649.82</v>
      </c>
      <c r="O327" s="242">
        <f>Bonus!S291</f>
        <v>14478.68</v>
      </c>
      <c r="P327" s="242">
        <f>O327-Bonus!Y291</f>
        <v>7362.9964967557607</v>
      </c>
      <c r="Q327" s="242"/>
      <c r="R327" s="243">
        <v>15425</v>
      </c>
      <c r="S327" s="242"/>
    </row>
    <row r="328" spans="1:19" ht="15" customHeight="1">
      <c r="A328" s="610">
        <f>Bonus!A292</f>
        <v>56.1038</v>
      </c>
      <c r="B328" s="611" t="str">
        <f>Bonus!B292</f>
        <v>Troxell JH Electrical Inc - Keyes CSD TCP Treatment Impvmts Wells 7,8,9,10</v>
      </c>
      <c r="C328" s="241">
        <f>Bonus!G292</f>
        <v>0.85238796687568152</v>
      </c>
      <c r="D328" s="242">
        <f>Bonus!C292</f>
        <v>95000</v>
      </c>
      <c r="E328" s="243">
        <f>Bonus!E292</f>
        <v>-22376</v>
      </c>
      <c r="F328" s="242">
        <f t="shared" si="279"/>
        <v>-1922</v>
      </c>
      <c r="G328" s="242"/>
      <c r="H328" s="242">
        <f>Bonus!I292</f>
        <v>77673.89</v>
      </c>
      <c r="I328" s="242">
        <f>Bonus!F292</f>
        <v>100049.89</v>
      </c>
      <c r="J328" s="242">
        <f>Bonus!H292</f>
        <v>-22376</v>
      </c>
      <c r="K328" s="242">
        <f>Bonus!P292</f>
        <v>6303.4541681630926</v>
      </c>
      <c r="L328" s="242"/>
      <c r="M328" s="242">
        <f t="shared" si="280"/>
        <v>16550.265831836907</v>
      </c>
      <c r="N328" s="242">
        <f>Bonus!Q292</f>
        <v>45229.72</v>
      </c>
      <c r="O328" s="242">
        <f>Bonus!S292</f>
        <v>-28679.454168163094</v>
      </c>
      <c r="P328" s="242">
        <f>O328-Bonus!Y292</f>
        <v>-1922</v>
      </c>
      <c r="Q328" s="242"/>
      <c r="R328" s="243">
        <v>-20454</v>
      </c>
      <c r="S328" s="242"/>
    </row>
    <row r="329" spans="1:19" ht="15" customHeight="1">
      <c r="A329" s="610">
        <f>Bonus!A293</f>
        <v>56.103900000000003</v>
      </c>
      <c r="B329" s="611" t="str">
        <f>Bonus!B293</f>
        <v>Sac Valley Electrica Inc -  Placer County - Creekview Ranch Sewer Lift Station</v>
      </c>
      <c r="C329" s="241">
        <f>Bonus!G293</f>
        <v>0.9752176752416607</v>
      </c>
      <c r="D329" s="242">
        <f>Bonus!C293</f>
        <v>375000</v>
      </c>
      <c r="E329" s="243">
        <f>Bonus!E293</f>
        <v>42716</v>
      </c>
      <c r="F329" s="242">
        <f t="shared" si="279"/>
        <v>8890</v>
      </c>
      <c r="G329" s="242"/>
      <c r="H329" s="242">
        <f>Bonus!I293</f>
        <v>365706.62821562274</v>
      </c>
      <c r="I329" s="242">
        <f>Bonus!F293</f>
        <v>324049.23</v>
      </c>
      <c r="J329" s="242">
        <f>Bonus!H293</f>
        <v>41657.398215622779</v>
      </c>
      <c r="K329" s="242">
        <f>Bonus!P293</f>
        <v>0</v>
      </c>
      <c r="L329" s="242"/>
      <c r="M329" s="242">
        <f t="shared" si="280"/>
        <v>321087.49821562273</v>
      </c>
      <c r="N329" s="242">
        <f>Bonus!Q293</f>
        <v>279430.09999999998</v>
      </c>
      <c r="O329" s="242">
        <f>Bonus!S293</f>
        <v>41657.398215622779</v>
      </c>
      <c r="P329" s="242">
        <f>O329-Bonus!Y293</f>
        <v>10149.760279672209</v>
      </c>
      <c r="Q329" s="242"/>
      <c r="R329" s="243">
        <v>33826</v>
      </c>
      <c r="S329" s="242"/>
    </row>
    <row r="330" spans="1:19" ht="15" customHeight="1">
      <c r="A330" s="610">
        <f>Bonus!A294</f>
        <v>56.104199999999999</v>
      </c>
      <c r="B330" s="611" t="str">
        <f>Bonus!B294</f>
        <v>Trabuco Canyon Water Dist.  - SCADA Integration Services</v>
      </c>
      <c r="C330" s="241">
        <f>Bonus!G294</f>
        <v>0.79107999523565198</v>
      </c>
      <c r="D330" s="242">
        <f>Bonus!C294</f>
        <v>277565</v>
      </c>
      <c r="E330" s="243">
        <f>Bonus!E294</f>
        <v>59277</v>
      </c>
      <c r="F330" s="242">
        <f t="shared" si="279"/>
        <v>0</v>
      </c>
      <c r="G330" s="242"/>
      <c r="H330" s="242">
        <f>Bonus!I294</f>
        <v>219576.11887758374</v>
      </c>
      <c r="I330" s="242">
        <f>Bonus!F294</f>
        <v>172683.27</v>
      </c>
      <c r="J330" s="242">
        <f>Bonus!H294</f>
        <v>46892.84887758374</v>
      </c>
      <c r="K330" s="242">
        <f>Bonus!P294</f>
        <v>34822.218142304642</v>
      </c>
      <c r="L330" s="242"/>
      <c r="M330" s="242">
        <f t="shared" si="280"/>
        <v>96610.760735279095</v>
      </c>
      <c r="N330" s="242">
        <f>Bonus!Q294</f>
        <v>84540.12999999999</v>
      </c>
      <c r="O330" s="242">
        <f>Bonus!S294</f>
        <v>12070.630735279097</v>
      </c>
      <c r="P330" s="242">
        <f>O330-Bonus!Y294</f>
        <v>229.5501064648488</v>
      </c>
      <c r="Q330" s="242"/>
      <c r="R330" s="243">
        <v>59277</v>
      </c>
      <c r="S330" s="242"/>
    </row>
    <row r="331" spans="1:19" ht="15" customHeight="1">
      <c r="A331" s="610">
        <f>Bonus!A295</f>
        <v>56.104300000000002</v>
      </c>
      <c r="B331" s="611" t="str">
        <f>Bonus!B295</f>
        <v>SD Electirc, Inc - Morgan Hill, City of - Sanitary Sewer Lift Station K &amp; F Reh</v>
      </c>
      <c r="C331" s="241">
        <f>Bonus!G295</f>
        <v>0.69043196495724024</v>
      </c>
      <c r="D331" s="242">
        <f>Bonus!C295</f>
        <v>336610</v>
      </c>
      <c r="E331" s="243">
        <f>Bonus!E295</f>
        <v>25219</v>
      </c>
      <c r="F331" s="242">
        <f t="shared" si="279"/>
        <v>8792</v>
      </c>
      <c r="G331" s="242"/>
      <c r="H331" s="242">
        <f>Bonus!I295</f>
        <v>232406.30372425664</v>
      </c>
      <c r="I331" s="242">
        <f>Bonus!F295</f>
        <v>214994.3</v>
      </c>
      <c r="J331" s="242">
        <f>Bonus!H295</f>
        <v>17412.003724256643</v>
      </c>
      <c r="K331" s="242">
        <f>Bonus!P295</f>
        <v>0</v>
      </c>
      <c r="L331" s="242"/>
      <c r="M331" s="242">
        <f t="shared" si="280"/>
        <v>194947.42372425663</v>
      </c>
      <c r="N331" s="242">
        <f>Bonus!Q295</f>
        <v>177535.41999999998</v>
      </c>
      <c r="O331" s="242">
        <f>Bonus!S295</f>
        <v>17412.003724256643</v>
      </c>
      <c r="P331" s="242">
        <f>O331-Bonus!Y295</f>
        <v>9276.364758321537</v>
      </c>
      <c r="Q331" s="242"/>
      <c r="R331" s="243">
        <v>16427</v>
      </c>
      <c r="S331" s="242"/>
    </row>
    <row r="332" spans="1:19" ht="15" customHeight="1">
      <c r="A332" s="610">
        <f>Bonus!A296</f>
        <v>56.104599999999998</v>
      </c>
      <c r="B332" s="611" t="str">
        <f>Bonus!B296</f>
        <v>California Water Service Co. - SSF-1 - Visalia St. 97 Panelboard Mods</v>
      </c>
      <c r="C332" s="241">
        <f>Bonus!G296</f>
        <v>0.97260743408874883</v>
      </c>
      <c r="D332" s="242">
        <f>Bonus!C296</f>
        <v>77120</v>
      </c>
      <c r="E332" s="243">
        <f>Bonus!E296</f>
        <v>-2836</v>
      </c>
      <c r="F332" s="242">
        <f t="shared" si="279"/>
        <v>-646</v>
      </c>
      <c r="G332" s="242"/>
      <c r="H332" s="242">
        <f>Bonus!I296</f>
        <v>74929.8</v>
      </c>
      <c r="I332" s="242">
        <f>Bonus!F296</f>
        <v>77765.8</v>
      </c>
      <c r="J332" s="242">
        <f>Bonus!H296</f>
        <v>-2836</v>
      </c>
      <c r="K332" s="242">
        <f>Bonus!P296</f>
        <v>0</v>
      </c>
      <c r="L332" s="242"/>
      <c r="M332" s="242">
        <f t="shared" si="280"/>
        <v>65463.400000000009</v>
      </c>
      <c r="N332" s="242">
        <f>Bonus!Q296</f>
        <v>68299.400000000009</v>
      </c>
      <c r="O332" s="242">
        <f>Bonus!S296</f>
        <v>-2836</v>
      </c>
      <c r="P332" s="242">
        <f>O332-Bonus!Y296</f>
        <v>-646</v>
      </c>
      <c r="Q332" s="242"/>
      <c r="R332" s="243">
        <v>-2190</v>
      </c>
      <c r="S332" s="242"/>
    </row>
    <row r="333" spans="1:19" ht="15" customHeight="1">
      <c r="A333" s="610">
        <f>Bonus!A297</f>
        <v>56.104700000000001</v>
      </c>
      <c r="B333" s="611" t="str">
        <f>Bonus!B297</f>
        <v>SD Electric, Inc - Lathrop, City of - Consolidated Treatment Facility Ph. 3</v>
      </c>
      <c r="C333" s="241">
        <f>Bonus!G297</f>
        <v>0.78550670283329771</v>
      </c>
      <c r="D333" s="242">
        <f>Bonus!C297</f>
        <v>2394758</v>
      </c>
      <c r="E333" s="243">
        <f>Bonus!E297</f>
        <v>354203</v>
      </c>
      <c r="F333" s="242">
        <f t="shared" si="279"/>
        <v>103672</v>
      </c>
      <c r="G333" s="242"/>
      <c r="H333" s="242">
        <f>Bonus!I297</f>
        <v>1881098.4606636623</v>
      </c>
      <c r="I333" s="242">
        <f>Bonus!F297</f>
        <v>1602869.63</v>
      </c>
      <c r="J333" s="242">
        <f>Bonus!H297</f>
        <v>278228.83066366252</v>
      </c>
      <c r="K333" s="242">
        <f>Bonus!P297</f>
        <v>0</v>
      </c>
      <c r="L333" s="242"/>
      <c r="M333" s="242">
        <f t="shared" si="280"/>
        <v>1820562.3006636626</v>
      </c>
      <c r="N333" s="242">
        <f>Bonus!Q297</f>
        <v>1542333.47</v>
      </c>
      <c r="O333" s="242">
        <f>Bonus!S297</f>
        <v>278228.83066366252</v>
      </c>
      <c r="P333" s="242">
        <f>O333-Bonus!Y297</f>
        <v>100248.06811195507</v>
      </c>
      <c r="Q333" s="242"/>
      <c r="R333" s="243">
        <v>250531</v>
      </c>
      <c r="S333" s="242"/>
    </row>
    <row r="334" spans="1:19" ht="15" customHeight="1">
      <c r="A334" s="610">
        <f>Bonus!A298</f>
        <v>56.104799999999997</v>
      </c>
      <c r="B334" s="611" t="str">
        <f>Bonus!B298</f>
        <v>Blocka Construction, Inc - West Bay Sanitary District - Telemetry Panel Replacement</v>
      </c>
      <c r="C334" s="241">
        <f>Bonus!G298</f>
        <v>0.98012121475431202</v>
      </c>
      <c r="D334" s="242">
        <f>Bonus!C298</f>
        <v>200000</v>
      </c>
      <c r="E334" s="243">
        <f>Bonus!E298</f>
        <v>38881</v>
      </c>
      <c r="F334" s="242">
        <f t="shared" si="279"/>
        <v>-1028.9200000000128</v>
      </c>
      <c r="G334" s="242"/>
      <c r="H334" s="242">
        <f>Bonus!I298</f>
        <v>196024.24295086239</v>
      </c>
      <c r="I334" s="242">
        <f>Bonus!F298</f>
        <v>157916.15</v>
      </c>
      <c r="J334" s="242">
        <f>Bonus!H298</f>
        <v>38108.092950862403</v>
      </c>
      <c r="K334" s="242">
        <f>Bonus!P298</f>
        <v>0</v>
      </c>
      <c r="L334" s="242"/>
      <c r="M334" s="242">
        <f t="shared" si="280"/>
        <v>175234.89295086238</v>
      </c>
      <c r="N334" s="242">
        <f>Bonus!Q298</f>
        <v>137126.79999999999</v>
      </c>
      <c r="O334" s="242">
        <f>Bonus!S298</f>
        <v>38108.092950862403</v>
      </c>
      <c r="P334" s="242">
        <f>O334-Bonus!Y298</f>
        <v>-657.03690702762106</v>
      </c>
      <c r="Q334" s="242"/>
      <c r="R334" s="243">
        <v>39909.920000000013</v>
      </c>
      <c r="S334" s="242"/>
    </row>
    <row r="335" spans="1:19" ht="15" customHeight="1">
      <c r="A335" s="610">
        <f>Bonus!A299</f>
        <v>56.104900000000001</v>
      </c>
      <c r="B335" s="611" t="str">
        <f>Bonus!B299</f>
        <v>East Orange County Water District - SCADA Field Site RTU Prog Ph.1</v>
      </c>
      <c r="C335" s="241">
        <f>Bonus!G299</f>
        <v>0.86157622562511804</v>
      </c>
      <c r="D335" s="242">
        <f>Bonus!C299</f>
        <v>308725</v>
      </c>
      <c r="E335" s="243">
        <f>Bonus!E299</f>
        <v>59852</v>
      </c>
      <c r="F335" s="242">
        <f t="shared" si="279"/>
        <v>5000</v>
      </c>
      <c r="G335" s="242"/>
      <c r="H335" s="242">
        <f>Bonus!I299</f>
        <v>265990.12025611458</v>
      </c>
      <c r="I335" s="242">
        <f>Bonus!F299</f>
        <v>214423.06</v>
      </c>
      <c r="J335" s="242">
        <f>Bonus!H299</f>
        <v>51567.060256114564</v>
      </c>
      <c r="K335" s="242">
        <f>Bonus!P299</f>
        <v>74409.070972223708</v>
      </c>
      <c r="L335" s="242"/>
      <c r="M335" s="242">
        <f t="shared" si="280"/>
        <v>64100.269283890855</v>
      </c>
      <c r="N335" s="242">
        <f>Bonus!Q299</f>
        <v>86942.28</v>
      </c>
      <c r="O335" s="242">
        <f>Bonus!S299</f>
        <v>-22842.010716109144</v>
      </c>
      <c r="P335" s="242">
        <f>O335-Bonus!Y299</f>
        <v>5333.135175621559</v>
      </c>
      <c r="Q335" s="242"/>
      <c r="R335" s="243">
        <v>54852</v>
      </c>
      <c r="S335" s="242"/>
    </row>
    <row r="336" spans="1:19" ht="15" customHeight="1">
      <c r="A336" s="610">
        <f>Bonus!A300</f>
        <v>56.104999999999997</v>
      </c>
      <c r="B336" s="611" t="str">
        <f>Bonus!B300</f>
        <v>Collins Electric - Watsonville, City of - WWTF Electrical System Hazard Mitigat</v>
      </c>
      <c r="C336" s="241">
        <f>Bonus!G300</f>
        <v>0.27509407181613083</v>
      </c>
      <c r="D336" s="242">
        <f>Bonus!C300</f>
        <v>3792559</v>
      </c>
      <c r="E336" s="243">
        <f>Bonus!E300</f>
        <v>426992</v>
      </c>
      <c r="F336" s="242">
        <f t="shared" si="279"/>
        <v>-11632</v>
      </c>
      <c r="G336" s="242"/>
      <c r="H336" s="242">
        <f>Bonus!I300</f>
        <v>1043310.4979129133</v>
      </c>
      <c r="I336" s="242">
        <f>Bonus!F300</f>
        <v>925847.53</v>
      </c>
      <c r="J336" s="242">
        <f>Bonus!H300</f>
        <v>117462.96791291333</v>
      </c>
      <c r="K336" s="242">
        <f>Bonus!P300</f>
        <v>0</v>
      </c>
      <c r="L336" s="242"/>
      <c r="M336" s="242">
        <f t="shared" si="280"/>
        <v>988845.87791291333</v>
      </c>
      <c r="N336" s="242">
        <f>Bonus!Q300</f>
        <v>871382.91</v>
      </c>
      <c r="O336" s="242">
        <f>Bonus!S300</f>
        <v>117462.96791291333</v>
      </c>
      <c r="P336" s="242">
        <f>O336-Bonus!Y300</f>
        <v>-1538.7017116202333</v>
      </c>
      <c r="Q336" s="242"/>
      <c r="R336" s="243">
        <v>438624</v>
      </c>
      <c r="S336" s="242"/>
    </row>
    <row r="337" spans="1:19" ht="15" customHeight="1">
      <c r="A337" s="610">
        <f>Bonus!A301</f>
        <v>56.105499999999999</v>
      </c>
      <c r="B337" s="611" t="str">
        <f>Bonus!B301</f>
        <v>Strategic Mechanical, Inc - Tranquility Irrigation District - Tranquility Well 8 Project</v>
      </c>
      <c r="C337" s="241">
        <f>Bonus!G301</f>
        <v>0.84801438910908156</v>
      </c>
      <c r="D337" s="242">
        <f>Bonus!C301</f>
        <v>120891</v>
      </c>
      <c r="E337" s="243">
        <f>Bonus!E301</f>
        <v>28043</v>
      </c>
      <c r="F337" s="242">
        <f t="shared" si="279"/>
        <v>1129</v>
      </c>
      <c r="G337" s="242"/>
      <c r="H337" s="242">
        <f>Bonus!I301</f>
        <v>102517.30751378599</v>
      </c>
      <c r="I337" s="242">
        <f>Bonus!F301</f>
        <v>78736.44</v>
      </c>
      <c r="J337" s="242">
        <f>Bonus!H301</f>
        <v>23780.867513785975</v>
      </c>
      <c r="K337" s="242">
        <f>Bonus!P301</f>
        <v>0</v>
      </c>
      <c r="L337" s="242"/>
      <c r="M337" s="242">
        <f t="shared" si="280"/>
        <v>88246.297513785976</v>
      </c>
      <c r="N337" s="242">
        <f>Bonus!Q301</f>
        <v>64465.43</v>
      </c>
      <c r="O337" s="242">
        <f>Bonus!S301</f>
        <v>23780.867513785975</v>
      </c>
      <c r="P337" s="242">
        <f>O337-Bonus!Y301</f>
        <v>2353.9045992430547</v>
      </c>
      <c r="Q337" s="242"/>
      <c r="R337" s="243">
        <v>26914</v>
      </c>
      <c r="S337" s="242"/>
    </row>
    <row r="338" spans="1:19" ht="15" customHeight="1">
      <c r="A338" s="610">
        <f>Bonus!A302</f>
        <v>56.105899999999998</v>
      </c>
      <c r="B338" s="611" t="str">
        <f>Bonus!B302</f>
        <v>Fusion Electric, Inc - San Francisco Utilities Commission (SFPUC) - Moccasin Compou</v>
      </c>
      <c r="C338" s="241">
        <f>Bonus!G302</f>
        <v>0.71639617746942652</v>
      </c>
      <c r="D338" s="242">
        <f>Bonus!C302</f>
        <v>399389</v>
      </c>
      <c r="E338" s="243">
        <f>Bonus!E302</f>
        <v>70183</v>
      </c>
      <c r="F338" s="242">
        <f t="shared" si="279"/>
        <v>1347</v>
      </c>
      <c r="G338" s="242"/>
      <c r="H338" s="242">
        <f>Bonus!I302</f>
        <v>286120.75292333675</v>
      </c>
      <c r="I338" s="242">
        <f>Bonus!F302</f>
        <v>235841.92000000001</v>
      </c>
      <c r="J338" s="242">
        <f>Bonus!H302</f>
        <v>50278.832923336762</v>
      </c>
      <c r="K338" s="242">
        <f>Bonus!P302</f>
        <v>0</v>
      </c>
      <c r="L338" s="242"/>
      <c r="M338" s="242">
        <f t="shared" si="280"/>
        <v>259417.37292333678</v>
      </c>
      <c r="N338" s="242">
        <f>Bonus!Q302</f>
        <v>209138.54</v>
      </c>
      <c r="O338" s="242">
        <f>Bonus!S302</f>
        <v>50278.832923336762</v>
      </c>
      <c r="P338" s="242">
        <f>O338-Bonus!Y302</f>
        <v>1794.9325838450604</v>
      </c>
      <c r="Q338" s="242"/>
      <c r="R338" s="243">
        <v>68836</v>
      </c>
      <c r="S338" s="242"/>
    </row>
    <row r="339" spans="1:19" ht="15" customHeight="1">
      <c r="A339" s="610">
        <f>Bonus!A303</f>
        <v>56.106000000000002</v>
      </c>
      <c r="B339" s="611" t="str">
        <f>Bonus!B303</f>
        <v>Fusion Electric, Inc - Stockton, City of - N4 Pump Station Improvement Plans of Mar</v>
      </c>
      <c r="C339" s="241">
        <f>Bonus!G303</f>
        <v>0.45137185223773685</v>
      </c>
      <c r="D339" s="242">
        <f>Bonus!C303</f>
        <v>404663</v>
      </c>
      <c r="E339" s="243">
        <f>Bonus!E303</f>
        <v>82172</v>
      </c>
      <c r="F339" s="242">
        <f t="shared" si="279"/>
        <v>921</v>
      </c>
      <c r="G339" s="242"/>
      <c r="H339" s="242">
        <f>Bonus!I303</f>
        <v>182653.48784207931</v>
      </c>
      <c r="I339" s="242">
        <f>Bonus!F303</f>
        <v>145563.35999999999</v>
      </c>
      <c r="J339" s="242">
        <f>Bonus!H303</f>
        <v>37090.12784207931</v>
      </c>
      <c r="K339" s="242">
        <f>Bonus!P303</f>
        <v>0</v>
      </c>
      <c r="L339" s="242"/>
      <c r="M339" s="242">
        <f t="shared" si="280"/>
        <v>146206.92784207931</v>
      </c>
      <c r="N339" s="242">
        <f>Bonus!Q303</f>
        <v>109116.79999999999</v>
      </c>
      <c r="O339" s="242">
        <f>Bonus!S303</f>
        <v>37090.12784207931</v>
      </c>
      <c r="P339" s="242">
        <f>O339-Bonus!Y303</f>
        <v>7267.6930904003384</v>
      </c>
      <c r="Q339" s="242"/>
      <c r="R339" s="243">
        <v>81251</v>
      </c>
      <c r="S339" s="242"/>
    </row>
    <row r="340" spans="1:19" ht="15" customHeight="1">
      <c r="A340" s="610">
        <f>Bonus!A304</f>
        <v>56.106299999999997</v>
      </c>
      <c r="B340" s="611" t="str">
        <f>Bonus!B304</f>
        <v>Bay Tech Engineering - West Bay Sanitary District - Stowe Lane Pump Station Project</v>
      </c>
      <c r="C340" s="241">
        <f>Bonus!G304</f>
        <v>0.75612391621817587</v>
      </c>
      <c r="D340" s="242">
        <f>Bonus!C304</f>
        <v>108000</v>
      </c>
      <c r="E340" s="243">
        <f>Bonus!E304</f>
        <v>10079</v>
      </c>
      <c r="F340" s="242">
        <f t="shared" si="279"/>
        <v>-4977</v>
      </c>
      <c r="G340" s="242"/>
      <c r="H340" s="242">
        <f>Bonus!I304</f>
        <v>81661.382951562991</v>
      </c>
      <c r="I340" s="242">
        <f>Bonus!F304</f>
        <v>74040.41</v>
      </c>
      <c r="J340" s="242">
        <f>Bonus!H304</f>
        <v>7620.9729515629942</v>
      </c>
      <c r="K340" s="242">
        <f>Bonus!P304</f>
        <v>0</v>
      </c>
      <c r="L340" s="242"/>
      <c r="M340" s="242">
        <f t="shared" si="280"/>
        <v>64053.572951563001</v>
      </c>
      <c r="N340" s="242">
        <f>Bonus!Q304</f>
        <v>56432.600000000006</v>
      </c>
      <c r="O340" s="242">
        <f>Bonus!S304</f>
        <v>7620.9729515629942</v>
      </c>
      <c r="P340" s="242">
        <f>O340-Bonus!Y304</f>
        <v>-2562.7302400362469</v>
      </c>
      <c r="Q340" s="242"/>
      <c r="R340" s="243">
        <v>15056</v>
      </c>
      <c r="S340" s="242"/>
    </row>
    <row r="341" spans="1:19" ht="15" customHeight="1">
      <c r="A341" s="610">
        <f>Bonus!A305</f>
        <v>56.1066</v>
      </c>
      <c r="B341" s="611" t="str">
        <f>Bonus!B305</f>
        <v>CM Controls - City of Larkspur and Ross Valley Sanitary District – Heather</v>
      </c>
      <c r="C341" s="241">
        <f>Bonus!G305</f>
        <v>0.89565195958531674</v>
      </c>
      <c r="D341" s="242">
        <f>Bonus!C305</f>
        <v>595000</v>
      </c>
      <c r="E341" s="243">
        <f>Bonus!E305</f>
        <v>63510</v>
      </c>
      <c r="F341" s="242">
        <f t="shared" si="279"/>
        <v>-73727</v>
      </c>
      <c r="G341" s="242"/>
      <c r="H341" s="242">
        <f>Bonus!I305</f>
        <v>532912.91595326341</v>
      </c>
      <c r="I341" s="242">
        <f>Bonus!F305</f>
        <v>476030.06</v>
      </c>
      <c r="J341" s="242">
        <f>Bonus!H305</f>
        <v>56882.855953263468</v>
      </c>
      <c r="K341" s="242">
        <f>Bonus!P305</f>
        <v>0</v>
      </c>
      <c r="L341" s="242"/>
      <c r="M341" s="242">
        <f t="shared" si="280"/>
        <v>520441.78595326346</v>
      </c>
      <c r="N341" s="242">
        <f>Bonus!Q305</f>
        <v>463558.93</v>
      </c>
      <c r="O341" s="242">
        <f>Bonus!S305</f>
        <v>56882.855953263468</v>
      </c>
      <c r="P341" s="242">
        <f>O341-Bonus!Y305</f>
        <v>-61720.209158442813</v>
      </c>
      <c r="Q341" s="242"/>
      <c r="R341" s="243">
        <v>137237</v>
      </c>
      <c r="S341" s="242"/>
    </row>
    <row r="342" spans="1:19" ht="15" customHeight="1">
      <c r="A342" s="610">
        <f>Bonus!A306</f>
        <v>56.106699999999996</v>
      </c>
      <c r="B342" s="611" t="str">
        <f>Bonus!B306</f>
        <v>Fusion Electric - Woodland Lift Station Rehabilitation - City of Modesto</v>
      </c>
      <c r="C342" s="241">
        <f>Bonus!G306</f>
        <v>0.25188153737394142</v>
      </c>
      <c r="D342" s="242">
        <f>Bonus!C306</f>
        <v>478000</v>
      </c>
      <c r="E342" s="243">
        <f>Bonus!E306</f>
        <v>62122</v>
      </c>
      <c r="F342" s="242">
        <f t="shared" si="279"/>
        <v>-242</v>
      </c>
      <c r="G342" s="242"/>
      <c r="H342" s="242">
        <f>Bonus!I306</f>
        <v>120399.37486474399</v>
      </c>
      <c r="I342" s="242">
        <f>Bonus!F306</f>
        <v>104751.99</v>
      </c>
      <c r="J342" s="242">
        <f>Bonus!H306</f>
        <v>15647.384864743988</v>
      </c>
      <c r="K342" s="242">
        <f>Bonus!P306</f>
        <v>0</v>
      </c>
      <c r="L342" s="242"/>
      <c r="M342" s="242">
        <f t="shared" si="280"/>
        <v>116332.99486474399</v>
      </c>
      <c r="N342" s="242">
        <f>Bonus!Q306</f>
        <v>100685.61</v>
      </c>
      <c r="O342" s="242">
        <f>Bonus!S306</f>
        <v>15647.384864743988</v>
      </c>
      <c r="P342" s="242">
        <f>O342-Bonus!Y306</f>
        <v>137.80514826129547</v>
      </c>
      <c r="Q342" s="242"/>
      <c r="R342" s="243">
        <v>62364</v>
      </c>
      <c r="S342" s="242"/>
    </row>
    <row r="343" spans="1:19" ht="15" customHeight="1">
      <c r="A343" s="610">
        <f>Bonus!A307</f>
        <v>56.107300000000002</v>
      </c>
      <c r="B343" s="611" t="str">
        <f>Bonus!B307</f>
        <v>California Water Service Co. - Stockton Station 66-02 Panelboard Replacement - California W</v>
      </c>
      <c r="C343" s="241">
        <f>Bonus!G307</f>
        <v>0.95448201180215175</v>
      </c>
      <c r="D343" s="242">
        <f>Bonus!C307</f>
        <v>122210</v>
      </c>
      <c r="E343" s="243">
        <f>Bonus!E307</f>
        <v>8163</v>
      </c>
      <c r="F343" s="242">
        <f t="shared" si="279"/>
        <v>-161</v>
      </c>
      <c r="G343" s="242"/>
      <c r="H343" s="242">
        <f>Bonus!I307</f>
        <v>116647.24666234096</v>
      </c>
      <c r="I343" s="242">
        <f>Bonus!F307</f>
        <v>108855.81</v>
      </c>
      <c r="J343" s="242">
        <f>Bonus!H307</f>
        <v>7791.4366623409651</v>
      </c>
      <c r="K343" s="242">
        <f>Bonus!P307</f>
        <v>0</v>
      </c>
      <c r="L343" s="242"/>
      <c r="M343" s="242">
        <f t="shared" si="280"/>
        <v>116647.24666234096</v>
      </c>
      <c r="N343" s="242">
        <f>Bonus!Q307</f>
        <v>108855.81</v>
      </c>
      <c r="O343" s="242">
        <f>Bonus!S307</f>
        <v>7791.4366623409651</v>
      </c>
      <c r="P343" s="242">
        <f>O343-Bonus!Y307</f>
        <v>33.539706437693894</v>
      </c>
      <c r="Q343" s="242"/>
      <c r="R343" s="243">
        <v>8324</v>
      </c>
      <c r="S343" s="242"/>
    </row>
    <row r="344" spans="1:19" ht="15" customHeight="1">
      <c r="A344" s="610">
        <f>Bonus!A308</f>
        <v>56.107500000000002</v>
      </c>
      <c r="B344" s="611" t="str">
        <f>Bonus!B308</f>
        <v>California Water Service Co. -Pkg 1 Bakersfield &amp; Arden PFAS RF</v>
      </c>
      <c r="C344" s="241">
        <f>Bonus!G308</f>
        <v>3.5512471632043206E-2</v>
      </c>
      <c r="D344" s="242">
        <f>Bonus!C308</f>
        <v>950000</v>
      </c>
      <c r="E344" s="243">
        <f>Bonus!E308</f>
        <v>170952</v>
      </c>
      <c r="F344" s="242">
        <f t="shared" si="279"/>
        <v>-6048</v>
      </c>
      <c r="G344" s="242"/>
      <c r="H344" s="242">
        <f>Bonus!I308</f>
        <v>27665.919999999998</v>
      </c>
      <c r="I344" s="242">
        <f>Bonus!F308</f>
        <v>27665.919999999998</v>
      </c>
      <c r="J344" s="242">
        <f>Bonus!H308</f>
        <v>0</v>
      </c>
      <c r="K344" s="242">
        <f>Bonus!P308</f>
        <v>0</v>
      </c>
      <c r="L344" s="242"/>
      <c r="M344" s="242">
        <f t="shared" si="280"/>
        <v>27665.919999999998</v>
      </c>
      <c r="N344" s="242">
        <f>Bonus!Q308</f>
        <v>27665.919999999998</v>
      </c>
      <c r="O344" s="242">
        <f>Bonus!S308</f>
        <v>0</v>
      </c>
      <c r="P344" s="242">
        <f>O344-Bonus!Y308</f>
        <v>0</v>
      </c>
      <c r="Q344" s="242"/>
      <c r="R344" s="243">
        <v>177000</v>
      </c>
      <c r="S344" s="242"/>
    </row>
    <row r="345" spans="1:19" ht="15" customHeight="1">
      <c r="A345" s="610">
        <f>Bonus!A309</f>
        <v>56.107799999999997</v>
      </c>
      <c r="B345" s="611" t="str">
        <f>Bonus!B309</f>
        <v>City of Napa - On-Call Control Systems Integrator Services</v>
      </c>
      <c r="C345" s="241">
        <f>Bonus!G309</f>
        <v>1</v>
      </c>
      <c r="D345" s="242">
        <f>Bonus!C309</f>
        <v>25356.25</v>
      </c>
      <c r="E345" s="243">
        <f>Bonus!E309</f>
        <v>0</v>
      </c>
      <c r="F345" s="242">
        <f t="shared" si="279"/>
        <v>-43573.5</v>
      </c>
      <c r="G345" s="242"/>
      <c r="H345" s="242">
        <f>Bonus!I309</f>
        <v>25356.25</v>
      </c>
      <c r="I345" s="242">
        <f>Bonus!F309</f>
        <v>25356.25</v>
      </c>
      <c r="J345" s="242">
        <f>Bonus!H309</f>
        <v>0</v>
      </c>
      <c r="K345" s="242">
        <f>Bonus!P309</f>
        <v>0</v>
      </c>
      <c r="L345" s="242"/>
      <c r="M345" s="242">
        <f t="shared" si="280"/>
        <v>25356.25</v>
      </c>
      <c r="N345" s="242">
        <f>Bonus!Q309</f>
        <v>25356.25</v>
      </c>
      <c r="O345" s="242">
        <f>Bonus!S309</f>
        <v>0</v>
      </c>
      <c r="P345" s="242">
        <f>O345-Bonus!Y309</f>
        <v>0</v>
      </c>
      <c r="Q345" s="242"/>
      <c r="R345" s="243">
        <v>43573.5</v>
      </c>
      <c r="S345" s="242"/>
    </row>
    <row r="346" spans="1:19" ht="15" customHeight="1">
      <c r="A346" s="610">
        <f>Bonus!A310</f>
        <v>56.1081</v>
      </c>
      <c r="B346" s="611" t="str">
        <f>Bonus!B310</f>
        <v>Rancho Murieta Community Service District - RFP for Replacement of WTP SCADA</v>
      </c>
      <c r="C346" s="241">
        <f>Bonus!G310</f>
        <v>0.98097049159808491</v>
      </c>
      <c r="D346" s="242">
        <f>Bonus!C310</f>
        <v>179690</v>
      </c>
      <c r="E346" s="243">
        <f>Bonus!E310</f>
        <v>19905</v>
      </c>
      <c r="F346" s="242">
        <f t="shared" si="279"/>
        <v>7826</v>
      </c>
      <c r="G346" s="242"/>
      <c r="H346" s="242">
        <f>Bonus!I310</f>
        <v>176270.58763525987</v>
      </c>
      <c r="I346" s="242">
        <f>Bonus!F310</f>
        <v>156744.37</v>
      </c>
      <c r="J346" s="242">
        <f>Bonus!H310</f>
        <v>19526.21763525988</v>
      </c>
      <c r="K346" s="242">
        <f>Bonus!P310</f>
        <v>0</v>
      </c>
      <c r="L346" s="242"/>
      <c r="M346" s="242">
        <f t="shared" si="280"/>
        <v>176270.58763525987</v>
      </c>
      <c r="N346" s="242">
        <f>Bonus!Q310</f>
        <v>156744.37</v>
      </c>
      <c r="O346" s="242">
        <f>Bonus!S310</f>
        <v>19526.21763525988</v>
      </c>
      <c r="P346" s="242">
        <f>O346-Bonus!Y310</f>
        <v>8281.441251370994</v>
      </c>
      <c r="Q346" s="242"/>
      <c r="R346" s="243">
        <v>12079</v>
      </c>
      <c r="S346" s="242"/>
    </row>
    <row r="347" spans="1:19" ht="15" customHeight="1">
      <c r="A347" s="610">
        <f>Bonus!A311</f>
        <v>56.1083</v>
      </c>
      <c r="B347" s="611" t="str">
        <f>Bonus!B311</f>
        <v>West Valley Water District - Furnish Planning Services for SCADA, Instrumentation, and SM</v>
      </c>
      <c r="C347" s="241">
        <f>Bonus!G311</f>
        <v>0.5301446760405446</v>
      </c>
      <c r="D347" s="242">
        <f>Bonus!C311</f>
        <v>717010</v>
      </c>
      <c r="E347" s="243">
        <f>Bonus!E311</f>
        <v>60647</v>
      </c>
      <c r="F347" s="242">
        <f t="shared" si="279"/>
        <v>1445</v>
      </c>
      <c r="G347" s="242"/>
      <c r="H347" s="242">
        <f>Bonus!I311</f>
        <v>380119.03416783089</v>
      </c>
      <c r="I347" s="242">
        <f>Bonus!F311</f>
        <v>347967.35</v>
      </c>
      <c r="J347" s="242">
        <f>Bonus!H311</f>
        <v>32151.68416783091</v>
      </c>
      <c r="K347" s="242">
        <f>Bonus!P311</f>
        <v>0</v>
      </c>
      <c r="L347" s="242"/>
      <c r="M347" s="242">
        <f t="shared" si="280"/>
        <v>380119.03416783089</v>
      </c>
      <c r="N347" s="242">
        <f>Bonus!Q311</f>
        <v>347967.35</v>
      </c>
      <c r="O347" s="242">
        <f>Bonus!S311</f>
        <v>32151.68416783091</v>
      </c>
      <c r="P347" s="242">
        <f>O347-Bonus!Y311</f>
        <v>11621.705348327348</v>
      </c>
      <c r="Q347" s="242"/>
      <c r="R347" s="243">
        <v>59202</v>
      </c>
      <c r="S347" s="242"/>
    </row>
    <row r="348" spans="1:19" ht="15" customHeight="1">
      <c r="A348" s="610">
        <f>Bonus!A312</f>
        <v>56.108499999999999</v>
      </c>
      <c r="B348" s="611" t="str">
        <f>Bonus!B312</f>
        <v>Bullert Industrial Electric, Inc - Pkg 3 Chico PFAS RFP (CTS) - California Water Service</v>
      </c>
      <c r="C348" s="241">
        <f>Bonus!G312</f>
        <v>1.6284220745276679E-2</v>
      </c>
      <c r="D348" s="242">
        <f>Bonus!C312</f>
        <v>80000</v>
      </c>
      <c r="E348" s="243">
        <f>Bonus!E312</f>
        <v>13045</v>
      </c>
      <c r="F348" s="242">
        <f t="shared" ref="F348:F349" si="281">+E348-R348</f>
        <v>-285</v>
      </c>
      <c r="G348" s="242"/>
      <c r="H348" s="242">
        <f>Bonus!I312</f>
        <v>1090.31</v>
      </c>
      <c r="I348" s="242">
        <f>Bonus!F312</f>
        <v>1090.31</v>
      </c>
      <c r="J348" s="242">
        <f>Bonus!H312</f>
        <v>0</v>
      </c>
      <c r="K348" s="242">
        <f>Bonus!P312</f>
        <v>0</v>
      </c>
      <c r="L348" s="242"/>
      <c r="M348" s="242">
        <f t="shared" ref="M348:M349" si="282">+N348+O348</f>
        <v>1090.31</v>
      </c>
      <c r="N348" s="242">
        <f>Bonus!Q312</f>
        <v>1090.31</v>
      </c>
      <c r="O348" s="242">
        <f>Bonus!S312</f>
        <v>0</v>
      </c>
      <c r="P348" s="242">
        <f>O348-Bonus!Y312</f>
        <v>0</v>
      </c>
      <c r="Q348" s="242"/>
      <c r="R348" s="243">
        <v>13330</v>
      </c>
      <c r="S348" s="242"/>
    </row>
    <row r="349" spans="1:19" ht="15" customHeight="1">
      <c r="A349" s="610">
        <f>Bonus!A313</f>
        <v>56.108600000000003</v>
      </c>
      <c r="B349" s="611" t="str">
        <f>Bonus!B313</f>
        <v>Bullert Industrial Electric, Inc - Pkg 3 Chico PFAS RFP (WVC) - California Water Service</v>
      </c>
      <c r="C349" s="241">
        <f>Bonus!G313</f>
        <v>4.3146742482260372E-2</v>
      </c>
      <c r="D349" s="242">
        <f>Bonus!C313</f>
        <v>376000</v>
      </c>
      <c r="E349" s="243">
        <f>Bonus!E313</f>
        <v>80898</v>
      </c>
      <c r="F349" s="242">
        <f t="shared" si="281"/>
        <v>1454</v>
      </c>
      <c r="G349" s="242"/>
      <c r="H349" s="242">
        <f>Bonus!I313</f>
        <v>12732.69</v>
      </c>
      <c r="I349" s="242">
        <f>Bonus!F313</f>
        <v>12732.69</v>
      </c>
      <c r="J349" s="242">
        <f>Bonus!H313</f>
        <v>0</v>
      </c>
      <c r="K349" s="242">
        <f>Bonus!P313</f>
        <v>0</v>
      </c>
      <c r="L349" s="242"/>
      <c r="M349" s="242">
        <f t="shared" si="282"/>
        <v>12732.69</v>
      </c>
      <c r="N349" s="242">
        <f>Bonus!Q313</f>
        <v>12732.69</v>
      </c>
      <c r="O349" s="242">
        <f>Bonus!S313</f>
        <v>0</v>
      </c>
      <c r="P349" s="242">
        <f>O349-Bonus!Y313</f>
        <v>0</v>
      </c>
      <c r="Q349" s="242"/>
      <c r="R349" s="243">
        <v>79444</v>
      </c>
      <c r="S349" s="242"/>
    </row>
    <row r="350" spans="1:19" ht="15" customHeight="1">
      <c r="A350" s="610">
        <f>Bonus!A314</f>
        <v>56.108699999999999</v>
      </c>
      <c r="B350" s="611" t="str">
        <f>Bonus!B314</f>
        <v>San Gabrial Valley Water Companyy - WNOU Plant Replacement Flow Transmitters</v>
      </c>
      <c r="C350" s="241">
        <f>Bonus!G314</f>
        <v>0.90925347464323902</v>
      </c>
      <c r="D350" s="242">
        <f>Bonus!C314</f>
        <v>49369</v>
      </c>
      <c r="E350" s="243">
        <f>Bonus!E314</f>
        <v>6343</v>
      </c>
      <c r="F350" s="242">
        <f t="shared" si="279"/>
        <v>0</v>
      </c>
      <c r="G350" s="242"/>
      <c r="H350" s="242">
        <f>Bonus!I314</f>
        <v>44888.934789662067</v>
      </c>
      <c r="I350" s="242">
        <f>Bonus!F314</f>
        <v>39121.54</v>
      </c>
      <c r="J350" s="242">
        <f>Bonus!H314</f>
        <v>5767.3947896620648</v>
      </c>
      <c r="K350" s="242">
        <f>Bonus!P314</f>
        <v>0</v>
      </c>
      <c r="L350" s="242"/>
      <c r="M350" s="242">
        <f t="shared" si="280"/>
        <v>44888.934789662067</v>
      </c>
      <c r="N350" s="242">
        <f>Bonus!Q314</f>
        <v>39121.54</v>
      </c>
      <c r="O350" s="242">
        <f>Bonus!S314</f>
        <v>5767.3947896620648</v>
      </c>
      <c r="P350" s="242">
        <f>O350-Bonus!Y314</f>
        <v>0</v>
      </c>
      <c r="Q350" s="242"/>
      <c r="R350" s="243">
        <v>6343</v>
      </c>
      <c r="S350" s="242"/>
    </row>
    <row r="351" spans="1:19" ht="15" customHeight="1">
      <c r="A351" s="610">
        <f>Bonus!A315</f>
        <v>56.108800000000002</v>
      </c>
      <c r="B351" s="611" t="str">
        <f>Bonus!B315</f>
        <v>California Water Service Company - Salinas District Station 304 Panelboard Replacement - Califo</v>
      </c>
      <c r="C351" s="241">
        <f>Bonus!G315</f>
        <v>0.78247748960833685</v>
      </c>
      <c r="D351" s="242">
        <f>Bonus!C315</f>
        <v>117985</v>
      </c>
      <c r="E351" s="243">
        <f>Bonus!E315</f>
        <v>32580</v>
      </c>
      <c r="F351" s="242">
        <f t="shared" ref="F351" si="283">+E351-R351</f>
        <v>496</v>
      </c>
      <c r="G351" s="242"/>
      <c r="H351" s="242">
        <f>Bonus!I315</f>
        <v>92320.606611439624</v>
      </c>
      <c r="I351" s="242">
        <f>Bonus!F315</f>
        <v>66827.490000000005</v>
      </c>
      <c r="J351" s="242">
        <f>Bonus!H315</f>
        <v>25493.116611439615</v>
      </c>
      <c r="K351" s="242">
        <f>Bonus!P315</f>
        <v>0</v>
      </c>
      <c r="L351" s="242"/>
      <c r="M351" s="242">
        <f t="shared" ref="M351" si="284">+N351+O351</f>
        <v>92320.606611439624</v>
      </c>
      <c r="N351" s="242">
        <f>Bonus!Q315</f>
        <v>66827.490000000005</v>
      </c>
      <c r="O351" s="242">
        <f>Bonus!S315</f>
        <v>25493.116611439615</v>
      </c>
      <c r="P351" s="242">
        <f>O351-Bonus!Y315</f>
        <v>13916.194738206545</v>
      </c>
      <c r="Q351" s="242"/>
      <c r="R351" s="243">
        <v>32084</v>
      </c>
      <c r="S351" s="242"/>
    </row>
    <row r="352" spans="1:19" ht="15" hidden="1" customHeight="1">
      <c r="A352" s="329"/>
      <c r="C352" s="241"/>
      <c r="D352" s="242"/>
      <c r="E352" s="242"/>
      <c r="F352" s="242"/>
      <c r="G352" s="242"/>
      <c r="H352" s="242"/>
      <c r="I352" s="242"/>
      <c r="J352" s="242"/>
      <c r="K352" s="242"/>
      <c r="L352" s="242"/>
      <c r="M352" s="242"/>
      <c r="N352" s="242"/>
      <c r="O352" s="242"/>
      <c r="P352" s="242"/>
      <c r="Q352" s="242"/>
      <c r="R352" s="243"/>
      <c r="S352" s="242"/>
    </row>
    <row r="353" spans="1:19" ht="15" customHeight="1">
      <c r="A353" s="330" t="str">
        <f>Bonus!A317</f>
        <v>System Integration - Open Jobs Totals</v>
      </c>
      <c r="C353" s="241"/>
      <c r="D353" s="245">
        <f>SUM(D319:D352)</f>
        <v>14022847.25</v>
      </c>
      <c r="E353" s="245">
        <f>SUM(E319:E352)</f>
        <v>2055056.8599999999</v>
      </c>
      <c r="F353" s="245">
        <f>SUM(F319:F352)</f>
        <v>-30581.310000000012</v>
      </c>
      <c r="G353" s="245"/>
      <c r="H353" s="245">
        <f>SUM(H319:H352)</f>
        <v>7566720.7015791805</v>
      </c>
      <c r="I353" s="245">
        <f>SUM(I319:I352)</f>
        <v>6459348.9100000001</v>
      </c>
      <c r="J353" s="245">
        <f>SUM(J319:J352)</f>
        <v>1107371.7915791802</v>
      </c>
      <c r="K353" s="245">
        <f>SUM(K319:K352)</f>
        <v>247627.68362803198</v>
      </c>
      <c r="L353" s="245"/>
      <c r="M353" s="245">
        <f>SUM(M319:M352)</f>
        <v>6316394.4879511492</v>
      </c>
      <c r="N353" s="245">
        <f>SUM(N319:N352)</f>
        <v>5456650.3799999999</v>
      </c>
      <c r="O353" s="245">
        <f>SUM(O319:O352)</f>
        <v>859744.1079511483</v>
      </c>
      <c r="P353" s="245">
        <f>SUM(P319:P352)</f>
        <v>97407.949016604034</v>
      </c>
      <c r="Q353" s="245"/>
      <c r="R353" s="243">
        <v>-2110445.6100000003</v>
      </c>
      <c r="S353" s="242"/>
    </row>
    <row r="354" spans="1:19" ht="15" customHeight="1">
      <c r="A354" s="330"/>
      <c r="C354" s="241"/>
      <c r="D354" s="245"/>
      <c r="E354" s="245"/>
      <c r="F354" s="245"/>
      <c r="G354" s="245"/>
      <c r="H354" s="245"/>
      <c r="I354" s="245"/>
      <c r="J354" s="245"/>
      <c r="K354" s="245"/>
      <c r="L354" s="245"/>
      <c r="M354" s="245"/>
      <c r="N354" s="245"/>
      <c r="O354" s="245"/>
      <c r="P354" s="245"/>
      <c r="Q354" s="245"/>
      <c r="R354" s="243"/>
      <c r="S354" s="242"/>
    </row>
    <row r="355" spans="1:19" ht="15" customHeight="1">
      <c r="A355" s="330" t="str">
        <f>Bonus!A319</f>
        <v>System Integration - Closed Jobs</v>
      </c>
      <c r="C355" s="241"/>
      <c r="D355" s="245"/>
      <c r="E355" s="245"/>
      <c r="F355" s="245"/>
      <c r="G355" s="245"/>
      <c r="H355" s="245"/>
      <c r="I355" s="245"/>
      <c r="J355" s="245"/>
      <c r="K355" s="245"/>
      <c r="L355" s="245"/>
      <c r="M355" s="245"/>
      <c r="N355" s="245"/>
      <c r="O355" s="245"/>
      <c r="P355" s="245"/>
      <c r="Q355" s="245"/>
      <c r="R355" s="243"/>
      <c r="S355" s="242"/>
    </row>
    <row r="356" spans="1:19" ht="15" customHeight="1">
      <c r="A356" s="610">
        <f>Bonus!A320</f>
        <v>56.100200000000001</v>
      </c>
      <c r="B356" s="611" t="str">
        <f>Bonus!B320</f>
        <v>San Joaquin Electric - Bowman WTP Phase 3 Improvements - Placer County Water Agency</v>
      </c>
      <c r="C356" s="241">
        <f>Bonus!G320</f>
        <v>1</v>
      </c>
      <c r="D356" s="242">
        <f>Bonus!C320</f>
        <v>185000</v>
      </c>
      <c r="E356" s="243">
        <f>Bonus!E320</f>
        <v>70514.179999999993</v>
      </c>
      <c r="F356" s="242">
        <f t="shared" ref="F356" si="285">+E356-R356</f>
        <v>0</v>
      </c>
      <c r="G356" s="242"/>
      <c r="H356" s="242">
        <f>Bonus!I320</f>
        <v>185000</v>
      </c>
      <c r="I356" s="242">
        <f>Bonus!F320</f>
        <v>114485.82</v>
      </c>
      <c r="J356" s="242">
        <f>Bonus!H320</f>
        <v>70514.179999999993</v>
      </c>
      <c r="K356" s="242">
        <f>Bonus!P320</f>
        <v>50745.239508834726</v>
      </c>
      <c r="L356" s="242"/>
      <c r="M356" s="242">
        <f t="shared" ref="M356" si="286">+N356+O356</f>
        <v>20413.150491165274</v>
      </c>
      <c r="N356" s="242">
        <f>Bonus!Q320</f>
        <v>644.2100000000064</v>
      </c>
      <c r="O356" s="242">
        <f>Bonus!S320</f>
        <v>19768.940491165267</v>
      </c>
      <c r="P356" s="242">
        <f>O356-Bonus!Y320</f>
        <v>0</v>
      </c>
      <c r="Q356" s="245"/>
      <c r="R356" s="243">
        <v>70514.179999999993</v>
      </c>
      <c r="S356" s="242"/>
    </row>
    <row r="357" spans="1:19" ht="15" customHeight="1">
      <c r="A357" s="610">
        <f>Bonus!A321</f>
        <v>56.100299999999997</v>
      </c>
      <c r="B357" s="611" t="str">
        <f>Bonus!B321</f>
        <v>Con J. Franke Electric, Inc. - Well 22 GAC Water Treatment</v>
      </c>
      <c r="C357" s="241">
        <f>Bonus!G321</f>
        <v>1</v>
      </c>
      <c r="D357" s="242">
        <f>Bonus!C321</f>
        <v>332901</v>
      </c>
      <c r="E357" s="243">
        <f>Bonus!E321</f>
        <v>109505.26000000001</v>
      </c>
      <c r="F357" s="242">
        <f t="shared" ref="F357" si="287">+E357-R357</f>
        <v>25631.260000000009</v>
      </c>
      <c r="G357" s="242"/>
      <c r="H357" s="242">
        <f>Bonus!I321</f>
        <v>332901</v>
      </c>
      <c r="I357" s="242">
        <f>Bonus!F321</f>
        <v>223395.74</v>
      </c>
      <c r="J357" s="242">
        <f>Bonus!H321</f>
        <v>109505.26000000001</v>
      </c>
      <c r="K357" s="242">
        <f>Bonus!P321</f>
        <v>64460.986325599602</v>
      </c>
      <c r="L357" s="242"/>
      <c r="M357" s="242">
        <f t="shared" ref="M357" si="288">+N357+O357</f>
        <v>113346.72367440039</v>
      </c>
      <c r="N357" s="242">
        <f>Bonus!Q321</f>
        <v>68302.449999999983</v>
      </c>
      <c r="O357" s="242">
        <f>Bonus!S321</f>
        <v>45044.273674400407</v>
      </c>
      <c r="P357" s="242">
        <f>O357-Bonus!Y321</f>
        <v>31668.967705432267</v>
      </c>
      <c r="Q357" s="245"/>
      <c r="R357" s="243">
        <v>83874</v>
      </c>
      <c r="S357" s="242"/>
    </row>
    <row r="358" spans="1:19" ht="15" customHeight="1">
      <c r="A358" s="610">
        <f>Bonus!A322</f>
        <v>56.100700000000003</v>
      </c>
      <c r="B358" s="611" t="str">
        <f>Bonus!B322</f>
        <v>Fusion Electric - Waterman WTP Ozone System Improvements - City of Fairfield</v>
      </c>
      <c r="C358" s="241">
        <f>Bonus!G322</f>
        <v>1</v>
      </c>
      <c r="D358" s="242">
        <f>Bonus!C322</f>
        <v>16814</v>
      </c>
      <c r="E358" s="243">
        <f>Bonus!E322</f>
        <v>-2548.9799999999996</v>
      </c>
      <c r="F358" s="242">
        <f t="shared" ref="F358" si="289">+E358-R358</f>
        <v>-2548.9799999999996</v>
      </c>
      <c r="G358" s="242"/>
      <c r="H358" s="242">
        <f>Bonus!I322</f>
        <v>16814</v>
      </c>
      <c r="I358" s="242">
        <f>Bonus!F322</f>
        <v>19362.98</v>
      </c>
      <c r="J358" s="242">
        <f>Bonus!H322</f>
        <v>-2548.9799999999996</v>
      </c>
      <c r="K358" s="242">
        <f>Bonus!P322</f>
        <v>3177.4410223965583</v>
      </c>
      <c r="L358" s="242"/>
      <c r="M358" s="242">
        <f t="shared" ref="M358" si="290">+N358+O358</f>
        <v>-680.04102239655913</v>
      </c>
      <c r="N358" s="242">
        <f>Bonus!Q322</f>
        <v>5046.3799999999992</v>
      </c>
      <c r="O358" s="242">
        <f>Bonus!S322</f>
        <v>-5726.4210223965583</v>
      </c>
      <c r="P358" s="242">
        <f>O358-Bonus!Y322</f>
        <v>-2548.98</v>
      </c>
      <c r="Q358" s="245"/>
      <c r="R358" s="243">
        <v>0</v>
      </c>
      <c r="S358" s="242"/>
    </row>
    <row r="359" spans="1:19" ht="15" customHeight="1">
      <c r="A359" s="610">
        <f>Bonus!A323</f>
        <v>56.1008</v>
      </c>
      <c r="B359" s="611" t="str">
        <f>Bonus!B323</f>
        <v>SD Electric, Inc. - Treatment Plant Seismic Retrofit of Secondary Clarifiers</v>
      </c>
      <c r="C359" s="241">
        <f>Bonus!G323</f>
        <v>1</v>
      </c>
      <c r="D359" s="242">
        <f>Bonus!C323</f>
        <v>55000</v>
      </c>
      <c r="E359" s="243">
        <f>Bonus!E323</f>
        <v>24448.080000000002</v>
      </c>
      <c r="F359" s="242">
        <f t="shared" ref="F359" si="291">+E359-R359</f>
        <v>0</v>
      </c>
      <c r="G359" s="242"/>
      <c r="H359" s="242">
        <f>Bonus!I323</f>
        <v>55000</v>
      </c>
      <c r="I359" s="242">
        <f>Bonus!F323</f>
        <v>30551.919999999998</v>
      </c>
      <c r="J359" s="242">
        <f>Bonus!H323</f>
        <v>24448.080000000002</v>
      </c>
      <c r="K359" s="242">
        <f>Bonus!P323</f>
        <v>23094.02235391947</v>
      </c>
      <c r="L359" s="242"/>
      <c r="M359" s="242">
        <f t="shared" ref="M359" si="292">+N359+O359</f>
        <v>1480.7976460805294</v>
      </c>
      <c r="N359" s="242">
        <f>Bonus!Q323</f>
        <v>126.73999999999796</v>
      </c>
      <c r="O359" s="242">
        <f>Bonus!S323</f>
        <v>1354.0576460805314</v>
      </c>
      <c r="P359" s="242">
        <f>O359-Bonus!Y323</f>
        <v>0</v>
      </c>
      <c r="Q359" s="245"/>
      <c r="R359" s="243">
        <v>24448.080000000002</v>
      </c>
      <c r="S359" s="242"/>
    </row>
    <row r="360" spans="1:19" ht="15" customHeight="1">
      <c r="A360" s="610" t="str">
        <f>Bonus!A324</f>
        <v>56.1010.01</v>
      </c>
      <c r="B360" s="611" t="str">
        <f>Bonus!B324</f>
        <v>Placer County Water Agency - Auburn WTP Removal of 531s from Filter Control Panels</v>
      </c>
      <c r="C360" s="241">
        <f>Bonus!G324</f>
        <v>1</v>
      </c>
      <c r="D360" s="242">
        <f>Bonus!C324</f>
        <v>9569</v>
      </c>
      <c r="E360" s="243">
        <f>Bonus!E324</f>
        <v>2471.8999999999996</v>
      </c>
      <c r="F360" s="242">
        <f t="shared" ref="F360" si="293">+E360-R360</f>
        <v>0</v>
      </c>
      <c r="G360" s="242"/>
      <c r="H360" s="242">
        <f>Bonus!I324</f>
        <v>9569</v>
      </c>
      <c r="I360" s="242">
        <f>Bonus!F324</f>
        <v>7097.1</v>
      </c>
      <c r="J360" s="242">
        <f>Bonus!H324</f>
        <v>2471.8999999999996</v>
      </c>
      <c r="K360" s="242">
        <f>Bonus!P324</f>
        <v>619.64706943899569</v>
      </c>
      <c r="L360" s="242"/>
      <c r="M360" s="242">
        <f t="shared" ref="M360" si="294">+N360+O360</f>
        <v>6483.9829305610047</v>
      </c>
      <c r="N360" s="242">
        <f>Bonus!Q324</f>
        <v>4631.7300000000005</v>
      </c>
      <c r="O360" s="242">
        <f>Bonus!S324</f>
        <v>1852.252930561004</v>
      </c>
      <c r="P360" s="242">
        <f>O360-Bonus!Y324</f>
        <v>0</v>
      </c>
      <c r="Q360" s="245"/>
      <c r="R360" s="243">
        <v>2471.8999999999996</v>
      </c>
      <c r="S360" s="242"/>
    </row>
    <row r="361" spans="1:19" ht="15" customHeight="1">
      <c r="A361" s="610">
        <f>Bonus!A325</f>
        <v>56.101599999999998</v>
      </c>
      <c r="B361" s="611" t="str">
        <f>Bonus!B325</f>
        <v>Trabuco Canyon Water Dist. - On-Call Services - Trabuco Canyon Water District</v>
      </c>
      <c r="C361" s="241">
        <f>Bonus!G325</f>
        <v>1</v>
      </c>
      <c r="D361" s="242">
        <f>Bonus!C325</f>
        <v>150064.25</v>
      </c>
      <c r="E361" s="243">
        <f>Bonus!E325</f>
        <v>39980.62999999999</v>
      </c>
      <c r="F361" s="242">
        <f t="shared" ref="F361" si="295">+E361-R361</f>
        <v>0</v>
      </c>
      <c r="G361" s="242"/>
      <c r="H361" s="242">
        <f>Bonus!I325</f>
        <v>150064.25</v>
      </c>
      <c r="I361" s="242">
        <f>Bonus!F325</f>
        <v>110083.62000000001</v>
      </c>
      <c r="J361" s="242">
        <f>Bonus!H325</f>
        <v>39980.62999999999</v>
      </c>
      <c r="K361" s="242">
        <f>Bonus!P325</f>
        <v>14743.36</v>
      </c>
      <c r="L361" s="242"/>
      <c r="M361" s="242">
        <f t="shared" ref="M361" si="296">+N361+O361</f>
        <v>78249.75</v>
      </c>
      <c r="N361" s="242">
        <f>Bonus!Q325</f>
        <v>53012.48000000001</v>
      </c>
      <c r="O361" s="242">
        <f>Bonus!S325</f>
        <v>25237.26999999999</v>
      </c>
      <c r="P361" s="242">
        <f>O361-Bonus!Y325</f>
        <v>0</v>
      </c>
      <c r="Q361" s="245"/>
      <c r="R361" s="243">
        <v>39980.62999999999</v>
      </c>
      <c r="S361" s="242"/>
    </row>
    <row r="362" spans="1:19" ht="15" customHeight="1">
      <c r="A362" s="610">
        <f>Bonus!A326</f>
        <v>56.101900000000001</v>
      </c>
      <c r="B362" s="611" t="str">
        <f>Bonus!B326</f>
        <v>Conco-West - Monte Vista Collection Subdivision (Onsite) - Stanislaus Co.</v>
      </c>
      <c r="C362" s="241">
        <f>Bonus!G326</f>
        <v>1</v>
      </c>
      <c r="D362" s="242">
        <f>Bonus!C326</f>
        <v>193845</v>
      </c>
      <c r="E362" s="243">
        <f>Bonus!E326</f>
        <v>50080.420000000013</v>
      </c>
      <c r="F362" s="242">
        <f t="shared" ref="F362" si="297">+E362-R362</f>
        <v>10097.420000000013</v>
      </c>
      <c r="G362" s="242"/>
      <c r="H362" s="242">
        <f>Bonus!I326</f>
        <v>193845</v>
      </c>
      <c r="I362" s="242">
        <f>Bonus!F326</f>
        <v>143764.57999999999</v>
      </c>
      <c r="J362" s="242">
        <f>Bonus!H326</f>
        <v>50080.420000000013</v>
      </c>
      <c r="K362" s="242">
        <f>Bonus!P326</f>
        <v>0</v>
      </c>
      <c r="L362" s="242"/>
      <c r="M362" s="242">
        <f t="shared" ref="M362" si="298">+N362+O362</f>
        <v>173402.47999999998</v>
      </c>
      <c r="N362" s="242">
        <f>Bonus!Q326</f>
        <v>123322.05999999998</v>
      </c>
      <c r="O362" s="242">
        <f>Bonus!S326</f>
        <v>50080.420000000013</v>
      </c>
      <c r="P362" s="242">
        <f>O362-Bonus!Y326</f>
        <v>13363.216326383401</v>
      </c>
      <c r="Q362" s="245"/>
      <c r="R362" s="243">
        <v>39983</v>
      </c>
      <c r="S362" s="242"/>
    </row>
    <row r="363" spans="1:19" ht="15" customHeight="1">
      <c r="A363" s="610">
        <f>Bonus!A327</f>
        <v>56.1021</v>
      </c>
      <c r="B363" s="611" t="str">
        <f>Bonus!B327</f>
        <v>Darrel Varni Electric, Inc. - City of Santa Cruz – Rail Trail Segment 7 – Phase 2</v>
      </c>
      <c r="C363" s="241">
        <f>Bonus!G327</f>
        <v>1</v>
      </c>
      <c r="D363" s="242">
        <f>Bonus!C327</f>
        <v>244760</v>
      </c>
      <c r="E363" s="243">
        <f>Bonus!E327</f>
        <v>128007.48</v>
      </c>
      <c r="F363" s="242">
        <f t="shared" ref="F363" si="299">+E363-R363</f>
        <v>0</v>
      </c>
      <c r="G363" s="242"/>
      <c r="H363" s="242">
        <f>Bonus!I327</f>
        <v>244760</v>
      </c>
      <c r="I363" s="242">
        <f>Bonus!F327</f>
        <v>116752.52</v>
      </c>
      <c r="J363" s="242">
        <f>Bonus!H327</f>
        <v>128007.48</v>
      </c>
      <c r="K363" s="242">
        <f>Bonus!P327</f>
        <v>38878.539262879734</v>
      </c>
      <c r="L363" s="242"/>
      <c r="M363" s="242">
        <f t="shared" ref="M363" si="300">+N363+O363</f>
        <v>92166.050737120255</v>
      </c>
      <c r="N363" s="242">
        <f>Bonus!Q327</f>
        <v>3037.1100000000006</v>
      </c>
      <c r="O363" s="242">
        <f>Bonus!S327</f>
        <v>89128.940737120254</v>
      </c>
      <c r="P363" s="242">
        <f>O363-Bonus!Y327</f>
        <v>0</v>
      </c>
      <c r="Q363" s="245"/>
      <c r="R363" s="243">
        <v>128007.48</v>
      </c>
      <c r="S363" s="242"/>
    </row>
    <row r="364" spans="1:19" ht="15" customHeight="1">
      <c r="A364" s="610">
        <f>Bonus!A328</f>
        <v>56.102200000000003</v>
      </c>
      <c r="B364" s="611" t="str">
        <f>Bonus!B328</f>
        <v>W.M. Lyles Co. - Graham Hill WTP Facility Improvements - City of Santa Cruz</v>
      </c>
      <c r="C364" s="241">
        <f>Bonus!G328</f>
        <v>0</v>
      </c>
      <c r="D364" s="242">
        <f>Bonus!C328</f>
        <v>0</v>
      </c>
      <c r="E364" s="243">
        <f>Bonus!E328</f>
        <v>0</v>
      </c>
      <c r="F364" s="242">
        <f t="shared" ref="F364" si="301">+E364-R364</f>
        <v>0</v>
      </c>
      <c r="G364" s="242"/>
      <c r="H364" s="242">
        <f>Bonus!I328</f>
        <v>0</v>
      </c>
      <c r="I364" s="242">
        <f>Bonus!F328</f>
        <v>0</v>
      </c>
      <c r="J364" s="242">
        <f>Bonus!H328</f>
        <v>0</v>
      </c>
      <c r="K364" s="242">
        <f>Bonus!P328</f>
        <v>0</v>
      </c>
      <c r="L364" s="242"/>
      <c r="M364" s="242">
        <f t="shared" ref="M364" si="302">+N364+O364</f>
        <v>-88093.56</v>
      </c>
      <c r="N364" s="242">
        <f>Bonus!Q328</f>
        <v>-88093.56</v>
      </c>
      <c r="O364" s="242">
        <f>Bonus!S328</f>
        <v>0</v>
      </c>
      <c r="P364" s="242">
        <f>O364-Bonus!Y328</f>
        <v>0</v>
      </c>
      <c r="Q364" s="245"/>
      <c r="R364" s="243">
        <v>0</v>
      </c>
      <c r="S364" s="242"/>
    </row>
    <row r="365" spans="1:19" ht="15" customHeight="1">
      <c r="A365" s="610">
        <f>Bonus!A329</f>
        <v>56.1023</v>
      </c>
      <c r="B365" s="611" t="str">
        <f>Bonus!B329</f>
        <v>Cal Electro Inc. - 13th Street OC Pumping Plant Upgrade</v>
      </c>
      <c r="C365" s="241">
        <f>Bonus!G329</f>
        <v>1</v>
      </c>
      <c r="D365" s="242">
        <f>Bonus!C329</f>
        <v>220390</v>
      </c>
      <c r="E365" s="243">
        <f>Bonus!E329</f>
        <v>69885.26999999999</v>
      </c>
      <c r="F365" s="242">
        <f t="shared" ref="F365:F366" si="303">+E365-R365</f>
        <v>0</v>
      </c>
      <c r="G365" s="242"/>
      <c r="H365" s="242">
        <f>Bonus!I329</f>
        <v>220390</v>
      </c>
      <c r="I365" s="242">
        <f>Bonus!F329</f>
        <v>150504.73000000001</v>
      </c>
      <c r="J365" s="242">
        <f>Bonus!H329</f>
        <v>69885.26999999999</v>
      </c>
      <c r="K365" s="242">
        <f>Bonus!P329</f>
        <v>40095.312541281011</v>
      </c>
      <c r="L365" s="242"/>
      <c r="M365" s="242">
        <f t="shared" ref="M365:M366" si="304">+N365+O365</f>
        <v>68197.387458718993</v>
      </c>
      <c r="N365" s="242">
        <f>Bonus!Q329</f>
        <v>38407.430000000008</v>
      </c>
      <c r="O365" s="242">
        <f>Bonus!S329</f>
        <v>29789.957458718978</v>
      </c>
      <c r="P365" s="242">
        <f>O365-Bonus!Y329</f>
        <v>0</v>
      </c>
      <c r="Q365" s="245"/>
      <c r="R365" s="243">
        <v>69885.26999999999</v>
      </c>
      <c r="S365" s="242"/>
    </row>
    <row r="366" spans="1:19" ht="15" customHeight="1">
      <c r="A366" s="608">
        <f>Bonus!A330</f>
        <v>56.103000000000002</v>
      </c>
      <c r="B366" s="609" t="str">
        <f>Bonus!B330</f>
        <v>AIC - Core Electrical Services, Inc. - Corte Madera, Town of - Paradise PS RehabiProject</v>
      </c>
      <c r="C366" s="241">
        <f>Bonus!G330</f>
        <v>1</v>
      </c>
      <c r="D366" s="242">
        <f>Bonus!C330</f>
        <v>689578.64</v>
      </c>
      <c r="E366" s="243">
        <f>Bonus!E330</f>
        <v>0</v>
      </c>
      <c r="F366" s="242">
        <f t="shared" si="303"/>
        <v>0</v>
      </c>
      <c r="G366" s="242"/>
      <c r="H366" s="242">
        <f>Bonus!I330</f>
        <v>689578.64</v>
      </c>
      <c r="I366" s="242">
        <f>Bonus!F330</f>
        <v>689578.64</v>
      </c>
      <c r="J366" s="242">
        <f>Bonus!H330</f>
        <v>0</v>
      </c>
      <c r="K366" s="242">
        <f>Bonus!P330</f>
        <v>0</v>
      </c>
      <c r="L366" s="242"/>
      <c r="M366" s="242">
        <f t="shared" si="304"/>
        <v>567471.07000000007</v>
      </c>
      <c r="N366" s="242">
        <f>Bonus!Q330</f>
        <v>567471.07000000007</v>
      </c>
      <c r="O366" s="242">
        <f>Bonus!S330</f>
        <v>0</v>
      </c>
      <c r="P366" s="242">
        <f>O366-Bonus!Y330</f>
        <v>0</v>
      </c>
      <c r="Q366" s="245"/>
      <c r="R366" s="243">
        <v>0</v>
      </c>
      <c r="S366" s="242"/>
    </row>
    <row r="367" spans="1:19" ht="15" customHeight="1">
      <c r="A367" s="608">
        <f>Bonus!A331</f>
        <v>56.104100000000003</v>
      </c>
      <c r="B367" s="609" t="str">
        <f>Bonus!B331</f>
        <v>AIC - Irvin Rranch District - MWRP Fueling Facility CP-100 Programming</v>
      </c>
      <c r="C367" s="241">
        <f>Bonus!G331</f>
        <v>1</v>
      </c>
      <c r="D367" s="242">
        <f>Bonus!C331</f>
        <v>20016.78</v>
      </c>
      <c r="E367" s="243">
        <f>Bonus!E331</f>
        <v>0</v>
      </c>
      <c r="F367" s="242">
        <f t="shared" ref="F367:F368" si="305">+E367-R367</f>
        <v>0</v>
      </c>
      <c r="G367" s="242"/>
      <c r="H367" s="242">
        <f>Bonus!I331</f>
        <v>20016.78</v>
      </c>
      <c r="I367" s="242">
        <f>Bonus!F331</f>
        <v>20016.78</v>
      </c>
      <c r="J367" s="242">
        <f>Bonus!H331</f>
        <v>0</v>
      </c>
      <c r="K367" s="242">
        <f>Bonus!P331</f>
        <v>7002.2380436271851</v>
      </c>
      <c r="L367" s="242"/>
      <c r="M367" s="242">
        <f t="shared" ref="M367:M368" si="306">+N367+O367</f>
        <v>3887.4119563728145</v>
      </c>
      <c r="N367" s="242">
        <f>Bonus!Q331</f>
        <v>10889.65</v>
      </c>
      <c r="O367" s="242">
        <f>Bonus!S331</f>
        <v>-7002.2380436271851</v>
      </c>
      <c r="P367" s="242">
        <f>O367-Bonus!Y331</f>
        <v>0</v>
      </c>
      <c r="Q367" s="245"/>
      <c r="R367" s="243">
        <v>0</v>
      </c>
      <c r="S367" s="242"/>
    </row>
    <row r="368" spans="1:19" ht="15" customHeight="1">
      <c r="A368" s="610">
        <f>Bonus!A332</f>
        <v>56.1051</v>
      </c>
      <c r="B368" s="611" t="str">
        <f>Bonus!B332</f>
        <v>Las Gallinas Valley Sanitary District - PE Pump Variable Frequency Drives</v>
      </c>
      <c r="C368" s="241">
        <f>Bonus!G332</f>
        <v>1</v>
      </c>
      <c r="D368" s="242">
        <f>Bonus!C332</f>
        <v>136875</v>
      </c>
      <c r="E368" s="243">
        <f>Bonus!E332</f>
        <v>38156.820000000007</v>
      </c>
      <c r="F368" s="242">
        <f t="shared" si="305"/>
        <v>15038.820000000007</v>
      </c>
      <c r="G368" s="242"/>
      <c r="H368" s="242">
        <f>Bonus!I332</f>
        <v>136875</v>
      </c>
      <c r="I368" s="242">
        <f>Bonus!F332</f>
        <v>98718.18</v>
      </c>
      <c r="J368" s="242">
        <f>Bonus!H332</f>
        <v>38156.820000000007</v>
      </c>
      <c r="K368" s="242">
        <f>Bonus!P332</f>
        <v>16220.539798717673</v>
      </c>
      <c r="L368" s="242"/>
      <c r="M368" s="242">
        <f t="shared" si="306"/>
        <v>81400.150201282333</v>
      </c>
      <c r="N368" s="242">
        <f>Bonus!Q332</f>
        <v>59463.869999999995</v>
      </c>
      <c r="O368" s="242">
        <f>Bonus!S332</f>
        <v>21936.280201282334</v>
      </c>
      <c r="P368" s="242">
        <f>O368-Bonus!Y332</f>
        <v>18833.623127192179</v>
      </c>
      <c r="Q368" s="245"/>
      <c r="R368" s="243">
        <v>23118</v>
      </c>
      <c r="S368" s="242"/>
    </row>
    <row r="369" spans="1:19" ht="15" customHeight="1">
      <c r="A369" s="610">
        <f>Bonus!A333</f>
        <v>56.105200000000004</v>
      </c>
      <c r="B369" s="611" t="str">
        <f>Bonus!B333</f>
        <v>San Jose Water - Williams Back ATS Replacement</v>
      </c>
      <c r="C369" s="241">
        <f>Bonus!G333</f>
        <v>1</v>
      </c>
      <c r="D369" s="242">
        <f>Bonus!C333</f>
        <v>8887</v>
      </c>
      <c r="E369" s="243">
        <f>Bonus!E333</f>
        <v>2486.0600000000004</v>
      </c>
      <c r="F369" s="242">
        <f t="shared" ref="F369" si="307">+E369-R369</f>
        <v>0</v>
      </c>
      <c r="G369" s="242"/>
      <c r="H369" s="242">
        <f>Bonus!I333</f>
        <v>8887</v>
      </c>
      <c r="I369" s="242">
        <f>Bonus!F333</f>
        <v>6400.94</v>
      </c>
      <c r="J369" s="242">
        <f>Bonus!H333</f>
        <v>2486.0600000000004</v>
      </c>
      <c r="K369" s="242">
        <f>Bonus!P333</f>
        <v>369.09362582187686</v>
      </c>
      <c r="L369" s="242"/>
      <c r="M369" s="242">
        <f t="shared" ref="M369" si="308">+N369+O369</f>
        <v>2603.2163741781237</v>
      </c>
      <c r="N369" s="242">
        <f>Bonus!Q333</f>
        <v>486.25</v>
      </c>
      <c r="O369" s="242">
        <f>Bonus!S333</f>
        <v>2116.9663741781237</v>
      </c>
      <c r="P369" s="242">
        <f>O369-Bonus!Y333</f>
        <v>0</v>
      </c>
      <c r="Q369" s="245"/>
      <c r="R369" s="243">
        <v>2486.0600000000004</v>
      </c>
      <c r="S369" s="242"/>
    </row>
    <row r="370" spans="1:19" ht="15" customHeight="1">
      <c r="A370" s="610">
        <f>Bonus!A334</f>
        <v>56.1053</v>
      </c>
      <c r="B370" s="611" t="str">
        <f>Bonus!B334</f>
        <v>Bay Tech Engineering - San Francisco Public Utilities Commission (SFPUC) - Geary Un</v>
      </c>
      <c r="C370" s="241">
        <f>Bonus!G334</f>
        <v>1</v>
      </c>
      <c r="D370" s="242">
        <f>Bonus!C334</f>
        <v>35000</v>
      </c>
      <c r="E370" s="243">
        <f>Bonus!E334</f>
        <v>15035.220000000001</v>
      </c>
      <c r="F370" s="242">
        <f t="shared" ref="F370:F382" si="309">+E370-R370</f>
        <v>0</v>
      </c>
      <c r="G370" s="242"/>
      <c r="H370" s="242">
        <f>Bonus!I334</f>
        <v>35000</v>
      </c>
      <c r="I370" s="242">
        <f>Bonus!F334</f>
        <v>19964.78</v>
      </c>
      <c r="J370" s="242">
        <f>Bonus!H334</f>
        <v>15035.220000000001</v>
      </c>
      <c r="K370" s="242">
        <f>Bonus!P334</f>
        <v>0</v>
      </c>
      <c r="L370" s="242"/>
      <c r="M370" s="242">
        <f t="shared" ref="M370:M382" si="310">+N370+O370</f>
        <v>29289.5</v>
      </c>
      <c r="N370" s="242">
        <f>Bonus!Q334</f>
        <v>14254.279999999999</v>
      </c>
      <c r="O370" s="242">
        <f>Bonus!S334</f>
        <v>15035.220000000001</v>
      </c>
      <c r="P370" s="242">
        <f>O370-Bonus!Y334</f>
        <v>0</v>
      </c>
      <c r="Q370" s="245"/>
      <c r="R370" s="243">
        <v>15035.220000000001</v>
      </c>
      <c r="S370" s="242"/>
    </row>
    <row r="371" spans="1:19" ht="15" customHeight="1">
      <c r="A371" s="608">
        <f>Bonus!A335</f>
        <v>56.105400000000003</v>
      </c>
      <c r="B371" s="609" t="str">
        <f>Bonus!B335</f>
        <v>AIC - Riverside Public Works - Digester 5 Rehab</v>
      </c>
      <c r="C371" s="241">
        <f>Bonus!G335</f>
        <v>1</v>
      </c>
      <c r="D371" s="242">
        <f>Bonus!C335</f>
        <v>37648.03</v>
      </c>
      <c r="E371" s="243">
        <f>Bonus!E335</f>
        <v>0</v>
      </c>
      <c r="F371" s="242">
        <f t="shared" ref="F371" si="311">+E371-R371</f>
        <v>0</v>
      </c>
      <c r="G371" s="242"/>
      <c r="H371" s="242">
        <f>Bonus!I335</f>
        <v>37648.03</v>
      </c>
      <c r="I371" s="242">
        <f>Bonus!F335</f>
        <v>37648.03</v>
      </c>
      <c r="J371" s="242">
        <f>Bonus!H335</f>
        <v>0</v>
      </c>
      <c r="K371" s="242">
        <f>Bonus!P335</f>
        <v>0</v>
      </c>
      <c r="L371" s="242"/>
      <c r="M371" s="242">
        <f t="shared" ref="M371" si="312">+N371+O371</f>
        <v>26897.97</v>
      </c>
      <c r="N371" s="242">
        <f>Bonus!Q335</f>
        <v>26897.97</v>
      </c>
      <c r="O371" s="242">
        <f>Bonus!S335</f>
        <v>0</v>
      </c>
      <c r="P371" s="242">
        <f>O371-Bonus!Y335</f>
        <v>0</v>
      </c>
      <c r="Q371" s="245"/>
      <c r="R371" s="243">
        <v>0</v>
      </c>
      <c r="S371" s="242"/>
    </row>
    <row r="372" spans="1:19" ht="15" customHeight="1">
      <c r="A372" s="608">
        <f>Bonus!A336</f>
        <v>56.105600000000003</v>
      </c>
      <c r="B372" s="609" t="str">
        <f>Bonus!B336</f>
        <v>AIC - Irvine Ranch Water District - Michelson Water Recycling Plan</v>
      </c>
      <c r="C372" s="241">
        <f>Bonus!G336</f>
        <v>1</v>
      </c>
      <c r="D372" s="242">
        <f>Bonus!C336</f>
        <v>98280.63</v>
      </c>
      <c r="E372" s="243">
        <f>Bonus!E336</f>
        <v>0</v>
      </c>
      <c r="F372" s="242">
        <f t="shared" ref="F372" si="313">+E372-R372</f>
        <v>0</v>
      </c>
      <c r="G372" s="242"/>
      <c r="H372" s="242">
        <f>Bonus!I336</f>
        <v>98280.63</v>
      </c>
      <c r="I372" s="242">
        <f>Bonus!F336</f>
        <v>98280.63</v>
      </c>
      <c r="J372" s="242">
        <f>Bonus!H336</f>
        <v>0</v>
      </c>
      <c r="K372" s="242">
        <f>Bonus!P336</f>
        <v>0</v>
      </c>
      <c r="L372" s="242"/>
      <c r="M372" s="242">
        <f t="shared" ref="M372" si="314">+N372+O372</f>
        <v>66850.820000000007</v>
      </c>
      <c r="N372" s="242">
        <f>Bonus!Q336</f>
        <v>66850.820000000007</v>
      </c>
      <c r="O372" s="242">
        <f>Bonus!S336</f>
        <v>0</v>
      </c>
      <c r="P372" s="242">
        <f>O372-Bonus!Y336</f>
        <v>0</v>
      </c>
      <c r="Q372" s="245"/>
      <c r="R372" s="243">
        <v>0</v>
      </c>
      <c r="S372" s="242"/>
    </row>
    <row r="373" spans="1:19" ht="15" customHeight="1">
      <c r="A373" s="610">
        <f>Bonus!A337</f>
        <v>56.105699999999999</v>
      </c>
      <c r="B373" s="611" t="str">
        <f>Bonus!B337</f>
        <v>A-C Electric Company - Caltrans District 06 - Olive Avenue Pumping Plant</v>
      </c>
      <c r="C373" s="241">
        <f>Bonus!G337</f>
        <v>0</v>
      </c>
      <c r="D373" s="242">
        <f>Bonus!C337</f>
        <v>0</v>
      </c>
      <c r="E373" s="243">
        <f>Bonus!E337</f>
        <v>0</v>
      </c>
      <c r="F373" s="242">
        <f t="shared" ref="F373" si="315">+E373-R373</f>
        <v>0</v>
      </c>
      <c r="G373" s="242"/>
      <c r="H373" s="242">
        <f>Bonus!I337</f>
        <v>0</v>
      </c>
      <c r="I373" s="242">
        <f>Bonus!F337</f>
        <v>0</v>
      </c>
      <c r="J373" s="242">
        <f>Bonus!H337</f>
        <v>0</v>
      </c>
      <c r="K373" s="242">
        <f>Bonus!P337</f>
        <v>0</v>
      </c>
      <c r="L373" s="242"/>
      <c r="M373" s="242">
        <f t="shared" ref="M373" si="316">+N373+O373</f>
        <v>-16238.75</v>
      </c>
      <c r="N373" s="242">
        <f>Bonus!Q337</f>
        <v>-16238.75</v>
      </c>
      <c r="O373" s="242">
        <f>Bonus!S337</f>
        <v>0</v>
      </c>
      <c r="P373" s="242">
        <f>O373-Bonus!Y337</f>
        <v>0</v>
      </c>
      <c r="Q373" s="245"/>
      <c r="R373" s="243">
        <v>0</v>
      </c>
      <c r="S373" s="242"/>
    </row>
    <row r="374" spans="1:19" ht="15" customHeight="1">
      <c r="A374" s="610">
        <f>Bonus!A338</f>
        <v>56.106099999999998</v>
      </c>
      <c r="B374" s="611" t="str">
        <f>Bonus!B338</f>
        <v>San Jose Water - PLC System Assessment</v>
      </c>
      <c r="C374" s="241">
        <f>Bonus!G338</f>
        <v>1</v>
      </c>
      <c r="D374" s="242">
        <f>Bonus!C338</f>
        <v>11269</v>
      </c>
      <c r="E374" s="243">
        <f>Bonus!E338</f>
        <v>5686.34</v>
      </c>
      <c r="F374" s="242">
        <f t="shared" si="309"/>
        <v>0</v>
      </c>
      <c r="G374" s="242"/>
      <c r="H374" s="242">
        <f>Bonus!I338</f>
        <v>11269</v>
      </c>
      <c r="I374" s="242">
        <f>Bonus!F338</f>
        <v>5582.66</v>
      </c>
      <c r="J374" s="242">
        <f>Bonus!H338</f>
        <v>5686.34</v>
      </c>
      <c r="K374" s="242">
        <f>Bonus!P338</f>
        <v>5163.830381105744</v>
      </c>
      <c r="L374" s="242"/>
      <c r="M374" s="242">
        <f t="shared" si="310"/>
        <v>1024.0696188942557</v>
      </c>
      <c r="N374" s="242">
        <f>Bonus!Q338</f>
        <v>501.55999999999949</v>
      </c>
      <c r="O374" s="242">
        <f>Bonus!S338</f>
        <v>522.50961889425616</v>
      </c>
      <c r="P374" s="242">
        <f>O374-Bonus!Y338</f>
        <v>0</v>
      </c>
      <c r="Q374" s="245"/>
      <c r="R374" s="243">
        <v>5686.34</v>
      </c>
      <c r="S374" s="242"/>
    </row>
    <row r="375" spans="1:19" ht="15" customHeight="1">
      <c r="A375" s="608">
        <f>Bonus!A339</f>
        <v>56.106200000000001</v>
      </c>
      <c r="B375" s="609" t="str">
        <f>Bonus!B339</f>
        <v>AIC - SCADA System Upgrade - City of Brentwood</v>
      </c>
      <c r="C375" s="241">
        <f>Bonus!G339</f>
        <v>1</v>
      </c>
      <c r="D375" s="242">
        <f>Bonus!C339</f>
        <v>409988.07</v>
      </c>
      <c r="E375" s="243">
        <f>Bonus!E339</f>
        <v>0</v>
      </c>
      <c r="F375" s="242">
        <f t="shared" ref="F375" si="317">+E375-R375</f>
        <v>0</v>
      </c>
      <c r="G375" s="242"/>
      <c r="H375" s="242">
        <f>Bonus!I339</f>
        <v>409988.07</v>
      </c>
      <c r="I375" s="242">
        <f>Bonus!F339</f>
        <v>409988.07</v>
      </c>
      <c r="J375" s="242">
        <f>Bonus!H339</f>
        <v>0</v>
      </c>
      <c r="K375" s="242">
        <f>Bonus!P339</f>
        <v>0</v>
      </c>
      <c r="L375" s="242"/>
      <c r="M375" s="242">
        <f t="shared" ref="M375" si="318">+N375+O375</f>
        <v>383762.17</v>
      </c>
      <c r="N375" s="242">
        <f>Bonus!Q339</f>
        <v>383762.17</v>
      </c>
      <c r="O375" s="242">
        <f>Bonus!S339</f>
        <v>0</v>
      </c>
      <c r="P375" s="242">
        <f>O375-Bonus!Y339</f>
        <v>0</v>
      </c>
      <c r="Q375" s="245"/>
      <c r="R375" s="243">
        <v>0</v>
      </c>
      <c r="S375" s="242"/>
    </row>
    <row r="376" spans="1:19" ht="15" customHeight="1">
      <c r="A376" s="610">
        <f>Bonus!A340</f>
        <v>56.106400000000001</v>
      </c>
      <c r="B376" s="611" t="str">
        <f>Bonus!B340</f>
        <v>South Orange County Water Agency - CTP &amp; JBL SCADA Upgrade</v>
      </c>
      <c r="C376" s="241">
        <f>Bonus!G340</f>
        <v>1</v>
      </c>
      <c r="D376" s="242">
        <f>Bonus!C340</f>
        <v>435153</v>
      </c>
      <c r="E376" s="243">
        <f>Bonus!E340</f>
        <v>232886.6</v>
      </c>
      <c r="F376" s="242">
        <f t="shared" ref="F376" si="319">+E376-R376</f>
        <v>0</v>
      </c>
      <c r="G376" s="242"/>
      <c r="H376" s="242">
        <f>Bonus!I340</f>
        <v>435153</v>
      </c>
      <c r="I376" s="242">
        <f>Bonus!F340</f>
        <v>202266.4</v>
      </c>
      <c r="J376" s="242">
        <f>Bonus!H340</f>
        <v>232886.6</v>
      </c>
      <c r="K376" s="242">
        <f>Bonus!P340</f>
        <v>69496.489617537954</v>
      </c>
      <c r="L376" s="242"/>
      <c r="M376" s="242">
        <f t="shared" ref="M376" si="320">+N376+O376</f>
        <v>241255.30038246204</v>
      </c>
      <c r="N376" s="242">
        <f>Bonus!Q340</f>
        <v>77865.189999999988</v>
      </c>
      <c r="O376" s="242">
        <f>Bonus!S340</f>
        <v>163390.11038246204</v>
      </c>
      <c r="P376" s="242">
        <f>O376-Bonus!Y340</f>
        <v>0</v>
      </c>
      <c r="Q376" s="245"/>
      <c r="R376" s="243">
        <v>232886.6</v>
      </c>
      <c r="S376" s="242"/>
    </row>
    <row r="377" spans="1:19" ht="15" customHeight="1">
      <c r="A377" s="610">
        <f>Bonus!A341</f>
        <v>56.106499999999997</v>
      </c>
      <c r="B377" s="611" t="str">
        <f>Bonus!B341</f>
        <v>TNT Industrial Contractors Inc. - WWTF Sodium Hypochlorite Improvements / Chlorine Contact</v>
      </c>
      <c r="C377" s="241">
        <f>Bonus!G341</f>
        <v>1</v>
      </c>
      <c r="D377" s="242">
        <f>Bonus!C341</f>
        <v>226400.8</v>
      </c>
      <c r="E377" s="243">
        <f>Bonus!E341</f>
        <v>34376.989999999991</v>
      </c>
      <c r="F377" s="242">
        <f t="shared" ref="F377" si="321">+E377-R377</f>
        <v>16815.369999999995</v>
      </c>
      <c r="G377" s="242"/>
      <c r="H377" s="242">
        <f>Bonus!I341</f>
        <v>226400.8</v>
      </c>
      <c r="I377" s="242">
        <f>Bonus!F341</f>
        <v>192023.81</v>
      </c>
      <c r="J377" s="242">
        <f>Bonus!H341</f>
        <v>34376.989999999991</v>
      </c>
      <c r="K377" s="242">
        <f>Bonus!P341</f>
        <v>0</v>
      </c>
      <c r="L377" s="242"/>
      <c r="M377" s="242">
        <f t="shared" ref="M377" si="322">+N377+O377</f>
        <v>210538.16999999998</v>
      </c>
      <c r="N377" s="242">
        <f>Bonus!Q341</f>
        <v>176161.18</v>
      </c>
      <c r="O377" s="242">
        <f>Bonus!S341</f>
        <v>34376.989999999991</v>
      </c>
      <c r="P377" s="242">
        <f>O377-Bonus!Y341</f>
        <v>18229.416768494521</v>
      </c>
      <c r="Q377" s="245"/>
      <c r="R377" s="243">
        <v>17561.619999999995</v>
      </c>
      <c r="S377" s="242"/>
    </row>
    <row r="378" spans="1:19" ht="15" customHeight="1">
      <c r="A378" s="608">
        <f>Bonus!A342</f>
        <v>56.106900000000003</v>
      </c>
      <c r="B378" s="609" t="str">
        <f>Bonus!B342</f>
        <v>AIC - City of Brentwood - Brentwood, City of - On-Call Agreement</v>
      </c>
      <c r="C378" s="241">
        <f>Bonus!G342</f>
        <v>1</v>
      </c>
      <c r="D378" s="242">
        <f>Bonus!C342</f>
        <v>2525</v>
      </c>
      <c r="E378" s="243">
        <f>Bonus!E342</f>
        <v>-1296.46</v>
      </c>
      <c r="F378" s="242">
        <f t="shared" ref="F378:F379" si="323">+E378-R378</f>
        <v>0</v>
      </c>
      <c r="G378" s="242"/>
      <c r="H378" s="242">
        <f>Bonus!I342</f>
        <v>2525</v>
      </c>
      <c r="I378" s="242">
        <f>Bonus!F342</f>
        <v>3821.46</v>
      </c>
      <c r="J378" s="242">
        <f>Bonus!H342</f>
        <v>-1296.46</v>
      </c>
      <c r="K378" s="242">
        <f>Bonus!P342</f>
        <v>0</v>
      </c>
      <c r="L378" s="242"/>
      <c r="M378" s="242">
        <f t="shared" ref="M378:M379" si="324">+N378+O378</f>
        <v>2525</v>
      </c>
      <c r="N378" s="242">
        <f>Bonus!Q342</f>
        <v>3821.46</v>
      </c>
      <c r="O378" s="242">
        <f>Bonus!S342</f>
        <v>-1296.46</v>
      </c>
      <c r="P378" s="242">
        <f>O378-Bonus!Y342</f>
        <v>0</v>
      </c>
      <c r="Q378" s="245"/>
      <c r="R378" s="243">
        <v>-1296.46</v>
      </c>
      <c r="S378" s="242"/>
    </row>
    <row r="379" spans="1:19" ht="15" customHeight="1">
      <c r="A379" s="610">
        <f>Bonus!A343</f>
        <v>56.107100000000003</v>
      </c>
      <c r="B379" s="611" t="str">
        <f>Bonus!B343</f>
        <v>San Jose Water Co. - 3 Mile Station 3000 Amp Switchboard</v>
      </c>
      <c r="C379" s="241">
        <f>Bonus!G343</f>
        <v>0.99999999999999967</v>
      </c>
      <c r="D379" s="242">
        <f>Bonus!C343</f>
        <v>34000</v>
      </c>
      <c r="E379" s="243">
        <f>Bonus!E343</f>
        <v>30403.439999999999</v>
      </c>
      <c r="F379" s="242">
        <f t="shared" si="323"/>
        <v>0</v>
      </c>
      <c r="G379" s="242"/>
      <c r="H379" s="242">
        <f>Bonus!I343</f>
        <v>33999.999999999985</v>
      </c>
      <c r="I379" s="242">
        <f>Bonus!F343</f>
        <v>3596.56</v>
      </c>
      <c r="J379" s="242">
        <f>Bonus!H343</f>
        <v>30403.439999999988</v>
      </c>
      <c r="K379" s="242">
        <f>Bonus!P343</f>
        <v>0</v>
      </c>
      <c r="L379" s="242"/>
      <c r="M379" s="242">
        <f t="shared" si="324"/>
        <v>33683.499999999985</v>
      </c>
      <c r="N379" s="242">
        <f>Bonus!Q343</f>
        <v>3280.06</v>
      </c>
      <c r="O379" s="242">
        <f>Bonus!S343</f>
        <v>30403.439999999988</v>
      </c>
      <c r="P379" s="242">
        <f>O379-Bonus!Y343</f>
        <v>0</v>
      </c>
      <c r="Q379" s="245"/>
      <c r="R379" s="243">
        <v>30403.439999999999</v>
      </c>
      <c r="S379" s="242"/>
    </row>
    <row r="380" spans="1:19" ht="15" customHeight="1">
      <c r="A380" s="610">
        <f>Bonus!A344</f>
        <v>56.107199999999999</v>
      </c>
      <c r="B380" s="611" t="str">
        <f>Bonus!B344</f>
        <v>Bullert Industrial Electric, Inc. - Washwater Equalizer Tank Replacement Project – Paradise Irri</v>
      </c>
      <c r="C380" s="241">
        <f>Bonus!G344</f>
        <v>1</v>
      </c>
      <c r="D380" s="242">
        <f>Bonus!C344</f>
        <v>65960</v>
      </c>
      <c r="E380" s="243">
        <f>Bonus!E344</f>
        <v>24421.160000000003</v>
      </c>
      <c r="F380" s="242">
        <f t="shared" ref="F380" si="325">+E380-R380</f>
        <v>14200.160000000003</v>
      </c>
      <c r="G380" s="242"/>
      <c r="H380" s="242">
        <f>Bonus!I344</f>
        <v>65960</v>
      </c>
      <c r="I380" s="242">
        <f>Bonus!F344</f>
        <v>41538.839999999997</v>
      </c>
      <c r="J380" s="242">
        <f>Bonus!H344</f>
        <v>24421.160000000003</v>
      </c>
      <c r="K380" s="242">
        <f>Bonus!P344</f>
        <v>0</v>
      </c>
      <c r="L380" s="242"/>
      <c r="M380" s="242">
        <f t="shared" ref="M380" si="326">+N380+O380</f>
        <v>64717.9</v>
      </c>
      <c r="N380" s="242">
        <f>Bonus!Q344</f>
        <v>40296.74</v>
      </c>
      <c r="O380" s="242">
        <f>Bonus!S344</f>
        <v>24421.160000000003</v>
      </c>
      <c r="P380" s="242">
        <f>O380-Bonus!Y344</f>
        <v>17058.623770250637</v>
      </c>
      <c r="Q380" s="245"/>
      <c r="R380" s="243">
        <v>10221</v>
      </c>
      <c r="S380" s="242"/>
    </row>
    <row r="381" spans="1:19" ht="15" customHeight="1">
      <c r="A381" s="610">
        <f>Bonus!A345</f>
        <v>56.107399999999998</v>
      </c>
      <c r="B381" s="611" t="str">
        <f>Bonus!B345</f>
        <v>San Gabriel Valley Water Co. - Power Monitor Replacement at B24 Hydro – San Gabriel Valley</v>
      </c>
      <c r="C381" s="241">
        <f>Bonus!G345</f>
        <v>1</v>
      </c>
      <c r="D381" s="242">
        <f>Bonus!C345</f>
        <v>12650</v>
      </c>
      <c r="E381" s="243">
        <f>Bonus!E345</f>
        <v>2008.1399999999994</v>
      </c>
      <c r="F381" s="242">
        <f t="shared" si="309"/>
        <v>0</v>
      </c>
      <c r="G381" s="242"/>
      <c r="H381" s="242">
        <f>Bonus!I345</f>
        <v>12650</v>
      </c>
      <c r="I381" s="242">
        <f>Bonus!F345</f>
        <v>10641.86</v>
      </c>
      <c r="J381" s="242">
        <f>Bonus!H345</f>
        <v>2008.1399999999994</v>
      </c>
      <c r="K381" s="242">
        <f>Bonus!P345</f>
        <v>1239.6880980447188</v>
      </c>
      <c r="L381" s="242"/>
      <c r="M381" s="242">
        <f t="shared" si="310"/>
        <v>4653.0319019552817</v>
      </c>
      <c r="N381" s="242">
        <f>Bonus!Q345</f>
        <v>3884.5800000000008</v>
      </c>
      <c r="O381" s="242">
        <f>Bonus!S345</f>
        <v>768.45190195528062</v>
      </c>
      <c r="P381" s="242">
        <f>O381-Bonus!Y345</f>
        <v>0</v>
      </c>
      <c r="Q381" s="245"/>
      <c r="R381" s="243">
        <v>2008.1399999999994</v>
      </c>
      <c r="S381" s="242"/>
    </row>
    <row r="382" spans="1:19" ht="15" customHeight="1">
      <c r="A382" s="610">
        <f>Bonus!A346</f>
        <v>56.107599999999998</v>
      </c>
      <c r="B382" s="611" t="str">
        <f>Bonus!B346</f>
        <v>San Jose Water Co. - Saratoga Plant Feed Pump 1 VFD Replacement</v>
      </c>
      <c r="C382" s="241">
        <f>Bonus!G346</f>
        <v>1</v>
      </c>
      <c r="D382" s="242">
        <f>Bonus!C346</f>
        <v>19200</v>
      </c>
      <c r="E382" s="243">
        <f>Bonus!E346</f>
        <v>7622.23</v>
      </c>
      <c r="F382" s="242">
        <f t="shared" si="309"/>
        <v>0</v>
      </c>
      <c r="G382" s="242"/>
      <c r="H382" s="242">
        <f>Bonus!I346</f>
        <v>19200</v>
      </c>
      <c r="I382" s="242">
        <f>Bonus!F346</f>
        <v>11577.77</v>
      </c>
      <c r="J382" s="242">
        <f>Bonus!H346</f>
        <v>7622.23</v>
      </c>
      <c r="K382" s="242">
        <f>Bonus!P346</f>
        <v>0</v>
      </c>
      <c r="L382" s="242"/>
      <c r="M382" s="242">
        <f t="shared" si="310"/>
        <v>18595.190000000002</v>
      </c>
      <c r="N382" s="242">
        <f>Bonus!Q346</f>
        <v>10972.960000000001</v>
      </c>
      <c r="O382" s="242">
        <f>Bonus!S346</f>
        <v>7622.23</v>
      </c>
      <c r="P382" s="242">
        <f>O382-Bonus!Y346</f>
        <v>0</v>
      </c>
      <c r="Q382" s="245"/>
      <c r="R382" s="243">
        <v>7622.23</v>
      </c>
      <c r="S382" s="242"/>
    </row>
    <row r="383" spans="1:19" ht="15" customHeight="1">
      <c r="A383" s="329">
        <f>Bonus!A347</f>
        <v>56.107700000000001</v>
      </c>
      <c r="B383" s="235" t="str">
        <f>Bonus!B347</f>
        <v>System Integration Overhead 2025</v>
      </c>
      <c r="C383" s="241">
        <f>Bonus!G347</f>
        <v>1</v>
      </c>
      <c r="D383" s="242">
        <f>Bonus!C347</f>
        <v>0</v>
      </c>
      <c r="E383" s="243">
        <f>Bonus!E347</f>
        <v>-4370841.4000000004</v>
      </c>
      <c r="F383" s="242">
        <f t="shared" ref="F383" si="327">+E383-R383</f>
        <v>0</v>
      </c>
      <c r="G383" s="242"/>
      <c r="H383" s="242">
        <f>Bonus!I347</f>
        <v>0</v>
      </c>
      <c r="I383" s="242">
        <f>Bonus!F347</f>
        <v>4370841.4000000004</v>
      </c>
      <c r="J383" s="242">
        <f>Bonus!H347</f>
        <v>-4370841.4000000004</v>
      </c>
      <c r="K383" s="242">
        <f>Bonus!P347</f>
        <v>0</v>
      </c>
      <c r="L383" s="242"/>
      <c r="M383" s="242">
        <f t="shared" ref="M383" si="328">+N383+O383</f>
        <v>0</v>
      </c>
      <c r="N383" s="242">
        <f>Bonus!Q347</f>
        <v>4370841.4000000004</v>
      </c>
      <c r="O383" s="242">
        <f>Bonus!S347</f>
        <v>-4370841.4000000004</v>
      </c>
      <c r="P383" s="242">
        <f>O383-Bonus!Y347</f>
        <v>0</v>
      </c>
      <c r="Q383" s="245"/>
      <c r="R383" s="243">
        <v>-4370841.4000000004</v>
      </c>
      <c r="S383" s="242"/>
    </row>
    <row r="384" spans="1:19" ht="15" customHeight="1">
      <c r="A384" s="608">
        <f>Bonus!A348</f>
        <v>56.107900000000001</v>
      </c>
      <c r="B384" s="609" t="str">
        <f>Bonus!B348</f>
        <v>AIC - San Jose Water Co - Montevina PLC Upgrade</v>
      </c>
      <c r="C384" s="241">
        <f>Bonus!G348</f>
        <v>1</v>
      </c>
      <c r="D384" s="242">
        <f>Bonus!C348</f>
        <v>29235.63</v>
      </c>
      <c r="E384" s="243">
        <f>Bonus!E348</f>
        <v>0</v>
      </c>
      <c r="F384" s="242">
        <f t="shared" ref="F384:F385" si="329">+E384-R384</f>
        <v>0</v>
      </c>
      <c r="G384" s="242"/>
      <c r="H384" s="242">
        <f>Bonus!I348</f>
        <v>29235.63</v>
      </c>
      <c r="I384" s="242">
        <f>Bonus!F348</f>
        <v>29235.63</v>
      </c>
      <c r="J384" s="242">
        <f>Bonus!H348</f>
        <v>0</v>
      </c>
      <c r="K384" s="242">
        <f>Bonus!P348</f>
        <v>0</v>
      </c>
      <c r="L384" s="242"/>
      <c r="M384" s="242">
        <f t="shared" ref="M384:M385" si="330">+N384+O384</f>
        <v>29235.63</v>
      </c>
      <c r="N384" s="242">
        <f>Bonus!Q348</f>
        <v>29235.63</v>
      </c>
      <c r="O384" s="242">
        <f>Bonus!S348</f>
        <v>0</v>
      </c>
      <c r="P384" s="242">
        <f>O384-Bonus!Y348</f>
        <v>0</v>
      </c>
      <c r="Q384" s="245"/>
      <c r="R384" s="243">
        <v>0</v>
      </c>
      <c r="S384" s="242"/>
    </row>
    <row r="385" spans="1:19" ht="15" customHeight="1">
      <c r="A385" s="608">
        <f>Bonus!A349</f>
        <v>56.107999999999997</v>
      </c>
      <c r="B385" s="609" t="str">
        <f>Bonus!B349</f>
        <v>AIC - San Jose Water Co - PLC System Assessment</v>
      </c>
      <c r="C385" s="241">
        <f>Bonus!G349</f>
        <v>1</v>
      </c>
      <c r="D385" s="242">
        <f>Bonus!C349</f>
        <v>359469</v>
      </c>
      <c r="E385" s="243">
        <f>Bonus!E349</f>
        <v>0</v>
      </c>
      <c r="F385" s="242">
        <f t="shared" si="329"/>
        <v>0</v>
      </c>
      <c r="G385" s="242"/>
      <c r="H385" s="242">
        <f>Bonus!I349</f>
        <v>359469</v>
      </c>
      <c r="I385" s="242">
        <f>Bonus!F349</f>
        <v>359469</v>
      </c>
      <c r="J385" s="242">
        <f>Bonus!H349</f>
        <v>0</v>
      </c>
      <c r="K385" s="242">
        <f>Bonus!P349</f>
        <v>0</v>
      </c>
      <c r="L385" s="242"/>
      <c r="M385" s="242">
        <f t="shared" si="330"/>
        <v>359469</v>
      </c>
      <c r="N385" s="242">
        <f>Bonus!Q349</f>
        <v>359469</v>
      </c>
      <c r="O385" s="242">
        <f>Bonus!S349</f>
        <v>0</v>
      </c>
      <c r="P385" s="242">
        <f>O385-Bonus!Y349</f>
        <v>0</v>
      </c>
      <c r="Q385" s="245"/>
      <c r="R385" s="243">
        <v>0</v>
      </c>
      <c r="S385" s="242"/>
    </row>
    <row r="386" spans="1:19" ht="15" customHeight="1">
      <c r="A386" s="610">
        <f>Bonus!A350</f>
        <v>56.108199999999997</v>
      </c>
      <c r="B386" s="611" t="str">
        <f>Bonus!B350</f>
        <v>City of Clovis - Pump Station E New Pump 5 VFD Startup</v>
      </c>
      <c r="C386" s="241">
        <f>Bonus!G350</f>
        <v>1</v>
      </c>
      <c r="D386" s="242">
        <f>Bonus!C350</f>
        <v>19800</v>
      </c>
      <c r="E386" s="243">
        <f>Bonus!E350</f>
        <v>-783.03999999999724</v>
      </c>
      <c r="F386" s="242">
        <f t="shared" ref="F386:F387" si="331">+E386-R386</f>
        <v>0</v>
      </c>
      <c r="G386" s="242"/>
      <c r="H386" s="242">
        <f>Bonus!I350</f>
        <v>19800</v>
      </c>
      <c r="I386" s="242">
        <f>Bonus!F350</f>
        <v>20583.039999999997</v>
      </c>
      <c r="J386" s="242">
        <f>Bonus!H350</f>
        <v>-783.03999999999724</v>
      </c>
      <c r="K386" s="242">
        <f>Bonus!P350</f>
        <v>0</v>
      </c>
      <c r="L386" s="242"/>
      <c r="M386" s="242">
        <f t="shared" ref="M386:M387" si="332">+N386+O386</f>
        <v>19800</v>
      </c>
      <c r="N386" s="242">
        <f>Bonus!Q350</f>
        <v>20583.039999999997</v>
      </c>
      <c r="O386" s="242">
        <f>Bonus!S350</f>
        <v>-783.03999999999724</v>
      </c>
      <c r="P386" s="242">
        <f>O386-Bonus!Y350</f>
        <v>0</v>
      </c>
      <c r="Q386" s="245"/>
      <c r="R386" s="243">
        <v>-783.03999999999724</v>
      </c>
      <c r="S386" s="242"/>
    </row>
    <row r="387" spans="1:19" ht="15" customHeight="1">
      <c r="A387" s="610">
        <f>Bonus!A351</f>
        <v>56.108400000000003</v>
      </c>
      <c r="B387" s="611" t="str">
        <f>Bonus!B351</f>
        <v>South Orange County Water Authority - PLC Programming Support - South Orange County Wastewater Aut</v>
      </c>
      <c r="C387" s="241">
        <f>Bonus!G351</f>
        <v>1</v>
      </c>
      <c r="D387" s="242">
        <f>Bonus!C351</f>
        <v>8000</v>
      </c>
      <c r="E387" s="243">
        <f>Bonus!E351</f>
        <v>3771.87</v>
      </c>
      <c r="F387" s="242">
        <f t="shared" si="331"/>
        <v>0</v>
      </c>
      <c r="G387" s="242"/>
      <c r="H387" s="242">
        <f>Bonus!I351</f>
        <v>8000</v>
      </c>
      <c r="I387" s="242">
        <f>Bonus!F351</f>
        <v>4228.13</v>
      </c>
      <c r="J387" s="242">
        <f>Bonus!H351</f>
        <v>3771.87</v>
      </c>
      <c r="K387" s="242">
        <f>Bonus!P351</f>
        <v>0</v>
      </c>
      <c r="L387" s="242"/>
      <c r="M387" s="242">
        <f t="shared" si="332"/>
        <v>8000</v>
      </c>
      <c r="N387" s="242">
        <f>Bonus!Q351</f>
        <v>4228.13</v>
      </c>
      <c r="O387" s="242">
        <f>Bonus!S351</f>
        <v>3771.87</v>
      </c>
      <c r="P387" s="242">
        <f>O387-Bonus!Y351</f>
        <v>0</v>
      </c>
      <c r="Q387" s="245"/>
      <c r="R387" s="243">
        <v>3771.87</v>
      </c>
      <c r="S387" s="242"/>
    </row>
    <row r="388" spans="1:19" ht="15" customHeight="1">
      <c r="A388" s="608">
        <f>Bonus!A352</f>
        <v>56.110199999999999</v>
      </c>
      <c r="B388" s="609" t="str">
        <f>Bonus!B352</f>
        <v>AIC - San Benito County Water District - West Hills WTP Exp. - San Benito County WD - Royal</v>
      </c>
      <c r="C388" s="241">
        <f>Bonus!G352</f>
        <v>1</v>
      </c>
      <c r="D388" s="242">
        <f>Bonus!C352</f>
        <v>19815.939999999999</v>
      </c>
      <c r="E388" s="243">
        <f>Bonus!E352</f>
        <v>0</v>
      </c>
      <c r="F388" s="242">
        <f t="shared" ref="F388:F411" si="333">+E388-R388</f>
        <v>0</v>
      </c>
      <c r="G388" s="242"/>
      <c r="H388" s="242">
        <f>Bonus!I352</f>
        <v>19815.939999999999</v>
      </c>
      <c r="I388" s="242">
        <f>Bonus!F352</f>
        <v>19815.939999999999</v>
      </c>
      <c r="J388" s="242">
        <f>Bonus!H352</f>
        <v>0</v>
      </c>
      <c r="K388" s="242">
        <f>Bonus!P352</f>
        <v>0</v>
      </c>
      <c r="L388" s="242"/>
      <c r="M388" s="242">
        <f t="shared" ref="M388:M411" si="334">+N388+O388</f>
        <v>19815.939999999999</v>
      </c>
      <c r="N388" s="242">
        <f>Bonus!Q352</f>
        <v>19815.939999999999</v>
      </c>
      <c r="O388" s="242">
        <f>Bonus!S352</f>
        <v>0</v>
      </c>
      <c r="P388" s="242">
        <f>O388-Bonus!Y352</f>
        <v>0</v>
      </c>
      <c r="Q388" s="245"/>
      <c r="R388" s="243">
        <v>0</v>
      </c>
      <c r="S388" s="242"/>
    </row>
    <row r="389" spans="1:19" ht="15" customHeight="1">
      <c r="A389" s="608">
        <f>Bonus!A353</f>
        <v>56.110300000000002</v>
      </c>
      <c r="B389" s="609" t="str">
        <f>Bonus!B353</f>
        <v>AIC - Willitts Equipment &amp; Engineering Co., Inc. - Washington &amp; S. Union PP Repair- Caltrans District</v>
      </c>
      <c r="C389" s="241">
        <f>Bonus!G353</f>
        <v>1</v>
      </c>
      <c r="D389" s="242">
        <f>Bonus!C353</f>
        <v>55855.24</v>
      </c>
      <c r="E389" s="243">
        <f>Bonus!E353</f>
        <v>0</v>
      </c>
      <c r="F389" s="242">
        <f t="shared" si="333"/>
        <v>0</v>
      </c>
      <c r="G389" s="242"/>
      <c r="H389" s="242">
        <f>Bonus!I353</f>
        <v>55855.24</v>
      </c>
      <c r="I389" s="242">
        <f>Bonus!F353</f>
        <v>55855.24</v>
      </c>
      <c r="J389" s="242">
        <f>Bonus!H353</f>
        <v>0</v>
      </c>
      <c r="K389" s="242">
        <f>Bonus!P353</f>
        <v>0</v>
      </c>
      <c r="L389" s="242"/>
      <c r="M389" s="242">
        <f t="shared" si="334"/>
        <v>55855.24</v>
      </c>
      <c r="N389" s="242">
        <f>Bonus!Q353</f>
        <v>55855.24</v>
      </c>
      <c r="O389" s="242">
        <f>Bonus!S353</f>
        <v>0</v>
      </c>
      <c r="P389" s="242">
        <f>O389-Bonus!Y353</f>
        <v>0</v>
      </c>
      <c r="Q389" s="245"/>
      <c r="R389" s="243">
        <v>0</v>
      </c>
      <c r="S389" s="242"/>
    </row>
    <row r="390" spans="1:19" ht="15" customHeight="1">
      <c r="A390" s="608">
        <f>Bonus!A354</f>
        <v>56.110399999999998</v>
      </c>
      <c r="B390" s="609" t="str">
        <f>Bonus!B354</f>
        <v>AIC - Monterey Mechanical Co. - Tunnel SCADA Integration Config - Caltrans Distric</v>
      </c>
      <c r="C390" s="241">
        <f>Bonus!G354</f>
        <v>1</v>
      </c>
      <c r="D390" s="242">
        <f>Bonus!C354</f>
        <v>9500.31</v>
      </c>
      <c r="E390" s="243">
        <f>Bonus!E354</f>
        <v>0</v>
      </c>
      <c r="F390" s="242">
        <f t="shared" si="333"/>
        <v>0</v>
      </c>
      <c r="G390" s="242"/>
      <c r="H390" s="242">
        <f>Bonus!I354</f>
        <v>9500.31</v>
      </c>
      <c r="I390" s="242">
        <f>Bonus!F354</f>
        <v>9500.31</v>
      </c>
      <c r="J390" s="242">
        <f>Bonus!H354</f>
        <v>0</v>
      </c>
      <c r="K390" s="242">
        <f>Bonus!P354</f>
        <v>0</v>
      </c>
      <c r="L390" s="242"/>
      <c r="M390" s="242">
        <f t="shared" si="334"/>
        <v>9500.31</v>
      </c>
      <c r="N390" s="242">
        <f>Bonus!Q354</f>
        <v>9500.31</v>
      </c>
      <c r="O390" s="242">
        <f>Bonus!S354</f>
        <v>0</v>
      </c>
      <c r="P390" s="242">
        <f>O390-Bonus!Y354</f>
        <v>0</v>
      </c>
      <c r="Q390" s="245"/>
      <c r="R390" s="243">
        <v>0</v>
      </c>
      <c r="S390" s="242"/>
    </row>
    <row r="391" spans="1:19" ht="15" customHeight="1">
      <c r="A391" s="608">
        <f>Bonus!A355</f>
        <v>56.110500000000002</v>
      </c>
      <c r="B391" s="609" t="str">
        <f>Bonus!B355</f>
        <v>AIC - Koch &amp; Koch, Inc. - Monte Vista Tank Replacement Project – Placer Coun</v>
      </c>
      <c r="C391" s="241">
        <f>Bonus!G355</f>
        <v>1</v>
      </c>
      <c r="D391" s="242">
        <f>Bonus!C355</f>
        <v>30502.53</v>
      </c>
      <c r="E391" s="243">
        <f>Bonus!E355</f>
        <v>0</v>
      </c>
      <c r="F391" s="242">
        <f t="shared" si="333"/>
        <v>0</v>
      </c>
      <c r="G391" s="242"/>
      <c r="H391" s="242">
        <f>Bonus!I355</f>
        <v>30502.53</v>
      </c>
      <c r="I391" s="242">
        <f>Bonus!F355</f>
        <v>30502.53</v>
      </c>
      <c r="J391" s="242">
        <f>Bonus!H355</f>
        <v>0</v>
      </c>
      <c r="K391" s="242">
        <f>Bonus!P355</f>
        <v>0</v>
      </c>
      <c r="L391" s="242"/>
      <c r="M391" s="242">
        <f t="shared" si="334"/>
        <v>30502.53</v>
      </c>
      <c r="N391" s="242">
        <f>Bonus!Q355</f>
        <v>30502.53</v>
      </c>
      <c r="O391" s="242">
        <f>Bonus!S355</f>
        <v>0</v>
      </c>
      <c r="P391" s="242">
        <f>O391-Bonus!Y355</f>
        <v>0</v>
      </c>
      <c r="Q391" s="245"/>
      <c r="R391" s="243">
        <v>0</v>
      </c>
      <c r="S391" s="242"/>
    </row>
    <row r="392" spans="1:19" ht="15" customHeight="1">
      <c r="A392" s="608">
        <f>Bonus!A356</f>
        <v>56.110599999999998</v>
      </c>
      <c r="B392" s="609" t="str">
        <f>Bonus!B356</f>
        <v>AIC - Cal Signal Corp - SR211 Fernbridge Eel River Bridge Seismic Gates -</v>
      </c>
      <c r="C392" s="241">
        <f>Bonus!G356</f>
        <v>1</v>
      </c>
      <c r="D392" s="242">
        <f>Bonus!C356</f>
        <v>54742.18</v>
      </c>
      <c r="E392" s="243">
        <f>Bonus!E356</f>
        <v>0</v>
      </c>
      <c r="F392" s="242">
        <f t="shared" si="333"/>
        <v>0</v>
      </c>
      <c r="G392" s="242"/>
      <c r="H392" s="242">
        <f>Bonus!I356</f>
        <v>54742.18</v>
      </c>
      <c r="I392" s="242">
        <f>Bonus!F356</f>
        <v>54742.18</v>
      </c>
      <c r="J392" s="242">
        <f>Bonus!H356</f>
        <v>0</v>
      </c>
      <c r="K392" s="242">
        <f>Bonus!P356</f>
        <v>0</v>
      </c>
      <c r="L392" s="242"/>
      <c r="M392" s="242">
        <f t="shared" si="334"/>
        <v>54742.18</v>
      </c>
      <c r="N392" s="242">
        <f>Bonus!Q356</f>
        <v>54742.18</v>
      </c>
      <c r="O392" s="242">
        <f>Bonus!S356</f>
        <v>0</v>
      </c>
      <c r="P392" s="242">
        <f>O392-Bonus!Y356</f>
        <v>0</v>
      </c>
      <c r="Q392" s="245"/>
      <c r="R392" s="243">
        <v>0</v>
      </c>
      <c r="S392" s="242"/>
    </row>
    <row r="393" spans="1:19" ht="15" customHeight="1">
      <c r="A393" s="608">
        <f>Bonus!A357</f>
        <v>56.110700000000001</v>
      </c>
      <c r="B393" s="609" t="str">
        <f>Bonus!B357</f>
        <v>AIC - San Joaquin Electric - Pkg 4 Livermore &amp; Stockton PFAS RFP – California W</v>
      </c>
      <c r="C393" s="241">
        <f>Bonus!G357</f>
        <v>1</v>
      </c>
      <c r="D393" s="242">
        <f>Bonus!C357</f>
        <v>3429.06</v>
      </c>
      <c r="E393" s="243">
        <f>Bonus!E357</f>
        <v>0</v>
      </c>
      <c r="F393" s="242">
        <f t="shared" si="333"/>
        <v>0</v>
      </c>
      <c r="G393" s="242"/>
      <c r="H393" s="242">
        <f>Bonus!I357</f>
        <v>3429.06</v>
      </c>
      <c r="I393" s="242">
        <f>Bonus!F357</f>
        <v>3429.06</v>
      </c>
      <c r="J393" s="242">
        <f>Bonus!H357</f>
        <v>0</v>
      </c>
      <c r="K393" s="242">
        <f>Bonus!P357</f>
        <v>0</v>
      </c>
      <c r="L393" s="242"/>
      <c r="M393" s="242">
        <f t="shared" si="334"/>
        <v>3429.06</v>
      </c>
      <c r="N393" s="242">
        <f>Bonus!Q357</f>
        <v>3429.06</v>
      </c>
      <c r="O393" s="242">
        <f>Bonus!S357</f>
        <v>0</v>
      </c>
      <c r="P393" s="242">
        <f>O393-Bonus!Y357</f>
        <v>0</v>
      </c>
      <c r="Q393" s="245"/>
      <c r="R393" s="243">
        <v>0</v>
      </c>
      <c r="S393" s="242"/>
    </row>
    <row r="394" spans="1:19" ht="15" customHeight="1">
      <c r="A394" s="608">
        <f>Bonus!A358</f>
        <v>56.110799999999998</v>
      </c>
      <c r="B394" s="609" t="str">
        <f>Bonus!B358</f>
        <v>AIC - City of Davis - Programming and Panel Modifications at Turnout Sit</v>
      </c>
      <c r="C394" s="241">
        <f>Bonus!G358</f>
        <v>1</v>
      </c>
      <c r="D394" s="242">
        <f>Bonus!C358</f>
        <v>20729.84</v>
      </c>
      <c r="E394" s="243">
        <f>Bonus!E358</f>
        <v>0</v>
      </c>
      <c r="F394" s="242">
        <f t="shared" si="333"/>
        <v>0</v>
      </c>
      <c r="G394" s="242"/>
      <c r="H394" s="242">
        <f>Bonus!I358</f>
        <v>20729.84</v>
      </c>
      <c r="I394" s="242">
        <f>Bonus!F358</f>
        <v>20729.84</v>
      </c>
      <c r="J394" s="242">
        <f>Bonus!H358</f>
        <v>0</v>
      </c>
      <c r="K394" s="242">
        <f>Bonus!P358</f>
        <v>0</v>
      </c>
      <c r="L394" s="242"/>
      <c r="M394" s="242">
        <f t="shared" si="334"/>
        <v>20729.84</v>
      </c>
      <c r="N394" s="242">
        <f>Bonus!Q358</f>
        <v>20729.84</v>
      </c>
      <c r="O394" s="242">
        <f>Bonus!S358</f>
        <v>0</v>
      </c>
      <c r="P394" s="242">
        <f>O394-Bonus!Y358</f>
        <v>0</v>
      </c>
      <c r="Q394" s="245"/>
      <c r="R394" s="243">
        <v>0</v>
      </c>
      <c r="S394" s="242"/>
    </row>
    <row r="395" spans="1:19" ht="15" customHeight="1">
      <c r="A395" s="608">
        <f>Bonus!A359</f>
        <v>56.110900000000001</v>
      </c>
      <c r="B395" s="609" t="str">
        <f>Bonus!B359</f>
        <v>AIC - Fusion Electric, Inc.. - Moccasin WWTP Replacement - San Francisco Public U</v>
      </c>
      <c r="C395" s="241">
        <f>Bonus!G359</f>
        <v>1</v>
      </c>
      <c r="D395" s="242">
        <f>Bonus!C359</f>
        <v>14772.26</v>
      </c>
      <c r="E395" s="243">
        <f>Bonus!E359</f>
        <v>0</v>
      </c>
      <c r="F395" s="242">
        <f t="shared" si="333"/>
        <v>0</v>
      </c>
      <c r="G395" s="242"/>
      <c r="H395" s="242">
        <f>Bonus!I359</f>
        <v>14772.26</v>
      </c>
      <c r="I395" s="242">
        <f>Bonus!F359</f>
        <v>14772.26</v>
      </c>
      <c r="J395" s="242">
        <f>Bonus!H359</f>
        <v>0</v>
      </c>
      <c r="K395" s="242">
        <f>Bonus!P359</f>
        <v>0</v>
      </c>
      <c r="L395" s="242"/>
      <c r="M395" s="242">
        <f t="shared" si="334"/>
        <v>14772.26</v>
      </c>
      <c r="N395" s="242">
        <f>Bonus!Q359</f>
        <v>14772.26</v>
      </c>
      <c r="O395" s="242">
        <f>Bonus!S359</f>
        <v>0</v>
      </c>
      <c r="P395" s="242">
        <f>O395-Bonus!Y359</f>
        <v>0</v>
      </c>
      <c r="Q395" s="245"/>
      <c r="R395" s="243">
        <v>0</v>
      </c>
      <c r="S395" s="242"/>
    </row>
    <row r="396" spans="1:19" ht="15" customHeight="1">
      <c r="A396" s="608">
        <f>Bonus!A360</f>
        <v>56.110999999999997</v>
      </c>
      <c r="B396" s="609" t="str">
        <f>Bonus!B360</f>
        <v>AIC - Al Fresco Landscape Management Inc. - East Garrison Autodialer Replacement - County of M</v>
      </c>
      <c r="C396" s="241">
        <f>Bonus!G360</f>
        <v>1</v>
      </c>
      <c r="D396" s="242">
        <f>Bonus!C360</f>
        <v>4596.42</v>
      </c>
      <c r="E396" s="243">
        <f>Bonus!E360</f>
        <v>0</v>
      </c>
      <c r="F396" s="242">
        <f t="shared" si="333"/>
        <v>0</v>
      </c>
      <c r="G396" s="242"/>
      <c r="H396" s="242">
        <f>Bonus!I360</f>
        <v>4596.42</v>
      </c>
      <c r="I396" s="242">
        <f>Bonus!F360</f>
        <v>4596.42</v>
      </c>
      <c r="J396" s="242">
        <f>Bonus!H360</f>
        <v>0</v>
      </c>
      <c r="K396" s="242">
        <f>Bonus!P360</f>
        <v>0</v>
      </c>
      <c r="L396" s="242"/>
      <c r="M396" s="242">
        <f t="shared" si="334"/>
        <v>4596.42</v>
      </c>
      <c r="N396" s="242">
        <f>Bonus!Q360</f>
        <v>4596.42</v>
      </c>
      <c r="O396" s="242">
        <f>Bonus!S360</f>
        <v>0</v>
      </c>
      <c r="P396" s="242">
        <f>O396-Bonus!Y360</f>
        <v>0</v>
      </c>
      <c r="Q396" s="245"/>
      <c r="R396" s="243">
        <v>0</v>
      </c>
      <c r="S396" s="242"/>
    </row>
    <row r="397" spans="1:19" ht="15" customHeight="1">
      <c r="A397" s="608">
        <f>Bonus!A361</f>
        <v>56.1111</v>
      </c>
      <c r="B397" s="609" t="str">
        <f>Bonus!B361</f>
        <v>AIC - California American Water - Luzern Well Treatment Design</v>
      </c>
      <c r="C397" s="241">
        <f>Bonus!G361</f>
        <v>1</v>
      </c>
      <c r="D397" s="242">
        <f>Bonus!C361</f>
        <v>17210.009999999998</v>
      </c>
      <c r="E397" s="243">
        <f>Bonus!E361</f>
        <v>0</v>
      </c>
      <c r="F397" s="242">
        <f t="shared" si="333"/>
        <v>0</v>
      </c>
      <c r="G397" s="242"/>
      <c r="H397" s="242">
        <f>Bonus!I361</f>
        <v>17210.009999999998</v>
      </c>
      <c r="I397" s="242">
        <f>Bonus!F361</f>
        <v>17210.009999999998</v>
      </c>
      <c r="J397" s="242">
        <f>Bonus!H361</f>
        <v>0</v>
      </c>
      <c r="K397" s="242">
        <f>Bonus!P361</f>
        <v>0</v>
      </c>
      <c r="L397" s="242"/>
      <c r="M397" s="242">
        <f t="shared" si="334"/>
        <v>17210.009999999998</v>
      </c>
      <c r="N397" s="242">
        <f>Bonus!Q361</f>
        <v>17210.009999999998</v>
      </c>
      <c r="O397" s="242">
        <f>Bonus!S361</f>
        <v>0</v>
      </c>
      <c r="P397" s="242">
        <f>O397-Bonus!Y361</f>
        <v>0</v>
      </c>
      <c r="Q397" s="245"/>
      <c r="R397" s="243">
        <v>0</v>
      </c>
      <c r="S397" s="242"/>
    </row>
    <row r="398" spans="1:19" ht="15" customHeight="1">
      <c r="A398" s="608">
        <f>Bonus!A362</f>
        <v>56.111199999999997</v>
      </c>
      <c r="B398" s="609" t="str">
        <f>Bonus!B362</f>
        <v>AIC - Westside Water Authority - Pump Station A On-Site Support - Westside Water Au</v>
      </c>
      <c r="C398" s="241">
        <f>Bonus!G362</f>
        <v>1</v>
      </c>
      <c r="D398" s="242">
        <f>Bonus!C362</f>
        <v>27241.58</v>
      </c>
      <c r="E398" s="243">
        <f>Bonus!E362</f>
        <v>0</v>
      </c>
      <c r="F398" s="242">
        <f t="shared" si="333"/>
        <v>0</v>
      </c>
      <c r="G398" s="242"/>
      <c r="H398" s="242">
        <f>Bonus!I362</f>
        <v>27241.58</v>
      </c>
      <c r="I398" s="242">
        <f>Bonus!F362</f>
        <v>27241.58</v>
      </c>
      <c r="J398" s="242">
        <f>Bonus!H362</f>
        <v>0</v>
      </c>
      <c r="K398" s="242">
        <f>Bonus!P362</f>
        <v>0</v>
      </c>
      <c r="L398" s="242"/>
      <c r="M398" s="242">
        <f t="shared" si="334"/>
        <v>27241.58</v>
      </c>
      <c r="N398" s="242">
        <f>Bonus!Q362</f>
        <v>27241.58</v>
      </c>
      <c r="O398" s="242">
        <f>Bonus!S362</f>
        <v>0</v>
      </c>
      <c r="P398" s="242">
        <f>O398-Bonus!Y362</f>
        <v>0</v>
      </c>
      <c r="Q398" s="245"/>
      <c r="R398" s="243">
        <v>0</v>
      </c>
      <c r="S398" s="242"/>
    </row>
    <row r="399" spans="1:19" ht="15" customHeight="1">
      <c r="A399" s="608">
        <f>Bonus!A363</f>
        <v>56.1113</v>
      </c>
      <c r="B399" s="609" t="str">
        <f>Bonus!B363</f>
        <v>AIC - Central Sierra Electric Co., Inc. - Industrial WWTF - City of Gonzales - Central Sierr</v>
      </c>
      <c r="C399" s="241">
        <f>Bonus!G363</f>
        <v>1</v>
      </c>
      <c r="D399" s="242">
        <f>Bonus!C363</f>
        <v>49233.440000000002</v>
      </c>
      <c r="E399" s="243">
        <f>Bonus!E363</f>
        <v>0</v>
      </c>
      <c r="F399" s="242">
        <f t="shared" si="333"/>
        <v>0</v>
      </c>
      <c r="G399" s="242"/>
      <c r="H399" s="242">
        <f>Bonus!I363</f>
        <v>49233.440000000002</v>
      </c>
      <c r="I399" s="242">
        <f>Bonus!F363</f>
        <v>49233.440000000002</v>
      </c>
      <c r="J399" s="242">
        <f>Bonus!H363</f>
        <v>0</v>
      </c>
      <c r="K399" s="242">
        <f>Bonus!P363</f>
        <v>0</v>
      </c>
      <c r="L399" s="242"/>
      <c r="M399" s="242">
        <f t="shared" si="334"/>
        <v>49233.440000000002</v>
      </c>
      <c r="N399" s="242">
        <f>Bonus!Q363</f>
        <v>49233.440000000002</v>
      </c>
      <c r="O399" s="242">
        <f>Bonus!S363</f>
        <v>0</v>
      </c>
      <c r="P399" s="242">
        <f>O399-Bonus!Y363</f>
        <v>0</v>
      </c>
      <c r="Q399" s="245"/>
      <c r="R399" s="243">
        <v>0</v>
      </c>
      <c r="S399" s="242"/>
    </row>
    <row r="400" spans="1:19" ht="15" customHeight="1">
      <c r="A400" s="608">
        <f>Bonus!A364</f>
        <v>56.111499999999999</v>
      </c>
      <c r="B400" s="609" t="str">
        <f>Bonus!B364</f>
        <v>AIC - UC Davis - WWTP Annual Instrument Calibrations</v>
      </c>
      <c r="C400" s="241">
        <f>Bonus!G364</f>
        <v>1</v>
      </c>
      <c r="D400" s="242">
        <f>Bonus!C364</f>
        <v>5895.77</v>
      </c>
      <c r="E400" s="243">
        <f>Bonus!E364</f>
        <v>0</v>
      </c>
      <c r="F400" s="242">
        <f t="shared" si="333"/>
        <v>0</v>
      </c>
      <c r="G400" s="242"/>
      <c r="H400" s="242">
        <f>Bonus!I364</f>
        <v>5895.77</v>
      </c>
      <c r="I400" s="242">
        <f>Bonus!F364</f>
        <v>5895.77</v>
      </c>
      <c r="J400" s="242">
        <f>Bonus!H364</f>
        <v>0</v>
      </c>
      <c r="K400" s="242">
        <f>Bonus!P364</f>
        <v>0</v>
      </c>
      <c r="L400" s="242"/>
      <c r="M400" s="242">
        <f t="shared" si="334"/>
        <v>5895.77</v>
      </c>
      <c r="N400" s="242">
        <f>Bonus!Q364</f>
        <v>5895.77</v>
      </c>
      <c r="O400" s="242">
        <f>Bonus!S364</f>
        <v>0</v>
      </c>
      <c r="P400" s="242">
        <f>O400-Bonus!Y364</f>
        <v>0</v>
      </c>
      <c r="Q400" s="245"/>
      <c r="R400" s="243">
        <v>0</v>
      </c>
      <c r="S400" s="242"/>
    </row>
    <row r="401" spans="1:19" ht="15" customHeight="1">
      <c r="A401" s="608">
        <f>Bonus!A365</f>
        <v>56.111899999999999</v>
      </c>
      <c r="B401" s="609" t="str">
        <f>Bonus!B365</f>
        <v>AIC - SD Electric Inc. - Chrysler Stormwater Pump Station Switchboard - Cit</v>
      </c>
      <c r="C401" s="241">
        <f>Bonus!G365</f>
        <v>1</v>
      </c>
      <c r="D401" s="242">
        <f>Bonus!C365</f>
        <v>22184.06</v>
      </c>
      <c r="E401" s="243">
        <f>Bonus!E365</f>
        <v>0</v>
      </c>
      <c r="F401" s="242">
        <f t="shared" si="333"/>
        <v>0</v>
      </c>
      <c r="G401" s="242"/>
      <c r="H401" s="242">
        <f>Bonus!I365</f>
        <v>22184.06</v>
      </c>
      <c r="I401" s="242">
        <f>Bonus!F365</f>
        <v>22184.06</v>
      </c>
      <c r="J401" s="242">
        <f>Bonus!H365</f>
        <v>0</v>
      </c>
      <c r="K401" s="242">
        <f>Bonus!P365</f>
        <v>0</v>
      </c>
      <c r="L401" s="242"/>
      <c r="M401" s="242">
        <f t="shared" si="334"/>
        <v>22184.06</v>
      </c>
      <c r="N401" s="242">
        <f>Bonus!Q365</f>
        <v>22184.06</v>
      </c>
      <c r="O401" s="242">
        <f>Bonus!S365</f>
        <v>0</v>
      </c>
      <c r="P401" s="242">
        <f>O401-Bonus!Y365</f>
        <v>0</v>
      </c>
      <c r="Q401" s="245"/>
      <c r="R401" s="243">
        <v>0</v>
      </c>
      <c r="S401" s="242"/>
    </row>
    <row r="402" spans="1:19" ht="15" customHeight="1">
      <c r="A402" s="608">
        <f>Bonus!A366</f>
        <v>56.112000000000002</v>
      </c>
      <c r="B402" s="609" t="str">
        <f>Bonus!B366</f>
        <v>AIC - Strategic Mechanical - Construction Plans for 2-Water Booster Pump Statio</v>
      </c>
      <c r="C402" s="241">
        <f>Bonus!G366</f>
        <v>1</v>
      </c>
      <c r="D402" s="242">
        <f>Bonus!C366</f>
        <v>1045.6300000000001</v>
      </c>
      <c r="E402" s="243">
        <f>Bonus!E366</f>
        <v>0</v>
      </c>
      <c r="F402" s="242">
        <f t="shared" si="333"/>
        <v>0</v>
      </c>
      <c r="G402" s="242"/>
      <c r="H402" s="242">
        <f>Bonus!I366</f>
        <v>1045.6300000000001</v>
      </c>
      <c r="I402" s="242">
        <f>Bonus!F366</f>
        <v>1045.6300000000001</v>
      </c>
      <c r="J402" s="242">
        <f>Bonus!H366</f>
        <v>0</v>
      </c>
      <c r="K402" s="242">
        <f>Bonus!P366</f>
        <v>0</v>
      </c>
      <c r="L402" s="242"/>
      <c r="M402" s="242">
        <f t="shared" si="334"/>
        <v>1045.6300000000001</v>
      </c>
      <c r="N402" s="242">
        <f>Bonus!Q366</f>
        <v>1045.6300000000001</v>
      </c>
      <c r="O402" s="242">
        <f>Bonus!S366</f>
        <v>0</v>
      </c>
      <c r="P402" s="242">
        <f>O402-Bonus!Y366</f>
        <v>0</v>
      </c>
      <c r="Q402" s="245"/>
      <c r="R402" s="243">
        <v>0</v>
      </c>
      <c r="S402" s="242"/>
    </row>
    <row r="403" spans="1:19" ht="15" customHeight="1">
      <c r="A403" s="608">
        <f>Bonus!A367</f>
        <v>56.112099999999998</v>
      </c>
      <c r="B403" s="609" t="str">
        <f>Bonus!B367</f>
        <v>AIC - San Joaquin Electric, Inc.  -WQCF Sludge Thickener and Dewatering Unit No. 3 Pro</v>
      </c>
      <c r="C403" s="241">
        <f>Bonus!G367</f>
        <v>1</v>
      </c>
      <c r="D403" s="242">
        <f>Bonus!C367</f>
        <v>22824.38</v>
      </c>
      <c r="E403" s="243">
        <f>Bonus!E367</f>
        <v>0</v>
      </c>
      <c r="F403" s="242">
        <f t="shared" si="333"/>
        <v>0</v>
      </c>
      <c r="G403" s="242"/>
      <c r="H403" s="242">
        <f>Bonus!I367</f>
        <v>22824.38</v>
      </c>
      <c r="I403" s="242">
        <f>Bonus!F367</f>
        <v>22824.38</v>
      </c>
      <c r="J403" s="242">
        <f>Bonus!H367</f>
        <v>0</v>
      </c>
      <c r="K403" s="242">
        <f>Bonus!P367</f>
        <v>0</v>
      </c>
      <c r="L403" s="242"/>
      <c r="M403" s="242">
        <f t="shared" si="334"/>
        <v>22824.38</v>
      </c>
      <c r="N403" s="242">
        <f>Bonus!Q367</f>
        <v>22824.38</v>
      </c>
      <c r="O403" s="242">
        <f>Bonus!S367</f>
        <v>0</v>
      </c>
      <c r="P403" s="242">
        <f>O403-Bonus!Y367</f>
        <v>0</v>
      </c>
      <c r="Q403" s="245"/>
      <c r="R403" s="243">
        <v>0</v>
      </c>
      <c r="S403" s="242"/>
    </row>
    <row r="404" spans="1:19" ht="15" customHeight="1">
      <c r="A404" s="608">
        <f>Bonus!A368</f>
        <v>56.112200000000001</v>
      </c>
      <c r="B404" s="609" t="str">
        <f>Bonus!B368</f>
        <v>AIC - West Bay Sanitary District  - West Bay Sanitary District - Soft Starter Retrofit</v>
      </c>
      <c r="C404" s="241">
        <f>Bonus!G368</f>
        <v>1</v>
      </c>
      <c r="D404" s="242">
        <f>Bonus!C368</f>
        <v>6289.38</v>
      </c>
      <c r="E404" s="243">
        <f>Bonus!E368</f>
        <v>0</v>
      </c>
      <c r="F404" s="242">
        <f t="shared" si="333"/>
        <v>0</v>
      </c>
      <c r="G404" s="242"/>
      <c r="H404" s="242">
        <f>Bonus!I368</f>
        <v>6289.38</v>
      </c>
      <c r="I404" s="242">
        <f>Bonus!F368</f>
        <v>6289.38</v>
      </c>
      <c r="J404" s="242">
        <f>Bonus!H368</f>
        <v>0</v>
      </c>
      <c r="K404" s="242">
        <f>Bonus!P368</f>
        <v>0</v>
      </c>
      <c r="L404" s="242"/>
      <c r="M404" s="242">
        <f t="shared" si="334"/>
        <v>6289.38</v>
      </c>
      <c r="N404" s="242">
        <f>Bonus!Q368</f>
        <v>6289.38</v>
      </c>
      <c r="O404" s="242">
        <f>Bonus!S368</f>
        <v>0</v>
      </c>
      <c r="P404" s="242">
        <f>O404-Bonus!Y368</f>
        <v>0</v>
      </c>
      <c r="Q404" s="245"/>
      <c r="R404" s="243">
        <v>0</v>
      </c>
      <c r="S404" s="242"/>
    </row>
    <row r="405" spans="1:19" ht="15" customHeight="1">
      <c r="A405" s="608">
        <f>Bonus!A369</f>
        <v>56.112299999999998</v>
      </c>
      <c r="B405" s="609" t="str">
        <f>Bonus!B369</f>
        <v>AIC - UC Davis  - Landfill Flare PLC &amp; SCADA Integration - UC Davis</v>
      </c>
      <c r="C405" s="241">
        <f>Bonus!G369</f>
        <v>1</v>
      </c>
      <c r="D405" s="242">
        <f>Bonus!C369</f>
        <v>3772.82</v>
      </c>
      <c r="E405" s="243">
        <f>Bonus!E369</f>
        <v>0</v>
      </c>
      <c r="F405" s="242">
        <f t="shared" si="333"/>
        <v>0</v>
      </c>
      <c r="G405" s="242"/>
      <c r="H405" s="242">
        <f>Bonus!I369</f>
        <v>3772.82</v>
      </c>
      <c r="I405" s="242">
        <f>Bonus!F369</f>
        <v>3772.82</v>
      </c>
      <c r="J405" s="242">
        <f>Bonus!H369</f>
        <v>0</v>
      </c>
      <c r="K405" s="242">
        <f>Bonus!P369</f>
        <v>0</v>
      </c>
      <c r="L405" s="242"/>
      <c r="M405" s="242">
        <f t="shared" si="334"/>
        <v>3772.82</v>
      </c>
      <c r="N405" s="242">
        <f>Bonus!Q369</f>
        <v>3772.82</v>
      </c>
      <c r="O405" s="242">
        <f>Bonus!S369</f>
        <v>0</v>
      </c>
      <c r="P405" s="242">
        <f>O405-Bonus!Y369</f>
        <v>0</v>
      </c>
      <c r="Q405" s="245"/>
      <c r="R405" s="243">
        <v>0</v>
      </c>
      <c r="S405" s="242"/>
    </row>
    <row r="406" spans="1:19" ht="15" customHeight="1">
      <c r="A406" s="608">
        <f>Bonus!A370</f>
        <v>56.112400000000001</v>
      </c>
      <c r="B406" s="609" t="str">
        <f>Bonus!B370</f>
        <v>AIC - Cupertino Electric Inc.- Eagle Rock Aggregrates Oakland Terminal - Port of</v>
      </c>
      <c r="C406" s="241">
        <f>Bonus!G370</f>
        <v>1</v>
      </c>
      <c r="D406" s="242">
        <f>Bonus!C370</f>
        <v>28950</v>
      </c>
      <c r="E406" s="243">
        <f>Bonus!E370</f>
        <v>0</v>
      </c>
      <c r="F406" s="242">
        <f t="shared" si="333"/>
        <v>0</v>
      </c>
      <c r="G406" s="242"/>
      <c r="H406" s="242">
        <f>Bonus!I370</f>
        <v>28950</v>
      </c>
      <c r="I406" s="242">
        <f>Bonus!F370</f>
        <v>28950</v>
      </c>
      <c r="J406" s="242">
        <f>Bonus!H370</f>
        <v>0</v>
      </c>
      <c r="K406" s="242">
        <f>Bonus!P370</f>
        <v>0</v>
      </c>
      <c r="L406" s="242"/>
      <c r="M406" s="242">
        <f t="shared" si="334"/>
        <v>28950</v>
      </c>
      <c r="N406" s="242">
        <f>Bonus!Q370</f>
        <v>28950</v>
      </c>
      <c r="O406" s="242">
        <f>Bonus!S370</f>
        <v>0</v>
      </c>
      <c r="P406" s="242">
        <f>O406-Bonus!Y370</f>
        <v>0</v>
      </c>
      <c r="Q406" s="245"/>
      <c r="R406" s="243">
        <v>0</v>
      </c>
      <c r="S406" s="242"/>
    </row>
    <row r="407" spans="1:19" ht="15" customHeight="1">
      <c r="A407" s="608">
        <f>Bonus!A371</f>
        <v>56.112499999999997</v>
      </c>
      <c r="B407" s="609" t="str">
        <f>Bonus!B371</f>
        <v>AIC - Fowler Electric Services Inc.  - Third Street Pump Station - San Rafael Sanitation</v>
      </c>
      <c r="C407" s="241">
        <f>Bonus!G371</f>
        <v>1</v>
      </c>
      <c r="D407" s="242">
        <f>Bonus!C371</f>
        <v>14229.38</v>
      </c>
      <c r="E407" s="243">
        <f>Bonus!E371</f>
        <v>0</v>
      </c>
      <c r="F407" s="242">
        <f t="shared" si="333"/>
        <v>0</v>
      </c>
      <c r="G407" s="242"/>
      <c r="H407" s="242">
        <f>Bonus!I371</f>
        <v>14229.38</v>
      </c>
      <c r="I407" s="242">
        <f>Bonus!F371</f>
        <v>14229.38</v>
      </c>
      <c r="J407" s="242">
        <f>Bonus!H371</f>
        <v>0</v>
      </c>
      <c r="K407" s="242">
        <f>Bonus!P371</f>
        <v>0</v>
      </c>
      <c r="L407" s="242"/>
      <c r="M407" s="242">
        <f t="shared" si="334"/>
        <v>14229.38</v>
      </c>
      <c r="N407" s="242">
        <f>Bonus!Q371</f>
        <v>14229.38</v>
      </c>
      <c r="O407" s="242">
        <f>Bonus!S371</f>
        <v>0</v>
      </c>
      <c r="P407" s="242">
        <f>O407-Bonus!Y371</f>
        <v>0</v>
      </c>
      <c r="Q407" s="245"/>
      <c r="R407" s="243">
        <v>0</v>
      </c>
      <c r="S407" s="242"/>
    </row>
    <row r="408" spans="1:19" ht="15" customHeight="1">
      <c r="A408" s="608">
        <f>Bonus!A372</f>
        <v>56.1126</v>
      </c>
      <c r="B408" s="609" t="str">
        <f>Bonus!B372</f>
        <v>AIC - Fowler Electric Services Inc.  - Parr Tank and Pipeline Project – North Gualala Wat</v>
      </c>
      <c r="C408" s="241">
        <f>Bonus!G372</f>
        <v>1</v>
      </c>
      <c r="D408" s="242">
        <f>Bonus!C372</f>
        <v>9526.8799999999992</v>
      </c>
      <c r="E408" s="243">
        <f>Bonus!E372</f>
        <v>0</v>
      </c>
      <c r="F408" s="242">
        <f t="shared" si="333"/>
        <v>0</v>
      </c>
      <c r="G408" s="242"/>
      <c r="H408" s="242">
        <f>Bonus!I372</f>
        <v>9526.8799999999992</v>
      </c>
      <c r="I408" s="242">
        <f>Bonus!F372</f>
        <v>9526.8799999999992</v>
      </c>
      <c r="J408" s="242">
        <f>Bonus!H372</f>
        <v>0</v>
      </c>
      <c r="K408" s="242">
        <f>Bonus!P372</f>
        <v>0</v>
      </c>
      <c r="L408" s="242"/>
      <c r="M408" s="242">
        <f t="shared" si="334"/>
        <v>9526.8799999999992</v>
      </c>
      <c r="N408" s="242">
        <f>Bonus!Q372</f>
        <v>9526.8799999999992</v>
      </c>
      <c r="O408" s="242">
        <f>Bonus!S372</f>
        <v>0</v>
      </c>
      <c r="P408" s="242">
        <f>O408-Bonus!Y372</f>
        <v>0</v>
      </c>
      <c r="Q408" s="245"/>
      <c r="R408" s="243">
        <v>0</v>
      </c>
      <c r="S408" s="242"/>
    </row>
    <row r="409" spans="1:19" ht="15" customHeight="1">
      <c r="A409" s="608">
        <f>Bonus!A373</f>
        <v>56.112699999999997</v>
      </c>
      <c r="B409" s="609" t="str">
        <f>Bonus!B373</f>
        <v>AIC - Auburn Constructors, LLC - Colfax Water Treatment Plant Replacement Project – Placer Co</v>
      </c>
      <c r="C409" s="241">
        <f>Bonus!G373</f>
        <v>1</v>
      </c>
      <c r="D409" s="242">
        <f>Bonus!C373</f>
        <v>6519.07</v>
      </c>
      <c r="E409" s="243">
        <f>Bonus!E373</f>
        <v>0</v>
      </c>
      <c r="F409" s="242">
        <f t="shared" si="333"/>
        <v>0</v>
      </c>
      <c r="G409" s="242"/>
      <c r="H409" s="242">
        <f>Bonus!I373</f>
        <v>6519.07</v>
      </c>
      <c r="I409" s="242">
        <f>Bonus!F373</f>
        <v>6519.07</v>
      </c>
      <c r="J409" s="242">
        <f>Bonus!H373</f>
        <v>0</v>
      </c>
      <c r="K409" s="242">
        <f>Bonus!P373</f>
        <v>0</v>
      </c>
      <c r="L409" s="242"/>
      <c r="M409" s="242">
        <f t="shared" si="334"/>
        <v>6519.07</v>
      </c>
      <c r="N409" s="242">
        <f>Bonus!Q373</f>
        <v>6519.07</v>
      </c>
      <c r="O409" s="242">
        <f>Bonus!S373</f>
        <v>0</v>
      </c>
      <c r="P409" s="242">
        <f>O409-Bonus!Y373</f>
        <v>0</v>
      </c>
      <c r="Q409" s="245"/>
      <c r="R409" s="243">
        <v>0</v>
      </c>
      <c r="S409" s="242"/>
    </row>
    <row r="410" spans="1:19" ht="15" customHeight="1">
      <c r="A410" s="608">
        <f>Bonus!A374</f>
        <v>56.1128</v>
      </c>
      <c r="B410" s="609" t="str">
        <f>Bonus!B374</f>
        <v>AIC - Con J. Franke Electric Inc. - San Joaquin Pipeline Valve and Safe Entry Improvements Phase</v>
      </c>
      <c r="C410" s="241">
        <f>Bonus!G374</f>
        <v>1</v>
      </c>
      <c r="D410" s="242">
        <f>Bonus!C374</f>
        <v>4793.13</v>
      </c>
      <c r="E410" s="243">
        <f>Bonus!E374</f>
        <v>0</v>
      </c>
      <c r="F410" s="242">
        <f t="shared" si="333"/>
        <v>0</v>
      </c>
      <c r="G410" s="242"/>
      <c r="H410" s="242">
        <f>Bonus!I374</f>
        <v>4793.13</v>
      </c>
      <c r="I410" s="242">
        <f>Bonus!F374</f>
        <v>4793.13</v>
      </c>
      <c r="J410" s="242">
        <f>Bonus!H374</f>
        <v>0</v>
      </c>
      <c r="K410" s="242">
        <f>Bonus!P374</f>
        <v>0</v>
      </c>
      <c r="L410" s="242"/>
      <c r="M410" s="242">
        <f t="shared" si="334"/>
        <v>4793.13</v>
      </c>
      <c r="N410" s="242">
        <f>Bonus!Q374</f>
        <v>4793.13</v>
      </c>
      <c r="O410" s="242">
        <f>Bonus!S374</f>
        <v>0</v>
      </c>
      <c r="P410" s="242">
        <f>O410-Bonus!Y374</f>
        <v>0</v>
      </c>
      <c r="Q410" s="245"/>
      <c r="R410" s="243">
        <v>0</v>
      </c>
      <c r="S410" s="242"/>
    </row>
    <row r="411" spans="1:19" ht="15" customHeight="1">
      <c r="A411" s="608">
        <f>Bonus!A375</f>
        <v>56.112900000000003</v>
      </c>
      <c r="B411" s="609" t="str">
        <f>Bonus!B375</f>
        <v>AIC - RMCSD - VEEAM SFTWR</v>
      </c>
      <c r="C411" s="241">
        <f>Bonus!G375</f>
        <v>1</v>
      </c>
      <c r="D411" s="242">
        <f>Bonus!C375</f>
        <v>133.75</v>
      </c>
      <c r="E411" s="243">
        <f>Bonus!E375</f>
        <v>0</v>
      </c>
      <c r="F411" s="242">
        <f t="shared" si="333"/>
        <v>0</v>
      </c>
      <c r="G411" s="242"/>
      <c r="H411" s="242">
        <f>Bonus!I375</f>
        <v>133.75</v>
      </c>
      <c r="I411" s="242">
        <f>Bonus!F375</f>
        <v>133.75</v>
      </c>
      <c r="J411" s="242">
        <f>Bonus!H375</f>
        <v>0</v>
      </c>
      <c r="K411" s="242">
        <f>Bonus!P375</f>
        <v>0</v>
      </c>
      <c r="L411" s="242"/>
      <c r="M411" s="242">
        <f t="shared" si="334"/>
        <v>133.75</v>
      </c>
      <c r="N411" s="242">
        <f>Bonus!Q375</f>
        <v>133.75</v>
      </c>
      <c r="O411" s="242">
        <f>Bonus!S375</f>
        <v>0</v>
      </c>
      <c r="P411" s="242">
        <f>O411-Bonus!Y375</f>
        <v>0</v>
      </c>
      <c r="Q411" s="245"/>
      <c r="R411" s="243">
        <v>0</v>
      </c>
      <c r="S411" s="242"/>
    </row>
    <row r="412" spans="1:19" ht="15" customHeight="1">
      <c r="A412" s="329">
        <f>Bonus!A376</f>
        <v>56.113</v>
      </c>
      <c r="B412" s="235" t="str">
        <f>Bonus!B376</f>
        <v>System Integration Division Estimating 2025</v>
      </c>
      <c r="C412" s="241">
        <f>Bonus!G376</f>
        <v>1</v>
      </c>
      <c r="D412" s="242">
        <f>Bonus!C376</f>
        <v>0</v>
      </c>
      <c r="E412" s="243">
        <f>Bonus!E376</f>
        <v>-267.5</v>
      </c>
      <c r="F412" s="242">
        <f t="shared" ref="F412" si="335">+E412-R412</f>
        <v>0</v>
      </c>
      <c r="G412" s="242"/>
      <c r="H412" s="242">
        <f>Bonus!I376</f>
        <v>0</v>
      </c>
      <c r="I412" s="242">
        <f>Bonus!F376</f>
        <v>267.5</v>
      </c>
      <c r="J412" s="242">
        <f>Bonus!H376</f>
        <v>-267.5</v>
      </c>
      <c r="K412" s="242">
        <f>Bonus!P376</f>
        <v>0</v>
      </c>
      <c r="L412" s="242"/>
      <c r="M412" s="242">
        <f t="shared" ref="M412" si="336">+N412+O412</f>
        <v>0</v>
      </c>
      <c r="N412" s="242">
        <f>Bonus!Q376</f>
        <v>267.5</v>
      </c>
      <c r="O412" s="242">
        <f>Bonus!S376</f>
        <v>-267.5</v>
      </c>
      <c r="P412" s="242">
        <f>O412-Bonus!Y376</f>
        <v>0</v>
      </c>
      <c r="Q412" s="245"/>
      <c r="R412" s="243">
        <v>-267.5</v>
      </c>
      <c r="S412" s="242"/>
    </row>
    <row r="413" spans="1:19" ht="15" customHeight="1">
      <c r="A413" s="608">
        <f>Bonus!A377</f>
        <v>56.113100000000003</v>
      </c>
      <c r="B413" s="609" t="str">
        <f>Bonus!B377</f>
        <v>AIC - North Star Construction - Sweeney Ranch Pump Station Pumps &amp; Temp Electrical – Sacrame</v>
      </c>
      <c r="C413" s="241">
        <f>Bonus!G377</f>
        <v>1</v>
      </c>
      <c r="D413" s="242">
        <f>Bonus!C377</f>
        <v>2388.75</v>
      </c>
      <c r="E413" s="243">
        <f>Bonus!E377</f>
        <v>0</v>
      </c>
      <c r="F413" s="242">
        <f t="shared" ref="F413:F418" si="337">+E413-R413</f>
        <v>0</v>
      </c>
      <c r="G413" s="242"/>
      <c r="H413" s="242">
        <f>Bonus!I377</f>
        <v>2388.75</v>
      </c>
      <c r="I413" s="242">
        <f>Bonus!F377</f>
        <v>2388.75</v>
      </c>
      <c r="J413" s="242">
        <f>Bonus!H377</f>
        <v>0</v>
      </c>
      <c r="K413" s="242">
        <f>Bonus!P377</f>
        <v>0</v>
      </c>
      <c r="L413" s="242"/>
      <c r="M413" s="242">
        <f t="shared" ref="M413:M418" si="338">+N413+O413</f>
        <v>2388.75</v>
      </c>
      <c r="N413" s="242">
        <f>Bonus!Q377</f>
        <v>2388.75</v>
      </c>
      <c r="O413" s="242">
        <f>Bonus!S377</f>
        <v>0</v>
      </c>
      <c r="P413" s="242">
        <f>O413-Bonus!Y377</f>
        <v>0</v>
      </c>
      <c r="Q413" s="245"/>
      <c r="R413" s="243">
        <v>0</v>
      </c>
      <c r="S413" s="242"/>
    </row>
    <row r="414" spans="1:19" ht="15" customHeight="1">
      <c r="A414" s="608">
        <f>Bonus!A378</f>
        <v>56.113199999999999</v>
      </c>
      <c r="B414" s="609" t="str">
        <f>Bonus!B378</f>
        <v xml:space="preserve">AIC - UC Davis  - CABA Well Pump Station Rehabilitation – UC Davis </v>
      </c>
      <c r="C414" s="241">
        <f>Bonus!G378</f>
        <v>1</v>
      </c>
      <c r="D414" s="242">
        <f>Bonus!C378</f>
        <v>585</v>
      </c>
      <c r="E414" s="243">
        <f>Bonus!E378</f>
        <v>0</v>
      </c>
      <c r="F414" s="242">
        <f t="shared" si="337"/>
        <v>0</v>
      </c>
      <c r="G414" s="242"/>
      <c r="H414" s="242">
        <f>Bonus!I378</f>
        <v>585</v>
      </c>
      <c r="I414" s="242">
        <f>Bonus!F378</f>
        <v>585</v>
      </c>
      <c r="J414" s="242">
        <f>Bonus!H378</f>
        <v>0</v>
      </c>
      <c r="K414" s="242">
        <f>Bonus!P378</f>
        <v>0</v>
      </c>
      <c r="L414" s="242"/>
      <c r="M414" s="242">
        <f t="shared" si="338"/>
        <v>585</v>
      </c>
      <c r="N414" s="242">
        <f>Bonus!Q378</f>
        <v>585</v>
      </c>
      <c r="O414" s="242">
        <f>Bonus!S378</f>
        <v>0</v>
      </c>
      <c r="P414" s="242">
        <f>O414-Bonus!Y378</f>
        <v>0</v>
      </c>
      <c r="Q414" s="245"/>
      <c r="R414" s="243">
        <v>0</v>
      </c>
      <c r="S414" s="242"/>
    </row>
    <row r="415" spans="1:19" ht="15" customHeight="1">
      <c r="A415" s="608">
        <f>Bonus!A379</f>
        <v>56.113300000000002</v>
      </c>
      <c r="B415" s="609" t="str">
        <f>Bonus!B379</f>
        <v>AIC - UC Davis  - CABA Ag Pump Station Rehabilitation – UC Davis</v>
      </c>
      <c r="C415" s="241">
        <f>Bonus!G379</f>
        <v>1</v>
      </c>
      <c r="D415" s="242">
        <f>Bonus!C379</f>
        <v>2827.5</v>
      </c>
      <c r="E415" s="243">
        <f>Bonus!E379</f>
        <v>0</v>
      </c>
      <c r="F415" s="242">
        <f t="shared" si="337"/>
        <v>0</v>
      </c>
      <c r="G415" s="242"/>
      <c r="H415" s="242">
        <f>Bonus!I379</f>
        <v>2827.5</v>
      </c>
      <c r="I415" s="242">
        <f>Bonus!F379</f>
        <v>2827.5</v>
      </c>
      <c r="J415" s="242">
        <f>Bonus!H379</f>
        <v>0</v>
      </c>
      <c r="K415" s="242">
        <f>Bonus!P379</f>
        <v>0</v>
      </c>
      <c r="L415" s="242"/>
      <c r="M415" s="242">
        <f t="shared" si="338"/>
        <v>2827.5</v>
      </c>
      <c r="N415" s="242">
        <f>Bonus!Q379</f>
        <v>2827.5</v>
      </c>
      <c r="O415" s="242">
        <f>Bonus!S379</f>
        <v>0</v>
      </c>
      <c r="P415" s="242">
        <f>O415-Bonus!Y379</f>
        <v>0</v>
      </c>
      <c r="Q415" s="245"/>
      <c r="R415" s="243">
        <v>0</v>
      </c>
      <c r="S415" s="242"/>
    </row>
    <row r="416" spans="1:19" ht="15" customHeight="1">
      <c r="A416" s="608">
        <f>Bonus!A380</f>
        <v>56.113399999999999</v>
      </c>
      <c r="B416" s="609" t="str">
        <f>Bonus!B380</f>
        <v>AIC - Cupertino Electric Inc. - Headworks (Cupertino Troubleshooting Project) - San Francisc</v>
      </c>
      <c r="C416" s="241">
        <f>Bonus!G380</f>
        <v>1</v>
      </c>
      <c r="D416" s="242">
        <f>Bonus!C380</f>
        <v>965.51</v>
      </c>
      <c r="E416" s="243">
        <f>Bonus!E380</f>
        <v>0</v>
      </c>
      <c r="F416" s="242">
        <f t="shared" si="337"/>
        <v>0</v>
      </c>
      <c r="G416" s="242"/>
      <c r="H416" s="242">
        <f>Bonus!I380</f>
        <v>965.51</v>
      </c>
      <c r="I416" s="242">
        <f>Bonus!F380</f>
        <v>965.51</v>
      </c>
      <c r="J416" s="242">
        <f>Bonus!H380</f>
        <v>0</v>
      </c>
      <c r="K416" s="242">
        <f>Bonus!P380</f>
        <v>0</v>
      </c>
      <c r="L416" s="242"/>
      <c r="M416" s="242">
        <f t="shared" si="338"/>
        <v>965.51</v>
      </c>
      <c r="N416" s="242">
        <f>Bonus!Q380</f>
        <v>965.51</v>
      </c>
      <c r="O416" s="242">
        <f>Bonus!S380</f>
        <v>0</v>
      </c>
      <c r="P416" s="242">
        <f>O416-Bonus!Y380</f>
        <v>0</v>
      </c>
      <c r="Q416" s="245"/>
      <c r="R416" s="243">
        <v>0</v>
      </c>
      <c r="S416" s="242"/>
    </row>
    <row r="417" spans="1:20" ht="15" customHeight="1">
      <c r="A417" s="608">
        <f>Bonus!A381</f>
        <v>56.113500000000002</v>
      </c>
      <c r="B417" s="609" t="str">
        <f>Bonus!B381</f>
        <v xml:space="preserve">AIC - San Joaquin Electric - Lurline Check and Siphon Replacement Project - Glenn-Colusa </v>
      </c>
      <c r="C417" s="241">
        <f>Bonus!G381</f>
        <v>1</v>
      </c>
      <c r="D417" s="242">
        <f>Bonus!C381</f>
        <v>112.5</v>
      </c>
      <c r="E417" s="243">
        <f>Bonus!E381</f>
        <v>0</v>
      </c>
      <c r="F417" s="242">
        <f t="shared" si="337"/>
        <v>0</v>
      </c>
      <c r="G417" s="242"/>
      <c r="H417" s="242">
        <f>Bonus!I381</f>
        <v>112.5</v>
      </c>
      <c r="I417" s="242">
        <f>Bonus!F381</f>
        <v>112.5</v>
      </c>
      <c r="J417" s="242">
        <f>Bonus!H381</f>
        <v>0</v>
      </c>
      <c r="K417" s="242">
        <f>Bonus!P381</f>
        <v>0</v>
      </c>
      <c r="L417" s="242"/>
      <c r="M417" s="242">
        <f t="shared" si="338"/>
        <v>112.5</v>
      </c>
      <c r="N417" s="242">
        <f>Bonus!Q381</f>
        <v>112.5</v>
      </c>
      <c r="O417" s="242">
        <f>Bonus!S381</f>
        <v>0</v>
      </c>
      <c r="P417" s="242">
        <f>O417-Bonus!Y381</f>
        <v>0</v>
      </c>
      <c r="Q417" s="245"/>
      <c r="R417" s="243">
        <v>0</v>
      </c>
      <c r="S417" s="242"/>
    </row>
    <row r="418" spans="1:20" ht="15" customHeight="1">
      <c r="A418" s="608">
        <f>Bonus!A382</f>
        <v>56.114100000000001</v>
      </c>
      <c r="B418" s="609" t="str">
        <f>Bonus!B382</f>
        <v>AIC - Blocka Construction Inc. - Glenview Reservoir Recoating and Tank Improvements - San Jos</v>
      </c>
      <c r="C418" s="241">
        <f>Bonus!G382</f>
        <v>1</v>
      </c>
      <c r="D418" s="242">
        <f>Bonus!C382</f>
        <v>2827.5</v>
      </c>
      <c r="E418" s="243">
        <f>Bonus!E382</f>
        <v>0</v>
      </c>
      <c r="F418" s="242">
        <f t="shared" si="337"/>
        <v>0</v>
      </c>
      <c r="G418" s="242"/>
      <c r="H418" s="242">
        <f>Bonus!I382</f>
        <v>2827.5</v>
      </c>
      <c r="I418" s="242">
        <f>Bonus!F382</f>
        <v>2827.5</v>
      </c>
      <c r="J418" s="242">
        <f>Bonus!H382</f>
        <v>0</v>
      </c>
      <c r="K418" s="242">
        <f>Bonus!P382</f>
        <v>0</v>
      </c>
      <c r="L418" s="242"/>
      <c r="M418" s="242">
        <f t="shared" si="338"/>
        <v>2827.5</v>
      </c>
      <c r="N418" s="242">
        <f>Bonus!Q382</f>
        <v>2827.5</v>
      </c>
      <c r="O418" s="242">
        <f>Bonus!S382</f>
        <v>0</v>
      </c>
      <c r="P418" s="242">
        <f>O418-Bonus!Y382</f>
        <v>0</v>
      </c>
      <c r="Q418" s="245"/>
      <c r="R418" s="243">
        <v>0</v>
      </c>
      <c r="S418" s="242"/>
    </row>
    <row r="419" spans="1:20" ht="15" hidden="1" customHeight="1">
      <c r="A419" s="330"/>
      <c r="C419" s="241"/>
      <c r="D419" s="245"/>
      <c r="E419" s="245"/>
      <c r="F419" s="245"/>
      <c r="G419" s="245"/>
      <c r="H419" s="245"/>
      <c r="I419" s="245"/>
      <c r="J419" s="245"/>
      <c r="K419" s="245"/>
      <c r="L419" s="245"/>
      <c r="M419" s="245"/>
      <c r="N419" s="245"/>
      <c r="O419" s="245"/>
      <c r="P419" s="245"/>
      <c r="Q419" s="245"/>
      <c r="R419" s="243"/>
      <c r="S419" s="242"/>
    </row>
    <row r="420" spans="1:20" ht="15" customHeight="1">
      <c r="A420" s="330" t="str">
        <f>Bonus!A384</f>
        <v>System Integration - Closed Jobs Totals</v>
      </c>
      <c r="C420" s="241"/>
      <c r="D420" s="245">
        <f>SUM(D356:D419)</f>
        <v>4511779.6499999976</v>
      </c>
      <c r="E420" s="245">
        <f>SUM(E356:E419)</f>
        <v>-3483989.29</v>
      </c>
      <c r="F420" s="245">
        <f>SUM(F356:F419)</f>
        <v>79234.050000000032</v>
      </c>
      <c r="G420" s="245"/>
      <c r="H420" s="245">
        <f>SUM(H356:H419)</f>
        <v>4511779.6499999976</v>
      </c>
      <c r="I420" s="245">
        <f>SUM(I356:I419)</f>
        <v>7995768.9399999985</v>
      </c>
      <c r="J420" s="245">
        <f>SUM(J356:J419)</f>
        <v>-3483989.29</v>
      </c>
      <c r="K420" s="245">
        <f>SUM(K356:K419)</f>
        <v>335306.4276492052</v>
      </c>
      <c r="L420" s="245"/>
      <c r="M420" s="245">
        <f>SUM(M356:M419)</f>
        <v>3047886.8923507924</v>
      </c>
      <c r="N420" s="245">
        <f>SUM(N356:N419)</f>
        <v>6867182.6099999985</v>
      </c>
      <c r="O420" s="245">
        <f>SUM(O356:O419)</f>
        <v>-3819295.7176492056</v>
      </c>
      <c r="P420" s="245">
        <f>SUM(P356:P419)</f>
        <v>96604.867697752998</v>
      </c>
      <c r="Q420" s="245"/>
      <c r="R420" s="243">
        <v>632860.43999999994</v>
      </c>
      <c r="S420" s="242"/>
    </row>
    <row r="421" spans="1:20" ht="15" customHeight="1">
      <c r="A421" s="429" t="s">
        <v>249</v>
      </c>
      <c r="B421" s="252"/>
      <c r="C421" s="253"/>
      <c r="D421" s="254">
        <f>D353+D420</f>
        <v>18534626.899999999</v>
      </c>
      <c r="E421" s="254">
        <f>E353+E420</f>
        <v>-1428932.4300000002</v>
      </c>
      <c r="F421" s="254">
        <f>F353+F420</f>
        <v>48652.74000000002</v>
      </c>
      <c r="G421" s="254"/>
      <c r="H421" s="254">
        <f>H353+H420</f>
        <v>12078500.351579178</v>
      </c>
      <c r="I421" s="254">
        <f>I353+I420</f>
        <v>14455117.849999998</v>
      </c>
      <c r="J421" s="254">
        <f>J353+J420</f>
        <v>-2376617.4984208196</v>
      </c>
      <c r="K421" s="254">
        <f>K353+K420</f>
        <v>582934.11127723719</v>
      </c>
      <c r="L421" s="254"/>
      <c r="M421" s="254">
        <f>M353+M420</f>
        <v>9364281.3803019412</v>
      </c>
      <c r="N421" s="254">
        <f>N353+N420</f>
        <v>12323832.989999998</v>
      </c>
      <c r="O421" s="254">
        <f>O353+O420</f>
        <v>-2959551.6096980572</v>
      </c>
      <c r="P421" s="254">
        <f>P353+P420</f>
        <v>194012.81671435703</v>
      </c>
      <c r="Q421" s="245"/>
      <c r="R421" s="261">
        <v>-1477585.1700000004</v>
      </c>
      <c r="S421" s="242"/>
    </row>
    <row r="422" spans="1:20" ht="15" customHeight="1">
      <c r="A422" s="330"/>
      <c r="B422" s="240"/>
      <c r="C422" s="244"/>
      <c r="D422" s="245"/>
      <c r="E422" s="245"/>
      <c r="F422" s="245"/>
      <c r="G422" s="245"/>
      <c r="H422" s="245"/>
      <c r="I422" s="245"/>
      <c r="J422" s="245"/>
      <c r="K422" s="245"/>
      <c r="L422" s="245"/>
      <c r="M422" s="245"/>
      <c r="N422" s="245"/>
      <c r="O422" s="245"/>
      <c r="P422" s="245"/>
      <c r="Q422" s="245"/>
      <c r="R422" s="261"/>
      <c r="S422" s="242"/>
      <c r="T422" s="240"/>
    </row>
    <row r="423" spans="1:20" s="240" customFormat="1" ht="15" customHeight="1">
      <c r="A423" s="330"/>
      <c r="B423" s="246" t="s">
        <v>162</v>
      </c>
      <c r="C423" s="247">
        <f>D421-Bonus!J385</f>
        <v>8099229.1600000001</v>
      </c>
      <c r="D423" s="245"/>
      <c r="E423" s="245"/>
      <c r="F423" s="245" t="s">
        <v>145</v>
      </c>
      <c r="G423" s="245"/>
      <c r="H423" s="245"/>
      <c r="I423" s="245">
        <f>D421-H421</f>
        <v>6456126.5484208204</v>
      </c>
      <c r="J423" s="245"/>
      <c r="K423" s="245"/>
      <c r="L423" s="245"/>
      <c r="M423" s="245" t="s">
        <v>30</v>
      </c>
      <c r="N423" s="245">
        <f>H421-Bonus!J385-1677140.47</f>
        <v>-34037.858420820208</v>
      </c>
      <c r="O423" s="245"/>
      <c r="P423" s="245"/>
      <c r="Q423" s="245"/>
      <c r="R423" s="261"/>
      <c r="S423" s="245"/>
    </row>
    <row r="424" spans="1:20" s="240" customFormat="1" ht="15" customHeight="1">
      <c r="A424" s="330"/>
      <c r="C424" s="244"/>
      <c r="D424" s="245"/>
      <c r="E424" s="245"/>
      <c r="F424" s="245"/>
      <c r="G424" s="245"/>
      <c r="H424" s="245"/>
      <c r="I424" s="245"/>
      <c r="J424" s="245"/>
      <c r="K424" s="245"/>
      <c r="L424" s="245"/>
      <c r="M424" s="245"/>
      <c r="N424" s="245"/>
      <c r="O424" s="245"/>
      <c r="P424" s="245"/>
      <c r="Q424" s="245"/>
      <c r="R424" s="261"/>
      <c r="S424" s="245"/>
    </row>
    <row r="425" spans="1:20" s="240" customFormat="1" ht="15" customHeight="1">
      <c r="A425" s="330"/>
      <c r="C425" s="244"/>
      <c r="D425" s="245"/>
      <c r="E425" s="245"/>
      <c r="F425" s="245"/>
      <c r="G425" s="245"/>
      <c r="H425" s="245"/>
      <c r="I425" s="245"/>
      <c r="J425" s="245"/>
      <c r="K425" s="245"/>
      <c r="L425" s="245"/>
      <c r="M425" s="245"/>
      <c r="N425" s="245"/>
      <c r="O425" s="245"/>
      <c r="P425" s="245"/>
      <c r="Q425" s="245"/>
      <c r="R425" s="261"/>
      <c r="S425" s="245"/>
    </row>
    <row r="426" spans="1:20" s="240" customFormat="1" ht="15" customHeight="1">
      <c r="A426" s="330" t="s">
        <v>366</v>
      </c>
      <c r="B426" s="235"/>
      <c r="C426" s="241"/>
      <c r="D426" s="245"/>
      <c r="E426" s="242"/>
      <c r="F426" s="242"/>
      <c r="G426" s="242"/>
      <c r="H426" s="242"/>
      <c r="I426" s="242"/>
      <c r="J426" s="242"/>
      <c r="K426" s="242"/>
      <c r="L426" s="242"/>
      <c r="M426" s="242"/>
      <c r="N426" s="242"/>
      <c r="O426" s="242"/>
      <c r="P426" s="242"/>
      <c r="Q426" s="242"/>
      <c r="R426" s="243"/>
      <c r="S426" s="245"/>
    </row>
    <row r="427" spans="1:20" s="240" customFormat="1" ht="15" customHeight="1">
      <c r="A427" s="329">
        <f>Bonus!A388</f>
        <v>50.054099999999998</v>
      </c>
      <c r="B427" s="235" t="str">
        <f>Bonus!B388</f>
        <v>W.M. Lyles Co. - General Overhead</v>
      </c>
      <c r="C427" s="241">
        <f>Bonus!G388</f>
        <v>1</v>
      </c>
      <c r="D427" s="242">
        <f>Bonus!C388</f>
        <v>0</v>
      </c>
      <c r="E427" s="243">
        <f t="shared" ref="E427:E432" si="339">J427</f>
        <v>-3642039.89</v>
      </c>
      <c r="F427" s="242">
        <f t="shared" ref="F427:F432" si="340">+E427-R427</f>
        <v>-420625.51000000024</v>
      </c>
      <c r="G427" s="242"/>
      <c r="H427" s="242">
        <f>Bonus!I388</f>
        <v>0</v>
      </c>
      <c r="I427" s="242">
        <f>Bonus!F388</f>
        <v>3642039.89</v>
      </c>
      <c r="J427" s="242">
        <f>Bonus!H388</f>
        <v>-3642039.89</v>
      </c>
      <c r="K427" s="242">
        <f>Bonus!P388</f>
        <v>0</v>
      </c>
      <c r="L427" s="242"/>
      <c r="M427" s="242">
        <f t="shared" ref="M427:M432" si="341">+N427+O427</f>
        <v>0</v>
      </c>
      <c r="N427" s="242">
        <f>Bonus!Q388</f>
        <v>3642039.89</v>
      </c>
      <c r="O427" s="242">
        <f>Bonus!S388</f>
        <v>-3642039.89</v>
      </c>
      <c r="P427" s="242">
        <f>O427-Bonus!Y388</f>
        <v>-420625.51000000024</v>
      </c>
      <c r="Q427" s="242"/>
      <c r="R427" s="243">
        <v>-3221414.38</v>
      </c>
      <c r="S427" s="245"/>
    </row>
    <row r="428" spans="1:20" s="240" customFormat="1" ht="15" customHeight="1">
      <c r="A428" s="329">
        <f>Bonus!A389</f>
        <v>50.054200000000002</v>
      </c>
      <c r="B428" s="235" t="str">
        <f>Bonus!B389</f>
        <v>W.M. Lyles Co. - General Estimating</v>
      </c>
      <c r="C428" s="241">
        <f>Bonus!G389</f>
        <v>1</v>
      </c>
      <c r="D428" s="242">
        <f>Bonus!C389</f>
        <v>0</v>
      </c>
      <c r="E428" s="243">
        <f t="shared" si="339"/>
        <v>-100487.45</v>
      </c>
      <c r="F428" s="242">
        <f t="shared" si="340"/>
        <v>-20759.22</v>
      </c>
      <c r="G428" s="242"/>
      <c r="H428" s="242">
        <f>Bonus!I389</f>
        <v>0</v>
      </c>
      <c r="I428" s="242">
        <f>Bonus!F389</f>
        <v>100487.45</v>
      </c>
      <c r="J428" s="242">
        <f>Bonus!H389</f>
        <v>-100487.45</v>
      </c>
      <c r="K428" s="242">
        <f>Bonus!P389</f>
        <v>0</v>
      </c>
      <c r="L428" s="242"/>
      <c r="M428" s="242">
        <f t="shared" si="341"/>
        <v>0</v>
      </c>
      <c r="N428" s="242">
        <f>Bonus!Q389</f>
        <v>100487.45</v>
      </c>
      <c r="O428" s="242">
        <f>Bonus!S389</f>
        <v>-100487.45</v>
      </c>
      <c r="P428" s="242">
        <f>O428-Bonus!Y389</f>
        <v>-20759.22</v>
      </c>
      <c r="Q428" s="242"/>
      <c r="R428" s="243">
        <v>-79728.23</v>
      </c>
      <c r="S428" s="242"/>
      <c r="T428" s="235"/>
    </row>
    <row r="429" spans="1:20" s="240" customFormat="1" ht="15" customHeight="1">
      <c r="A429" s="329">
        <f>Bonus!A390</f>
        <v>50.054299999999998</v>
      </c>
      <c r="B429" s="235" t="str">
        <f>Bonus!B390</f>
        <v>American Paving</v>
      </c>
      <c r="C429" s="241">
        <f>Bonus!G390</f>
        <v>1</v>
      </c>
      <c r="D429" s="242">
        <f>Bonus!C390</f>
        <v>7051.01</v>
      </c>
      <c r="E429" s="243">
        <f t="shared" si="339"/>
        <v>0</v>
      </c>
      <c r="F429" s="242">
        <f t="shared" si="340"/>
        <v>0</v>
      </c>
      <c r="G429" s="242"/>
      <c r="H429" s="242">
        <f>Bonus!I390</f>
        <v>7051.01</v>
      </c>
      <c r="I429" s="242">
        <f>Bonus!F390</f>
        <v>7051.01</v>
      </c>
      <c r="J429" s="242">
        <f>Bonus!H390</f>
        <v>0</v>
      </c>
      <c r="K429" s="242">
        <f>Bonus!P390</f>
        <v>0</v>
      </c>
      <c r="L429" s="242"/>
      <c r="M429" s="242">
        <f t="shared" si="341"/>
        <v>7051.01</v>
      </c>
      <c r="N429" s="242">
        <f>Bonus!Q390</f>
        <v>7051.01</v>
      </c>
      <c r="O429" s="242">
        <f>Bonus!S390</f>
        <v>0</v>
      </c>
      <c r="P429" s="242">
        <f>O429-Bonus!Y390</f>
        <v>0</v>
      </c>
      <c r="Q429" s="242"/>
      <c r="R429" s="243">
        <v>0</v>
      </c>
      <c r="S429" s="242"/>
      <c r="T429" s="235"/>
    </row>
    <row r="430" spans="1:20" ht="15" customHeight="1">
      <c r="A430" s="329">
        <f>Bonus!A391</f>
        <v>50.054400000000001</v>
      </c>
      <c r="B430" s="235" t="str">
        <f>Bonus!B391</f>
        <v>Lyles Services Co.</v>
      </c>
      <c r="C430" s="241">
        <f>Bonus!G391</f>
        <v>1</v>
      </c>
      <c r="D430" s="242">
        <f>Bonus!C391</f>
        <v>13555.8</v>
      </c>
      <c r="E430" s="243">
        <f t="shared" si="339"/>
        <v>0</v>
      </c>
      <c r="F430" s="242">
        <f t="shared" si="340"/>
        <v>0</v>
      </c>
      <c r="G430" s="242"/>
      <c r="H430" s="242">
        <f>Bonus!I391</f>
        <v>13555.8</v>
      </c>
      <c r="I430" s="242">
        <f>Bonus!F391</f>
        <v>13555.8</v>
      </c>
      <c r="J430" s="242">
        <f>Bonus!H391</f>
        <v>0</v>
      </c>
      <c r="K430" s="242">
        <f>Bonus!P391</f>
        <v>0</v>
      </c>
      <c r="L430" s="242"/>
      <c r="M430" s="242">
        <f t="shared" si="341"/>
        <v>13555.8</v>
      </c>
      <c r="N430" s="242">
        <f>Bonus!Q391</f>
        <v>13555.8</v>
      </c>
      <c r="O430" s="242">
        <f>Bonus!S391</f>
        <v>0</v>
      </c>
      <c r="P430" s="242">
        <f>O430-Bonus!Y391</f>
        <v>0</v>
      </c>
      <c r="Q430" s="242"/>
      <c r="R430" s="243">
        <v>0</v>
      </c>
      <c r="S430" s="242"/>
    </row>
    <row r="431" spans="1:20" ht="15" customHeight="1">
      <c r="A431" s="329">
        <f>Bonus!A392</f>
        <v>50.054499999999997</v>
      </c>
      <c r="B431" s="235" t="str">
        <f>Bonus!B392</f>
        <v>New England Sheet Metal and Mechanical Co.</v>
      </c>
      <c r="C431" s="241">
        <f>Bonus!G392</f>
        <v>1</v>
      </c>
      <c r="D431" s="242">
        <f>Bonus!C392</f>
        <v>2226.16</v>
      </c>
      <c r="E431" s="243">
        <f t="shared" ref="E431" si="342">J431</f>
        <v>0</v>
      </c>
      <c r="F431" s="242">
        <f t="shared" ref="F431" si="343">+E431-R431</f>
        <v>0</v>
      </c>
      <c r="G431" s="242"/>
      <c r="H431" s="242">
        <f>Bonus!I392</f>
        <v>2226.16</v>
      </c>
      <c r="I431" s="242">
        <f>Bonus!F392</f>
        <v>2226.16</v>
      </c>
      <c r="J431" s="242">
        <f>Bonus!H392</f>
        <v>0</v>
      </c>
      <c r="K431" s="242">
        <f>Bonus!P392</f>
        <v>0</v>
      </c>
      <c r="L431" s="242"/>
      <c r="M431" s="242">
        <f t="shared" ref="M431" si="344">+N431+O431</f>
        <v>2226.16</v>
      </c>
      <c r="N431" s="242">
        <f>Bonus!Q392</f>
        <v>2226.16</v>
      </c>
      <c r="O431" s="242">
        <f>Bonus!S392</f>
        <v>0</v>
      </c>
      <c r="P431" s="242">
        <f>O431-Bonus!Y392</f>
        <v>0</v>
      </c>
      <c r="Q431" s="242"/>
      <c r="R431" s="243">
        <v>0</v>
      </c>
      <c r="S431" s="242"/>
    </row>
    <row r="432" spans="1:20" ht="15" customHeight="1">
      <c r="A432" s="329">
        <f>Bonus!A393</f>
        <v>50.054600000000001</v>
      </c>
      <c r="B432" s="235" t="str">
        <f>Bonus!B393</f>
        <v>Lyles Utility Construction, LLC</v>
      </c>
      <c r="C432" s="241">
        <f>Bonus!G393</f>
        <v>1</v>
      </c>
      <c r="D432" s="242">
        <f>Bonus!C393</f>
        <v>11256.72</v>
      </c>
      <c r="E432" s="243">
        <f t="shared" si="339"/>
        <v>788.65999999999985</v>
      </c>
      <c r="F432" s="242">
        <f t="shared" si="340"/>
        <v>0</v>
      </c>
      <c r="G432" s="242"/>
      <c r="H432" s="242">
        <f>Bonus!I393</f>
        <v>11256.72</v>
      </c>
      <c r="I432" s="242">
        <f>Bonus!F393</f>
        <v>10468.06</v>
      </c>
      <c r="J432" s="242">
        <f>Bonus!H393</f>
        <v>788.65999999999985</v>
      </c>
      <c r="K432" s="242">
        <f>Bonus!P393</f>
        <v>0</v>
      </c>
      <c r="L432" s="242"/>
      <c r="M432" s="242">
        <f t="shared" si="341"/>
        <v>11256.72</v>
      </c>
      <c r="N432" s="242">
        <f>Bonus!Q393</f>
        <v>10468.06</v>
      </c>
      <c r="O432" s="242">
        <f>Bonus!S393</f>
        <v>788.65999999999985</v>
      </c>
      <c r="P432" s="242">
        <f>O432-Bonus!Y393</f>
        <v>0</v>
      </c>
      <c r="Q432" s="242"/>
      <c r="R432" s="243">
        <v>788.65999999999985</v>
      </c>
      <c r="S432" s="242"/>
    </row>
    <row r="433" spans="1:20" ht="15" customHeight="1">
      <c r="A433" s="329">
        <f>Bonus!A394</f>
        <v>50.055100000000003</v>
      </c>
      <c r="B433" s="235" t="str">
        <f>Bonus!B394</f>
        <v>Advanced Integration &amp; Controls</v>
      </c>
      <c r="C433" s="241">
        <f>Bonus!G394</f>
        <v>1</v>
      </c>
      <c r="D433" s="242">
        <f>Bonus!C394</f>
        <v>5457.42</v>
      </c>
      <c r="E433" s="243">
        <f t="shared" ref="E433" si="345">J433</f>
        <v>0</v>
      </c>
      <c r="F433" s="242">
        <f t="shared" ref="F433" si="346">+E433-R433</f>
        <v>0</v>
      </c>
      <c r="G433" s="242"/>
      <c r="H433" s="242">
        <f>Bonus!I394</f>
        <v>5457.42</v>
      </c>
      <c r="I433" s="242">
        <f>Bonus!F394</f>
        <v>5457.42</v>
      </c>
      <c r="J433" s="242">
        <f>Bonus!H394</f>
        <v>0</v>
      </c>
      <c r="K433" s="242">
        <f>Bonus!P394</f>
        <v>0</v>
      </c>
      <c r="L433" s="242"/>
      <c r="M433" s="242">
        <f t="shared" ref="M433" si="347">+N433+O433</f>
        <v>5457.42</v>
      </c>
      <c r="N433" s="242">
        <f>Bonus!Q394</f>
        <v>5457.42</v>
      </c>
      <c r="O433" s="242">
        <f>Bonus!S394</f>
        <v>0</v>
      </c>
      <c r="P433" s="242">
        <f>O433-Bonus!Y394</f>
        <v>0</v>
      </c>
      <c r="Q433" s="242"/>
      <c r="R433" s="243">
        <v>0</v>
      </c>
      <c r="S433" s="242"/>
    </row>
    <row r="434" spans="1:20" ht="15" hidden="1" customHeight="1">
      <c r="A434" s="329"/>
      <c r="C434" s="241"/>
      <c r="D434" s="242"/>
      <c r="E434" s="242"/>
      <c r="F434" s="242"/>
      <c r="G434" s="242"/>
      <c r="H434" s="242"/>
      <c r="I434" s="242"/>
      <c r="J434" s="242"/>
      <c r="K434" s="242"/>
      <c r="L434" s="242"/>
      <c r="M434" s="242"/>
      <c r="N434" s="242"/>
      <c r="O434" s="242"/>
      <c r="P434" s="242"/>
      <c r="Q434" s="242"/>
      <c r="R434" s="243"/>
      <c r="S434" s="242"/>
    </row>
    <row r="435" spans="1:20" ht="15" customHeight="1">
      <c r="A435" s="429" t="s">
        <v>367</v>
      </c>
      <c r="B435" s="252"/>
      <c r="C435" s="253"/>
      <c r="D435" s="254">
        <f>SUM(D427:D434)</f>
        <v>39547.109999999993</v>
      </c>
      <c r="E435" s="254">
        <f>SUM(E427:E434)</f>
        <v>-3741738.68</v>
      </c>
      <c r="F435" s="254">
        <f>SUM(F427:F434)</f>
        <v>-441384.73000000021</v>
      </c>
      <c r="G435" s="254"/>
      <c r="H435" s="254">
        <f>SUM(H427:H434)</f>
        <v>39547.109999999993</v>
      </c>
      <c r="I435" s="254">
        <f>SUM(I427:I434)</f>
        <v>3781285.79</v>
      </c>
      <c r="J435" s="254">
        <f>SUM(J427:J434)</f>
        <v>-3741738.68</v>
      </c>
      <c r="K435" s="254">
        <f>SUM(K427:K434)</f>
        <v>0</v>
      </c>
      <c r="L435" s="254"/>
      <c r="M435" s="254">
        <f>SUM(M427:M434)</f>
        <v>39547.109999999993</v>
      </c>
      <c r="N435" s="254">
        <f>SUM(N427:N434)</f>
        <v>3781285.79</v>
      </c>
      <c r="O435" s="254">
        <f>SUM(O427:O434)</f>
        <v>-3741738.68</v>
      </c>
      <c r="P435" s="254">
        <f>SUM(P427:P434)</f>
        <v>-441384.73000000021</v>
      </c>
      <c r="Q435" s="245"/>
      <c r="R435" s="261">
        <v>-3300353.9499999997</v>
      </c>
      <c r="S435" s="242"/>
    </row>
    <row r="436" spans="1:20" ht="13.5" customHeight="1">
      <c r="A436" s="330"/>
      <c r="B436" s="240"/>
      <c r="C436" s="244"/>
      <c r="D436" s="245"/>
      <c r="E436" s="245"/>
      <c r="F436" s="245"/>
      <c r="G436" s="245"/>
      <c r="H436" s="245"/>
      <c r="I436" s="245"/>
      <c r="J436" s="245"/>
      <c r="K436" s="245"/>
      <c r="L436" s="245"/>
      <c r="M436" s="245"/>
      <c r="N436" s="245"/>
      <c r="O436" s="245"/>
      <c r="P436" s="245"/>
      <c r="Q436" s="245"/>
      <c r="R436" s="261"/>
    </row>
    <row r="437" spans="1:20" ht="15" customHeight="1">
      <c r="A437" s="330"/>
      <c r="B437" s="246" t="s">
        <v>162</v>
      </c>
      <c r="C437" s="247">
        <f>D435-Bonus!C396</f>
        <v>0</v>
      </c>
      <c r="D437" s="242"/>
      <c r="E437" s="245"/>
      <c r="F437" s="245" t="s">
        <v>145</v>
      </c>
      <c r="G437" s="245"/>
      <c r="H437" s="245"/>
      <c r="I437" s="245">
        <f>D435-H435</f>
        <v>0</v>
      </c>
      <c r="J437" s="245"/>
      <c r="K437" s="245"/>
      <c r="L437" s="245"/>
      <c r="M437" s="245" t="s">
        <v>30</v>
      </c>
      <c r="N437" s="245">
        <f>H435-Bonus!J396</f>
        <v>0</v>
      </c>
      <c r="O437" s="245"/>
      <c r="P437" s="245"/>
      <c r="Q437" s="245"/>
      <c r="R437" s="261"/>
    </row>
    <row r="438" spans="1:20" ht="15" customHeight="1">
      <c r="A438" s="330"/>
      <c r="B438" s="240"/>
      <c r="C438" s="244"/>
      <c r="D438" s="242"/>
      <c r="E438" s="245"/>
      <c r="F438" s="245"/>
      <c r="G438" s="245"/>
      <c r="H438" s="245"/>
      <c r="I438" s="245"/>
      <c r="J438" s="245"/>
      <c r="K438" s="245"/>
      <c r="L438" s="245"/>
      <c r="M438" s="245"/>
      <c r="N438" s="245"/>
      <c r="O438" s="245"/>
      <c r="P438" s="245"/>
      <c r="Q438" s="245"/>
      <c r="R438" s="261"/>
    </row>
    <row r="439" spans="1:20" ht="15" customHeight="1">
      <c r="A439" s="332" t="s">
        <v>173</v>
      </c>
      <c r="B439" s="248"/>
      <c r="C439" s="249"/>
      <c r="D439" s="250">
        <f>D234+D308+D353</f>
        <v>1871949205.4099998</v>
      </c>
      <c r="E439" s="250">
        <f>E234+E308+E353</f>
        <v>126137111.39</v>
      </c>
      <c r="F439" s="250">
        <f>F234+F308+F353</f>
        <v>499973.13999999833</v>
      </c>
      <c r="G439" s="250"/>
      <c r="H439" s="250">
        <f>H234+H308+H353</f>
        <v>1107807669.4931359</v>
      </c>
      <c r="I439" s="250">
        <f>I234+I308+I353</f>
        <v>1041534998.2699999</v>
      </c>
      <c r="J439" s="250">
        <f>J234+J308+J353</f>
        <v>66272671.223135963</v>
      </c>
      <c r="K439" s="250">
        <f>K234+K308+K353</f>
        <v>41070417.082760751</v>
      </c>
      <c r="L439" s="250"/>
      <c r="M439" s="250">
        <f>M234+M308+M353</f>
        <v>328738312.88037515</v>
      </c>
      <c r="N439" s="250">
        <f>N234+N308+N353</f>
        <v>303536058.73999995</v>
      </c>
      <c r="O439" s="250">
        <f>O234+O308+O353</f>
        <v>25202254.140375223</v>
      </c>
      <c r="P439" s="250">
        <f>P234+P308+P353</f>
        <v>2700015.6973622823</v>
      </c>
      <c r="Q439" s="245"/>
      <c r="R439" s="261">
        <v>127067217.99999999</v>
      </c>
    </row>
    <row r="440" spans="1:20" ht="15" customHeight="1">
      <c r="A440" s="331" t="s">
        <v>164</v>
      </c>
      <c r="B440" s="240"/>
      <c r="C440" s="244"/>
      <c r="D440" s="251">
        <f>+D107+D228+D40+D266+D125+D286+D302+D420+D435</f>
        <v>152608093.41</v>
      </c>
      <c r="E440" s="251">
        <f>+E107+E228+E40+E266+E125+E286+E302+E420+E435</f>
        <v>4767940.5999999978</v>
      </c>
      <c r="F440" s="251">
        <f>+F107+F228+F40+F266+F125+F286+F302+F420+F435</f>
        <v>-1349047.2600000002</v>
      </c>
      <c r="G440" s="251"/>
      <c r="H440" s="251">
        <f>+H107+H228+H40+H266+H125+H286+H302+H420+H435</f>
        <v>152608093.41</v>
      </c>
      <c r="I440" s="251">
        <f>+I107+I228+I40+I266+I125+I286+I302+I420+I435</f>
        <v>147840152.81</v>
      </c>
      <c r="J440" s="251">
        <f>+J107+J228+J40+J266+J125+J286+J302+J420+J435</f>
        <v>4767940.5999999978</v>
      </c>
      <c r="K440" s="251">
        <f>+K107+K228+K40+K266+K125+K286+K302+K420+K435</f>
        <v>17833981.082099926</v>
      </c>
      <c r="L440" s="251"/>
      <c r="M440" s="251">
        <f>+M107+M228+M40+M266+M125+M286+M302+M420+M435</f>
        <v>22281669.657900069</v>
      </c>
      <c r="N440" s="251">
        <f>+N107+N228+N40+N266+N125+N286+N302+N420+N435</f>
        <v>35347710.140000008</v>
      </c>
      <c r="O440" s="251">
        <f>+O107+O228+O40+O266+O125+O286+O302+O420+O435</f>
        <v>-13066040.482099928</v>
      </c>
      <c r="P440" s="251">
        <f>+P235+P309+P420+P435</f>
        <v>-1259578.5038012941</v>
      </c>
      <c r="Q440" s="245"/>
      <c r="R440" s="243">
        <v>4686908.1099999975</v>
      </c>
    </row>
    <row r="441" spans="1:20" ht="15" customHeight="1" thickBot="1">
      <c r="A441" s="399" t="s">
        <v>165</v>
      </c>
      <c r="B441" s="399"/>
      <c r="C441" s="435"/>
      <c r="D441" s="434">
        <f>SUM(D439:D440)</f>
        <v>2024557298.8199999</v>
      </c>
      <c r="E441" s="434">
        <f>SUM(E439:E440)</f>
        <v>130905051.98999999</v>
      </c>
      <c r="F441" s="434">
        <f>SUM(F439:F440)</f>
        <v>-849074.12000000197</v>
      </c>
      <c r="G441" s="434"/>
      <c r="H441" s="434">
        <f t="shared" ref="H441:K441" si="348">SUM(H439:H440)</f>
        <v>1260415762.903136</v>
      </c>
      <c r="I441" s="434">
        <f t="shared" si="348"/>
        <v>1189375151.0799999</v>
      </c>
      <c r="J441" s="434">
        <f t="shared" si="348"/>
        <v>71040611.823135957</v>
      </c>
      <c r="K441" s="434">
        <f t="shared" si="348"/>
        <v>58904398.164860681</v>
      </c>
      <c r="L441" s="434"/>
      <c r="M441" s="434">
        <f t="shared" ref="M441:N441" si="349">SUM(M439:M440)</f>
        <v>351019982.53827524</v>
      </c>
      <c r="N441" s="434">
        <f t="shared" si="349"/>
        <v>338883768.87999994</v>
      </c>
      <c r="O441" s="434">
        <f>SUM(O439:O440)</f>
        <v>12136213.658275295</v>
      </c>
      <c r="P441" s="434">
        <f>SUM(P439:P440)</f>
        <v>1440437.1935609882</v>
      </c>
      <c r="Q441" s="245"/>
      <c r="R441" s="261">
        <v>131754126.10999998</v>
      </c>
    </row>
    <row r="442" spans="1:20" ht="15" customHeight="1" thickTop="1">
      <c r="A442" s="240"/>
      <c r="B442" s="240"/>
      <c r="C442" s="255"/>
      <c r="D442" s="256"/>
      <c r="E442" s="256"/>
      <c r="F442" s="256"/>
      <c r="G442" s="256"/>
      <c r="H442" s="256"/>
      <c r="I442" s="256"/>
      <c r="J442" s="256"/>
      <c r="K442" s="256"/>
      <c r="L442" s="256"/>
      <c r="M442" s="256"/>
      <c r="N442" s="256"/>
      <c r="O442" s="256"/>
      <c r="P442" s="256"/>
      <c r="Q442" s="245"/>
      <c r="R442" s="261"/>
    </row>
    <row r="443" spans="1:20" ht="15" customHeight="1">
      <c r="A443" s="240"/>
      <c r="B443" s="246" t="s">
        <v>176</v>
      </c>
      <c r="C443" s="256">
        <f>C111+C232+C44+C270+C129+C290+C306+C423</f>
        <v>764525121.14999998</v>
      </c>
      <c r="D443" s="256"/>
      <c r="E443" s="256"/>
      <c r="F443" s="256" t="s">
        <v>145</v>
      </c>
      <c r="G443" s="256"/>
      <c r="H443" s="256"/>
      <c r="I443" s="256">
        <f>I111+I232+I44+I270+I129+I290+I306+I423</f>
        <v>764141535.91686392</v>
      </c>
      <c r="J443" s="256"/>
      <c r="K443" s="256"/>
      <c r="L443" s="256"/>
      <c r="M443" s="256" t="s">
        <v>30</v>
      </c>
      <c r="N443" s="256">
        <f>+N111+N232+N44+N270+N129+N290+N306+N423</f>
        <v>-3998374.5268641049</v>
      </c>
      <c r="O443" s="256"/>
      <c r="P443" s="256"/>
      <c r="Q443" s="245"/>
      <c r="R443" s="261"/>
    </row>
    <row r="444" spans="1:20" ht="15" customHeight="1">
      <c r="C444" s="241"/>
      <c r="D444" s="256"/>
      <c r="E444" s="242"/>
      <c r="F444" s="242"/>
      <c r="G444" s="242"/>
      <c r="H444" s="242"/>
      <c r="I444" s="242"/>
      <c r="J444" s="242"/>
      <c r="K444" s="242"/>
      <c r="L444" s="242"/>
      <c r="M444" s="242"/>
      <c r="N444" s="242"/>
      <c r="O444" s="242"/>
      <c r="P444" s="242"/>
      <c r="Q444" s="242"/>
      <c r="R444" s="243"/>
    </row>
    <row r="445" spans="1:20" ht="15" hidden="1" customHeight="1">
      <c r="C445" s="241"/>
      <c r="D445" s="256"/>
      <c r="E445" s="242"/>
      <c r="F445" s="242"/>
      <c r="G445" s="242"/>
      <c r="H445" s="242"/>
      <c r="I445" s="242"/>
      <c r="J445" s="242"/>
      <c r="K445" s="242"/>
      <c r="L445" s="242"/>
      <c r="M445" s="242"/>
      <c r="N445" s="242"/>
      <c r="O445" s="242"/>
      <c r="P445" s="242"/>
      <c r="Q445" s="242"/>
      <c r="R445" s="243"/>
      <c r="T445" s="240"/>
    </row>
    <row r="446" spans="1:20" s="240" customFormat="1" ht="15" customHeight="1">
      <c r="A446" s="235"/>
      <c r="B446" s="235"/>
      <c r="C446" s="241"/>
      <c r="D446" s="256"/>
      <c r="E446" s="242"/>
      <c r="F446" s="242"/>
      <c r="G446" s="242"/>
      <c r="H446" s="242"/>
      <c r="I446" s="242"/>
      <c r="J446" s="242"/>
      <c r="K446" s="242"/>
      <c r="L446" s="242"/>
      <c r="M446" s="242"/>
      <c r="N446" s="242"/>
      <c r="O446" s="242"/>
      <c r="P446" s="242"/>
      <c r="Q446" s="242"/>
      <c r="R446" s="243"/>
      <c r="S446" s="245"/>
    </row>
    <row r="447" spans="1:20" s="240" customFormat="1" ht="15" customHeight="1">
      <c r="A447" s="235"/>
      <c r="B447" s="235" t="s">
        <v>166</v>
      </c>
      <c r="C447" s="241"/>
      <c r="D447" s="242">
        <f>+D441-Bonus!C400</f>
        <v>0</v>
      </c>
      <c r="E447" s="242">
        <f>+E441-Bonus!E400</f>
        <v>0</v>
      </c>
      <c r="F447" s="242"/>
      <c r="G447" s="242"/>
      <c r="H447" s="242">
        <f>+H441-Bonus!I400</f>
        <v>0</v>
      </c>
      <c r="I447" s="242">
        <f>+I441-Bonus!F400</f>
        <v>0</v>
      </c>
      <c r="J447" s="242">
        <f>+J441-Bonus!H400</f>
        <v>0</v>
      </c>
      <c r="K447" s="242">
        <f>+K441-Bonus!P400</f>
        <v>0</v>
      </c>
      <c r="L447" s="242"/>
      <c r="M447" s="306">
        <f>+M441-Bonus!Q400-Bonus!S400</f>
        <v>0</v>
      </c>
      <c r="N447" s="242">
        <f>+N441-Bonus!Q400</f>
        <v>0</v>
      </c>
      <c r="O447" s="242">
        <f>+O441-Bonus!S400</f>
        <v>0</v>
      </c>
      <c r="P447" s="242">
        <f>O441-Bonus!Y400-P441</f>
        <v>8.8475644588470459E-9</v>
      </c>
      <c r="Q447" s="242"/>
      <c r="R447" s="243">
        <v>0</v>
      </c>
      <c r="S447" s="242"/>
      <c r="T447" s="235"/>
    </row>
    <row r="448" spans="1:20" ht="15" customHeight="1">
      <c r="C448" s="241"/>
      <c r="D448" s="242"/>
      <c r="E448" s="242"/>
      <c r="F448" s="242"/>
      <c r="G448" s="242"/>
      <c r="H448" s="242"/>
      <c r="I448" s="242"/>
      <c r="J448" s="242"/>
      <c r="K448" s="242"/>
      <c r="L448" s="242"/>
      <c r="M448" s="242"/>
      <c r="N448" s="242"/>
      <c r="O448" s="242"/>
      <c r="P448" s="242"/>
      <c r="Q448" s="242"/>
      <c r="R448" s="243"/>
      <c r="S448" s="242"/>
    </row>
    <row r="449" spans="1:20" ht="15" hidden="1" customHeight="1">
      <c r="C449" s="257"/>
      <c r="D449" s="242"/>
      <c r="E449" s="242"/>
      <c r="F449" s="242"/>
      <c r="G449" s="242"/>
      <c r="H449" s="242"/>
      <c r="I449" s="242"/>
      <c r="J449" s="242"/>
      <c r="K449" s="242"/>
      <c r="L449" s="242"/>
      <c r="M449" s="242"/>
      <c r="N449" s="242"/>
      <c r="O449" s="242"/>
      <c r="P449" s="242"/>
      <c r="Q449" s="242"/>
      <c r="R449" s="243"/>
      <c r="S449" s="242"/>
    </row>
    <row r="450" spans="1:20" ht="15" hidden="1" customHeight="1">
      <c r="C450" s="257"/>
      <c r="E450" s="242"/>
      <c r="F450" s="242"/>
      <c r="G450" s="242"/>
      <c r="H450" s="242"/>
      <c r="I450" s="242"/>
      <c r="J450" s="242"/>
      <c r="K450" s="242"/>
      <c r="L450" s="242"/>
      <c r="M450" s="242"/>
      <c r="N450" s="242"/>
      <c r="O450" s="242"/>
      <c r="P450" s="242"/>
      <c r="Q450" s="242"/>
      <c r="R450" s="243"/>
    </row>
    <row r="451" spans="1:20" hidden="1">
      <c r="C451" s="257"/>
      <c r="D451" s="242"/>
      <c r="E451" s="242"/>
      <c r="F451" s="242"/>
      <c r="G451" s="242"/>
      <c r="H451" s="242"/>
      <c r="I451" s="242"/>
      <c r="J451" s="242"/>
      <c r="K451" s="242"/>
      <c r="L451" s="242"/>
      <c r="M451" s="242"/>
      <c r="N451" s="242"/>
      <c r="O451" s="242"/>
      <c r="P451" s="242"/>
      <c r="Q451" s="242"/>
      <c r="R451" s="243"/>
      <c r="S451" s="245"/>
      <c r="T451" s="240"/>
    </row>
    <row r="452" spans="1:20" s="240" customFormat="1" ht="15" customHeight="1">
      <c r="A452" s="235"/>
      <c r="B452" s="235"/>
      <c r="C452" s="257"/>
      <c r="D452" s="242"/>
      <c r="E452" s="242"/>
      <c r="F452" s="242"/>
      <c r="G452" s="242"/>
      <c r="H452" s="242"/>
      <c r="I452" s="242"/>
      <c r="J452" s="242"/>
      <c r="K452" s="242"/>
      <c r="L452" s="242"/>
      <c r="M452" s="242"/>
      <c r="N452" s="242"/>
      <c r="O452" s="242"/>
      <c r="P452" s="242"/>
      <c r="Q452" s="242"/>
      <c r="R452" s="243"/>
      <c r="S452" s="245"/>
    </row>
    <row r="453" spans="1:20" s="240" customFormat="1" ht="15" customHeight="1">
      <c r="A453" s="235"/>
      <c r="B453" s="526"/>
      <c r="C453" s="257"/>
      <c r="D453" s="242"/>
      <c r="E453" s="242"/>
      <c r="F453" s="242"/>
      <c r="G453" s="242"/>
      <c r="H453" s="242"/>
      <c r="I453" s="242"/>
      <c r="J453" s="242"/>
      <c r="K453" s="242"/>
      <c r="L453" s="242"/>
      <c r="M453" s="242"/>
      <c r="N453" s="242"/>
      <c r="O453" s="242"/>
      <c r="P453" s="242"/>
      <c r="Q453" s="242"/>
      <c r="R453" s="243"/>
      <c r="S453" s="245"/>
    </row>
    <row r="454" spans="1:20" s="240" customFormat="1" ht="15" customHeight="1">
      <c r="A454" s="235"/>
      <c r="B454" s="235"/>
      <c r="C454" s="257"/>
      <c r="D454" s="242"/>
      <c r="E454" s="242"/>
      <c r="F454" s="242"/>
      <c r="G454" s="242"/>
      <c r="H454" s="242"/>
      <c r="I454" s="242"/>
      <c r="J454" s="242"/>
      <c r="K454" s="242"/>
      <c r="L454" s="242"/>
      <c r="M454" s="242"/>
      <c r="N454" s="242"/>
      <c r="O454" s="242"/>
      <c r="P454" s="242"/>
      <c r="Q454" s="242"/>
      <c r="R454" s="243"/>
      <c r="S454" s="245"/>
    </row>
    <row r="455" spans="1:20" s="240" customFormat="1" ht="15" customHeight="1">
      <c r="A455" s="235"/>
      <c r="B455" s="235"/>
      <c r="C455" s="257"/>
      <c r="D455" s="242"/>
      <c r="E455" s="242"/>
      <c r="F455" s="242"/>
      <c r="G455" s="242"/>
      <c r="H455" s="242"/>
      <c r="I455" s="242"/>
      <c r="J455" s="242"/>
      <c r="K455" s="242"/>
      <c r="L455" s="242"/>
      <c r="M455" s="242"/>
      <c r="N455" s="242"/>
      <c r="O455" s="242"/>
      <c r="P455" s="242"/>
      <c r="Q455" s="242"/>
      <c r="R455" s="243"/>
      <c r="S455" s="245"/>
    </row>
    <row r="456" spans="1:20" s="240" customFormat="1" ht="15" customHeight="1">
      <c r="A456" s="235"/>
      <c r="B456" s="235"/>
      <c r="C456" s="257"/>
      <c r="D456" s="242"/>
      <c r="E456" s="242"/>
      <c r="F456" s="242"/>
      <c r="G456" s="242"/>
      <c r="H456" s="242"/>
      <c r="I456" s="242"/>
      <c r="J456" s="242"/>
      <c r="K456" s="242"/>
      <c r="L456" s="242"/>
      <c r="M456" s="242"/>
      <c r="N456" s="242"/>
      <c r="O456" s="242"/>
      <c r="P456" s="242"/>
      <c r="Q456" s="242"/>
      <c r="R456" s="243"/>
      <c r="S456" s="242"/>
      <c r="T456" s="235"/>
    </row>
    <row r="457" spans="1:20" ht="15" customHeight="1">
      <c r="C457" s="257"/>
      <c r="D457" s="242"/>
      <c r="E457" s="242"/>
      <c r="F457" s="242"/>
      <c r="G457" s="242"/>
      <c r="H457" s="242"/>
      <c r="I457" s="242"/>
      <c r="J457" s="242"/>
      <c r="K457" s="242"/>
      <c r="L457" s="242"/>
      <c r="M457" s="242"/>
      <c r="N457" s="242"/>
      <c r="O457" s="242"/>
      <c r="P457" s="242"/>
      <c r="Q457" s="242"/>
      <c r="R457" s="243"/>
      <c r="S457" s="242"/>
    </row>
    <row r="458" spans="1:20" ht="15" customHeight="1">
      <c r="C458" s="257"/>
      <c r="D458" s="242"/>
      <c r="E458" s="242"/>
      <c r="F458" s="242"/>
      <c r="G458" s="242"/>
      <c r="H458" s="242"/>
      <c r="I458" s="242"/>
      <c r="J458" s="242"/>
      <c r="K458" s="242"/>
      <c r="L458" s="242"/>
      <c r="M458" s="242"/>
      <c r="N458" s="242"/>
      <c r="O458" s="242"/>
      <c r="P458" s="242"/>
      <c r="Q458" s="242"/>
      <c r="R458" s="243"/>
      <c r="S458" s="242"/>
    </row>
    <row r="459" spans="1:20" ht="15" customHeight="1">
      <c r="C459" s="257"/>
      <c r="D459" s="242"/>
      <c r="E459" s="242"/>
      <c r="F459" s="242"/>
      <c r="G459" s="242"/>
      <c r="H459" s="242"/>
      <c r="I459" s="242"/>
      <c r="J459" s="242"/>
      <c r="K459" s="242"/>
      <c r="L459" s="242"/>
      <c r="M459" s="242"/>
      <c r="N459" s="242"/>
      <c r="O459" s="242"/>
      <c r="P459" s="242"/>
      <c r="Q459" s="242"/>
      <c r="R459" s="243"/>
      <c r="S459" s="242"/>
    </row>
    <row r="460" spans="1:20" ht="15.75" customHeight="1">
      <c r="C460" s="257"/>
      <c r="D460" s="242"/>
      <c r="E460" s="242"/>
      <c r="F460" s="242"/>
      <c r="G460" s="242"/>
      <c r="H460" s="242"/>
      <c r="I460" s="242"/>
      <c r="J460" s="242"/>
      <c r="K460" s="242"/>
      <c r="L460" s="242"/>
      <c r="M460" s="242"/>
      <c r="N460" s="242"/>
      <c r="O460" s="242"/>
      <c r="P460" s="242"/>
      <c r="Q460" s="242"/>
      <c r="R460" s="243"/>
      <c r="S460" s="242"/>
    </row>
    <row r="461" spans="1:20" ht="15" customHeight="1">
      <c r="C461" s="257"/>
      <c r="D461" s="242"/>
      <c r="E461" s="242"/>
      <c r="F461" s="242"/>
      <c r="G461" s="242"/>
      <c r="H461" s="242"/>
      <c r="I461" s="242"/>
      <c r="J461" s="242"/>
      <c r="K461" s="242"/>
      <c r="L461" s="242"/>
      <c r="M461" s="242"/>
      <c r="N461" s="242"/>
      <c r="O461" s="242"/>
      <c r="P461" s="242"/>
      <c r="Q461" s="242"/>
      <c r="R461" s="243"/>
      <c r="S461" s="242"/>
    </row>
    <row r="462" spans="1:20" ht="15" customHeight="1">
      <c r="C462" s="257"/>
      <c r="D462" s="242"/>
      <c r="E462" s="242"/>
      <c r="F462" s="242"/>
      <c r="G462" s="242"/>
      <c r="H462" s="242"/>
      <c r="I462" s="242"/>
      <c r="J462" s="242"/>
      <c r="K462" s="242"/>
      <c r="L462" s="242"/>
      <c r="M462" s="242"/>
      <c r="N462" s="242"/>
      <c r="O462" s="242"/>
      <c r="P462" s="242"/>
      <c r="Q462" s="242"/>
      <c r="R462" s="243"/>
      <c r="S462" s="242"/>
    </row>
    <row r="463" spans="1:20" ht="15" customHeight="1">
      <c r="C463" s="257"/>
      <c r="D463" s="242"/>
      <c r="E463" s="242"/>
      <c r="F463" s="242"/>
      <c r="G463" s="242"/>
      <c r="H463" s="242"/>
      <c r="I463" s="242"/>
      <c r="J463" s="242"/>
      <c r="K463" s="242"/>
      <c r="L463" s="242"/>
      <c r="M463" s="242"/>
      <c r="N463" s="242"/>
      <c r="O463" s="242"/>
      <c r="P463" s="242"/>
      <c r="Q463" s="242"/>
      <c r="R463" s="243"/>
      <c r="S463" s="242"/>
    </row>
    <row r="464" spans="1:20" ht="15" customHeight="1">
      <c r="C464" s="257"/>
      <c r="D464" s="242"/>
      <c r="E464" s="242"/>
      <c r="F464" s="242"/>
      <c r="G464" s="242"/>
      <c r="H464" s="242"/>
      <c r="I464" s="242"/>
      <c r="J464" s="242"/>
      <c r="K464" s="242"/>
      <c r="L464" s="242"/>
      <c r="M464" s="242"/>
      <c r="N464" s="242"/>
      <c r="O464" s="242"/>
      <c r="P464" s="242"/>
      <c r="Q464" s="242"/>
      <c r="R464" s="243"/>
      <c r="S464" s="278"/>
    </row>
    <row r="465" spans="1:20" ht="15" customHeight="1">
      <c r="C465" s="257"/>
      <c r="D465" s="242"/>
      <c r="E465" s="242"/>
      <c r="F465" s="242"/>
      <c r="G465" s="242"/>
      <c r="H465" s="242"/>
      <c r="I465" s="242"/>
      <c r="J465" s="242"/>
      <c r="K465" s="242"/>
      <c r="L465" s="242"/>
      <c r="M465" s="242"/>
      <c r="N465" s="242"/>
      <c r="O465" s="242"/>
      <c r="P465" s="242"/>
      <c r="Q465" s="242"/>
      <c r="R465" s="243"/>
      <c r="S465" s="242"/>
    </row>
    <row r="466" spans="1:20" ht="15" customHeight="1">
      <c r="C466" s="257"/>
      <c r="D466" s="242"/>
      <c r="E466" s="242"/>
      <c r="F466" s="242"/>
      <c r="G466" s="242"/>
      <c r="H466" s="242"/>
      <c r="I466" s="242"/>
      <c r="J466" s="242"/>
      <c r="K466" s="242"/>
      <c r="L466" s="242"/>
      <c r="M466" s="242"/>
      <c r="N466" s="242"/>
      <c r="O466" s="242"/>
      <c r="P466" s="242"/>
      <c r="Q466" s="242"/>
      <c r="R466" s="243"/>
      <c r="S466" s="242"/>
    </row>
    <row r="467" spans="1:20" ht="15" customHeight="1">
      <c r="C467" s="257"/>
      <c r="D467" s="242"/>
      <c r="E467" s="242"/>
      <c r="F467" s="242"/>
      <c r="G467" s="242"/>
      <c r="H467" s="242"/>
      <c r="I467" s="242"/>
      <c r="J467" s="242"/>
      <c r="K467" s="242"/>
      <c r="L467" s="242"/>
      <c r="M467" s="242"/>
      <c r="N467" s="242"/>
      <c r="O467" s="242"/>
      <c r="P467" s="242"/>
      <c r="Q467" s="242"/>
      <c r="R467" s="243"/>
      <c r="S467" s="242"/>
    </row>
    <row r="468" spans="1:20" ht="15" customHeight="1">
      <c r="C468" s="257"/>
      <c r="D468" s="242"/>
      <c r="E468" s="242"/>
      <c r="F468" s="242"/>
      <c r="G468" s="242"/>
      <c r="H468" s="242"/>
      <c r="I468" s="242"/>
      <c r="J468" s="242"/>
      <c r="K468" s="242"/>
      <c r="L468" s="242"/>
      <c r="M468" s="242"/>
      <c r="N468" s="242"/>
      <c r="O468" s="242"/>
      <c r="P468" s="242"/>
      <c r="Q468" s="242"/>
      <c r="R468" s="243"/>
      <c r="S468" s="242"/>
    </row>
    <row r="469" spans="1:20" ht="15" customHeight="1">
      <c r="C469" s="257"/>
      <c r="D469" s="242"/>
      <c r="E469" s="242"/>
      <c r="F469" s="242"/>
      <c r="G469" s="242"/>
      <c r="H469" s="242"/>
      <c r="I469" s="242"/>
      <c r="J469" s="242"/>
      <c r="K469" s="242"/>
      <c r="L469" s="242"/>
      <c r="M469" s="242"/>
      <c r="N469" s="242"/>
      <c r="O469" s="242"/>
      <c r="P469" s="242"/>
      <c r="Q469" s="242"/>
      <c r="R469" s="243"/>
      <c r="S469" s="242"/>
    </row>
    <row r="470" spans="1:20" ht="15" customHeight="1">
      <c r="C470" s="257"/>
      <c r="D470" s="242"/>
      <c r="E470" s="242"/>
      <c r="F470" s="242"/>
      <c r="G470" s="242"/>
      <c r="H470" s="242"/>
      <c r="I470" s="242"/>
      <c r="J470" s="242"/>
      <c r="K470" s="242"/>
      <c r="L470" s="242"/>
      <c r="M470" s="242"/>
      <c r="N470" s="242"/>
      <c r="O470" s="242"/>
      <c r="P470" s="242"/>
      <c r="Q470" s="242"/>
      <c r="R470" s="243"/>
      <c r="S470" s="242"/>
    </row>
    <row r="471" spans="1:20" ht="15" hidden="1" customHeight="1">
      <c r="C471" s="257"/>
      <c r="D471" s="242"/>
      <c r="E471" s="242"/>
      <c r="F471" s="242"/>
      <c r="G471" s="242"/>
      <c r="H471" s="242"/>
      <c r="I471" s="242"/>
      <c r="J471" s="242"/>
      <c r="K471" s="242"/>
      <c r="L471" s="242"/>
      <c r="M471" s="242"/>
      <c r="N471" s="242"/>
      <c r="O471" s="242"/>
      <c r="P471" s="242"/>
      <c r="Q471" s="242"/>
      <c r="R471" s="243"/>
      <c r="S471" s="245"/>
      <c r="T471" s="240"/>
    </row>
    <row r="472" spans="1:20" s="240" customFormat="1" ht="15" customHeight="1">
      <c r="A472" s="235"/>
      <c r="B472" s="235"/>
      <c r="C472" s="257"/>
      <c r="D472" s="242"/>
      <c r="E472" s="242"/>
      <c r="F472" s="242"/>
      <c r="G472" s="242"/>
      <c r="H472" s="242"/>
      <c r="I472" s="242"/>
      <c r="J472" s="242"/>
      <c r="K472" s="242"/>
      <c r="L472" s="242"/>
      <c r="M472" s="242"/>
      <c r="N472" s="242"/>
      <c r="O472" s="242"/>
      <c r="P472" s="242"/>
      <c r="Q472" s="242"/>
      <c r="R472" s="243"/>
      <c r="S472" s="245"/>
    </row>
    <row r="473" spans="1:20" s="240" customFormat="1" ht="15" customHeight="1">
      <c r="A473" s="235"/>
      <c r="B473" s="235"/>
      <c r="C473" s="257"/>
      <c r="D473" s="242"/>
      <c r="E473" s="242"/>
      <c r="F473" s="242"/>
      <c r="G473" s="242"/>
      <c r="H473" s="242"/>
      <c r="I473" s="242"/>
      <c r="J473" s="242"/>
      <c r="K473" s="242"/>
      <c r="L473" s="242"/>
      <c r="M473" s="242"/>
      <c r="N473" s="242"/>
      <c r="O473" s="242"/>
      <c r="P473" s="242"/>
      <c r="Q473" s="242"/>
      <c r="R473" s="243"/>
      <c r="S473" s="242"/>
      <c r="T473" s="235"/>
    </row>
    <row r="474" spans="1:20" ht="15" customHeight="1">
      <c r="C474" s="257"/>
      <c r="D474" s="242"/>
      <c r="E474" s="242"/>
      <c r="F474" s="242"/>
      <c r="G474" s="242"/>
      <c r="H474" s="242"/>
      <c r="I474" s="242"/>
      <c r="J474" s="242"/>
      <c r="K474" s="242"/>
      <c r="L474" s="242"/>
      <c r="M474" s="242"/>
      <c r="N474" s="242"/>
      <c r="O474" s="242"/>
      <c r="P474" s="242"/>
      <c r="Q474" s="242"/>
      <c r="R474" s="243"/>
      <c r="S474" s="242"/>
    </row>
    <row r="475" spans="1:20" ht="15" customHeight="1">
      <c r="C475" s="257"/>
      <c r="D475" s="242"/>
      <c r="E475" s="242"/>
      <c r="F475" s="242"/>
      <c r="G475" s="242"/>
      <c r="H475" s="242"/>
      <c r="I475" s="242"/>
      <c r="J475" s="242"/>
      <c r="K475" s="242"/>
      <c r="L475" s="242"/>
      <c r="M475" s="242"/>
      <c r="N475" s="242"/>
      <c r="O475" s="242"/>
      <c r="P475" s="242"/>
      <c r="Q475" s="242"/>
      <c r="R475" s="243"/>
      <c r="S475" s="242"/>
    </row>
    <row r="476" spans="1:20" ht="15" customHeight="1">
      <c r="C476" s="257"/>
      <c r="D476" s="242"/>
      <c r="E476" s="242"/>
      <c r="F476" s="242"/>
      <c r="G476" s="242"/>
      <c r="H476" s="242"/>
      <c r="I476" s="242"/>
      <c r="J476" s="242"/>
      <c r="K476" s="242"/>
      <c r="L476" s="242"/>
      <c r="M476" s="242"/>
      <c r="N476" s="242"/>
      <c r="O476" s="242"/>
      <c r="P476" s="242"/>
      <c r="Q476" s="242"/>
      <c r="R476" s="243"/>
      <c r="S476" s="242"/>
    </row>
    <row r="477" spans="1:20" ht="15" customHeight="1">
      <c r="C477" s="257"/>
      <c r="D477" s="242"/>
      <c r="E477" s="242"/>
      <c r="F477" s="242"/>
      <c r="G477" s="242"/>
      <c r="H477" s="242"/>
      <c r="I477" s="242"/>
      <c r="J477" s="242"/>
      <c r="K477" s="242"/>
      <c r="L477" s="242"/>
      <c r="M477" s="242"/>
      <c r="N477" s="242"/>
      <c r="O477" s="242"/>
      <c r="P477" s="242"/>
      <c r="Q477" s="242"/>
      <c r="R477" s="243"/>
      <c r="S477" s="242"/>
    </row>
    <row r="478" spans="1:20" ht="15" customHeight="1">
      <c r="C478" s="257"/>
      <c r="D478" s="242"/>
      <c r="E478" s="242"/>
      <c r="F478" s="242"/>
      <c r="G478" s="242"/>
      <c r="H478" s="242"/>
      <c r="I478" s="242"/>
      <c r="J478" s="242"/>
      <c r="K478" s="242"/>
      <c r="L478" s="242"/>
      <c r="M478" s="242"/>
      <c r="N478" s="242"/>
      <c r="O478" s="242"/>
      <c r="P478" s="242"/>
      <c r="Q478" s="242"/>
      <c r="R478" s="243"/>
      <c r="S478" s="242"/>
    </row>
    <row r="479" spans="1:20" ht="15" customHeight="1">
      <c r="C479" s="257"/>
      <c r="D479" s="242"/>
      <c r="E479" s="242"/>
      <c r="F479" s="242"/>
      <c r="G479" s="242"/>
      <c r="H479" s="242"/>
      <c r="I479" s="242"/>
      <c r="J479" s="242"/>
      <c r="K479" s="242"/>
      <c r="L479" s="242"/>
      <c r="M479" s="242"/>
      <c r="N479" s="242"/>
      <c r="O479" s="242"/>
      <c r="P479" s="242"/>
      <c r="Q479" s="242"/>
      <c r="R479" s="243"/>
      <c r="S479" s="242"/>
    </row>
    <row r="480" spans="1:20" ht="15" customHeight="1">
      <c r="C480" s="257"/>
      <c r="D480" s="242"/>
      <c r="E480" s="242"/>
      <c r="F480" s="242"/>
      <c r="G480" s="242"/>
      <c r="H480" s="242"/>
      <c r="I480" s="242"/>
      <c r="J480" s="242"/>
      <c r="K480" s="242"/>
      <c r="L480" s="242"/>
      <c r="M480" s="242"/>
      <c r="N480" s="242"/>
      <c r="O480" s="242"/>
      <c r="P480" s="242"/>
      <c r="Q480" s="242"/>
      <c r="R480" s="243"/>
      <c r="S480" s="242"/>
    </row>
    <row r="481" spans="1:20" ht="15" customHeight="1">
      <c r="C481" s="257"/>
      <c r="D481" s="242"/>
      <c r="E481" s="242"/>
      <c r="F481" s="242"/>
      <c r="G481" s="242"/>
      <c r="H481" s="242"/>
      <c r="I481" s="242"/>
      <c r="J481" s="242"/>
      <c r="K481" s="242"/>
      <c r="L481" s="242"/>
      <c r="M481" s="242"/>
      <c r="N481" s="242"/>
      <c r="O481" s="242"/>
      <c r="P481" s="242"/>
      <c r="Q481" s="242"/>
      <c r="R481" s="243"/>
      <c r="S481" s="242"/>
    </row>
    <row r="482" spans="1:20" ht="15" customHeight="1">
      <c r="C482" s="257"/>
      <c r="D482" s="242"/>
      <c r="E482" s="242"/>
      <c r="F482" s="242"/>
      <c r="G482" s="242"/>
      <c r="H482" s="242"/>
      <c r="I482" s="242"/>
      <c r="J482" s="242"/>
      <c r="K482" s="242"/>
      <c r="L482" s="242"/>
      <c r="M482" s="242"/>
      <c r="N482" s="242"/>
      <c r="O482" s="242"/>
      <c r="P482" s="242"/>
      <c r="Q482" s="242"/>
      <c r="R482" s="243"/>
      <c r="S482" s="242"/>
    </row>
    <row r="483" spans="1:20" ht="15" customHeight="1">
      <c r="C483" s="257"/>
      <c r="D483" s="242"/>
      <c r="E483" s="242"/>
      <c r="F483" s="242"/>
      <c r="G483" s="242"/>
      <c r="H483" s="242"/>
      <c r="I483" s="242"/>
      <c r="J483" s="242"/>
      <c r="K483" s="242"/>
      <c r="L483" s="242"/>
      <c r="M483" s="242"/>
      <c r="N483" s="242"/>
      <c r="O483" s="242"/>
      <c r="P483" s="242"/>
      <c r="Q483" s="242"/>
      <c r="R483" s="243"/>
      <c r="S483" s="242"/>
    </row>
    <row r="484" spans="1:20" ht="15" customHeight="1">
      <c r="C484" s="257"/>
      <c r="D484" s="242"/>
      <c r="E484" s="242"/>
      <c r="F484" s="242"/>
      <c r="G484" s="242"/>
      <c r="H484" s="242"/>
      <c r="I484" s="242"/>
      <c r="J484" s="242"/>
      <c r="K484" s="242"/>
      <c r="L484" s="242"/>
      <c r="M484" s="242"/>
      <c r="N484" s="242"/>
      <c r="O484" s="242"/>
      <c r="P484" s="242"/>
      <c r="Q484" s="242"/>
      <c r="R484" s="243"/>
      <c r="S484" s="242"/>
    </row>
    <row r="485" spans="1:20" ht="15" hidden="1" customHeight="1">
      <c r="C485" s="257"/>
      <c r="D485" s="242"/>
      <c r="E485" s="242"/>
      <c r="F485" s="242"/>
      <c r="G485" s="242"/>
      <c r="H485" s="242"/>
      <c r="I485" s="242"/>
      <c r="J485" s="242"/>
      <c r="K485" s="242"/>
      <c r="L485" s="242"/>
      <c r="M485" s="242"/>
      <c r="N485" s="242"/>
      <c r="O485" s="242"/>
      <c r="P485" s="242"/>
      <c r="Q485" s="242"/>
      <c r="R485" s="243"/>
      <c r="S485" s="242"/>
      <c r="T485" s="240"/>
    </row>
    <row r="486" spans="1:20" s="240" customFormat="1" ht="15" customHeight="1">
      <c r="A486" s="235"/>
      <c r="B486" s="235"/>
      <c r="C486" s="257"/>
      <c r="D486" s="242"/>
      <c r="E486" s="242"/>
      <c r="F486" s="242"/>
      <c r="G486" s="242"/>
      <c r="H486" s="242"/>
      <c r="I486" s="242"/>
      <c r="J486" s="242"/>
      <c r="K486" s="242"/>
      <c r="L486" s="242"/>
      <c r="M486" s="242"/>
      <c r="N486" s="242"/>
      <c r="O486" s="242"/>
      <c r="P486" s="242"/>
      <c r="Q486" s="242"/>
      <c r="R486" s="243"/>
      <c r="S486" s="245"/>
    </row>
    <row r="487" spans="1:20" s="240" customFormat="1" ht="15" customHeight="1">
      <c r="A487" s="235"/>
      <c r="B487" s="235"/>
      <c r="C487" s="257"/>
      <c r="D487" s="242"/>
      <c r="E487" s="242"/>
      <c r="F487" s="242"/>
      <c r="G487" s="242"/>
      <c r="H487" s="242"/>
      <c r="I487" s="242"/>
      <c r="J487" s="242"/>
      <c r="K487" s="242"/>
      <c r="L487" s="242"/>
      <c r="M487" s="242"/>
      <c r="N487" s="242"/>
      <c r="O487" s="242"/>
      <c r="P487" s="242"/>
      <c r="Q487" s="242"/>
      <c r="R487" s="243"/>
      <c r="S487" s="245"/>
    </row>
    <row r="488" spans="1:20" s="240" customFormat="1" ht="15" customHeight="1">
      <c r="A488" s="235"/>
      <c r="B488" s="235"/>
      <c r="C488" s="257"/>
      <c r="D488" s="242"/>
      <c r="E488" s="242"/>
      <c r="F488" s="242"/>
      <c r="G488" s="242"/>
      <c r="H488" s="242"/>
      <c r="I488" s="242"/>
      <c r="J488" s="242"/>
      <c r="K488" s="242"/>
      <c r="L488" s="242"/>
      <c r="M488" s="242"/>
      <c r="N488" s="242"/>
      <c r="O488" s="242"/>
      <c r="P488" s="242"/>
      <c r="Q488" s="242"/>
      <c r="R488" s="243"/>
      <c r="S488" s="245"/>
    </row>
    <row r="489" spans="1:20" s="240" customFormat="1" ht="15" customHeight="1">
      <c r="A489" s="235"/>
      <c r="B489" s="235"/>
      <c r="C489" s="257"/>
      <c r="D489" s="242"/>
      <c r="E489" s="242"/>
      <c r="F489" s="242"/>
      <c r="G489" s="242"/>
      <c r="H489" s="242"/>
      <c r="I489" s="242"/>
      <c r="J489" s="242"/>
      <c r="K489" s="242"/>
      <c r="L489" s="242"/>
      <c r="M489" s="242"/>
      <c r="N489" s="242"/>
      <c r="O489" s="242"/>
      <c r="P489" s="242"/>
      <c r="Q489" s="242"/>
      <c r="R489" s="243"/>
      <c r="S489" s="245"/>
    </row>
    <row r="490" spans="1:20" s="240" customFormat="1" ht="15" customHeight="1">
      <c r="A490" s="235"/>
      <c r="B490" s="235"/>
      <c r="C490" s="257"/>
      <c r="D490" s="242"/>
      <c r="E490" s="242"/>
      <c r="F490" s="242"/>
      <c r="G490" s="242"/>
      <c r="H490" s="242"/>
      <c r="I490" s="242"/>
      <c r="J490" s="242"/>
      <c r="K490" s="242"/>
      <c r="L490" s="242"/>
      <c r="M490" s="242"/>
      <c r="N490" s="242"/>
      <c r="O490" s="242"/>
      <c r="P490" s="242"/>
      <c r="Q490" s="242"/>
      <c r="R490" s="243"/>
      <c r="S490" s="245"/>
    </row>
    <row r="491" spans="1:20" s="240" customFormat="1" ht="15" customHeight="1">
      <c r="A491" s="235"/>
      <c r="B491" s="235"/>
      <c r="C491" s="257"/>
      <c r="D491" s="242"/>
      <c r="E491" s="242"/>
      <c r="F491" s="242"/>
      <c r="G491" s="242"/>
      <c r="H491" s="242"/>
      <c r="I491" s="242"/>
      <c r="J491" s="242"/>
      <c r="K491" s="242"/>
      <c r="L491" s="242"/>
      <c r="M491" s="242"/>
      <c r="N491" s="242"/>
      <c r="O491" s="242"/>
      <c r="P491" s="242"/>
      <c r="Q491" s="242"/>
      <c r="R491" s="243"/>
      <c r="S491" s="242"/>
      <c r="T491" s="235"/>
    </row>
    <row r="492" spans="1:20" ht="15" customHeight="1">
      <c r="C492" s="257"/>
      <c r="D492" s="242"/>
      <c r="E492" s="242"/>
      <c r="F492" s="242"/>
      <c r="G492" s="242"/>
      <c r="H492" s="242"/>
      <c r="I492" s="242"/>
      <c r="J492" s="242"/>
      <c r="K492" s="242"/>
      <c r="L492" s="242"/>
      <c r="M492" s="242"/>
      <c r="N492" s="242"/>
      <c r="O492" s="242"/>
      <c r="P492" s="242"/>
      <c r="Q492" s="242"/>
      <c r="R492" s="243"/>
      <c r="S492" s="242"/>
    </row>
    <row r="493" spans="1:20" ht="15" customHeight="1">
      <c r="C493" s="257"/>
      <c r="D493" s="242"/>
      <c r="E493" s="242"/>
      <c r="F493" s="242"/>
      <c r="G493" s="242"/>
      <c r="H493" s="242"/>
      <c r="I493" s="242"/>
      <c r="J493" s="242"/>
      <c r="K493" s="242"/>
      <c r="L493" s="242"/>
      <c r="M493" s="242"/>
      <c r="N493" s="242"/>
      <c r="O493" s="242"/>
      <c r="P493" s="242"/>
      <c r="Q493" s="242"/>
      <c r="R493" s="243"/>
      <c r="S493" s="242"/>
    </row>
    <row r="494" spans="1:20" ht="15" customHeight="1">
      <c r="C494" s="257"/>
      <c r="D494" s="242"/>
      <c r="E494" s="242"/>
      <c r="F494" s="242"/>
      <c r="G494" s="242"/>
      <c r="H494" s="242"/>
      <c r="I494" s="242"/>
      <c r="J494" s="242"/>
      <c r="K494" s="242"/>
      <c r="L494" s="242"/>
      <c r="M494" s="242"/>
      <c r="N494" s="242"/>
      <c r="O494" s="242"/>
      <c r="P494" s="242"/>
      <c r="Q494" s="242"/>
      <c r="R494" s="243"/>
      <c r="S494" s="242"/>
    </row>
    <row r="495" spans="1:20" ht="15" customHeight="1">
      <c r="C495" s="257"/>
      <c r="D495" s="242"/>
      <c r="E495" s="242"/>
      <c r="F495" s="242"/>
      <c r="G495" s="242"/>
      <c r="H495" s="242"/>
      <c r="I495" s="242"/>
      <c r="J495" s="242"/>
      <c r="K495" s="242"/>
      <c r="L495" s="242"/>
      <c r="M495" s="242"/>
      <c r="N495" s="242"/>
      <c r="O495" s="242"/>
      <c r="P495" s="242"/>
      <c r="Q495" s="242"/>
      <c r="R495" s="243"/>
      <c r="S495" s="242"/>
    </row>
    <row r="496" spans="1:20" ht="15" customHeight="1">
      <c r="C496" s="257"/>
      <c r="D496" s="242"/>
      <c r="E496" s="242"/>
      <c r="F496" s="242"/>
      <c r="G496" s="242"/>
      <c r="H496" s="242"/>
      <c r="I496" s="242"/>
      <c r="J496" s="242"/>
      <c r="K496" s="242"/>
      <c r="L496" s="242"/>
      <c r="M496" s="242"/>
      <c r="N496" s="242"/>
      <c r="O496" s="242"/>
      <c r="P496" s="242"/>
      <c r="Q496" s="242"/>
      <c r="R496" s="243"/>
      <c r="S496" s="242"/>
    </row>
    <row r="497" spans="1:20" ht="15" customHeight="1">
      <c r="C497" s="257"/>
      <c r="D497" s="242"/>
      <c r="E497" s="242"/>
      <c r="F497" s="242"/>
      <c r="G497" s="242"/>
      <c r="H497" s="242"/>
      <c r="I497" s="242"/>
      <c r="J497" s="242"/>
      <c r="K497" s="242"/>
      <c r="L497" s="242"/>
      <c r="M497" s="242"/>
      <c r="N497" s="242"/>
      <c r="O497" s="242"/>
      <c r="P497" s="242"/>
      <c r="Q497" s="242"/>
      <c r="R497" s="243"/>
      <c r="S497" s="242"/>
    </row>
    <row r="498" spans="1:20" ht="15" hidden="1" customHeight="1">
      <c r="C498" s="257"/>
      <c r="D498" s="242"/>
      <c r="E498" s="242"/>
      <c r="F498" s="242"/>
      <c r="G498" s="242"/>
      <c r="H498" s="242"/>
      <c r="I498" s="242"/>
      <c r="J498" s="242"/>
      <c r="K498" s="242"/>
      <c r="L498" s="242"/>
      <c r="M498" s="242"/>
      <c r="N498" s="242"/>
      <c r="O498" s="242"/>
      <c r="P498" s="242"/>
      <c r="Q498" s="242"/>
      <c r="R498" s="243"/>
      <c r="S498" s="242"/>
    </row>
    <row r="499" spans="1:20" ht="15" hidden="1" customHeight="1">
      <c r="C499" s="257"/>
      <c r="D499" s="242"/>
      <c r="E499" s="242"/>
      <c r="F499" s="242"/>
      <c r="G499" s="242"/>
      <c r="H499" s="242"/>
      <c r="I499" s="242"/>
      <c r="J499" s="242"/>
      <c r="K499" s="242"/>
      <c r="L499" s="242"/>
      <c r="M499" s="242"/>
      <c r="N499" s="242"/>
      <c r="O499" s="242"/>
      <c r="P499" s="242"/>
      <c r="Q499" s="242"/>
      <c r="R499" s="243"/>
      <c r="S499" s="245"/>
      <c r="T499" s="240"/>
    </row>
    <row r="500" spans="1:20" s="240" customFormat="1" ht="15" customHeight="1">
      <c r="A500" s="235"/>
      <c r="B500" s="235"/>
      <c r="C500" s="257"/>
      <c r="D500" s="242"/>
      <c r="E500" s="242"/>
      <c r="F500" s="242"/>
      <c r="G500" s="242"/>
      <c r="H500" s="242"/>
      <c r="I500" s="242"/>
      <c r="J500" s="242"/>
      <c r="K500" s="242"/>
      <c r="L500" s="242"/>
      <c r="M500" s="242"/>
      <c r="N500" s="242"/>
      <c r="O500" s="242"/>
      <c r="P500" s="242"/>
      <c r="Q500" s="242"/>
      <c r="R500" s="243"/>
      <c r="S500" s="245"/>
    </row>
    <row r="501" spans="1:20" s="240" customFormat="1" ht="15" customHeight="1">
      <c r="A501" s="235"/>
      <c r="B501" s="235"/>
      <c r="C501" s="257"/>
      <c r="D501" s="242"/>
      <c r="E501" s="242"/>
      <c r="F501" s="242"/>
      <c r="G501" s="242"/>
      <c r="H501" s="242"/>
      <c r="I501" s="242"/>
      <c r="J501" s="242"/>
      <c r="K501" s="242"/>
      <c r="L501" s="242"/>
      <c r="M501" s="242"/>
      <c r="N501" s="242"/>
      <c r="O501" s="242"/>
      <c r="P501" s="242"/>
      <c r="Q501" s="242"/>
      <c r="R501" s="243"/>
      <c r="S501" s="245"/>
    </row>
    <row r="502" spans="1:20" s="240" customFormat="1" ht="15" customHeight="1">
      <c r="A502" s="235"/>
      <c r="B502" s="235"/>
      <c r="C502" s="257"/>
      <c r="D502" s="242"/>
      <c r="E502" s="242"/>
      <c r="F502" s="242"/>
      <c r="G502" s="242"/>
      <c r="H502" s="242"/>
      <c r="I502" s="242"/>
      <c r="J502" s="242"/>
      <c r="K502" s="242"/>
      <c r="L502" s="242"/>
      <c r="M502" s="242"/>
      <c r="N502" s="242"/>
      <c r="O502" s="242"/>
      <c r="P502" s="242"/>
      <c r="Q502" s="242"/>
      <c r="R502" s="243"/>
      <c r="S502" s="245"/>
    </row>
    <row r="503" spans="1:20" s="240" customFormat="1" ht="15" customHeight="1">
      <c r="A503" s="235"/>
      <c r="B503" s="235"/>
      <c r="C503" s="257"/>
      <c r="D503" s="242"/>
      <c r="E503" s="242"/>
      <c r="F503" s="242"/>
      <c r="G503" s="242"/>
      <c r="H503" s="242"/>
      <c r="I503" s="242"/>
      <c r="J503" s="242"/>
      <c r="K503" s="242"/>
      <c r="L503" s="242"/>
      <c r="M503" s="242"/>
      <c r="N503" s="242"/>
      <c r="O503" s="242"/>
      <c r="P503" s="242"/>
      <c r="Q503" s="242"/>
      <c r="R503" s="243"/>
      <c r="S503" s="245"/>
    </row>
    <row r="504" spans="1:20" s="240" customFormat="1" ht="15" customHeight="1">
      <c r="A504" s="235"/>
      <c r="B504" s="235"/>
      <c r="C504" s="257"/>
      <c r="D504" s="242"/>
      <c r="E504" s="242"/>
      <c r="F504" s="242"/>
      <c r="G504" s="242"/>
      <c r="H504" s="242"/>
      <c r="I504" s="242"/>
      <c r="J504" s="242"/>
      <c r="K504" s="242"/>
      <c r="L504" s="242"/>
      <c r="M504" s="242"/>
      <c r="N504" s="242"/>
      <c r="O504" s="242"/>
      <c r="P504" s="242"/>
      <c r="Q504" s="242"/>
      <c r="R504" s="243"/>
      <c r="S504" s="242"/>
      <c r="T504" s="235"/>
    </row>
    <row r="505" spans="1:20">
      <c r="C505" s="257"/>
      <c r="D505" s="242"/>
      <c r="E505" s="242"/>
      <c r="F505" s="242"/>
      <c r="G505" s="242"/>
      <c r="H505" s="242"/>
      <c r="I505" s="242"/>
      <c r="J505" s="242"/>
      <c r="K505" s="242"/>
      <c r="L505" s="242"/>
      <c r="M505" s="242"/>
      <c r="N505" s="242"/>
      <c r="O505" s="242"/>
      <c r="P505" s="242"/>
      <c r="Q505" s="242"/>
      <c r="R505" s="243"/>
      <c r="S505" s="245"/>
      <c r="T505" s="240"/>
    </row>
    <row r="506" spans="1:20" s="240" customFormat="1" ht="15" customHeight="1">
      <c r="A506" s="235"/>
      <c r="B506" s="235"/>
      <c r="C506" s="257"/>
      <c r="D506" s="242"/>
      <c r="E506" s="242"/>
      <c r="F506" s="242"/>
      <c r="G506" s="242"/>
      <c r="H506" s="242"/>
      <c r="I506" s="242"/>
      <c r="J506" s="242"/>
      <c r="K506" s="242"/>
      <c r="L506" s="242"/>
      <c r="M506" s="242"/>
      <c r="N506" s="242"/>
      <c r="O506" s="242"/>
      <c r="P506" s="242"/>
      <c r="Q506" s="242"/>
      <c r="R506" s="243"/>
      <c r="S506" s="245"/>
    </row>
    <row r="507" spans="1:20" s="240" customFormat="1" ht="15" customHeight="1">
      <c r="A507" s="235"/>
      <c r="B507" s="235"/>
      <c r="C507" s="257"/>
      <c r="D507" s="242"/>
      <c r="E507" s="242"/>
      <c r="F507" s="242"/>
      <c r="G507" s="242"/>
      <c r="H507" s="242"/>
      <c r="I507" s="242"/>
      <c r="J507" s="242"/>
      <c r="K507" s="242"/>
      <c r="L507" s="242"/>
      <c r="M507" s="242"/>
      <c r="N507" s="242"/>
      <c r="O507" s="242"/>
      <c r="P507" s="242"/>
      <c r="Q507" s="242"/>
      <c r="R507" s="243"/>
      <c r="S507" s="245"/>
    </row>
    <row r="508" spans="1:20" s="240" customFormat="1" ht="15" customHeight="1">
      <c r="A508" s="235"/>
      <c r="B508" s="235"/>
      <c r="C508" s="257"/>
      <c r="D508" s="242"/>
      <c r="E508" s="242"/>
      <c r="F508" s="242"/>
      <c r="G508" s="242"/>
      <c r="H508" s="242"/>
      <c r="I508" s="242"/>
      <c r="J508" s="242"/>
      <c r="K508" s="242"/>
      <c r="L508" s="242"/>
      <c r="M508" s="242"/>
      <c r="N508" s="242"/>
      <c r="O508" s="242"/>
      <c r="P508" s="242"/>
      <c r="Q508" s="242"/>
      <c r="R508" s="243"/>
      <c r="S508" s="242"/>
      <c r="T508" s="235"/>
    </row>
    <row r="509" spans="1:20" ht="9" customHeight="1">
      <c r="C509" s="257"/>
      <c r="D509" s="242"/>
      <c r="E509" s="242"/>
      <c r="F509" s="242"/>
      <c r="G509" s="242"/>
      <c r="H509" s="242"/>
      <c r="I509" s="242"/>
      <c r="J509" s="242"/>
      <c r="K509" s="242"/>
      <c r="L509" s="242"/>
      <c r="M509" s="242"/>
      <c r="N509" s="242"/>
      <c r="O509" s="242"/>
      <c r="P509" s="242"/>
      <c r="Q509" s="242"/>
      <c r="R509" s="243"/>
      <c r="S509" s="242"/>
    </row>
    <row r="510" spans="1:20">
      <c r="C510" s="257"/>
      <c r="D510" s="242"/>
      <c r="E510" s="242"/>
      <c r="F510" s="242"/>
      <c r="G510" s="242"/>
      <c r="H510" s="242"/>
      <c r="I510" s="242"/>
      <c r="J510" s="242"/>
      <c r="K510" s="242"/>
      <c r="L510" s="242"/>
      <c r="M510" s="242"/>
      <c r="N510" s="242"/>
      <c r="O510" s="242"/>
      <c r="P510" s="242"/>
      <c r="Q510" s="242"/>
      <c r="R510" s="243"/>
      <c r="S510" s="242"/>
    </row>
    <row r="511" spans="1:20">
      <c r="C511" s="257"/>
      <c r="D511" s="242"/>
      <c r="E511" s="242"/>
      <c r="F511" s="242"/>
      <c r="G511" s="242"/>
      <c r="H511" s="242"/>
      <c r="I511" s="242"/>
      <c r="J511" s="242"/>
      <c r="K511" s="242"/>
      <c r="L511" s="242"/>
      <c r="M511" s="242"/>
      <c r="N511" s="242"/>
      <c r="O511" s="242"/>
      <c r="P511" s="242"/>
      <c r="Q511" s="242"/>
      <c r="R511" s="243"/>
      <c r="S511" s="242"/>
    </row>
    <row r="512" spans="1:20">
      <c r="C512" s="257"/>
      <c r="D512" s="242"/>
      <c r="E512" s="242"/>
      <c r="F512" s="242"/>
      <c r="G512" s="242"/>
      <c r="H512" s="242"/>
      <c r="I512" s="242"/>
      <c r="J512" s="242"/>
      <c r="K512" s="242"/>
      <c r="L512" s="242"/>
      <c r="M512" s="242"/>
      <c r="N512" s="242"/>
      <c r="O512" s="242"/>
      <c r="P512" s="242"/>
      <c r="Q512" s="242"/>
      <c r="R512" s="243"/>
      <c r="S512" s="242"/>
    </row>
    <row r="513" spans="3:19">
      <c r="C513" s="257"/>
      <c r="D513" s="242"/>
      <c r="E513" s="242"/>
      <c r="F513" s="242"/>
      <c r="G513" s="242"/>
      <c r="H513" s="242"/>
      <c r="I513" s="242"/>
      <c r="J513" s="242"/>
      <c r="K513" s="242"/>
      <c r="L513" s="242"/>
      <c r="M513" s="242"/>
      <c r="N513" s="242"/>
      <c r="O513" s="242"/>
      <c r="P513" s="242"/>
      <c r="Q513" s="242"/>
      <c r="R513" s="243"/>
      <c r="S513" s="242"/>
    </row>
    <row r="514" spans="3:19">
      <c r="C514" s="257"/>
      <c r="D514" s="242"/>
      <c r="E514" s="242"/>
      <c r="F514" s="242"/>
      <c r="G514" s="242"/>
      <c r="H514" s="242"/>
      <c r="I514" s="242"/>
      <c r="J514" s="242"/>
      <c r="K514" s="242"/>
      <c r="L514" s="242"/>
      <c r="M514" s="242"/>
      <c r="N514" s="242"/>
      <c r="O514" s="242"/>
      <c r="P514" s="242"/>
      <c r="Q514" s="242"/>
      <c r="R514" s="243"/>
      <c r="S514" s="242"/>
    </row>
    <row r="515" spans="3:19">
      <c r="C515" s="257"/>
      <c r="D515" s="242"/>
      <c r="E515" s="242"/>
      <c r="F515" s="242"/>
      <c r="G515" s="242"/>
      <c r="H515" s="242"/>
      <c r="I515" s="242"/>
      <c r="J515" s="242"/>
      <c r="K515" s="242"/>
      <c r="L515" s="242"/>
      <c r="M515" s="242"/>
      <c r="N515" s="242"/>
      <c r="O515" s="242"/>
      <c r="P515" s="242"/>
      <c r="Q515" s="242"/>
      <c r="R515" s="243"/>
      <c r="S515" s="242"/>
    </row>
    <row r="516" spans="3:19" ht="13.9" customHeight="1">
      <c r="C516" s="257"/>
      <c r="D516" s="242"/>
      <c r="E516" s="242"/>
      <c r="F516" s="242"/>
      <c r="G516" s="242"/>
      <c r="H516" s="242"/>
      <c r="I516" s="242"/>
      <c r="J516" s="242"/>
      <c r="K516" s="242"/>
      <c r="L516" s="242"/>
      <c r="M516" s="242"/>
      <c r="N516" s="242"/>
      <c r="O516" s="242"/>
      <c r="P516" s="242"/>
      <c r="Q516" s="242"/>
      <c r="R516" s="243"/>
      <c r="S516" s="242"/>
    </row>
    <row r="517" spans="3:19" ht="13.9" customHeight="1">
      <c r="C517" s="257"/>
      <c r="D517" s="242"/>
      <c r="E517" s="242"/>
      <c r="F517" s="242"/>
      <c r="G517" s="242"/>
      <c r="H517" s="242"/>
      <c r="I517" s="242"/>
      <c r="J517" s="242"/>
      <c r="K517" s="242"/>
      <c r="L517" s="242"/>
      <c r="M517" s="242"/>
      <c r="N517" s="242"/>
      <c r="O517" s="242"/>
      <c r="P517" s="242"/>
      <c r="Q517" s="242"/>
      <c r="R517" s="243"/>
      <c r="S517" s="242"/>
    </row>
    <row r="518" spans="3:19">
      <c r="C518" s="257"/>
      <c r="D518" s="242"/>
      <c r="E518" s="242"/>
      <c r="F518" s="242"/>
      <c r="G518" s="242"/>
      <c r="H518" s="242"/>
      <c r="I518" s="242"/>
      <c r="J518" s="242"/>
      <c r="K518" s="242"/>
      <c r="L518" s="242"/>
      <c r="M518" s="242"/>
      <c r="N518" s="242"/>
      <c r="O518" s="242"/>
      <c r="P518" s="242"/>
      <c r="Q518" s="242"/>
      <c r="R518" s="243"/>
      <c r="S518" s="242"/>
    </row>
    <row r="519" spans="3:19">
      <c r="C519" s="257"/>
      <c r="D519" s="242"/>
      <c r="E519" s="242"/>
      <c r="F519" s="242"/>
      <c r="G519" s="242"/>
      <c r="H519" s="242"/>
      <c r="I519" s="242"/>
      <c r="J519" s="242"/>
      <c r="K519" s="242"/>
      <c r="L519" s="242"/>
      <c r="M519" s="242"/>
      <c r="N519" s="242"/>
      <c r="O519" s="242"/>
      <c r="P519" s="242"/>
      <c r="Q519" s="242"/>
      <c r="R519" s="243"/>
      <c r="S519" s="242"/>
    </row>
    <row r="520" spans="3:19">
      <c r="C520" s="257"/>
      <c r="D520" s="242"/>
      <c r="E520" s="242"/>
      <c r="F520" s="242"/>
      <c r="G520" s="242"/>
      <c r="H520" s="242"/>
      <c r="I520" s="242"/>
      <c r="J520" s="242"/>
      <c r="K520" s="242"/>
      <c r="L520" s="242"/>
      <c r="M520" s="242"/>
      <c r="N520" s="242"/>
      <c r="O520" s="242"/>
      <c r="P520" s="242"/>
      <c r="Q520" s="242"/>
      <c r="R520" s="243"/>
      <c r="S520" s="242"/>
    </row>
    <row r="521" spans="3:19">
      <c r="C521" s="257"/>
      <c r="D521" s="242"/>
      <c r="E521" s="242"/>
      <c r="F521" s="242"/>
      <c r="G521" s="242"/>
      <c r="H521" s="242"/>
      <c r="I521" s="242"/>
      <c r="J521" s="242"/>
      <c r="K521" s="242"/>
      <c r="L521" s="242"/>
      <c r="M521" s="242"/>
      <c r="N521" s="242"/>
      <c r="O521" s="242"/>
      <c r="P521" s="242"/>
      <c r="Q521" s="242"/>
      <c r="R521" s="243"/>
      <c r="S521" s="242"/>
    </row>
    <row r="522" spans="3:19">
      <c r="C522" s="257"/>
      <c r="D522" s="242"/>
      <c r="E522" s="242"/>
      <c r="F522" s="242"/>
      <c r="G522" s="242"/>
      <c r="H522" s="242"/>
      <c r="I522" s="242"/>
      <c r="J522" s="242"/>
      <c r="K522" s="242"/>
      <c r="L522" s="242"/>
      <c r="M522" s="242"/>
      <c r="N522" s="242"/>
      <c r="O522" s="242"/>
      <c r="P522" s="242"/>
      <c r="Q522" s="242"/>
      <c r="R522" s="243"/>
      <c r="S522" s="242"/>
    </row>
    <row r="523" spans="3:19">
      <c r="C523" s="257"/>
      <c r="D523" s="242"/>
      <c r="E523" s="242"/>
      <c r="F523" s="242"/>
      <c r="G523" s="242"/>
      <c r="H523" s="242"/>
      <c r="I523" s="242"/>
      <c r="J523" s="242"/>
      <c r="K523" s="242"/>
      <c r="L523" s="242"/>
      <c r="M523" s="242"/>
      <c r="N523" s="242"/>
      <c r="O523" s="242"/>
      <c r="P523" s="242"/>
      <c r="Q523" s="242"/>
      <c r="R523" s="243"/>
      <c r="S523" s="242"/>
    </row>
    <row r="524" spans="3:19">
      <c r="C524" s="257"/>
      <c r="D524" s="242"/>
      <c r="E524" s="242"/>
      <c r="F524" s="242"/>
      <c r="G524" s="242"/>
      <c r="H524" s="242"/>
      <c r="I524" s="242"/>
      <c r="J524" s="242"/>
      <c r="K524" s="242"/>
      <c r="L524" s="242"/>
      <c r="M524" s="242"/>
      <c r="N524" s="242"/>
      <c r="O524" s="242"/>
      <c r="P524" s="242"/>
      <c r="Q524" s="242"/>
      <c r="R524" s="243"/>
      <c r="S524" s="242"/>
    </row>
    <row r="525" spans="3:19">
      <c r="C525" s="257"/>
      <c r="D525" s="242"/>
      <c r="E525" s="242"/>
      <c r="F525" s="242"/>
      <c r="G525" s="242"/>
      <c r="H525" s="242"/>
      <c r="I525" s="242"/>
      <c r="J525" s="242"/>
      <c r="K525" s="242"/>
      <c r="L525" s="242"/>
      <c r="M525" s="242"/>
      <c r="N525" s="242"/>
      <c r="O525" s="242"/>
      <c r="P525" s="242"/>
      <c r="Q525" s="242"/>
      <c r="R525" s="243"/>
      <c r="S525" s="242"/>
    </row>
    <row r="526" spans="3:19">
      <c r="C526" s="257"/>
      <c r="D526" s="242"/>
      <c r="E526" s="242"/>
      <c r="F526" s="242"/>
      <c r="G526" s="242"/>
      <c r="H526" s="242"/>
      <c r="I526" s="242"/>
      <c r="J526" s="242"/>
      <c r="K526" s="242"/>
      <c r="L526" s="242"/>
      <c r="M526" s="242"/>
      <c r="N526" s="242"/>
      <c r="O526" s="242"/>
      <c r="P526" s="242"/>
      <c r="Q526" s="242"/>
      <c r="R526" s="243"/>
      <c r="S526" s="242"/>
    </row>
    <row r="527" spans="3:19">
      <c r="C527" s="257"/>
      <c r="D527" s="242"/>
      <c r="E527" s="242"/>
      <c r="F527" s="242"/>
      <c r="G527" s="242"/>
      <c r="H527" s="242"/>
      <c r="I527" s="242"/>
      <c r="J527" s="242"/>
      <c r="K527" s="242"/>
      <c r="L527" s="242"/>
      <c r="M527" s="242"/>
      <c r="N527" s="242"/>
      <c r="O527" s="242"/>
      <c r="P527" s="242"/>
      <c r="Q527" s="242"/>
      <c r="R527" s="243"/>
      <c r="S527" s="242"/>
    </row>
    <row r="528" spans="3:19">
      <c r="C528" s="257"/>
      <c r="D528" s="242"/>
      <c r="E528" s="242"/>
      <c r="F528" s="242"/>
      <c r="G528" s="242"/>
      <c r="H528" s="242"/>
      <c r="I528" s="242"/>
      <c r="J528" s="242"/>
      <c r="K528" s="242"/>
      <c r="L528" s="242"/>
      <c r="M528" s="242"/>
      <c r="N528" s="242"/>
      <c r="O528" s="242"/>
      <c r="P528" s="242"/>
      <c r="Q528" s="242"/>
      <c r="R528" s="243"/>
      <c r="S528" s="242"/>
    </row>
    <row r="529" spans="3:19">
      <c r="C529" s="257"/>
      <c r="D529" s="242"/>
      <c r="E529" s="242"/>
      <c r="F529" s="242"/>
      <c r="G529" s="242"/>
      <c r="H529" s="242"/>
      <c r="I529" s="242"/>
      <c r="J529" s="242"/>
      <c r="K529" s="242"/>
      <c r="L529" s="242"/>
      <c r="M529" s="242"/>
      <c r="N529" s="242"/>
      <c r="O529" s="242"/>
      <c r="P529" s="242"/>
      <c r="Q529" s="242"/>
      <c r="R529" s="243"/>
      <c r="S529" s="242"/>
    </row>
    <row r="530" spans="3:19">
      <c r="C530" s="257"/>
      <c r="D530" s="242"/>
      <c r="E530" s="242"/>
      <c r="F530" s="242"/>
      <c r="G530" s="242"/>
      <c r="H530" s="242"/>
      <c r="I530" s="242"/>
      <c r="J530" s="242"/>
      <c r="K530" s="242"/>
      <c r="L530" s="242"/>
      <c r="M530" s="242"/>
      <c r="N530" s="242"/>
      <c r="O530" s="242"/>
      <c r="P530" s="242"/>
      <c r="Q530" s="242"/>
      <c r="R530" s="243"/>
      <c r="S530" s="242"/>
    </row>
    <row r="531" spans="3:19">
      <c r="C531" s="257"/>
      <c r="D531" s="242"/>
      <c r="E531" s="242"/>
      <c r="F531" s="242"/>
      <c r="G531" s="242"/>
      <c r="H531" s="242"/>
      <c r="I531" s="242"/>
      <c r="J531" s="242"/>
      <c r="K531" s="242"/>
      <c r="L531" s="242"/>
      <c r="M531" s="242"/>
      <c r="N531" s="242"/>
      <c r="O531" s="242"/>
      <c r="P531" s="242"/>
      <c r="Q531" s="242"/>
      <c r="R531" s="243"/>
      <c r="S531" s="242"/>
    </row>
    <row r="532" spans="3:19">
      <c r="C532" s="257"/>
      <c r="D532" s="242"/>
      <c r="E532" s="242"/>
      <c r="F532" s="242"/>
      <c r="G532" s="242"/>
      <c r="H532" s="242"/>
      <c r="I532" s="242"/>
      <c r="J532" s="242"/>
      <c r="K532" s="242"/>
      <c r="L532" s="242"/>
      <c r="M532" s="242"/>
      <c r="N532" s="242"/>
      <c r="O532" s="242"/>
      <c r="P532" s="242"/>
      <c r="Q532" s="242"/>
      <c r="R532" s="243"/>
      <c r="S532" s="242"/>
    </row>
    <row r="533" spans="3:19">
      <c r="C533" s="257"/>
      <c r="D533" s="242"/>
      <c r="E533" s="242"/>
      <c r="F533" s="242"/>
      <c r="G533" s="242"/>
      <c r="H533" s="242"/>
      <c r="I533" s="242"/>
      <c r="J533" s="242"/>
      <c r="K533" s="242"/>
      <c r="L533" s="242"/>
      <c r="M533" s="242"/>
      <c r="N533" s="242"/>
      <c r="O533" s="242"/>
      <c r="P533" s="242"/>
      <c r="Q533" s="242"/>
      <c r="R533" s="243"/>
      <c r="S533" s="242"/>
    </row>
    <row r="534" spans="3:19">
      <c r="C534" s="257"/>
      <c r="D534" s="242"/>
      <c r="E534" s="242"/>
      <c r="F534" s="242"/>
      <c r="G534" s="242"/>
      <c r="H534" s="242"/>
      <c r="I534" s="242"/>
      <c r="J534" s="242"/>
      <c r="K534" s="242"/>
      <c r="L534" s="242"/>
      <c r="M534" s="242"/>
      <c r="N534" s="242"/>
      <c r="O534" s="242"/>
      <c r="P534" s="242"/>
      <c r="Q534" s="242"/>
      <c r="R534" s="243"/>
      <c r="S534" s="242"/>
    </row>
    <row r="535" spans="3:19">
      <c r="C535" s="257"/>
      <c r="D535" s="242"/>
      <c r="E535" s="242"/>
      <c r="F535" s="242"/>
      <c r="G535" s="242"/>
      <c r="H535" s="242"/>
      <c r="I535" s="242"/>
      <c r="J535" s="242"/>
      <c r="K535" s="242"/>
      <c r="L535" s="242"/>
      <c r="M535" s="242"/>
      <c r="N535" s="242"/>
      <c r="O535" s="242"/>
      <c r="P535" s="242"/>
      <c r="Q535" s="242"/>
      <c r="R535" s="243"/>
      <c r="S535" s="242"/>
    </row>
    <row r="536" spans="3:19">
      <c r="C536" s="257"/>
      <c r="D536" s="242"/>
      <c r="E536" s="242"/>
      <c r="F536" s="242"/>
      <c r="G536" s="242"/>
      <c r="H536" s="242"/>
      <c r="I536" s="242"/>
      <c r="J536" s="242"/>
      <c r="K536" s="242"/>
      <c r="L536" s="242"/>
      <c r="M536" s="242"/>
      <c r="N536" s="242"/>
      <c r="O536" s="242"/>
      <c r="P536" s="242"/>
      <c r="Q536" s="242"/>
      <c r="R536" s="243"/>
      <c r="S536" s="242"/>
    </row>
    <row r="537" spans="3:19">
      <c r="C537" s="257"/>
      <c r="D537" s="242"/>
      <c r="E537" s="242"/>
      <c r="F537" s="242"/>
      <c r="G537" s="242"/>
      <c r="H537" s="242"/>
      <c r="I537" s="242"/>
      <c r="J537" s="242"/>
      <c r="K537" s="242"/>
      <c r="L537" s="242"/>
      <c r="M537" s="242"/>
      <c r="N537" s="242"/>
      <c r="O537" s="242"/>
      <c r="P537" s="242"/>
      <c r="Q537" s="242"/>
      <c r="R537" s="243"/>
      <c r="S537" s="242"/>
    </row>
    <row r="538" spans="3:19">
      <c r="C538" s="257"/>
      <c r="D538" s="242"/>
      <c r="E538" s="242"/>
      <c r="F538" s="242"/>
      <c r="G538" s="242"/>
      <c r="H538" s="242"/>
      <c r="I538" s="242"/>
      <c r="J538" s="242"/>
      <c r="K538" s="242"/>
      <c r="L538" s="242"/>
      <c r="M538" s="242"/>
      <c r="N538" s="242"/>
      <c r="O538" s="242"/>
      <c r="P538" s="242"/>
      <c r="Q538" s="242"/>
      <c r="R538" s="243"/>
      <c r="S538" s="242"/>
    </row>
    <row r="539" spans="3:19">
      <c r="C539" s="257"/>
      <c r="D539" s="242"/>
      <c r="E539" s="242"/>
      <c r="F539" s="242"/>
      <c r="G539" s="242"/>
      <c r="H539" s="242"/>
      <c r="I539" s="242"/>
      <c r="J539" s="242"/>
      <c r="K539" s="242"/>
      <c r="L539" s="242"/>
      <c r="M539" s="242"/>
      <c r="N539" s="242"/>
      <c r="O539" s="242"/>
      <c r="P539" s="242"/>
      <c r="Q539" s="242"/>
      <c r="R539" s="243"/>
      <c r="S539" s="242"/>
    </row>
    <row r="540" spans="3:19">
      <c r="C540" s="257"/>
      <c r="D540" s="242"/>
      <c r="E540" s="242"/>
      <c r="F540" s="242"/>
      <c r="G540" s="242"/>
      <c r="H540" s="242"/>
      <c r="I540" s="242"/>
      <c r="J540" s="242"/>
      <c r="K540" s="242"/>
      <c r="L540" s="242"/>
      <c r="M540" s="242"/>
      <c r="N540" s="242"/>
      <c r="O540" s="242"/>
      <c r="P540" s="242"/>
      <c r="Q540" s="242"/>
      <c r="R540" s="243"/>
      <c r="S540" s="242"/>
    </row>
    <row r="541" spans="3:19">
      <c r="C541" s="257"/>
      <c r="D541" s="242"/>
      <c r="E541" s="242"/>
      <c r="F541" s="242"/>
      <c r="G541" s="242"/>
      <c r="H541" s="242"/>
      <c r="I541" s="242"/>
      <c r="J541" s="242"/>
      <c r="K541" s="242"/>
      <c r="L541" s="242"/>
      <c r="M541" s="242"/>
      <c r="N541" s="242"/>
      <c r="O541" s="242"/>
      <c r="P541" s="242"/>
      <c r="Q541" s="242"/>
      <c r="R541" s="243"/>
      <c r="S541" s="242"/>
    </row>
    <row r="542" spans="3:19">
      <c r="C542" s="257"/>
      <c r="D542" s="242"/>
      <c r="E542" s="242"/>
      <c r="F542" s="242"/>
      <c r="G542" s="242"/>
      <c r="H542" s="242"/>
      <c r="I542" s="242"/>
      <c r="J542" s="242"/>
      <c r="K542" s="242"/>
      <c r="L542" s="242"/>
      <c r="M542" s="242"/>
      <c r="N542" s="242"/>
      <c r="O542" s="242"/>
      <c r="P542" s="242"/>
      <c r="Q542" s="242"/>
      <c r="R542" s="243"/>
      <c r="S542" s="242"/>
    </row>
    <row r="543" spans="3:19">
      <c r="C543" s="257"/>
      <c r="D543" s="242"/>
      <c r="E543" s="242"/>
      <c r="F543" s="242"/>
      <c r="G543" s="242"/>
      <c r="H543" s="242"/>
      <c r="I543" s="242"/>
      <c r="J543" s="242"/>
      <c r="K543" s="242"/>
      <c r="L543" s="242"/>
      <c r="M543" s="242"/>
      <c r="N543" s="242"/>
      <c r="O543" s="242"/>
      <c r="P543" s="242"/>
      <c r="Q543" s="242"/>
      <c r="R543" s="243"/>
      <c r="S543" s="242"/>
    </row>
    <row r="544" spans="3:19">
      <c r="C544" s="257"/>
      <c r="D544" s="242"/>
      <c r="E544" s="242"/>
      <c r="F544" s="242"/>
      <c r="G544" s="242"/>
      <c r="H544" s="242"/>
      <c r="I544" s="242"/>
      <c r="J544" s="242"/>
      <c r="K544" s="242"/>
      <c r="L544" s="242"/>
      <c r="M544" s="242"/>
      <c r="N544" s="242"/>
      <c r="O544" s="242"/>
      <c r="P544" s="242"/>
      <c r="Q544" s="242"/>
      <c r="R544" s="243"/>
      <c r="S544" s="242"/>
    </row>
    <row r="545" spans="3:19">
      <c r="C545" s="257"/>
      <c r="D545" s="242"/>
      <c r="E545" s="242"/>
      <c r="F545" s="242"/>
      <c r="G545" s="242"/>
      <c r="H545" s="242"/>
      <c r="I545" s="242"/>
      <c r="J545" s="242"/>
      <c r="K545" s="242"/>
      <c r="L545" s="242"/>
      <c r="M545" s="242"/>
      <c r="N545" s="242"/>
      <c r="O545" s="242"/>
      <c r="P545" s="242"/>
      <c r="Q545" s="242"/>
      <c r="R545" s="243"/>
      <c r="S545" s="242"/>
    </row>
    <row r="546" spans="3:19">
      <c r="C546" s="257"/>
      <c r="D546" s="242"/>
      <c r="E546" s="242"/>
      <c r="F546" s="242"/>
      <c r="G546" s="242"/>
      <c r="H546" s="242"/>
      <c r="I546" s="242"/>
      <c r="J546" s="242"/>
      <c r="K546" s="242"/>
      <c r="L546" s="242"/>
      <c r="M546" s="242"/>
      <c r="N546" s="242"/>
      <c r="O546" s="242"/>
      <c r="P546" s="242"/>
      <c r="Q546" s="242"/>
      <c r="R546" s="243"/>
      <c r="S546" s="242"/>
    </row>
    <row r="547" spans="3:19">
      <c r="C547" s="257"/>
      <c r="D547" s="242"/>
      <c r="E547" s="242"/>
      <c r="F547" s="242"/>
      <c r="G547" s="242"/>
      <c r="H547" s="242"/>
      <c r="I547" s="242"/>
      <c r="J547" s="242"/>
      <c r="K547" s="242"/>
      <c r="L547" s="242"/>
      <c r="M547" s="242"/>
      <c r="N547" s="242"/>
      <c r="O547" s="242"/>
      <c r="P547" s="242"/>
      <c r="Q547" s="242"/>
      <c r="R547" s="243"/>
      <c r="S547" s="242"/>
    </row>
    <row r="548" spans="3:19">
      <c r="C548" s="257"/>
      <c r="D548" s="242"/>
      <c r="E548" s="242"/>
      <c r="F548" s="242"/>
      <c r="G548" s="242"/>
      <c r="H548" s="242"/>
      <c r="I548" s="242"/>
      <c r="J548" s="242"/>
      <c r="K548" s="242"/>
      <c r="L548" s="242"/>
      <c r="M548" s="242"/>
      <c r="N548" s="242"/>
      <c r="O548" s="242"/>
      <c r="P548" s="242"/>
      <c r="Q548" s="242"/>
      <c r="R548" s="243"/>
      <c r="S548" s="242"/>
    </row>
    <row r="549" spans="3:19">
      <c r="C549" s="257"/>
      <c r="D549" s="242"/>
      <c r="E549" s="242"/>
      <c r="F549" s="242"/>
      <c r="G549" s="242"/>
      <c r="H549" s="242"/>
      <c r="I549" s="242"/>
      <c r="J549" s="242"/>
      <c r="K549" s="242"/>
      <c r="L549" s="242"/>
      <c r="M549" s="242"/>
      <c r="N549" s="242"/>
      <c r="O549" s="242"/>
      <c r="P549" s="242"/>
      <c r="Q549" s="242"/>
      <c r="R549" s="243"/>
      <c r="S549" s="242"/>
    </row>
    <row r="550" spans="3:19">
      <c r="C550" s="257"/>
      <c r="D550" s="242"/>
      <c r="E550" s="242"/>
      <c r="F550" s="242"/>
      <c r="G550" s="242"/>
      <c r="H550" s="242"/>
      <c r="I550" s="242"/>
      <c r="J550" s="242"/>
      <c r="K550" s="242"/>
      <c r="L550" s="242"/>
      <c r="M550" s="242"/>
      <c r="N550" s="242"/>
      <c r="O550" s="242"/>
      <c r="P550" s="242"/>
      <c r="Q550" s="242"/>
      <c r="R550" s="243"/>
      <c r="S550" s="242"/>
    </row>
    <row r="551" spans="3:19">
      <c r="C551" s="257"/>
      <c r="D551" s="242"/>
      <c r="E551" s="242"/>
      <c r="F551" s="242"/>
      <c r="G551" s="242"/>
      <c r="H551" s="242"/>
      <c r="I551" s="242"/>
      <c r="J551" s="242"/>
      <c r="K551" s="242"/>
      <c r="L551" s="242"/>
      <c r="M551" s="242"/>
      <c r="N551" s="242"/>
      <c r="O551" s="242"/>
      <c r="P551" s="242"/>
      <c r="Q551" s="242"/>
      <c r="R551" s="243"/>
      <c r="S551" s="242"/>
    </row>
    <row r="552" spans="3:19">
      <c r="C552" s="257"/>
      <c r="D552" s="242"/>
      <c r="E552" s="242"/>
      <c r="F552" s="242"/>
      <c r="G552" s="242"/>
      <c r="H552" s="242"/>
      <c r="I552" s="242"/>
      <c r="J552" s="242"/>
      <c r="K552" s="242"/>
      <c r="L552" s="242"/>
      <c r="M552" s="242"/>
      <c r="N552" s="242"/>
      <c r="O552" s="242"/>
      <c r="P552" s="242"/>
      <c r="Q552" s="242"/>
      <c r="R552" s="243"/>
      <c r="S552" s="242"/>
    </row>
    <row r="553" spans="3:19">
      <c r="C553" s="257"/>
      <c r="D553" s="242"/>
      <c r="E553" s="242"/>
      <c r="F553" s="242"/>
      <c r="G553" s="242"/>
      <c r="H553" s="242"/>
      <c r="I553" s="242"/>
      <c r="J553" s="242"/>
      <c r="K553" s="242"/>
      <c r="L553" s="242"/>
      <c r="M553" s="242"/>
      <c r="N553" s="242"/>
      <c r="O553" s="242"/>
      <c r="P553" s="242"/>
      <c r="Q553" s="242"/>
      <c r="R553" s="243"/>
      <c r="S553" s="242"/>
    </row>
    <row r="554" spans="3:19">
      <c r="C554" s="257"/>
      <c r="D554" s="242"/>
      <c r="E554" s="242"/>
      <c r="F554" s="242"/>
      <c r="G554" s="242"/>
      <c r="H554" s="242"/>
      <c r="I554" s="242"/>
      <c r="J554" s="242"/>
      <c r="K554" s="242"/>
      <c r="L554" s="242"/>
      <c r="M554" s="242"/>
      <c r="N554" s="242"/>
      <c r="O554" s="242"/>
      <c r="P554" s="242"/>
      <c r="Q554" s="242"/>
      <c r="R554" s="243"/>
      <c r="S554" s="242"/>
    </row>
    <row r="555" spans="3:19">
      <c r="C555" s="257"/>
      <c r="D555" s="242"/>
      <c r="E555" s="242"/>
      <c r="F555" s="242"/>
      <c r="G555" s="242"/>
      <c r="H555" s="242"/>
      <c r="I555" s="242"/>
      <c r="J555" s="242"/>
      <c r="K555" s="242"/>
      <c r="L555" s="242"/>
      <c r="M555" s="242"/>
      <c r="N555" s="242"/>
      <c r="O555" s="242"/>
      <c r="P555" s="242"/>
      <c r="Q555" s="242"/>
      <c r="R555" s="243"/>
      <c r="S555" s="242"/>
    </row>
    <row r="556" spans="3:19">
      <c r="C556" s="257"/>
      <c r="D556" s="242"/>
      <c r="E556" s="242"/>
      <c r="F556" s="242"/>
      <c r="G556" s="242"/>
      <c r="H556" s="242"/>
      <c r="I556" s="242"/>
      <c r="J556" s="242"/>
      <c r="K556" s="242"/>
      <c r="L556" s="242"/>
      <c r="M556" s="242"/>
      <c r="N556" s="242"/>
      <c r="O556" s="242"/>
      <c r="P556" s="242"/>
      <c r="Q556" s="242"/>
      <c r="R556" s="243"/>
      <c r="S556" s="242"/>
    </row>
    <row r="557" spans="3:19">
      <c r="C557" s="257"/>
      <c r="D557" s="242"/>
      <c r="E557" s="242"/>
      <c r="F557" s="242"/>
      <c r="G557" s="242"/>
      <c r="H557" s="242"/>
      <c r="I557" s="242"/>
      <c r="J557" s="242"/>
      <c r="K557" s="242"/>
      <c r="L557" s="242"/>
      <c r="M557" s="242"/>
      <c r="N557" s="242"/>
      <c r="O557" s="242"/>
      <c r="P557" s="242"/>
      <c r="Q557" s="242"/>
      <c r="R557" s="243"/>
      <c r="S557" s="242"/>
    </row>
    <row r="558" spans="3:19">
      <c r="C558" s="257"/>
      <c r="D558" s="242"/>
      <c r="E558" s="242"/>
      <c r="F558" s="242"/>
      <c r="G558" s="242"/>
      <c r="H558" s="242"/>
      <c r="I558" s="242"/>
      <c r="J558" s="242"/>
      <c r="K558" s="242"/>
      <c r="L558" s="242"/>
      <c r="M558" s="242"/>
      <c r="N558" s="242"/>
      <c r="O558" s="242"/>
      <c r="P558" s="242"/>
      <c r="Q558" s="242"/>
      <c r="R558" s="243"/>
      <c r="S558" s="242"/>
    </row>
    <row r="559" spans="3:19">
      <c r="C559" s="257"/>
      <c r="D559" s="242"/>
      <c r="E559" s="242"/>
      <c r="F559" s="242"/>
      <c r="G559" s="242"/>
      <c r="H559" s="242"/>
      <c r="I559" s="242"/>
      <c r="J559" s="242"/>
      <c r="K559" s="242"/>
      <c r="L559" s="242"/>
      <c r="M559" s="242"/>
      <c r="N559" s="242"/>
      <c r="O559" s="242"/>
      <c r="P559" s="242"/>
      <c r="Q559" s="242"/>
      <c r="R559" s="243"/>
      <c r="S559" s="242"/>
    </row>
    <row r="560" spans="3:19">
      <c r="C560" s="257"/>
      <c r="D560" s="242"/>
      <c r="E560" s="242"/>
      <c r="F560" s="242"/>
      <c r="G560" s="242"/>
      <c r="H560" s="242"/>
      <c r="I560" s="242"/>
      <c r="J560" s="242"/>
      <c r="K560" s="242"/>
      <c r="L560" s="242"/>
      <c r="M560" s="242"/>
      <c r="N560" s="242"/>
      <c r="O560" s="242"/>
      <c r="P560" s="242"/>
      <c r="Q560" s="242"/>
      <c r="R560" s="243"/>
      <c r="S560" s="242"/>
    </row>
    <row r="561" spans="3:19">
      <c r="C561" s="257"/>
      <c r="D561" s="242"/>
      <c r="E561" s="242"/>
      <c r="F561" s="242"/>
      <c r="G561" s="242"/>
      <c r="H561" s="242"/>
      <c r="I561" s="242"/>
      <c r="J561" s="242"/>
      <c r="K561" s="242"/>
      <c r="L561" s="242"/>
      <c r="M561" s="242"/>
      <c r="N561" s="242"/>
      <c r="O561" s="242"/>
      <c r="P561" s="242"/>
      <c r="Q561" s="242"/>
      <c r="R561" s="243"/>
      <c r="S561" s="242"/>
    </row>
    <row r="562" spans="3:19">
      <c r="C562" s="257"/>
      <c r="D562" s="242"/>
      <c r="E562" s="242"/>
      <c r="F562" s="242"/>
      <c r="G562" s="242"/>
      <c r="H562" s="242"/>
      <c r="I562" s="242"/>
      <c r="J562" s="242"/>
      <c r="K562" s="242"/>
      <c r="L562" s="242"/>
      <c r="M562" s="242"/>
      <c r="N562" s="242"/>
      <c r="O562" s="242"/>
      <c r="P562" s="242"/>
      <c r="Q562" s="242"/>
      <c r="R562" s="243"/>
      <c r="S562" s="242"/>
    </row>
    <row r="563" spans="3:19">
      <c r="C563" s="257"/>
      <c r="D563" s="242"/>
      <c r="E563" s="242"/>
      <c r="F563" s="242"/>
      <c r="G563" s="242"/>
      <c r="H563" s="242"/>
      <c r="I563" s="242"/>
      <c r="J563" s="242"/>
      <c r="K563" s="242"/>
      <c r="L563" s="242"/>
      <c r="M563" s="242"/>
      <c r="N563" s="242"/>
      <c r="O563" s="242"/>
      <c r="P563" s="242"/>
      <c r="Q563" s="242"/>
      <c r="R563" s="243"/>
      <c r="S563" s="242"/>
    </row>
    <row r="564" spans="3:19">
      <c r="C564" s="257"/>
      <c r="D564" s="242"/>
      <c r="E564" s="242"/>
      <c r="F564" s="242"/>
      <c r="G564" s="242"/>
      <c r="H564" s="242"/>
      <c r="I564" s="242"/>
      <c r="J564" s="242"/>
      <c r="K564" s="242"/>
      <c r="L564" s="242"/>
      <c r="M564" s="242"/>
      <c r="N564" s="242"/>
      <c r="O564" s="242"/>
      <c r="P564" s="242"/>
      <c r="Q564" s="242"/>
      <c r="R564" s="243"/>
      <c r="S564" s="242"/>
    </row>
    <row r="565" spans="3:19">
      <c r="C565" s="257"/>
      <c r="D565" s="242"/>
      <c r="E565" s="242"/>
      <c r="F565" s="242"/>
      <c r="G565" s="242"/>
      <c r="H565" s="242"/>
      <c r="I565" s="242"/>
      <c r="J565" s="242"/>
      <c r="K565" s="242"/>
      <c r="L565" s="242"/>
      <c r="M565" s="242"/>
      <c r="N565" s="242"/>
      <c r="O565" s="242"/>
      <c r="P565" s="242"/>
      <c r="Q565" s="242"/>
      <c r="R565" s="243"/>
      <c r="S565" s="242"/>
    </row>
    <row r="566" spans="3:19">
      <c r="C566" s="257"/>
      <c r="D566" s="242"/>
      <c r="E566" s="242"/>
      <c r="F566" s="242"/>
      <c r="G566" s="242"/>
      <c r="H566" s="242"/>
      <c r="I566" s="242"/>
      <c r="J566" s="242"/>
      <c r="K566" s="242"/>
      <c r="L566" s="242"/>
      <c r="M566" s="242"/>
      <c r="N566" s="242"/>
      <c r="O566" s="242"/>
      <c r="P566" s="242"/>
      <c r="Q566" s="242"/>
      <c r="R566" s="243"/>
      <c r="S566" s="242"/>
    </row>
    <row r="567" spans="3:19">
      <c r="C567" s="257"/>
      <c r="D567" s="242"/>
      <c r="E567" s="242"/>
      <c r="F567" s="242"/>
      <c r="G567" s="242"/>
      <c r="H567" s="242"/>
      <c r="I567" s="242"/>
      <c r="J567" s="242"/>
      <c r="K567" s="242"/>
      <c r="L567" s="242"/>
      <c r="M567" s="242"/>
      <c r="N567" s="242"/>
      <c r="O567" s="242"/>
      <c r="P567" s="242"/>
      <c r="Q567" s="242"/>
      <c r="R567" s="243"/>
      <c r="S567" s="242"/>
    </row>
    <row r="568" spans="3:19">
      <c r="C568" s="257"/>
      <c r="D568" s="242"/>
      <c r="E568" s="242"/>
      <c r="F568" s="242"/>
      <c r="G568" s="242"/>
      <c r="H568" s="242"/>
      <c r="I568" s="242"/>
      <c r="J568" s="242"/>
      <c r="K568" s="242"/>
      <c r="L568" s="242"/>
      <c r="M568" s="242"/>
      <c r="N568" s="242"/>
      <c r="O568" s="242"/>
      <c r="P568" s="242"/>
      <c r="Q568" s="242"/>
      <c r="R568" s="243"/>
      <c r="S568" s="242"/>
    </row>
    <row r="569" spans="3:19">
      <c r="C569" s="257"/>
      <c r="D569" s="242"/>
      <c r="E569" s="242"/>
      <c r="F569" s="242"/>
      <c r="G569" s="242"/>
      <c r="H569" s="242"/>
      <c r="I569" s="242"/>
      <c r="J569" s="242"/>
      <c r="K569" s="242"/>
      <c r="L569" s="242"/>
      <c r="M569" s="242"/>
      <c r="N569" s="242"/>
      <c r="O569" s="242"/>
      <c r="P569" s="242"/>
      <c r="Q569" s="242"/>
      <c r="R569" s="243"/>
      <c r="S569" s="242"/>
    </row>
    <row r="570" spans="3:19">
      <c r="C570" s="257"/>
      <c r="D570" s="242"/>
      <c r="E570" s="242"/>
      <c r="F570" s="242"/>
      <c r="G570" s="242"/>
      <c r="H570" s="242"/>
      <c r="I570" s="242"/>
      <c r="J570" s="242"/>
      <c r="K570" s="242"/>
      <c r="L570" s="242"/>
      <c r="M570" s="242"/>
      <c r="N570" s="242"/>
      <c r="O570" s="242"/>
      <c r="P570" s="242"/>
      <c r="Q570" s="242"/>
      <c r="R570" s="243"/>
      <c r="S570" s="242"/>
    </row>
    <row r="571" spans="3:19">
      <c r="C571" s="257"/>
      <c r="D571" s="242"/>
      <c r="E571" s="242"/>
      <c r="F571" s="242"/>
      <c r="G571" s="242"/>
      <c r="H571" s="242"/>
      <c r="I571" s="242"/>
      <c r="J571" s="242"/>
      <c r="K571" s="242"/>
      <c r="L571" s="242"/>
      <c r="M571" s="242"/>
      <c r="N571" s="242"/>
      <c r="O571" s="242"/>
      <c r="P571" s="242"/>
      <c r="Q571" s="242"/>
      <c r="R571" s="243"/>
      <c r="S571" s="242"/>
    </row>
    <row r="572" spans="3:19">
      <c r="C572" s="257"/>
      <c r="D572" s="242"/>
      <c r="E572" s="242"/>
      <c r="F572" s="242"/>
      <c r="G572" s="242"/>
      <c r="H572" s="242"/>
      <c r="I572" s="242"/>
      <c r="J572" s="242"/>
      <c r="K572" s="242"/>
      <c r="L572" s="242"/>
      <c r="M572" s="242"/>
      <c r="N572" s="242"/>
      <c r="O572" s="242"/>
      <c r="P572" s="242"/>
      <c r="Q572" s="242"/>
      <c r="R572" s="243"/>
      <c r="S572" s="242"/>
    </row>
    <row r="573" spans="3:19">
      <c r="C573" s="257"/>
      <c r="D573" s="242"/>
      <c r="E573" s="242"/>
      <c r="F573" s="242"/>
      <c r="G573" s="242"/>
      <c r="H573" s="242"/>
      <c r="I573" s="242"/>
      <c r="J573" s="242"/>
      <c r="K573" s="242"/>
      <c r="L573" s="242"/>
      <c r="M573" s="242"/>
      <c r="N573" s="242"/>
      <c r="O573" s="242"/>
      <c r="P573" s="242"/>
      <c r="Q573" s="242"/>
      <c r="R573" s="243"/>
      <c r="S573" s="242"/>
    </row>
    <row r="574" spans="3:19">
      <c r="C574" s="257"/>
      <c r="D574" s="242"/>
      <c r="E574" s="242"/>
      <c r="F574" s="242"/>
      <c r="G574" s="242"/>
      <c r="H574" s="242"/>
      <c r="I574" s="242"/>
      <c r="J574" s="242"/>
      <c r="K574" s="242"/>
      <c r="L574" s="242"/>
      <c r="M574" s="242"/>
      <c r="N574" s="242"/>
      <c r="O574" s="242"/>
      <c r="P574" s="242"/>
      <c r="Q574" s="242"/>
      <c r="R574" s="243"/>
      <c r="S574" s="242"/>
    </row>
    <row r="575" spans="3:19">
      <c r="C575" s="257"/>
      <c r="D575" s="242"/>
      <c r="E575" s="242"/>
      <c r="F575" s="242"/>
      <c r="G575" s="242"/>
      <c r="H575" s="242"/>
      <c r="I575" s="242"/>
      <c r="J575" s="242"/>
      <c r="K575" s="242"/>
      <c r="L575" s="242"/>
      <c r="M575" s="242"/>
      <c r="N575" s="242"/>
      <c r="O575" s="242"/>
      <c r="P575" s="242"/>
      <c r="Q575" s="242"/>
      <c r="R575" s="243"/>
      <c r="S575" s="242"/>
    </row>
    <row r="576" spans="3:19">
      <c r="C576" s="257"/>
      <c r="D576" s="242"/>
      <c r="E576" s="242"/>
      <c r="F576" s="242"/>
      <c r="G576" s="242"/>
      <c r="H576" s="242"/>
      <c r="I576" s="242"/>
      <c r="J576" s="242"/>
      <c r="K576" s="242"/>
      <c r="L576" s="242"/>
      <c r="M576" s="242"/>
      <c r="N576" s="242"/>
      <c r="O576" s="242"/>
      <c r="P576" s="242"/>
      <c r="Q576" s="242"/>
      <c r="R576" s="243"/>
      <c r="S576" s="242"/>
    </row>
    <row r="577" spans="3:19">
      <c r="C577" s="257"/>
      <c r="D577" s="242"/>
      <c r="E577" s="242"/>
      <c r="F577" s="242"/>
      <c r="G577" s="242"/>
      <c r="H577" s="242"/>
      <c r="I577" s="242"/>
      <c r="J577" s="242"/>
      <c r="K577" s="242"/>
      <c r="L577" s="242"/>
      <c r="M577" s="242"/>
      <c r="N577" s="242"/>
      <c r="O577" s="242"/>
      <c r="P577" s="242"/>
      <c r="Q577" s="242"/>
      <c r="R577" s="243"/>
      <c r="S577" s="242"/>
    </row>
    <row r="578" spans="3:19">
      <c r="C578" s="257"/>
      <c r="D578" s="242"/>
      <c r="E578" s="242"/>
      <c r="F578" s="242"/>
      <c r="G578" s="242"/>
      <c r="H578" s="242"/>
      <c r="I578" s="242"/>
      <c r="J578" s="242"/>
      <c r="K578" s="242"/>
      <c r="L578" s="242"/>
      <c r="M578" s="242"/>
      <c r="N578" s="242"/>
      <c r="O578" s="242"/>
      <c r="P578" s="242"/>
      <c r="Q578" s="242"/>
      <c r="R578" s="243"/>
      <c r="S578" s="242"/>
    </row>
    <row r="579" spans="3:19">
      <c r="C579" s="257"/>
      <c r="D579" s="242"/>
      <c r="E579" s="242"/>
      <c r="F579" s="242"/>
      <c r="G579" s="242"/>
      <c r="H579" s="242"/>
      <c r="I579" s="242"/>
      <c r="J579" s="242"/>
      <c r="K579" s="242"/>
      <c r="L579" s="242"/>
      <c r="M579" s="242"/>
      <c r="N579" s="242"/>
      <c r="O579" s="242"/>
      <c r="P579" s="242"/>
      <c r="Q579" s="242"/>
      <c r="R579" s="243"/>
      <c r="S579" s="242"/>
    </row>
    <row r="580" spans="3:19">
      <c r="C580" s="257"/>
      <c r="D580" s="242"/>
      <c r="E580" s="242"/>
      <c r="F580" s="242"/>
      <c r="G580" s="242"/>
      <c r="H580" s="242"/>
      <c r="I580" s="242"/>
      <c r="J580" s="242"/>
      <c r="K580" s="242"/>
      <c r="L580" s="242"/>
      <c r="M580" s="242"/>
      <c r="N580" s="242"/>
      <c r="O580" s="242"/>
      <c r="P580" s="242"/>
      <c r="Q580" s="242"/>
      <c r="R580" s="243"/>
      <c r="S580" s="242"/>
    </row>
    <row r="581" spans="3:19">
      <c r="C581" s="257"/>
      <c r="D581" s="242"/>
      <c r="E581" s="242"/>
      <c r="F581" s="242"/>
      <c r="G581" s="242"/>
      <c r="H581" s="242"/>
      <c r="I581" s="242"/>
      <c r="J581" s="242"/>
      <c r="K581" s="242"/>
      <c r="L581" s="242"/>
      <c r="M581" s="242"/>
      <c r="N581" s="242"/>
      <c r="O581" s="242"/>
      <c r="P581" s="242"/>
      <c r="Q581" s="242"/>
      <c r="R581" s="243"/>
      <c r="S581" s="242"/>
    </row>
    <row r="582" spans="3:19">
      <c r="C582" s="257"/>
      <c r="D582" s="242"/>
      <c r="E582" s="242"/>
      <c r="F582" s="242"/>
      <c r="G582" s="242"/>
      <c r="H582" s="242"/>
      <c r="I582" s="242"/>
      <c r="J582" s="242"/>
      <c r="K582" s="242"/>
      <c r="L582" s="242"/>
      <c r="M582" s="242"/>
      <c r="N582" s="242"/>
      <c r="O582" s="242"/>
      <c r="P582" s="242"/>
      <c r="Q582" s="242"/>
      <c r="R582" s="243"/>
      <c r="S582" s="242"/>
    </row>
    <row r="583" spans="3:19">
      <c r="C583" s="257"/>
      <c r="D583" s="242"/>
      <c r="E583" s="242"/>
      <c r="F583" s="242"/>
      <c r="G583" s="242"/>
      <c r="H583" s="242"/>
      <c r="I583" s="242"/>
      <c r="J583" s="242"/>
      <c r="K583" s="242"/>
      <c r="L583" s="242"/>
      <c r="M583" s="242"/>
      <c r="N583" s="242"/>
      <c r="O583" s="242"/>
      <c r="P583" s="242"/>
      <c r="Q583" s="242"/>
      <c r="R583" s="243"/>
      <c r="S583" s="242"/>
    </row>
    <row r="584" spans="3:19">
      <c r="C584" s="257"/>
      <c r="D584" s="242"/>
      <c r="E584" s="242"/>
      <c r="F584" s="242"/>
      <c r="G584" s="242"/>
      <c r="H584" s="242"/>
      <c r="I584" s="242"/>
      <c r="J584" s="242"/>
      <c r="K584" s="242"/>
      <c r="L584" s="242"/>
      <c r="M584" s="242"/>
      <c r="N584" s="242"/>
      <c r="O584" s="242"/>
      <c r="P584" s="242"/>
      <c r="Q584" s="242"/>
      <c r="R584" s="243"/>
      <c r="S584" s="242"/>
    </row>
    <row r="585" spans="3:19">
      <c r="C585" s="257"/>
      <c r="D585" s="242"/>
      <c r="E585" s="242"/>
      <c r="F585" s="242"/>
      <c r="G585" s="242"/>
      <c r="H585" s="242"/>
      <c r="I585" s="242"/>
      <c r="J585" s="242"/>
      <c r="K585" s="242"/>
      <c r="L585" s="242"/>
      <c r="M585" s="242"/>
      <c r="N585" s="242"/>
      <c r="O585" s="242"/>
      <c r="P585" s="242"/>
      <c r="Q585" s="242"/>
      <c r="R585" s="243"/>
      <c r="S585" s="242"/>
    </row>
    <row r="586" spans="3:19">
      <c r="C586" s="257"/>
      <c r="D586" s="242"/>
      <c r="E586" s="242"/>
      <c r="F586" s="242"/>
      <c r="G586" s="242"/>
      <c r="H586" s="242"/>
      <c r="I586" s="242"/>
      <c r="J586" s="242"/>
      <c r="K586" s="242"/>
      <c r="L586" s="242"/>
      <c r="M586" s="242"/>
      <c r="N586" s="242"/>
      <c r="O586" s="242"/>
      <c r="P586" s="242"/>
      <c r="Q586" s="242"/>
      <c r="R586" s="243"/>
      <c r="S586" s="242"/>
    </row>
    <row r="587" spans="3:19">
      <c r="C587" s="257"/>
      <c r="D587" s="242"/>
      <c r="E587" s="242"/>
      <c r="F587" s="242"/>
      <c r="G587" s="242"/>
      <c r="H587" s="242"/>
      <c r="I587" s="242"/>
      <c r="J587" s="242"/>
      <c r="K587" s="242"/>
      <c r="L587" s="242"/>
      <c r="M587" s="242"/>
      <c r="N587" s="242"/>
      <c r="O587" s="242"/>
      <c r="P587" s="242"/>
      <c r="Q587" s="242"/>
      <c r="R587" s="243"/>
      <c r="S587" s="242"/>
    </row>
    <row r="588" spans="3:19">
      <c r="C588" s="257"/>
      <c r="D588" s="242"/>
      <c r="E588" s="242"/>
      <c r="F588" s="242"/>
      <c r="G588" s="242"/>
      <c r="H588" s="242"/>
      <c r="I588" s="242"/>
      <c r="J588" s="242"/>
      <c r="K588" s="242"/>
      <c r="L588" s="242"/>
      <c r="M588" s="242"/>
      <c r="N588" s="242"/>
      <c r="O588" s="242"/>
      <c r="P588" s="242"/>
      <c r="Q588" s="242"/>
      <c r="R588" s="243"/>
      <c r="S588" s="242"/>
    </row>
    <row r="589" spans="3:19">
      <c r="C589" s="257"/>
      <c r="D589" s="242"/>
      <c r="E589" s="242"/>
      <c r="F589" s="242"/>
      <c r="G589" s="242"/>
      <c r="H589" s="242"/>
      <c r="I589" s="242"/>
      <c r="J589" s="242"/>
      <c r="K589" s="242"/>
      <c r="L589" s="242"/>
      <c r="M589" s="242"/>
      <c r="N589" s="242"/>
      <c r="O589" s="242"/>
      <c r="P589" s="242"/>
      <c r="Q589" s="242"/>
      <c r="R589" s="243"/>
      <c r="S589" s="242"/>
    </row>
    <row r="590" spans="3:19">
      <c r="C590" s="257"/>
      <c r="D590" s="242"/>
      <c r="E590" s="242"/>
      <c r="F590" s="242"/>
      <c r="G590" s="242"/>
      <c r="H590" s="242"/>
      <c r="I590" s="242"/>
      <c r="J590" s="242"/>
      <c r="K590" s="242"/>
      <c r="L590" s="242"/>
      <c r="M590" s="242"/>
      <c r="N590" s="242"/>
      <c r="O590" s="242"/>
      <c r="P590" s="242"/>
      <c r="Q590" s="242"/>
      <c r="R590" s="243"/>
      <c r="S590" s="242"/>
    </row>
    <row r="591" spans="3:19">
      <c r="C591" s="257"/>
      <c r="D591" s="242"/>
      <c r="E591" s="242"/>
      <c r="F591" s="242"/>
      <c r="G591" s="242"/>
      <c r="H591" s="242"/>
      <c r="I591" s="242"/>
      <c r="J591" s="242"/>
      <c r="K591" s="242"/>
      <c r="L591" s="242"/>
      <c r="M591" s="242"/>
      <c r="N591" s="242"/>
      <c r="O591" s="242"/>
      <c r="P591" s="242"/>
      <c r="Q591" s="242"/>
      <c r="R591" s="243"/>
      <c r="S591" s="242"/>
    </row>
    <row r="592" spans="3:19">
      <c r="C592" s="257"/>
      <c r="D592" s="242"/>
      <c r="E592" s="242"/>
      <c r="F592" s="242"/>
      <c r="G592" s="242"/>
      <c r="H592" s="242"/>
      <c r="I592" s="242"/>
      <c r="J592" s="242"/>
      <c r="K592" s="242"/>
      <c r="L592" s="242"/>
      <c r="M592" s="242"/>
      <c r="N592" s="242"/>
      <c r="O592" s="242"/>
      <c r="P592" s="242"/>
      <c r="Q592" s="242"/>
      <c r="R592" s="243"/>
      <c r="S592" s="242"/>
    </row>
    <row r="593" spans="3:19">
      <c r="C593" s="257"/>
      <c r="D593" s="242"/>
      <c r="E593" s="242"/>
      <c r="F593" s="242"/>
      <c r="G593" s="242"/>
      <c r="H593" s="242"/>
      <c r="I593" s="242"/>
      <c r="J593" s="242"/>
      <c r="K593" s="242"/>
      <c r="L593" s="242"/>
      <c r="M593" s="242"/>
      <c r="N593" s="242"/>
      <c r="O593" s="242"/>
      <c r="P593" s="242"/>
      <c r="Q593" s="242"/>
      <c r="R593" s="243"/>
      <c r="S593" s="242"/>
    </row>
    <row r="594" spans="3:19">
      <c r="C594" s="257"/>
      <c r="D594" s="242"/>
      <c r="E594" s="242"/>
      <c r="F594" s="242"/>
      <c r="G594" s="242"/>
      <c r="H594" s="242"/>
      <c r="I594" s="242"/>
      <c r="J594" s="242"/>
      <c r="K594" s="242"/>
      <c r="L594" s="242"/>
      <c r="M594" s="242"/>
      <c r="N594" s="242"/>
      <c r="O594" s="242"/>
      <c r="P594" s="242"/>
      <c r="Q594" s="242"/>
      <c r="R594" s="243"/>
      <c r="S594" s="242"/>
    </row>
    <row r="595" spans="3:19">
      <c r="C595" s="257"/>
      <c r="D595" s="242"/>
      <c r="E595" s="242"/>
      <c r="F595" s="242"/>
      <c r="G595" s="242"/>
      <c r="H595" s="242"/>
      <c r="I595" s="242"/>
      <c r="J595" s="242"/>
      <c r="K595" s="242"/>
      <c r="L595" s="242"/>
      <c r="M595" s="242"/>
      <c r="N595" s="242"/>
      <c r="O595" s="242"/>
      <c r="P595" s="242"/>
      <c r="Q595" s="242"/>
      <c r="R595" s="243"/>
      <c r="S595" s="242"/>
    </row>
    <row r="596" spans="3:19">
      <c r="C596" s="257"/>
      <c r="D596" s="242"/>
      <c r="E596" s="242"/>
      <c r="F596" s="242"/>
      <c r="G596" s="242"/>
      <c r="H596" s="242"/>
      <c r="I596" s="242"/>
      <c r="J596" s="242"/>
      <c r="K596" s="242"/>
      <c r="L596" s="242"/>
      <c r="M596" s="242"/>
      <c r="N596" s="242"/>
      <c r="O596" s="242"/>
      <c r="P596" s="242"/>
      <c r="Q596" s="242"/>
      <c r="R596" s="243"/>
      <c r="S596" s="242"/>
    </row>
    <row r="597" spans="3:19">
      <c r="C597" s="257"/>
      <c r="D597" s="242"/>
      <c r="E597" s="242"/>
      <c r="F597" s="242"/>
      <c r="G597" s="242"/>
      <c r="H597" s="242"/>
      <c r="I597" s="242"/>
      <c r="J597" s="242"/>
      <c r="K597" s="242"/>
      <c r="L597" s="242"/>
      <c r="M597" s="242"/>
      <c r="N597" s="242"/>
      <c r="O597" s="242"/>
      <c r="P597" s="242"/>
      <c r="Q597" s="242"/>
      <c r="R597" s="243"/>
      <c r="S597" s="242"/>
    </row>
    <row r="598" spans="3:19">
      <c r="C598" s="257"/>
      <c r="D598" s="242"/>
      <c r="E598" s="242"/>
      <c r="F598" s="242"/>
      <c r="G598" s="242"/>
      <c r="H598" s="242"/>
      <c r="I598" s="242"/>
      <c r="J598" s="242"/>
      <c r="K598" s="242"/>
      <c r="L598" s="242"/>
      <c r="M598" s="242"/>
      <c r="N598" s="242"/>
      <c r="O598" s="242"/>
      <c r="P598" s="242"/>
      <c r="Q598" s="242"/>
      <c r="R598" s="243"/>
      <c r="S598" s="242"/>
    </row>
    <row r="599" spans="3:19">
      <c r="C599" s="257"/>
      <c r="D599" s="242"/>
      <c r="E599" s="242"/>
      <c r="F599" s="242"/>
      <c r="G599" s="242"/>
      <c r="H599" s="242"/>
      <c r="I599" s="242"/>
      <c r="J599" s="242"/>
      <c r="K599" s="242"/>
      <c r="L599" s="242"/>
      <c r="M599" s="242"/>
      <c r="N599" s="242"/>
      <c r="O599" s="242"/>
      <c r="P599" s="242"/>
      <c r="Q599" s="242"/>
      <c r="R599" s="243"/>
      <c r="S599" s="242"/>
    </row>
    <row r="600" spans="3:19">
      <c r="C600" s="257"/>
      <c r="D600" s="242"/>
      <c r="E600" s="242"/>
      <c r="F600" s="242"/>
      <c r="G600" s="242"/>
      <c r="H600" s="242"/>
      <c r="I600" s="242"/>
      <c r="J600" s="242"/>
      <c r="K600" s="242"/>
      <c r="L600" s="242"/>
      <c r="M600" s="242"/>
      <c r="N600" s="242"/>
      <c r="O600" s="242"/>
      <c r="P600" s="242"/>
      <c r="Q600" s="242"/>
      <c r="R600" s="243"/>
      <c r="S600" s="242"/>
    </row>
    <row r="601" spans="3:19">
      <c r="C601" s="257"/>
      <c r="D601" s="242"/>
      <c r="E601" s="242"/>
      <c r="F601" s="242"/>
      <c r="G601" s="242"/>
      <c r="H601" s="242"/>
      <c r="I601" s="242"/>
      <c r="J601" s="242"/>
      <c r="K601" s="242"/>
      <c r="L601" s="242"/>
      <c r="M601" s="242"/>
      <c r="N601" s="242"/>
      <c r="O601" s="242"/>
      <c r="P601" s="242"/>
      <c r="Q601" s="242"/>
      <c r="R601" s="243"/>
      <c r="S601" s="242"/>
    </row>
    <row r="602" spans="3:19">
      <c r="C602" s="257"/>
      <c r="D602" s="242"/>
      <c r="E602" s="242"/>
      <c r="F602" s="242"/>
      <c r="G602" s="242"/>
      <c r="H602" s="242"/>
      <c r="I602" s="242"/>
      <c r="J602" s="242"/>
      <c r="K602" s="242"/>
      <c r="L602" s="242"/>
      <c r="M602" s="242"/>
      <c r="N602" s="242"/>
      <c r="O602" s="242"/>
      <c r="P602" s="242"/>
      <c r="Q602" s="242"/>
      <c r="R602" s="243"/>
      <c r="S602" s="242"/>
    </row>
    <row r="603" spans="3:19">
      <c r="C603" s="257"/>
      <c r="D603" s="242"/>
      <c r="E603" s="242"/>
      <c r="F603" s="242"/>
      <c r="G603" s="242"/>
      <c r="H603" s="242"/>
      <c r="I603" s="242"/>
      <c r="J603" s="242"/>
      <c r="K603" s="242"/>
      <c r="L603" s="242"/>
      <c r="M603" s="242"/>
      <c r="N603" s="242"/>
      <c r="O603" s="242"/>
      <c r="P603" s="242"/>
      <c r="Q603" s="242"/>
      <c r="R603" s="243"/>
      <c r="S603" s="242"/>
    </row>
    <row r="604" spans="3:19">
      <c r="C604" s="257"/>
      <c r="D604" s="242"/>
      <c r="E604" s="242"/>
      <c r="F604" s="242"/>
      <c r="G604" s="242"/>
      <c r="H604" s="242"/>
      <c r="I604" s="242"/>
      <c r="J604" s="242"/>
      <c r="K604" s="242"/>
      <c r="L604" s="242"/>
      <c r="M604" s="242"/>
      <c r="N604" s="242"/>
      <c r="O604" s="242"/>
      <c r="P604" s="242"/>
      <c r="Q604" s="242"/>
      <c r="R604" s="243"/>
      <c r="S604" s="242"/>
    </row>
    <row r="605" spans="3:19">
      <c r="C605" s="257"/>
      <c r="D605" s="242"/>
      <c r="E605" s="242"/>
      <c r="F605" s="242"/>
      <c r="G605" s="242"/>
      <c r="H605" s="242"/>
      <c r="I605" s="242"/>
      <c r="J605" s="242"/>
      <c r="K605" s="242"/>
      <c r="L605" s="242"/>
      <c r="M605" s="242"/>
      <c r="N605" s="242"/>
      <c r="O605" s="242"/>
      <c r="P605" s="242"/>
      <c r="Q605" s="242"/>
      <c r="R605" s="243"/>
      <c r="S605" s="242"/>
    </row>
    <row r="606" spans="3:19">
      <c r="C606" s="257"/>
      <c r="D606" s="242"/>
      <c r="E606" s="242"/>
      <c r="F606" s="242"/>
      <c r="G606" s="242"/>
      <c r="H606" s="242"/>
      <c r="I606" s="242"/>
      <c r="J606" s="242"/>
      <c r="K606" s="242"/>
      <c r="L606" s="242"/>
      <c r="M606" s="242"/>
      <c r="N606" s="242"/>
      <c r="O606" s="242"/>
      <c r="P606" s="242"/>
      <c r="Q606" s="242"/>
      <c r="R606" s="243"/>
      <c r="S606" s="242"/>
    </row>
    <row r="607" spans="3:19">
      <c r="C607" s="257"/>
      <c r="D607" s="242"/>
      <c r="E607" s="242"/>
      <c r="F607" s="242"/>
      <c r="G607" s="242"/>
      <c r="H607" s="242"/>
      <c r="I607" s="242"/>
      <c r="J607" s="242"/>
      <c r="K607" s="242"/>
      <c r="L607" s="242"/>
      <c r="M607" s="242"/>
      <c r="N607" s="242"/>
      <c r="O607" s="242"/>
      <c r="P607" s="242"/>
      <c r="Q607" s="242"/>
      <c r="R607" s="243"/>
      <c r="S607" s="242"/>
    </row>
    <row r="608" spans="3:19">
      <c r="C608" s="257"/>
      <c r="D608" s="242"/>
      <c r="E608" s="242"/>
      <c r="F608" s="242"/>
      <c r="G608" s="242"/>
      <c r="H608" s="242"/>
      <c r="I608" s="242"/>
      <c r="J608" s="242"/>
      <c r="K608" s="242"/>
      <c r="L608" s="242"/>
      <c r="M608" s="242"/>
      <c r="N608" s="242"/>
      <c r="O608" s="242"/>
      <c r="P608" s="242"/>
      <c r="Q608" s="242"/>
      <c r="R608" s="243"/>
      <c r="S608" s="242"/>
    </row>
    <row r="609" spans="3:19">
      <c r="C609" s="257"/>
      <c r="D609" s="242"/>
      <c r="E609" s="242"/>
      <c r="F609" s="242"/>
      <c r="G609" s="242"/>
      <c r="H609" s="242"/>
      <c r="I609" s="242"/>
      <c r="J609" s="242"/>
      <c r="K609" s="242"/>
      <c r="L609" s="242"/>
      <c r="M609" s="242"/>
      <c r="N609" s="242"/>
      <c r="O609" s="242"/>
      <c r="P609" s="242"/>
      <c r="Q609" s="242"/>
      <c r="R609" s="243"/>
      <c r="S609" s="242"/>
    </row>
    <row r="610" spans="3:19">
      <c r="C610" s="257"/>
      <c r="D610" s="242"/>
      <c r="E610" s="242"/>
      <c r="F610" s="242"/>
      <c r="G610" s="242"/>
      <c r="H610" s="242"/>
      <c r="I610" s="242"/>
      <c r="J610" s="242"/>
      <c r="K610" s="242"/>
      <c r="L610" s="242"/>
      <c r="M610" s="242"/>
      <c r="N610" s="242"/>
      <c r="O610" s="242"/>
      <c r="P610" s="242"/>
      <c r="Q610" s="242"/>
      <c r="R610" s="243"/>
      <c r="S610" s="242"/>
    </row>
    <row r="611" spans="3:19">
      <c r="C611" s="257"/>
      <c r="D611" s="242"/>
      <c r="E611" s="242"/>
      <c r="F611" s="242"/>
      <c r="G611" s="242"/>
      <c r="H611" s="242"/>
      <c r="I611" s="242"/>
      <c r="J611" s="242"/>
      <c r="K611" s="242"/>
      <c r="L611" s="242"/>
      <c r="M611" s="242"/>
      <c r="N611" s="242"/>
      <c r="O611" s="242"/>
      <c r="P611" s="242"/>
      <c r="Q611" s="242"/>
      <c r="R611" s="243"/>
      <c r="S611" s="242"/>
    </row>
    <row r="612" spans="3:19">
      <c r="C612" s="257"/>
      <c r="D612" s="242"/>
      <c r="E612" s="242"/>
      <c r="F612" s="242"/>
      <c r="G612" s="242"/>
      <c r="H612" s="242"/>
      <c r="I612" s="242"/>
      <c r="J612" s="242"/>
      <c r="K612" s="242"/>
      <c r="L612" s="242"/>
      <c r="M612" s="242"/>
      <c r="N612" s="242"/>
      <c r="O612" s="242"/>
      <c r="P612" s="242"/>
      <c r="Q612" s="242"/>
      <c r="R612" s="243"/>
      <c r="S612" s="242"/>
    </row>
    <row r="613" spans="3:19">
      <c r="C613" s="257"/>
      <c r="D613" s="242"/>
      <c r="E613" s="242"/>
      <c r="F613" s="242"/>
      <c r="G613" s="242"/>
      <c r="H613" s="242"/>
      <c r="I613" s="242"/>
      <c r="J613" s="242"/>
      <c r="K613" s="242"/>
      <c r="L613" s="242"/>
      <c r="M613" s="242"/>
      <c r="N613" s="242"/>
      <c r="O613" s="242"/>
      <c r="P613" s="242"/>
      <c r="Q613" s="242"/>
      <c r="R613" s="243"/>
      <c r="S613" s="242"/>
    </row>
    <row r="614" spans="3:19">
      <c r="C614" s="257"/>
      <c r="D614" s="242"/>
      <c r="E614" s="242"/>
      <c r="F614" s="242"/>
      <c r="G614" s="242"/>
      <c r="H614" s="242"/>
      <c r="I614" s="242"/>
      <c r="J614" s="242"/>
      <c r="K614" s="242"/>
      <c r="L614" s="242"/>
      <c r="M614" s="242"/>
      <c r="N614" s="242"/>
      <c r="O614" s="242"/>
      <c r="P614" s="242"/>
      <c r="Q614" s="242"/>
      <c r="R614" s="243"/>
      <c r="S614" s="242"/>
    </row>
    <row r="615" spans="3:19">
      <c r="C615" s="257"/>
      <c r="D615" s="242"/>
      <c r="E615" s="242"/>
      <c r="F615" s="242"/>
      <c r="G615" s="242"/>
      <c r="H615" s="242"/>
      <c r="I615" s="242"/>
      <c r="J615" s="242"/>
      <c r="K615" s="242"/>
      <c r="L615" s="242"/>
      <c r="M615" s="242"/>
      <c r="N615" s="242"/>
      <c r="O615" s="242"/>
      <c r="P615" s="242"/>
      <c r="Q615" s="242"/>
      <c r="R615" s="243"/>
      <c r="S615" s="242"/>
    </row>
    <row r="616" spans="3:19">
      <c r="C616" s="257"/>
      <c r="D616" s="242"/>
      <c r="E616" s="242"/>
      <c r="F616" s="242"/>
      <c r="G616" s="242"/>
      <c r="H616" s="242"/>
      <c r="I616" s="242"/>
      <c r="J616" s="242"/>
      <c r="K616" s="242"/>
      <c r="L616" s="242"/>
      <c r="M616" s="242"/>
      <c r="N616" s="242"/>
      <c r="O616" s="242"/>
      <c r="P616" s="242"/>
      <c r="Q616" s="242"/>
      <c r="R616" s="243"/>
      <c r="S616" s="242"/>
    </row>
    <row r="617" spans="3:19">
      <c r="C617" s="257"/>
      <c r="D617" s="242"/>
      <c r="E617" s="242"/>
      <c r="F617" s="242"/>
      <c r="G617" s="242"/>
      <c r="H617" s="242"/>
      <c r="I617" s="242"/>
      <c r="J617" s="242"/>
      <c r="K617" s="242"/>
      <c r="L617" s="242"/>
      <c r="M617" s="242"/>
      <c r="N617" s="242"/>
      <c r="O617" s="242"/>
      <c r="P617" s="242"/>
      <c r="Q617" s="242"/>
      <c r="R617" s="243"/>
      <c r="S617" s="242"/>
    </row>
    <row r="618" spans="3:19">
      <c r="C618" s="257"/>
      <c r="D618" s="242"/>
      <c r="E618" s="242"/>
      <c r="F618" s="242"/>
      <c r="G618" s="242"/>
      <c r="H618" s="242"/>
      <c r="I618" s="242"/>
      <c r="J618" s="242"/>
      <c r="K618" s="242"/>
      <c r="L618" s="242"/>
      <c r="M618" s="242"/>
      <c r="N618" s="242"/>
      <c r="O618" s="242"/>
      <c r="P618" s="242"/>
      <c r="Q618" s="242"/>
      <c r="R618" s="243"/>
      <c r="S618" s="242"/>
    </row>
    <row r="619" spans="3:19">
      <c r="C619" s="257"/>
      <c r="D619" s="242"/>
      <c r="E619" s="242"/>
      <c r="F619" s="242"/>
      <c r="G619" s="242"/>
      <c r="H619" s="242"/>
      <c r="I619" s="242"/>
      <c r="J619" s="242"/>
      <c r="K619" s="242"/>
      <c r="L619" s="242"/>
      <c r="M619" s="242"/>
      <c r="N619" s="242"/>
      <c r="O619" s="242"/>
      <c r="P619" s="242"/>
      <c r="Q619" s="242"/>
      <c r="R619" s="243"/>
      <c r="S619" s="242"/>
    </row>
    <row r="620" spans="3:19">
      <c r="C620" s="257"/>
      <c r="D620" s="242"/>
      <c r="E620" s="242"/>
      <c r="F620" s="242"/>
      <c r="G620" s="242"/>
      <c r="H620" s="242"/>
      <c r="I620" s="242"/>
      <c r="J620" s="242"/>
      <c r="K620" s="242"/>
      <c r="L620" s="242"/>
      <c r="M620" s="242"/>
      <c r="N620" s="242"/>
      <c r="O620" s="242"/>
      <c r="P620" s="242"/>
      <c r="Q620" s="242"/>
      <c r="R620" s="243"/>
      <c r="S620" s="242"/>
    </row>
    <row r="621" spans="3:19">
      <c r="C621" s="257"/>
      <c r="D621" s="242"/>
      <c r="E621" s="242"/>
      <c r="F621" s="242"/>
      <c r="G621" s="242"/>
      <c r="H621" s="242"/>
      <c r="I621" s="242"/>
      <c r="J621" s="242"/>
      <c r="K621" s="242"/>
      <c r="L621" s="242"/>
      <c r="M621" s="242"/>
      <c r="N621" s="242"/>
      <c r="O621" s="242"/>
      <c r="P621" s="242"/>
      <c r="Q621" s="242"/>
      <c r="R621" s="243"/>
      <c r="S621" s="242"/>
    </row>
    <row r="622" spans="3:19">
      <c r="C622" s="257"/>
      <c r="D622" s="242"/>
      <c r="E622" s="242"/>
      <c r="F622" s="242"/>
      <c r="G622" s="242"/>
      <c r="H622" s="242"/>
      <c r="I622" s="242"/>
      <c r="J622" s="242"/>
      <c r="K622" s="242"/>
      <c r="L622" s="242"/>
      <c r="M622" s="242"/>
      <c r="N622" s="242"/>
      <c r="O622" s="242"/>
      <c r="P622" s="242"/>
      <c r="Q622" s="242"/>
      <c r="R622" s="243"/>
      <c r="S622" s="242"/>
    </row>
    <row r="623" spans="3:19">
      <c r="C623" s="257"/>
      <c r="D623" s="242"/>
      <c r="E623" s="242"/>
      <c r="F623" s="242"/>
      <c r="G623" s="242"/>
      <c r="H623" s="242"/>
      <c r="I623" s="242"/>
      <c r="J623" s="242"/>
      <c r="K623" s="242"/>
      <c r="L623" s="242"/>
      <c r="M623" s="242"/>
      <c r="N623" s="242"/>
      <c r="O623" s="242"/>
      <c r="P623" s="242"/>
      <c r="Q623" s="242"/>
      <c r="R623" s="243"/>
      <c r="S623" s="242"/>
    </row>
    <row r="624" spans="3:19">
      <c r="C624" s="257"/>
      <c r="D624" s="242"/>
      <c r="E624" s="242"/>
      <c r="F624" s="242"/>
      <c r="G624" s="242"/>
      <c r="H624" s="242"/>
      <c r="I624" s="242"/>
      <c r="J624" s="242"/>
      <c r="K624" s="242"/>
      <c r="L624" s="242"/>
      <c r="M624" s="242"/>
      <c r="N624" s="242"/>
      <c r="O624" s="242"/>
      <c r="P624" s="242"/>
      <c r="Q624" s="242"/>
      <c r="R624" s="243"/>
      <c r="S624" s="242"/>
    </row>
    <row r="625" spans="3:19">
      <c r="C625" s="257"/>
      <c r="D625" s="242"/>
      <c r="E625" s="242"/>
      <c r="F625" s="242"/>
      <c r="G625" s="242"/>
      <c r="H625" s="242"/>
      <c r="I625" s="242"/>
      <c r="J625" s="242"/>
      <c r="K625" s="242"/>
      <c r="L625" s="242"/>
      <c r="M625" s="242"/>
      <c r="N625" s="242"/>
      <c r="O625" s="242"/>
      <c r="P625" s="242"/>
      <c r="Q625" s="242"/>
      <c r="R625" s="243"/>
      <c r="S625" s="242"/>
    </row>
    <row r="626" spans="3:19">
      <c r="C626" s="257"/>
      <c r="D626" s="242"/>
      <c r="E626" s="242"/>
      <c r="F626" s="242"/>
      <c r="G626" s="242"/>
      <c r="H626" s="242"/>
      <c r="I626" s="242"/>
      <c r="J626" s="242"/>
      <c r="K626" s="242"/>
      <c r="L626" s="242"/>
      <c r="M626" s="242"/>
      <c r="N626" s="242"/>
      <c r="O626" s="242"/>
      <c r="P626" s="242"/>
      <c r="Q626" s="242"/>
      <c r="R626" s="243"/>
      <c r="S626" s="242"/>
    </row>
    <row r="627" spans="3:19">
      <c r="C627" s="257"/>
      <c r="D627" s="242"/>
      <c r="E627" s="242"/>
      <c r="F627" s="242"/>
      <c r="G627" s="242"/>
      <c r="H627" s="242"/>
      <c r="I627" s="242"/>
      <c r="J627" s="242"/>
      <c r="K627" s="242"/>
      <c r="L627" s="242"/>
      <c r="M627" s="242"/>
      <c r="N627" s="242"/>
      <c r="O627" s="242"/>
      <c r="P627" s="242"/>
      <c r="Q627" s="242"/>
      <c r="R627" s="243"/>
      <c r="S627" s="242"/>
    </row>
    <row r="628" spans="3:19">
      <c r="C628" s="257"/>
      <c r="D628" s="242"/>
      <c r="E628" s="242"/>
      <c r="F628" s="242"/>
      <c r="G628" s="242"/>
      <c r="H628" s="242"/>
      <c r="I628" s="242"/>
      <c r="J628" s="242"/>
      <c r="K628" s="242"/>
      <c r="L628" s="242"/>
      <c r="M628" s="242"/>
      <c r="N628" s="242"/>
      <c r="O628" s="242"/>
      <c r="P628" s="242"/>
      <c r="Q628" s="242"/>
      <c r="R628" s="243"/>
      <c r="S628" s="242"/>
    </row>
    <row r="629" spans="3:19">
      <c r="C629" s="257"/>
      <c r="D629" s="242"/>
      <c r="E629" s="242"/>
      <c r="F629" s="242"/>
      <c r="G629" s="242"/>
      <c r="H629" s="242"/>
      <c r="I629" s="242"/>
      <c r="J629" s="242"/>
      <c r="K629" s="242"/>
      <c r="L629" s="242"/>
      <c r="M629" s="242"/>
      <c r="N629" s="242"/>
      <c r="O629" s="242"/>
      <c r="P629" s="242"/>
      <c r="Q629" s="242"/>
      <c r="R629" s="243"/>
      <c r="S629" s="242"/>
    </row>
    <row r="630" spans="3:19">
      <c r="C630" s="257"/>
      <c r="D630" s="242"/>
      <c r="E630" s="242"/>
      <c r="F630" s="242"/>
      <c r="G630" s="242"/>
      <c r="H630" s="242"/>
      <c r="I630" s="242"/>
      <c r="J630" s="242"/>
      <c r="K630" s="242"/>
      <c r="L630" s="242"/>
      <c r="M630" s="242"/>
      <c r="N630" s="242"/>
      <c r="O630" s="242"/>
      <c r="P630" s="242"/>
      <c r="Q630" s="242"/>
      <c r="R630" s="243"/>
      <c r="S630" s="242"/>
    </row>
    <row r="631" spans="3:19">
      <c r="C631" s="257"/>
      <c r="D631" s="242"/>
      <c r="E631" s="242"/>
      <c r="F631" s="242"/>
      <c r="G631" s="242"/>
      <c r="H631" s="242"/>
      <c r="I631" s="242"/>
      <c r="J631" s="242"/>
      <c r="K631" s="242"/>
      <c r="L631" s="242"/>
      <c r="M631" s="242"/>
      <c r="N631" s="242"/>
      <c r="O631" s="242"/>
      <c r="P631" s="242"/>
      <c r="Q631" s="242"/>
      <c r="R631" s="243"/>
      <c r="S631" s="242"/>
    </row>
    <row r="632" spans="3:19">
      <c r="C632" s="257"/>
      <c r="D632" s="242"/>
      <c r="E632" s="242"/>
      <c r="F632" s="242"/>
      <c r="G632" s="242"/>
      <c r="H632" s="242"/>
      <c r="I632" s="242"/>
      <c r="J632" s="242"/>
      <c r="K632" s="242"/>
      <c r="L632" s="242"/>
      <c r="M632" s="242"/>
      <c r="N632" s="242"/>
      <c r="O632" s="242"/>
      <c r="P632" s="242"/>
      <c r="Q632" s="242"/>
      <c r="R632" s="243"/>
      <c r="S632" s="242"/>
    </row>
    <row r="633" spans="3:19">
      <c r="C633" s="257"/>
      <c r="D633" s="242"/>
      <c r="E633" s="242"/>
      <c r="F633" s="242"/>
      <c r="G633" s="242"/>
      <c r="H633" s="242"/>
      <c r="I633" s="242"/>
      <c r="J633" s="242"/>
      <c r="K633" s="242"/>
      <c r="L633" s="242"/>
      <c r="M633" s="242"/>
      <c r="N633" s="242"/>
      <c r="O633" s="242"/>
      <c r="P633" s="242"/>
      <c r="Q633" s="242"/>
      <c r="R633" s="243"/>
      <c r="S633" s="242"/>
    </row>
    <row r="634" spans="3:19">
      <c r="C634" s="257"/>
      <c r="D634" s="242"/>
      <c r="E634" s="242"/>
      <c r="F634" s="242"/>
      <c r="G634" s="242"/>
      <c r="H634" s="242"/>
      <c r="I634" s="242"/>
      <c r="J634" s="242"/>
      <c r="K634" s="242"/>
      <c r="L634" s="242"/>
      <c r="M634" s="242"/>
      <c r="N634" s="242"/>
      <c r="O634" s="242"/>
      <c r="P634" s="242"/>
      <c r="Q634" s="242"/>
      <c r="R634" s="243"/>
      <c r="S634" s="242"/>
    </row>
    <row r="635" spans="3:19">
      <c r="C635" s="257"/>
      <c r="D635" s="242"/>
      <c r="E635" s="242"/>
      <c r="F635" s="242"/>
      <c r="G635" s="242"/>
      <c r="H635" s="242"/>
      <c r="I635" s="242"/>
      <c r="J635" s="242"/>
      <c r="K635" s="242"/>
      <c r="L635" s="242"/>
      <c r="M635" s="242"/>
      <c r="N635" s="242"/>
      <c r="O635" s="242"/>
      <c r="P635" s="242"/>
      <c r="Q635" s="242"/>
      <c r="R635" s="243"/>
      <c r="S635" s="242"/>
    </row>
    <row r="636" spans="3:19">
      <c r="C636" s="257"/>
      <c r="D636" s="242"/>
      <c r="E636" s="242"/>
      <c r="F636" s="242"/>
      <c r="G636" s="242"/>
      <c r="H636" s="242"/>
      <c r="I636" s="242"/>
      <c r="J636" s="242"/>
      <c r="K636" s="242"/>
      <c r="L636" s="242"/>
      <c r="M636" s="242"/>
      <c r="N636" s="242"/>
      <c r="O636" s="242"/>
      <c r="P636" s="242"/>
      <c r="Q636" s="242"/>
      <c r="R636" s="243"/>
      <c r="S636" s="242"/>
    </row>
    <row r="637" spans="3:19">
      <c r="C637" s="257"/>
      <c r="D637" s="242"/>
      <c r="E637" s="242"/>
      <c r="F637" s="242"/>
      <c r="G637" s="242"/>
      <c r="H637" s="242"/>
      <c r="I637" s="242"/>
      <c r="J637" s="242"/>
      <c r="K637" s="242"/>
      <c r="L637" s="242"/>
      <c r="M637" s="242"/>
      <c r="N637" s="242"/>
      <c r="O637" s="242"/>
      <c r="P637" s="242"/>
      <c r="Q637" s="242"/>
      <c r="R637" s="243"/>
      <c r="S637" s="242"/>
    </row>
    <row r="638" spans="3:19">
      <c r="C638" s="257"/>
      <c r="D638" s="242"/>
      <c r="E638" s="242"/>
      <c r="F638" s="242"/>
      <c r="G638" s="242"/>
      <c r="H638" s="242"/>
      <c r="I638" s="242"/>
      <c r="J638" s="242"/>
      <c r="K638" s="242"/>
      <c r="L638" s="242"/>
      <c r="M638" s="242"/>
      <c r="N638" s="242"/>
      <c r="O638" s="242"/>
      <c r="P638" s="242"/>
      <c r="Q638" s="242"/>
      <c r="R638" s="243"/>
      <c r="S638" s="242"/>
    </row>
    <row r="639" spans="3:19">
      <c r="C639" s="257"/>
      <c r="D639" s="242"/>
      <c r="E639" s="242"/>
      <c r="F639" s="242"/>
      <c r="G639" s="242"/>
      <c r="H639" s="242"/>
      <c r="I639" s="242"/>
      <c r="J639" s="242"/>
      <c r="K639" s="242"/>
      <c r="L639" s="242"/>
      <c r="M639" s="242"/>
      <c r="N639" s="242"/>
      <c r="O639" s="242"/>
      <c r="P639" s="242"/>
      <c r="Q639" s="242"/>
      <c r="R639" s="243"/>
      <c r="S639" s="242"/>
    </row>
    <row r="640" spans="3:19">
      <c r="C640" s="257"/>
      <c r="D640" s="242"/>
      <c r="E640" s="242"/>
      <c r="F640" s="242"/>
      <c r="G640" s="242"/>
      <c r="H640" s="242"/>
      <c r="I640" s="242"/>
      <c r="J640" s="242"/>
      <c r="K640" s="242"/>
      <c r="L640" s="242"/>
      <c r="M640" s="242"/>
      <c r="N640" s="242"/>
      <c r="O640" s="242"/>
      <c r="P640" s="242"/>
      <c r="Q640" s="242"/>
      <c r="R640" s="243"/>
      <c r="S640" s="242"/>
    </row>
    <row r="641" spans="3:19">
      <c r="C641" s="257"/>
      <c r="D641" s="242"/>
      <c r="E641" s="242"/>
      <c r="F641" s="242"/>
      <c r="G641" s="242"/>
      <c r="H641" s="242"/>
      <c r="I641" s="242"/>
      <c r="J641" s="242"/>
      <c r="K641" s="242"/>
      <c r="L641" s="242"/>
      <c r="M641" s="242"/>
      <c r="N641" s="242"/>
      <c r="O641" s="242"/>
      <c r="P641" s="242"/>
      <c r="Q641" s="242"/>
      <c r="R641" s="243"/>
      <c r="S641" s="242"/>
    </row>
    <row r="642" spans="3:19">
      <c r="C642" s="257"/>
      <c r="D642" s="242"/>
      <c r="E642" s="242"/>
      <c r="F642" s="242"/>
      <c r="G642" s="242"/>
      <c r="H642" s="242"/>
      <c r="I642" s="242"/>
      <c r="J642" s="242"/>
      <c r="K642" s="242"/>
      <c r="L642" s="242"/>
      <c r="M642" s="242"/>
      <c r="N642" s="242"/>
      <c r="O642" s="242"/>
      <c r="P642" s="242"/>
      <c r="Q642" s="242"/>
      <c r="R642" s="243"/>
      <c r="S642" s="242"/>
    </row>
    <row r="643" spans="3:19">
      <c r="C643" s="257"/>
      <c r="D643" s="242"/>
      <c r="E643" s="242"/>
      <c r="F643" s="242"/>
      <c r="G643" s="242"/>
      <c r="H643" s="242"/>
      <c r="I643" s="242"/>
      <c r="J643" s="242"/>
      <c r="K643" s="242"/>
      <c r="L643" s="242"/>
      <c r="M643" s="242"/>
      <c r="N643" s="242"/>
      <c r="O643" s="242"/>
      <c r="P643" s="242"/>
      <c r="Q643" s="242"/>
      <c r="R643" s="243"/>
      <c r="S643" s="242"/>
    </row>
    <row r="644" spans="3:19">
      <c r="C644" s="257"/>
      <c r="D644" s="242"/>
      <c r="E644" s="242"/>
      <c r="F644" s="242"/>
      <c r="G644" s="242"/>
      <c r="H644" s="242"/>
      <c r="I644" s="242"/>
      <c r="J644" s="242"/>
      <c r="K644" s="242"/>
      <c r="L644" s="242"/>
      <c r="M644" s="242"/>
      <c r="N644" s="242"/>
      <c r="O644" s="242"/>
      <c r="P644" s="242"/>
      <c r="Q644" s="242"/>
      <c r="R644" s="243"/>
      <c r="S644" s="242"/>
    </row>
    <row r="645" spans="3:19">
      <c r="C645" s="257"/>
      <c r="D645" s="242"/>
      <c r="E645" s="242"/>
      <c r="F645" s="242"/>
      <c r="G645" s="242"/>
      <c r="H645" s="242"/>
      <c r="I645" s="242"/>
      <c r="J645" s="242"/>
      <c r="K645" s="242"/>
      <c r="L645" s="242"/>
      <c r="M645" s="242"/>
      <c r="N645" s="242"/>
      <c r="O645" s="242"/>
      <c r="P645" s="242"/>
      <c r="Q645" s="242"/>
      <c r="R645" s="243"/>
      <c r="S645" s="242"/>
    </row>
    <row r="646" spans="3:19">
      <c r="C646" s="257"/>
      <c r="D646" s="242"/>
      <c r="E646" s="242"/>
      <c r="F646" s="242"/>
      <c r="G646" s="242"/>
      <c r="H646" s="242"/>
      <c r="I646" s="242"/>
      <c r="J646" s="242"/>
      <c r="K646" s="242"/>
      <c r="L646" s="242"/>
      <c r="M646" s="242"/>
      <c r="N646" s="242"/>
      <c r="O646" s="242"/>
      <c r="P646" s="242"/>
      <c r="Q646" s="242"/>
      <c r="R646" s="243"/>
      <c r="S646" s="242"/>
    </row>
    <row r="647" spans="3:19">
      <c r="C647" s="257"/>
      <c r="D647" s="242"/>
      <c r="E647" s="242"/>
      <c r="F647" s="242"/>
      <c r="G647" s="242"/>
      <c r="H647" s="242"/>
      <c r="I647" s="242"/>
      <c r="J647" s="242"/>
      <c r="K647" s="242"/>
      <c r="L647" s="242"/>
      <c r="M647" s="242"/>
      <c r="N647" s="242"/>
      <c r="O647" s="242"/>
      <c r="P647" s="242"/>
      <c r="Q647" s="242"/>
      <c r="R647" s="243"/>
      <c r="S647" s="242"/>
    </row>
    <row r="648" spans="3:19">
      <c r="C648" s="257"/>
      <c r="D648" s="242"/>
      <c r="E648" s="242"/>
      <c r="F648" s="242"/>
      <c r="G648" s="242"/>
      <c r="H648" s="242"/>
      <c r="I648" s="242"/>
      <c r="J648" s="242"/>
      <c r="K648" s="242"/>
      <c r="L648" s="242"/>
      <c r="M648" s="242"/>
      <c r="N648" s="242"/>
      <c r="O648" s="242"/>
      <c r="P648" s="242"/>
      <c r="Q648" s="242"/>
      <c r="R648" s="243"/>
      <c r="S648" s="242"/>
    </row>
    <row r="649" spans="3:19">
      <c r="C649" s="257"/>
      <c r="D649" s="242"/>
      <c r="E649" s="242"/>
      <c r="F649" s="242"/>
      <c r="G649" s="242"/>
      <c r="H649" s="242"/>
      <c r="I649" s="242"/>
      <c r="J649" s="242"/>
      <c r="K649" s="242"/>
      <c r="L649" s="242"/>
      <c r="M649" s="242"/>
      <c r="N649" s="242"/>
      <c r="O649" s="242"/>
      <c r="P649" s="242"/>
      <c r="Q649" s="242"/>
      <c r="R649" s="243"/>
      <c r="S649" s="242"/>
    </row>
    <row r="650" spans="3:19">
      <c r="C650" s="257"/>
      <c r="D650" s="242"/>
      <c r="E650" s="242"/>
      <c r="F650" s="242"/>
      <c r="G650" s="242"/>
      <c r="H650" s="242"/>
      <c r="I650" s="242"/>
      <c r="J650" s="242"/>
      <c r="K650" s="242"/>
      <c r="L650" s="242"/>
      <c r="M650" s="242"/>
      <c r="N650" s="242"/>
      <c r="O650" s="242"/>
      <c r="P650" s="242"/>
      <c r="Q650" s="242"/>
      <c r="R650" s="243"/>
      <c r="S650" s="242"/>
    </row>
    <row r="651" spans="3:19">
      <c r="C651" s="257"/>
      <c r="D651" s="242"/>
      <c r="E651" s="242"/>
      <c r="F651" s="242"/>
      <c r="G651" s="242"/>
      <c r="H651" s="242"/>
      <c r="I651" s="242"/>
      <c r="J651" s="242"/>
      <c r="K651" s="242"/>
      <c r="L651" s="242"/>
      <c r="M651" s="242"/>
      <c r="N651" s="242"/>
      <c r="O651" s="242"/>
      <c r="P651" s="242"/>
      <c r="Q651" s="242"/>
      <c r="R651" s="243"/>
      <c r="S651" s="242"/>
    </row>
    <row r="652" spans="3:19">
      <c r="C652" s="257"/>
      <c r="D652" s="242"/>
      <c r="E652" s="242"/>
      <c r="F652" s="242"/>
      <c r="G652" s="242"/>
      <c r="H652" s="242"/>
      <c r="I652" s="242"/>
      <c r="J652" s="242"/>
      <c r="K652" s="242"/>
      <c r="L652" s="242"/>
      <c r="M652" s="242"/>
      <c r="N652" s="242"/>
      <c r="O652" s="242"/>
      <c r="P652" s="242"/>
      <c r="Q652" s="242"/>
      <c r="R652" s="243"/>
      <c r="S652" s="242"/>
    </row>
    <row r="653" spans="3:19">
      <c r="C653" s="257"/>
      <c r="D653" s="242"/>
      <c r="E653" s="242"/>
      <c r="F653" s="242"/>
      <c r="G653" s="242"/>
      <c r="H653" s="242"/>
      <c r="I653" s="242"/>
      <c r="J653" s="242"/>
      <c r="K653" s="242"/>
      <c r="L653" s="242"/>
      <c r="M653" s="242"/>
      <c r="N653" s="242"/>
      <c r="O653" s="242"/>
      <c r="P653" s="242"/>
      <c r="Q653" s="242"/>
      <c r="R653" s="243"/>
      <c r="S653" s="242"/>
    </row>
    <row r="654" spans="3:19">
      <c r="C654" s="257"/>
      <c r="D654" s="242"/>
      <c r="E654" s="242"/>
      <c r="F654" s="242"/>
      <c r="G654" s="242"/>
      <c r="H654" s="242"/>
      <c r="I654" s="242"/>
      <c r="J654" s="242"/>
      <c r="K654" s="242"/>
      <c r="L654" s="242"/>
      <c r="M654" s="242"/>
      <c r="N654" s="242"/>
      <c r="O654" s="242"/>
      <c r="P654" s="242"/>
      <c r="Q654" s="242"/>
      <c r="R654" s="243"/>
      <c r="S654" s="242"/>
    </row>
    <row r="655" spans="3:19">
      <c r="C655" s="257"/>
      <c r="D655" s="242"/>
      <c r="E655" s="242"/>
      <c r="F655" s="242"/>
      <c r="G655" s="242"/>
      <c r="H655" s="242"/>
      <c r="I655" s="242"/>
      <c r="J655" s="242"/>
      <c r="K655" s="242"/>
      <c r="L655" s="242"/>
      <c r="M655" s="242"/>
      <c r="N655" s="242"/>
      <c r="O655" s="242"/>
      <c r="P655" s="242"/>
      <c r="Q655" s="242"/>
      <c r="R655" s="243"/>
      <c r="S655" s="242"/>
    </row>
    <row r="656" spans="3:19">
      <c r="C656" s="257"/>
      <c r="D656" s="242"/>
      <c r="E656" s="242"/>
      <c r="F656" s="242"/>
      <c r="G656" s="242"/>
      <c r="H656" s="242"/>
      <c r="I656" s="242"/>
      <c r="J656" s="242"/>
      <c r="K656" s="242"/>
      <c r="L656" s="242"/>
      <c r="M656" s="242"/>
      <c r="N656" s="242"/>
      <c r="O656" s="242"/>
      <c r="P656" s="242"/>
      <c r="Q656" s="242"/>
      <c r="R656" s="243"/>
      <c r="S656" s="242"/>
    </row>
    <row r="657" spans="3:19">
      <c r="C657" s="257"/>
      <c r="D657" s="242"/>
      <c r="E657" s="242"/>
      <c r="F657" s="242"/>
      <c r="G657" s="242"/>
      <c r="H657" s="242"/>
      <c r="I657" s="242"/>
      <c r="J657" s="242"/>
      <c r="K657" s="242"/>
      <c r="L657" s="242"/>
      <c r="M657" s="242"/>
      <c r="N657" s="242"/>
      <c r="O657" s="242"/>
      <c r="P657" s="242"/>
      <c r="Q657" s="242"/>
      <c r="R657" s="243"/>
      <c r="S657" s="242"/>
    </row>
    <row r="658" spans="3:19">
      <c r="C658" s="257"/>
      <c r="D658" s="242"/>
      <c r="E658" s="242"/>
      <c r="F658" s="242"/>
      <c r="G658" s="242"/>
      <c r="H658" s="242"/>
      <c r="I658" s="242"/>
      <c r="J658" s="242"/>
      <c r="K658" s="242"/>
      <c r="L658" s="242"/>
      <c r="M658" s="242"/>
      <c r="N658" s="242"/>
      <c r="O658" s="242"/>
      <c r="P658" s="242"/>
      <c r="Q658" s="242"/>
      <c r="R658" s="243"/>
      <c r="S658" s="242"/>
    </row>
    <row r="659" spans="3:19">
      <c r="C659" s="257"/>
      <c r="D659" s="242"/>
      <c r="E659" s="242"/>
      <c r="F659" s="242"/>
      <c r="G659" s="242"/>
      <c r="H659" s="242"/>
      <c r="I659" s="242"/>
      <c r="J659" s="242"/>
      <c r="K659" s="242"/>
      <c r="L659" s="242"/>
      <c r="M659" s="242"/>
      <c r="N659" s="242"/>
      <c r="O659" s="242"/>
      <c r="P659" s="242"/>
      <c r="Q659" s="242"/>
      <c r="R659" s="243"/>
      <c r="S659" s="242"/>
    </row>
    <row r="660" spans="3:19">
      <c r="C660" s="257"/>
      <c r="D660" s="242"/>
      <c r="E660" s="242"/>
      <c r="F660" s="242"/>
      <c r="G660" s="242"/>
      <c r="H660" s="242"/>
      <c r="I660" s="242"/>
      <c r="J660" s="242"/>
      <c r="K660" s="242"/>
      <c r="L660" s="242"/>
      <c r="M660" s="242"/>
      <c r="N660" s="242"/>
      <c r="O660" s="242"/>
      <c r="P660" s="242"/>
      <c r="Q660" s="242"/>
      <c r="R660" s="243"/>
      <c r="S660" s="242"/>
    </row>
    <row r="661" spans="3:19">
      <c r="C661" s="257"/>
      <c r="D661" s="242"/>
      <c r="E661" s="242"/>
      <c r="F661" s="242"/>
      <c r="G661" s="242"/>
      <c r="H661" s="242"/>
      <c r="I661" s="242"/>
      <c r="J661" s="242"/>
      <c r="K661" s="242"/>
      <c r="L661" s="242"/>
      <c r="M661" s="242"/>
      <c r="N661" s="242"/>
      <c r="O661" s="242"/>
      <c r="P661" s="242"/>
      <c r="Q661" s="242"/>
      <c r="R661" s="243"/>
      <c r="S661" s="242"/>
    </row>
    <row r="662" spans="3:19">
      <c r="C662" s="257"/>
      <c r="D662" s="242"/>
      <c r="E662" s="242"/>
      <c r="F662" s="242"/>
      <c r="G662" s="242"/>
      <c r="H662" s="242"/>
      <c r="I662" s="242"/>
      <c r="J662" s="242"/>
      <c r="K662" s="242"/>
      <c r="L662" s="242"/>
      <c r="M662" s="242"/>
      <c r="N662" s="242"/>
      <c r="O662" s="242"/>
      <c r="P662" s="242"/>
      <c r="Q662" s="242"/>
      <c r="R662" s="243"/>
      <c r="S662" s="242"/>
    </row>
    <row r="663" spans="3:19">
      <c r="C663" s="257"/>
      <c r="D663" s="242"/>
      <c r="E663" s="242"/>
      <c r="F663" s="242"/>
      <c r="G663" s="242"/>
      <c r="H663" s="242"/>
      <c r="I663" s="242"/>
      <c r="J663" s="242"/>
      <c r="K663" s="242"/>
      <c r="L663" s="242"/>
      <c r="M663" s="242"/>
      <c r="N663" s="242"/>
      <c r="O663" s="242"/>
      <c r="P663" s="242"/>
      <c r="Q663" s="242"/>
      <c r="R663" s="243"/>
      <c r="S663" s="242"/>
    </row>
    <row r="664" spans="3:19">
      <c r="C664" s="257"/>
      <c r="D664" s="242"/>
      <c r="E664" s="242"/>
      <c r="F664" s="242"/>
      <c r="G664" s="242"/>
      <c r="H664" s="242"/>
      <c r="I664" s="242"/>
      <c r="J664" s="242"/>
      <c r="K664" s="242"/>
      <c r="L664" s="242"/>
      <c r="M664" s="242"/>
      <c r="N664" s="242"/>
      <c r="O664" s="242"/>
      <c r="P664" s="242"/>
      <c r="Q664" s="242"/>
      <c r="R664" s="243"/>
      <c r="S664" s="242"/>
    </row>
    <row r="665" spans="3:19">
      <c r="C665" s="257"/>
      <c r="D665" s="242"/>
      <c r="E665" s="242"/>
      <c r="F665" s="242"/>
      <c r="G665" s="242"/>
      <c r="H665" s="242"/>
      <c r="I665" s="242"/>
      <c r="J665" s="242"/>
      <c r="K665" s="242"/>
      <c r="L665" s="242"/>
      <c r="M665" s="242"/>
      <c r="N665" s="242"/>
      <c r="O665" s="242"/>
      <c r="P665" s="242"/>
      <c r="Q665" s="242"/>
      <c r="R665" s="243"/>
      <c r="S665" s="242"/>
    </row>
    <row r="666" spans="3:19">
      <c r="C666" s="257"/>
      <c r="D666" s="242"/>
      <c r="E666" s="242"/>
      <c r="F666" s="242"/>
      <c r="G666" s="242"/>
      <c r="H666" s="242"/>
      <c r="I666" s="242"/>
      <c r="J666" s="242"/>
      <c r="K666" s="242"/>
      <c r="L666" s="242"/>
      <c r="M666" s="242"/>
      <c r="N666" s="242"/>
      <c r="O666" s="242"/>
      <c r="P666" s="242"/>
      <c r="Q666" s="242"/>
      <c r="R666" s="243"/>
      <c r="S666" s="242"/>
    </row>
    <row r="667" spans="3:19">
      <c r="C667" s="257"/>
      <c r="D667" s="242"/>
      <c r="E667" s="242"/>
      <c r="F667" s="242"/>
      <c r="G667" s="242"/>
      <c r="H667" s="242"/>
      <c r="I667" s="242"/>
      <c r="J667" s="242"/>
      <c r="K667" s="242"/>
      <c r="L667" s="242"/>
      <c r="M667" s="242"/>
      <c r="N667" s="242"/>
      <c r="O667" s="242"/>
      <c r="P667" s="242"/>
      <c r="Q667" s="242"/>
      <c r="R667" s="243"/>
      <c r="S667" s="242"/>
    </row>
    <row r="668" spans="3:19">
      <c r="C668" s="257"/>
      <c r="D668" s="242"/>
      <c r="E668" s="242"/>
      <c r="F668" s="242"/>
      <c r="G668" s="242"/>
      <c r="H668" s="242"/>
      <c r="I668" s="242"/>
      <c r="J668" s="242"/>
      <c r="K668" s="242"/>
      <c r="L668" s="242"/>
      <c r="M668" s="242"/>
      <c r="N668" s="242"/>
      <c r="O668" s="242"/>
      <c r="P668" s="242"/>
      <c r="Q668" s="242"/>
      <c r="R668" s="243"/>
      <c r="S668" s="242"/>
    </row>
    <row r="669" spans="3:19">
      <c r="C669" s="257"/>
      <c r="D669" s="242"/>
      <c r="E669" s="242"/>
      <c r="F669" s="242"/>
      <c r="G669" s="242"/>
      <c r="H669" s="242"/>
      <c r="I669" s="242"/>
      <c r="J669" s="242"/>
      <c r="K669" s="242"/>
      <c r="L669" s="242"/>
      <c r="M669" s="242"/>
      <c r="N669" s="242"/>
      <c r="O669" s="242"/>
      <c r="P669" s="242"/>
      <c r="Q669" s="242"/>
      <c r="R669" s="243"/>
      <c r="S669" s="242"/>
    </row>
    <row r="670" spans="3:19">
      <c r="C670" s="257"/>
      <c r="D670" s="242"/>
      <c r="E670" s="242"/>
      <c r="F670" s="242"/>
      <c r="G670" s="242"/>
      <c r="H670" s="242"/>
      <c r="I670" s="242"/>
      <c r="J670" s="242"/>
      <c r="K670" s="242"/>
      <c r="L670" s="242"/>
      <c r="M670" s="242"/>
      <c r="N670" s="242"/>
      <c r="O670" s="242"/>
      <c r="P670" s="242"/>
      <c r="Q670" s="242"/>
      <c r="R670" s="243"/>
      <c r="S670" s="242"/>
    </row>
    <row r="671" spans="3:19">
      <c r="C671" s="257"/>
      <c r="D671" s="242"/>
      <c r="E671" s="242"/>
      <c r="F671" s="242"/>
      <c r="G671" s="242"/>
      <c r="H671" s="242"/>
      <c r="I671" s="242"/>
      <c r="J671" s="242"/>
      <c r="K671" s="242"/>
      <c r="L671" s="242"/>
      <c r="M671" s="242"/>
      <c r="N671" s="242"/>
      <c r="O671" s="242"/>
      <c r="P671" s="242"/>
      <c r="Q671" s="242"/>
      <c r="R671" s="243"/>
      <c r="S671" s="242"/>
    </row>
    <row r="672" spans="3:19">
      <c r="C672" s="257"/>
      <c r="D672" s="242"/>
      <c r="E672" s="242"/>
      <c r="F672" s="242"/>
      <c r="G672" s="242"/>
      <c r="H672" s="242"/>
      <c r="I672" s="242"/>
      <c r="J672" s="242"/>
      <c r="K672" s="242"/>
      <c r="L672" s="242"/>
      <c r="M672" s="242"/>
      <c r="N672" s="242"/>
      <c r="O672" s="242"/>
      <c r="P672" s="242"/>
      <c r="Q672" s="242"/>
      <c r="R672" s="243"/>
      <c r="S672" s="242"/>
    </row>
    <row r="673" spans="3:19">
      <c r="C673" s="257"/>
      <c r="D673" s="242"/>
      <c r="E673" s="242"/>
      <c r="F673" s="242"/>
      <c r="G673" s="242"/>
      <c r="H673" s="242"/>
      <c r="I673" s="242"/>
      <c r="J673" s="242"/>
      <c r="K673" s="242"/>
      <c r="L673" s="242"/>
      <c r="M673" s="242"/>
      <c r="N673" s="242"/>
      <c r="O673" s="242"/>
      <c r="P673" s="242"/>
      <c r="Q673" s="242"/>
      <c r="R673" s="243"/>
      <c r="S673" s="242"/>
    </row>
    <row r="674" spans="3:19">
      <c r="C674" s="257"/>
      <c r="D674" s="242"/>
      <c r="E674" s="242"/>
      <c r="F674" s="242"/>
      <c r="G674" s="242"/>
      <c r="H674" s="242"/>
      <c r="I674" s="242"/>
      <c r="J674" s="242"/>
      <c r="K674" s="242"/>
      <c r="L674" s="242"/>
      <c r="M674" s="242"/>
      <c r="N674" s="242"/>
      <c r="O674" s="242"/>
      <c r="P674" s="242"/>
      <c r="Q674" s="242"/>
      <c r="R674" s="243"/>
      <c r="S674" s="242"/>
    </row>
    <row r="675" spans="3:19">
      <c r="C675" s="257"/>
      <c r="D675" s="242"/>
      <c r="E675" s="242"/>
      <c r="F675" s="242"/>
      <c r="G675" s="242"/>
      <c r="H675" s="242"/>
      <c r="I675" s="242"/>
      <c r="J675" s="242"/>
      <c r="K675" s="242"/>
      <c r="L675" s="242"/>
      <c r="M675" s="242"/>
      <c r="N675" s="242"/>
      <c r="O675" s="242"/>
      <c r="P675" s="242"/>
      <c r="Q675" s="242"/>
      <c r="R675" s="243"/>
      <c r="S675" s="242"/>
    </row>
    <row r="676" spans="3:19">
      <c r="C676" s="257"/>
      <c r="D676" s="242"/>
      <c r="E676" s="242"/>
      <c r="F676" s="242"/>
      <c r="G676" s="242"/>
      <c r="H676" s="242"/>
      <c r="I676" s="242"/>
      <c r="J676" s="242"/>
      <c r="K676" s="242"/>
      <c r="L676" s="242"/>
      <c r="M676" s="242"/>
      <c r="N676" s="242"/>
      <c r="O676" s="242"/>
      <c r="P676" s="242"/>
      <c r="Q676" s="242"/>
      <c r="R676" s="243"/>
      <c r="S676" s="242"/>
    </row>
    <row r="677" spans="3:19">
      <c r="C677" s="257"/>
      <c r="D677" s="242"/>
      <c r="E677" s="242"/>
      <c r="F677" s="242"/>
      <c r="G677" s="242"/>
      <c r="H677" s="242"/>
      <c r="I677" s="242"/>
      <c r="J677" s="242"/>
      <c r="K677" s="242"/>
      <c r="L677" s="242"/>
      <c r="M677" s="242"/>
      <c r="N677" s="242"/>
      <c r="O677" s="242"/>
      <c r="P677" s="242"/>
      <c r="Q677" s="242"/>
      <c r="R677" s="243"/>
      <c r="S677" s="242"/>
    </row>
    <row r="678" spans="3:19">
      <c r="C678" s="257"/>
      <c r="D678" s="242"/>
      <c r="E678" s="242"/>
      <c r="F678" s="242"/>
      <c r="G678" s="242"/>
      <c r="H678" s="242"/>
      <c r="I678" s="242"/>
      <c r="J678" s="242"/>
      <c r="K678" s="242"/>
      <c r="L678" s="242"/>
      <c r="M678" s="242"/>
      <c r="N678" s="242"/>
      <c r="O678" s="242"/>
      <c r="P678" s="242"/>
      <c r="Q678" s="242"/>
      <c r="R678" s="243"/>
      <c r="S678" s="242"/>
    </row>
    <row r="679" spans="3:19">
      <c r="C679" s="257"/>
      <c r="D679" s="242"/>
      <c r="E679" s="242"/>
      <c r="F679" s="242"/>
      <c r="G679" s="242"/>
      <c r="H679" s="242"/>
      <c r="I679" s="242"/>
      <c r="J679" s="242"/>
      <c r="K679" s="242"/>
      <c r="L679" s="242"/>
      <c r="M679" s="242"/>
      <c r="N679" s="242"/>
      <c r="O679" s="242"/>
      <c r="P679" s="242"/>
      <c r="Q679" s="242"/>
      <c r="R679" s="243"/>
      <c r="S679" s="242"/>
    </row>
    <row r="680" spans="3:19">
      <c r="C680" s="257"/>
      <c r="D680" s="242"/>
      <c r="E680" s="242"/>
      <c r="F680" s="242"/>
      <c r="G680" s="242"/>
      <c r="H680" s="242"/>
      <c r="I680" s="242"/>
      <c r="J680" s="242"/>
      <c r="K680" s="242"/>
      <c r="L680" s="242"/>
      <c r="M680" s="242"/>
      <c r="N680" s="242"/>
      <c r="O680" s="242"/>
      <c r="P680" s="242"/>
      <c r="Q680" s="242"/>
      <c r="R680" s="243"/>
      <c r="S680" s="242"/>
    </row>
    <row r="681" spans="3:19">
      <c r="C681" s="257"/>
      <c r="D681" s="242"/>
      <c r="E681" s="242"/>
      <c r="F681" s="242"/>
      <c r="G681" s="242"/>
      <c r="H681" s="242"/>
      <c r="I681" s="242"/>
      <c r="J681" s="242"/>
      <c r="K681" s="242"/>
      <c r="L681" s="242"/>
      <c r="M681" s="242"/>
      <c r="N681" s="242"/>
      <c r="O681" s="242"/>
      <c r="P681" s="242"/>
      <c r="Q681" s="242"/>
      <c r="R681" s="243"/>
      <c r="S681" s="242"/>
    </row>
    <row r="682" spans="3:19">
      <c r="C682" s="257"/>
      <c r="D682" s="242"/>
      <c r="E682" s="242"/>
      <c r="F682" s="242"/>
      <c r="G682" s="242"/>
      <c r="H682" s="242"/>
      <c r="I682" s="242"/>
      <c r="J682" s="242"/>
      <c r="K682" s="242"/>
      <c r="L682" s="242"/>
      <c r="M682" s="242"/>
      <c r="N682" s="242"/>
      <c r="O682" s="242"/>
      <c r="P682" s="242"/>
      <c r="Q682" s="242"/>
      <c r="R682" s="243"/>
      <c r="S682" s="242"/>
    </row>
    <row r="683" spans="3:19">
      <c r="C683" s="257"/>
      <c r="D683" s="242"/>
      <c r="E683" s="242"/>
      <c r="F683" s="242"/>
      <c r="G683" s="242"/>
      <c r="H683" s="242"/>
      <c r="I683" s="242"/>
      <c r="J683" s="242"/>
      <c r="K683" s="242"/>
      <c r="L683" s="242"/>
      <c r="M683" s="242"/>
      <c r="N683" s="242"/>
      <c r="O683" s="242"/>
      <c r="P683" s="242"/>
      <c r="Q683" s="242"/>
      <c r="R683" s="243"/>
      <c r="S683" s="242"/>
    </row>
    <row r="684" spans="3:19">
      <c r="C684" s="257"/>
      <c r="D684" s="242"/>
      <c r="E684" s="242"/>
      <c r="F684" s="242"/>
      <c r="G684" s="242"/>
      <c r="H684" s="242"/>
      <c r="I684" s="242"/>
      <c r="J684" s="242"/>
      <c r="K684" s="242"/>
      <c r="L684" s="242"/>
      <c r="M684" s="242"/>
      <c r="N684" s="242"/>
      <c r="O684" s="242"/>
      <c r="P684" s="242"/>
      <c r="Q684" s="242"/>
      <c r="R684" s="243"/>
      <c r="S684" s="242"/>
    </row>
    <row r="685" spans="3:19">
      <c r="C685" s="257"/>
      <c r="D685" s="242"/>
      <c r="E685" s="242"/>
      <c r="F685" s="242"/>
      <c r="G685" s="242"/>
      <c r="H685" s="242"/>
      <c r="I685" s="242"/>
      <c r="J685" s="242"/>
      <c r="K685" s="242"/>
      <c r="L685" s="242"/>
      <c r="M685" s="242"/>
      <c r="N685" s="242"/>
      <c r="O685" s="242"/>
      <c r="P685" s="242"/>
      <c r="Q685" s="242"/>
      <c r="R685" s="243"/>
      <c r="S685" s="242"/>
    </row>
    <row r="686" spans="3:19">
      <c r="C686" s="257"/>
      <c r="D686" s="242"/>
      <c r="E686" s="242"/>
      <c r="F686" s="242"/>
      <c r="G686" s="242"/>
      <c r="H686" s="242"/>
      <c r="I686" s="242"/>
      <c r="J686" s="242"/>
      <c r="K686" s="242"/>
      <c r="L686" s="242"/>
      <c r="M686" s="242"/>
      <c r="N686" s="242"/>
      <c r="O686" s="242"/>
      <c r="P686" s="242"/>
      <c r="Q686" s="242"/>
      <c r="R686" s="243"/>
      <c r="S686" s="242"/>
    </row>
    <row r="687" spans="3:19">
      <c r="C687" s="257"/>
      <c r="D687" s="242"/>
      <c r="E687" s="242"/>
      <c r="F687" s="242"/>
      <c r="G687" s="242"/>
      <c r="H687" s="242"/>
      <c r="I687" s="242"/>
      <c r="J687" s="242"/>
      <c r="K687" s="242"/>
      <c r="L687" s="242"/>
      <c r="M687" s="242"/>
      <c r="N687" s="242"/>
      <c r="O687" s="242"/>
      <c r="P687" s="242"/>
      <c r="Q687" s="242"/>
      <c r="R687" s="243"/>
      <c r="S687" s="242"/>
    </row>
    <row r="688" spans="3:19">
      <c r="C688" s="257"/>
      <c r="D688" s="242"/>
      <c r="E688" s="242"/>
      <c r="F688" s="242"/>
      <c r="G688" s="242"/>
      <c r="H688" s="242"/>
      <c r="I688" s="242"/>
      <c r="J688" s="242"/>
      <c r="K688" s="242"/>
      <c r="L688" s="242"/>
      <c r="M688" s="242"/>
      <c r="N688" s="242"/>
      <c r="O688" s="242"/>
      <c r="P688" s="242"/>
      <c r="Q688" s="242"/>
      <c r="R688" s="243"/>
      <c r="S688" s="242"/>
    </row>
    <row r="689" spans="3:19">
      <c r="C689" s="257"/>
      <c r="D689" s="242"/>
      <c r="E689" s="242"/>
      <c r="F689" s="242"/>
      <c r="G689" s="242"/>
      <c r="H689" s="242"/>
      <c r="I689" s="242"/>
      <c r="J689" s="242"/>
      <c r="K689" s="242"/>
      <c r="L689" s="242"/>
      <c r="M689" s="242"/>
      <c r="N689" s="242"/>
      <c r="O689" s="242"/>
      <c r="P689" s="242"/>
      <c r="Q689" s="242"/>
      <c r="R689" s="243"/>
      <c r="S689" s="242"/>
    </row>
    <row r="690" spans="3:19">
      <c r="C690" s="257"/>
      <c r="D690" s="242"/>
      <c r="E690" s="242"/>
      <c r="F690" s="242"/>
      <c r="G690" s="242"/>
      <c r="H690" s="242"/>
      <c r="I690" s="242"/>
      <c r="J690" s="242"/>
      <c r="K690" s="242"/>
      <c r="L690" s="242"/>
      <c r="M690" s="242"/>
      <c r="N690" s="242"/>
      <c r="O690" s="242"/>
      <c r="P690" s="242"/>
      <c r="Q690" s="242"/>
      <c r="R690" s="243"/>
      <c r="S690" s="242"/>
    </row>
    <row r="691" spans="3:19">
      <c r="C691" s="257"/>
      <c r="D691" s="242"/>
      <c r="E691" s="242"/>
      <c r="F691" s="242"/>
      <c r="G691" s="242"/>
      <c r="H691" s="242"/>
      <c r="I691" s="242"/>
      <c r="J691" s="242"/>
      <c r="K691" s="242"/>
      <c r="L691" s="242"/>
      <c r="M691" s="242"/>
      <c r="N691" s="242"/>
      <c r="O691" s="242"/>
      <c r="P691" s="242"/>
      <c r="Q691" s="242"/>
      <c r="R691" s="243"/>
      <c r="S691" s="242"/>
    </row>
    <row r="692" spans="3:19">
      <c r="C692" s="257"/>
      <c r="D692" s="242"/>
      <c r="E692" s="242"/>
      <c r="F692" s="242"/>
      <c r="G692" s="242"/>
      <c r="H692" s="242"/>
      <c r="I692" s="242"/>
      <c r="J692" s="242"/>
      <c r="K692" s="242"/>
      <c r="L692" s="242"/>
      <c r="M692" s="242"/>
      <c r="N692" s="242"/>
      <c r="O692" s="242"/>
      <c r="P692" s="242"/>
      <c r="Q692" s="242"/>
      <c r="R692" s="243"/>
      <c r="S692" s="242"/>
    </row>
    <row r="693" spans="3:19">
      <c r="C693" s="257"/>
      <c r="D693" s="242"/>
      <c r="E693" s="242"/>
      <c r="F693" s="242"/>
      <c r="G693" s="242"/>
      <c r="H693" s="242"/>
      <c r="I693" s="242"/>
      <c r="J693" s="242"/>
      <c r="K693" s="242"/>
      <c r="L693" s="242"/>
      <c r="M693" s="242"/>
      <c r="N693" s="242"/>
      <c r="O693" s="242"/>
      <c r="P693" s="242"/>
      <c r="Q693" s="242"/>
      <c r="R693" s="243"/>
      <c r="S693" s="242"/>
    </row>
    <row r="694" spans="3:19">
      <c r="D694" s="242"/>
      <c r="S694" s="242"/>
    </row>
    <row r="695" spans="3:19">
      <c r="D695" s="242"/>
      <c r="S695" s="242"/>
    </row>
    <row r="696" spans="3:19">
      <c r="D696" s="242"/>
      <c r="S696" s="242"/>
    </row>
    <row r="697" spans="3:19">
      <c r="S697" s="242"/>
    </row>
    <row r="698" spans="3:19">
      <c r="S698" s="242"/>
    </row>
    <row r="699" spans="3:19">
      <c r="S699" s="242"/>
    </row>
    <row r="700" spans="3:19">
      <c r="S700" s="242"/>
    </row>
    <row r="701" spans="3:19">
      <c r="S701" s="242"/>
    </row>
    <row r="702" spans="3:19">
      <c r="S702" s="242"/>
    </row>
    <row r="703" spans="3:19">
      <c r="S703" s="242"/>
    </row>
    <row r="704" spans="3:19">
      <c r="S704" s="242"/>
    </row>
    <row r="705" spans="19:19">
      <c r="S705" s="242"/>
    </row>
    <row r="706" spans="19:19">
      <c r="S706" s="242"/>
    </row>
    <row r="707" spans="19:19">
      <c r="S707" s="242"/>
    </row>
    <row r="708" spans="19:19">
      <c r="S708" s="242"/>
    </row>
    <row r="709" spans="19:19">
      <c r="S709" s="242"/>
    </row>
    <row r="710" spans="19:19">
      <c r="S710" s="242"/>
    </row>
    <row r="711" spans="19:19">
      <c r="S711" s="242"/>
    </row>
    <row r="712" spans="19:19">
      <c r="S712" s="242"/>
    </row>
    <row r="713" spans="19:19">
      <c r="S713" s="242"/>
    </row>
    <row r="714" spans="19:19">
      <c r="S714" s="242"/>
    </row>
    <row r="715" spans="19:19">
      <c r="S715" s="242"/>
    </row>
    <row r="716" spans="19:19">
      <c r="S716" s="242"/>
    </row>
    <row r="717" spans="19:19">
      <c r="S717" s="242"/>
    </row>
    <row r="718" spans="19:19">
      <c r="S718" s="242"/>
    </row>
    <row r="719" spans="19:19">
      <c r="S719" s="242"/>
    </row>
    <row r="720" spans="19:19">
      <c r="S720" s="242"/>
    </row>
    <row r="721" spans="19:19">
      <c r="S721" s="242"/>
    </row>
    <row r="722" spans="19:19">
      <c r="S722" s="242"/>
    </row>
    <row r="723" spans="19:19">
      <c r="S723" s="242"/>
    </row>
    <row r="724" spans="19:19">
      <c r="S724" s="242"/>
    </row>
    <row r="725" spans="19:19">
      <c r="S725" s="242"/>
    </row>
    <row r="726" spans="19:19">
      <c r="S726" s="242"/>
    </row>
    <row r="727" spans="19:19">
      <c r="S727" s="242"/>
    </row>
    <row r="728" spans="19:19">
      <c r="S728" s="242"/>
    </row>
    <row r="729" spans="19:19">
      <c r="S729" s="242"/>
    </row>
    <row r="730" spans="19:19">
      <c r="S730" s="242"/>
    </row>
    <row r="731" spans="19:19">
      <c r="S731" s="242"/>
    </row>
    <row r="732" spans="19:19">
      <c r="S732" s="242"/>
    </row>
    <row r="733" spans="19:19">
      <c r="S733" s="242"/>
    </row>
    <row r="734" spans="19:19">
      <c r="S734" s="242"/>
    </row>
    <row r="735" spans="19:19">
      <c r="S735" s="242"/>
    </row>
    <row r="736" spans="19:19">
      <c r="S736" s="242"/>
    </row>
    <row r="737" spans="19:19">
      <c r="S737" s="242"/>
    </row>
    <row r="738" spans="19:19">
      <c r="S738" s="242"/>
    </row>
    <row r="739" spans="19:19">
      <c r="S739" s="242"/>
    </row>
    <row r="740" spans="19:19">
      <c r="S740" s="242"/>
    </row>
    <row r="741" spans="19:19">
      <c r="S741" s="242"/>
    </row>
    <row r="742" spans="19:19">
      <c r="S742" s="242"/>
    </row>
    <row r="743" spans="19:19">
      <c r="S743" s="242"/>
    </row>
    <row r="744" spans="19:19">
      <c r="S744" s="242"/>
    </row>
    <row r="745" spans="19:19">
      <c r="S745" s="242"/>
    </row>
    <row r="746" spans="19:19">
      <c r="S746" s="242"/>
    </row>
    <row r="747" spans="19:19">
      <c r="S747" s="242"/>
    </row>
    <row r="748" spans="19:19">
      <c r="S748" s="242"/>
    </row>
    <row r="749" spans="19:19">
      <c r="S749" s="242"/>
    </row>
    <row r="750" spans="19:19">
      <c r="S750" s="242"/>
    </row>
    <row r="751" spans="19:19">
      <c r="S751" s="242"/>
    </row>
    <row r="752" spans="19:19">
      <c r="S752" s="242"/>
    </row>
    <row r="753" spans="19:19">
      <c r="S753" s="242"/>
    </row>
    <row r="754" spans="19:19">
      <c r="S754" s="242"/>
    </row>
    <row r="755" spans="19:19">
      <c r="S755" s="242"/>
    </row>
    <row r="756" spans="19:19">
      <c r="S756" s="242"/>
    </row>
    <row r="757" spans="19:19">
      <c r="S757" s="242"/>
    </row>
  </sheetData>
  <mergeCells count="4">
    <mergeCell ref="D5:F5"/>
    <mergeCell ref="H5:O5"/>
    <mergeCell ref="H6:J6"/>
    <mergeCell ref="M6:O6"/>
  </mergeCells>
  <pageMargins left="0.2" right="0.2" top="0.75" bottom="0.5" header="0.3" footer="0.3"/>
  <pageSetup scale="5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JV GAAP WIP</vt:lpstr>
      <vt:lpstr>JV GAAP</vt:lpstr>
      <vt:lpstr>Bonus vs GAAP</vt:lpstr>
      <vt:lpstr>Job Status</vt:lpstr>
      <vt:lpstr>GAAP WIP</vt:lpstr>
      <vt:lpstr>GAAP</vt:lpstr>
      <vt:lpstr>Bonus WIP</vt:lpstr>
      <vt:lpstr>Bonus</vt:lpstr>
      <vt:lpstr>Backlog</vt:lpstr>
      <vt:lpstr>Job Summary</vt:lpstr>
      <vt:lpstr>Backlog!Print_Area</vt:lpstr>
      <vt:lpstr>Bonus!Print_Area</vt:lpstr>
      <vt:lpstr>'Bonus vs GAAP'!Print_Area</vt:lpstr>
      <vt:lpstr>'Bonus WIP'!Print_Area</vt:lpstr>
      <vt:lpstr>GAAP!Print_Area</vt:lpstr>
      <vt:lpstr>'GAAP WIP'!Print_Area</vt:lpstr>
      <vt:lpstr>'Job Status'!Print_Area</vt:lpstr>
      <vt:lpstr>'Job Summary'!Print_Area</vt:lpstr>
      <vt:lpstr>Backlog!Print_Titles</vt:lpstr>
      <vt:lpstr>Bonus!Print_Titles</vt:lpstr>
      <vt:lpstr>'Bonus vs GAAP'!Print_Titles</vt:lpstr>
      <vt:lpstr>'Bonus WIP'!Print_Titles</vt:lpstr>
      <vt:lpstr>GAAP!Print_Titles</vt:lpstr>
      <vt:lpstr>'GAAP WIP'!Print_Titles</vt:lpstr>
      <vt:lpstr>'Job Status'!Print_Titles</vt:lpstr>
      <vt:lpstr>'Job Summary'!Print_Titles</vt:lpstr>
    </vt:vector>
  </TitlesOfParts>
  <Company>Lyles Diversified Inc, Construction Accounting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Cindy Jordan</dc:creator>
  <cp:lastModifiedBy>Nicole Leasure</cp:lastModifiedBy>
  <cp:lastPrinted>2026-03-24T23:37:01Z</cp:lastPrinted>
  <dcterms:created xsi:type="dcterms:W3CDTF">2005-01-04T18:53:46Z</dcterms:created>
  <dcterms:modified xsi:type="dcterms:W3CDTF">2026-03-24T23:37:10Z</dcterms:modified>
</cp:coreProperties>
</file>